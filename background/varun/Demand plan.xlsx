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08B325FA-843F-4EC7-BA6C-E3855F182F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ed" sheetId="49" r:id="rId1"/>
    <sheet name="Graphs summary" sheetId="52" r:id="rId2"/>
    <sheet name="Sheet1" sheetId="51" r:id="rId3"/>
    <sheet name="Mnr" sheetId="44" r:id="rId4"/>
    <sheet name="New BWL" sheetId="50" r:id="rId5"/>
    <sheet name="CNS" sheetId="46" r:id="rId6"/>
    <sheet name="SBD" sheetId="47" r:id="rId7"/>
    <sheet name="STHS" sheetId="38" r:id="rId8"/>
    <sheet name="Summary" sheetId="48" state="hidden" r:id="rId9"/>
    <sheet name="Consolidated by Customer" sheetId="4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0">[1]SCH!$DO$8:$DO$10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[1]SCH!$EU$5:$IV$16384</definedName>
    <definedName name="\n">#REF!</definedName>
    <definedName name="\nomo">#REF!</definedName>
    <definedName name="\o">#REF!</definedName>
    <definedName name="\p">#REF!</definedName>
    <definedName name="\q">[1]SCH!#REF!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__P_">#REF!</definedName>
    <definedName name="__123Graph_A" hidden="1">'[2]N719(NC)'!$D$15:$G$15</definedName>
    <definedName name="__123Graph_B" hidden="1">'[2]N719(NC)'!$D$16:$G$16</definedName>
    <definedName name="__123Graph_C" hidden="1">'[2]N719(NC)'!$D$19:$G$19</definedName>
    <definedName name="__123Graph_D" hidden="1">'[2]N719(NC)'!$D$20:$G$20</definedName>
    <definedName name="__123Graph_LBL_A" hidden="1">'[2]N719(NC)'!$D$15:$G$15</definedName>
    <definedName name="__123Graph_LBL_B" hidden="1">'[2]N719(NC)'!$D$16:$G$16</definedName>
    <definedName name="__123Graph_LBL_C" hidden="1">'[2]N719(NC)'!$D$19:$G$19</definedName>
    <definedName name="__123Graph_LBL_D" hidden="1">'[2]N719(NC)'!$D$20:$G$20</definedName>
    <definedName name="__123Graph_X" hidden="1">'[2]N719(NC)'!$D$4:$G$4</definedName>
    <definedName name="__CDE3..L3_">#REF!</definedName>
    <definedName name="__CHE3..L3__PPA">#REF!</definedName>
    <definedName name="__GPD">#REF!</definedName>
    <definedName name="__seg3">#REF!</definedName>
    <definedName name="__TC__GPD_CA1..">#REF!</definedName>
    <definedName name="__TC__GPD_CA1..N39_A110..N148__RVD4..E39_D113..E148__RVN4..N39_N113..N148__RND\C___GP__RPA110..N148_">#REF!</definedName>
    <definedName name="__TC__GPD_CA1..N39_A150..N188__RVD4..E39_D153..E188__RVN4..N39_N153..N188__RND\D___GP__RPA150..N188_">#REF!</definedName>
    <definedName name="__TC__GPD_CA1..N39_A190..N228__RVD4..E39_D193..E228__RVN4..N39_N193..N228__RND\E___GP__RPA190..N228_">#REF!</definedName>
    <definedName name="__TC__GPD_CA1..N39_A230..N268__RVD4..E39_D233..E268__RVN4..N39_N233..N268__RND\F___GP__RPA230..N268_">#REF!</definedName>
    <definedName name="__TC__GPD_CA1..N39_A270..N308__RVD4..E39_D273..E308__RVN4..N39_N273..N308__RND\G___GP__RPA210..N238_">#REF!</definedName>
    <definedName name="__TC__GPD_CA1..N39_A310..N348__RVD4..E39_D313..E348__RVN4..N39_N313..N348__RND\H___GP__RPA310..N348_">#REF!</definedName>
    <definedName name="__TC__GPD_CA1..N39_A350..N388__RVD4..E39_D353..E388__RVN4..N39_N353..N388__RND\I___GP__RPA350..N388_">#REF!</definedName>
    <definedName name="__TC__GPD_CA1..N39_A390..N428__RVD4..E39_D393..E428__RVN4..N39_N393..N428__RND\J___GP__RPA390..N428_">#REF!</definedName>
    <definedName name="__TC__GPD_CA1..N39_A430..N468__RVD4..E39_D433..E468__RVN4..N39_N433..N468__RND\K___GP__RPA430..N468_">#REF!</definedName>
    <definedName name="__TC__GPD_CA1..N39_A70..N108__RVD4..E39_D73..E108__RVN4..N39_N73..N108__RND\B___GP__RPA70..N108_">#REF!</definedName>
    <definedName name="_12_?????????">'[3]????'!$C$1:$G$65536</definedName>
    <definedName name="_123" hidden="1">'[4]N719(NC)'!$D$16:$G$16</definedName>
    <definedName name="_15_?????????????">'[3]?????'!$H$1:$I$65536</definedName>
    <definedName name="_18_??????????????">'[3]?????'!$C$1:$G$65536</definedName>
    <definedName name="_20__123Graph_AC04C_ALL_L1" hidden="1">[5]MOTO!#REF!</definedName>
    <definedName name="_22__123Graph_AC04C_ALL_L2" hidden="1">[5]MOTO!#REF!</definedName>
    <definedName name="_24__123Graph_AC04C_ALL_T1" hidden="1">[5]MOTO!#REF!</definedName>
    <definedName name="_26__123Graph_AC04C_ALL_T2" hidden="1">[5]MOTO!#REF!</definedName>
    <definedName name="_28__123Graph_AC04C_FF_L" hidden="1">[5]MOTO!#REF!</definedName>
    <definedName name="_3_????">'[3]????'!$A$1:$B$65536</definedName>
    <definedName name="_3_OPPAMA">#REF!</definedName>
    <definedName name="_30__123Graph_AC04C_FF_T" hidden="1">[5]MOTO!#REF!</definedName>
    <definedName name="_301Plantのクロス集計">#REF!</definedName>
    <definedName name="_301のクロス集計">#REF!</definedName>
    <definedName name="_302Oppamaのクロス集計">#REF!</definedName>
    <definedName name="_32__123Graph_AC04C_FR_L1" hidden="1">[5]MOTO!#REF!</definedName>
    <definedName name="_34__123Graph_AC04C_FR_L2" hidden="1">[5]MOTO!#REF!</definedName>
    <definedName name="_36__123Graph_AC04C_FR_T1" hidden="1">[5]MOTO!#REF!</definedName>
    <definedName name="_38__123Graph_AC04C_FR_T2" hidden="1">[5]MOTO!#REF!</definedName>
    <definedName name="_40__123Graph_LBL_AC04C_FF_L" hidden="1">[5]MOTO!#REF!</definedName>
    <definedName name="_42__123Graph_LBL_AC04C_FF_T" hidden="1">[5]MOTO!#REF!</definedName>
    <definedName name="_44__123Graph_LBL_AC04C_FR_L1" hidden="1">[5]MOTO!#REF!</definedName>
    <definedName name="_46__123Graph_LBL_AC04C_FR_L2" hidden="1">[5]MOTO!#REF!</definedName>
    <definedName name="_48__123Graph_LBL_AC04C_FR_T1" hidden="1">[5]MOTO!#REF!</definedName>
    <definedName name="_50__123Graph_LBL_AC04C_FR_T2" hidden="1">[5]MOTO!#REF!</definedName>
    <definedName name="_52__123Graph_XC04C_ALL_T1" hidden="1">[5]MOTO!#REF!</definedName>
    <definedName name="_54__123Graph_XC04C_ALL_T2" hidden="1">[5]MOTO!#REF!</definedName>
    <definedName name="_56__123Graph_XC04C_FF_L" hidden="1">[5]MOTO!#REF!</definedName>
    <definedName name="_58__123Graph_XC04C_FF_T" hidden="1">[5]MOTO!#REF!</definedName>
    <definedName name="_6_?????">'[3]?????'!$A$1:$B$65536</definedName>
    <definedName name="_60__123Graph_XC04C_FR_L1" hidden="1">[5]MOTO!#REF!</definedName>
    <definedName name="_62__123Graph_XC04C_FR_L2" hidden="1">[5]MOTO!#REF!</definedName>
    <definedName name="_64__123Graph_XC04C_FR_T1" hidden="1">[5]MOTO!#REF!</definedName>
    <definedName name="_66__123Graph_XC04C_FR_T2" hidden="1">[5]MOTO!#REF!</definedName>
    <definedName name="_69_0212_7000のクロス集計">#REF!</definedName>
    <definedName name="_72_03_OPPAMA">#REF!</definedName>
    <definedName name="_75_03_Q_要因別影響額月別推移_12月迄）Eff_SUM_">[6]ptpcost1!#REF!</definedName>
    <definedName name="_78_0305支給実績">#REF!</definedName>
    <definedName name="_81_18_品目ﾘｽﾄ_錦陵工業">#REF!</definedName>
    <definedName name="_84_2002">#REF!</definedName>
    <definedName name="_87_5_Q_数量推移_当月迄_">#REF!</definedName>
    <definedName name="_9_???????">'[3]?????'!$A$1:$B$65536</definedName>
    <definedName name="_90他材料費ﾟ__J" localSheetId="0">[46]他材料費</definedName>
    <definedName name="_90他材料費ﾟ__J" localSheetId="8">[46]他材料費</definedName>
    <definedName name="_90他材料費ﾟ__J">[46]他材料費</definedName>
    <definedName name="_93冷延ﾊﾟｲﾌﾟ径ｴｷｽﾄﾗ01">'[7]ﾊﾟｲﾌﾟ|_x0013_?_x0013_?'!$H$1:$I$65536</definedName>
    <definedName name="_96冷延ﾊﾟｲﾌﾟ板厚ｴｷｽﾄﾗ1_xc">'[7]ﾊﾟｲﾌﾟ|_x0013_?_x0013_?'!$C$1:$G$65536</definedName>
    <definedName name="_99熱延鋼板ﾟ__J">'[7]熱延鋼板 ?_x0013_?_x0013_?u?u'!$A$1:$B$65536</definedName>
    <definedName name="_Bom1">#REF!</definedName>
    <definedName name="_BOM10">#REF!</definedName>
    <definedName name="_BOM11">#REF!</definedName>
    <definedName name="_Bom12">#REF!</definedName>
    <definedName name="_BOM13">#REF!</definedName>
    <definedName name="_BOM14">#REF!</definedName>
    <definedName name="_BOM15">#REF!</definedName>
    <definedName name="_BOM16">#REF!</definedName>
    <definedName name="_BOM17">#REF!</definedName>
    <definedName name="_BOM18">#REF!</definedName>
    <definedName name="_BOM19">#REF!</definedName>
    <definedName name="_Bom2">#REF!</definedName>
    <definedName name="_BOM20">#REF!</definedName>
    <definedName name="_BOM21">#REF!</definedName>
    <definedName name="_BOM22">#REF!</definedName>
    <definedName name="_BOM23">#REF!</definedName>
    <definedName name="_BOM24">#REF!</definedName>
    <definedName name="_BOM25">#REF!</definedName>
    <definedName name="_BOM26">#REF!</definedName>
    <definedName name="_Bom3">#REF!</definedName>
    <definedName name="_Bom4">#REF!</definedName>
    <definedName name="_BOM5">#REF!</definedName>
    <definedName name="_BOM6">#REF!</definedName>
    <definedName name="_BOM7">#REF!</definedName>
    <definedName name="_BOM8">#REF!</definedName>
    <definedName name="_BOM9">#REF!</definedName>
    <definedName name="_C_">#REF!</definedName>
    <definedName name="_Fill" hidden="1">#REF!</definedName>
    <definedName name="_xlnm._FilterDatabase" localSheetId="5" hidden="1">CNS!$A$3:$U$149</definedName>
    <definedName name="_xlnm._FilterDatabase" localSheetId="3" hidden="1">Mnr!$A$3:$U$238</definedName>
    <definedName name="_xlnm._FilterDatabase" localSheetId="4" hidden="1">'New BWL'!$A$2:$O$236</definedName>
    <definedName name="_xlnm._FilterDatabase" localSheetId="6" hidden="1">SBD!$A$3:$U$82</definedName>
    <definedName name="_xlnm._FilterDatabase" localSheetId="7" hidden="1">STHS!$A$3:$S$100</definedName>
    <definedName name="_xlnm._FilterDatabase" localSheetId="8" hidden="1">Summary!$A$3:$U$793</definedName>
    <definedName name="_GOTO_B3_">#REF!</definedName>
    <definedName name="_GOTO_BK10__WXE">#REF!</definedName>
    <definedName name="_GOTO_BR10__WXE">#REF!</definedName>
    <definedName name="_GOTO_BT10__WXE">#REF!</definedName>
    <definedName name="_GPD_CA1..N29_A">#REF!</definedName>
    <definedName name="_HERE">#REF!</definedName>
    <definedName name="_HOME__GOTO__A1">#REF!</definedName>
    <definedName name="_HOME__GOTO_BR1">#REF!</definedName>
    <definedName name="_HOME__GOTO_BT1">#REF!</definedName>
    <definedName name="_HOME__GOTO_D4_">#REF!</definedName>
    <definedName name="_Key1" hidden="1">#REF!</definedName>
    <definedName name="_Key2" hidden="1">#REF!</definedName>
    <definedName name="_L__WXLU1_">#REF!</definedName>
    <definedName name="_L__WXLU1__ABS_">#REF!</definedName>
    <definedName name="_L__WXLU1__R__R">#REF!</definedName>
    <definedName name="_L__WXLU1__TAB_">#REF!</definedName>
    <definedName name="_L__WXLU1_BU50.">#REF!</definedName>
    <definedName name="_L__WXLU1_CQ_Q">#REF!</definedName>
    <definedName name="_L__WXLU1_CQ26_">#REF!</definedName>
    <definedName name="_MENU">#REF!</definedName>
    <definedName name="_Order1" hidden="1">255</definedName>
    <definedName name="_Order2" hidden="1">0</definedName>
    <definedName name="_R01">#REF!</definedName>
    <definedName name="_R02">#REF!</definedName>
    <definedName name="_R04">#REF!</definedName>
    <definedName name="_RE_">#REF!</definedName>
    <definedName name="_Rec1">#REF!</definedName>
    <definedName name="_Rec2">#REF!</definedName>
    <definedName name="_Rec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RBU7..BW7__R">#REF!</definedName>
    <definedName name="_RFRBW7..BY7__R">#REF!</definedName>
    <definedName name="_RNL_">#REF!</definedName>
    <definedName name="_ROUND___L___L_">#REF!</definedName>
    <definedName name="_RP_">#REF!</definedName>
    <definedName name="_RU_">#REF!</definedName>
    <definedName name="_RUA1..N29__RUA">#REF!</definedName>
    <definedName name="_seg3">#REF!</definedName>
    <definedName name="_Sort" hidden="1">#REF!</definedName>
    <definedName name="_SUM__?____R__R">#REF!</definedName>
    <definedName name="_Table1_In1" hidden="1">#REF!</definedName>
    <definedName name="_Table1_Out" hidden="1">#REF!</definedName>
    <definedName name="_WCD">#REF!</definedName>
    <definedName name="_WCH">#REF!</definedName>
    <definedName name="_WCHBB1..BQ1__H">#REF!</definedName>
    <definedName name="_WCHBB1..BR1__H">#REF!</definedName>
    <definedName name="_WCHBB1..BS1__H">#REF!</definedName>
    <definedName name="_WTC_GOTO_BR1__">#REF!</definedName>
    <definedName name="_WTC_GOTO_BT1__">#REF!</definedName>
    <definedName name="_WTC_WCDBB1..BQ">#REF!</definedName>
    <definedName name="_WTC_WCDBB1..BR">#REF!</definedName>
    <definedName name="_WTC_WCDBB1..BS">#REF!</definedName>
    <definedName name="_ZR1" hidden="1">'[8]N719(NC)'!$D$15:$G$15</definedName>
    <definedName name="A">[9]算出一覧ＣⅡ!$CJ$67</definedName>
    <definedName name="Access_Button" hidden="1">"MINUTES_M20__2__List"</definedName>
    <definedName name="AccessDatabase" hidden="1">"C:\SAMEER\MGMTR\MINUTES.mdb"</definedName>
    <definedName name="ACTION">'[10] Defects'!#REF!</definedName>
    <definedName name="Anwesende">OFFSET('[11]02. Attendance'!$C$14,,,COUNTA(" "," ",'[11]02. Attendance'!$C:$C),1)</definedName>
    <definedName name="Arial">#REF!</definedName>
    <definedName name="asda" hidden="1">{#N/A,#N/A,FALSE,"Cash Flows";#N/A,#N/A,FALSE,"Fixed Assets";#N/A,#N/A,FALSE,"Balance Sheet";#N/A,#N/A,FALSE,"P &amp; L"}</definedName>
    <definedName name="B">#REF!</definedName>
    <definedName name="BaseData_1" hidden="1">{#N/A,#N/A,FALSE,"Cash Flows";#N/A,#N/A,FALSE,"Fixed Assets";#N/A,#N/A,FALSE,"Balance Sheet";#N/A,#N/A,FALSE,"P &amp; L"}</definedName>
    <definedName name="BM_XRateEdit" localSheetId="0">[12]!BM_XRateEdit</definedName>
    <definedName name="BM_XRateEdit" localSheetId="8">[12]!BM_XRateEdit</definedName>
    <definedName name="BM_XRateEdit">[12]!BM_XRateEdit</definedName>
    <definedName name="BOM">#REF!</definedName>
    <definedName name="book_8" hidden="1">'[2]N719(NC)'!$D$20:$G$20</definedName>
    <definedName name="book06" hidden="1">'[13]N719(NC)'!$D$16:$G$16</definedName>
    <definedName name="calender" hidden="1">#REF!</definedName>
    <definedName name="CCstat">#REF!</definedName>
    <definedName name="CH">#REF!</definedName>
    <definedName name="CHANGE_NOTES">#REF!</definedName>
    <definedName name="coderange">#REF!</definedName>
    <definedName name="COGR">#REF!</definedName>
    <definedName name="Copy">#REF!</definedName>
    <definedName name="Cost_of_Material">#REF!</definedName>
    <definedName name="Cost_of_Scrap">#REF!</definedName>
    <definedName name="cpdata">#REF!</definedName>
    <definedName name="CPstat">#REF!</definedName>
    <definedName name="current_row">#REF!</definedName>
    <definedName name="Customer">[14]Basic!$B$4</definedName>
    <definedName name="cut">#REF!</definedName>
    <definedName name="CYSPEND">#REF!</definedName>
    <definedName name="data">'[10] Defects'!#REF!</definedName>
    <definedName name="datarange">#REF!</definedName>
    <definedName name="Date">#REF!</definedName>
    <definedName name="Date2">#REF!</definedName>
    <definedName name="Date3">#REF!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tes">#REF!</definedName>
    <definedName name="deleteme" hidden="1">{#N/A,#N/A,FALSE,"QS9000";#N/A,#N/A,FALSE,"Initial APQP Timing"}</definedName>
    <definedName name="Deleteme3" hidden="1">{#N/A,#N/A,FALSE,"QS9000";#N/A,#N/A,FALSE,"Initial APQP Timing"}</definedName>
    <definedName name="deleteme4" hidden="1">{#N/A,#N/A,FALSE,"QS9000";#N/A,#N/A,FALSE,"Initial APQP Timing"}</definedName>
    <definedName name="deleteme5" hidden="1">{#N/A,#N/A,FALSE,"QS9000";#N/A,#N/A,FALSE,"Initial APQP Timing"}</definedName>
    <definedName name="Deleteme6" hidden="1">{#N/A,#N/A,FALSE,"QS9000";#N/A,#N/A,FALSE,"Initial APQP Timing"}</definedName>
    <definedName name="deleteme7" hidden="1">{#N/A,#N/A,FALSE,"QS9000";#N/A,#N/A,FALSE,"Initial APQP Timing"}</definedName>
    <definedName name="deleteme8" hidden="1">{#N/A,#N/A,FALSE,"QS9000";#N/A,#N/A,FALSE,"Initial APQP Timing"}</definedName>
    <definedName name="Deletme2" hidden="1">{#N/A,#N/A,FALSE,"QS9000";#N/A,#N/A,FALSE,"Initial APQP Timing"}</definedName>
    <definedName name="DEPR">#REF!</definedName>
    <definedName name="des_fs">#REF!</definedName>
    <definedName name="des_oq">#REF!</definedName>
    <definedName name="des_os">#REF!</definedName>
    <definedName name="Desc">[15]Header!$H$2</definedName>
    <definedName name="desc1">[16]Header!$H$2</definedName>
    <definedName name="designation_function">#REF!</definedName>
    <definedName name="designation_kit">#REF!</definedName>
    <definedName name="Drucktitel_MI">#REF!</definedName>
    <definedName name="DV_Cost">'[17]validation 1'!#REF!</definedName>
    <definedName name="DV_Sample_Qty">[18]Visor!#REF!</definedName>
    <definedName name="E_NO.">#REF!</definedName>
    <definedName name="EMC_Engineer">#REF!</definedName>
    <definedName name="Eng_Side">[15]Header!$H$3</definedName>
    <definedName name="eng_side1">[16]Header!$H$3</definedName>
    <definedName name="Ergonomic">[15]Header!$H$4</definedName>
    <definedName name="ergonomic1">[16]Header!$H$4</definedName>
    <definedName name="Excel_BuiltIn_Print_Area_1">(#REF!,#REF!,#REF!,#REF!)</definedName>
    <definedName name="Excel_BuiltIn_Print_Area_1_1">(#REF!,#REF!,#REF!,#REF!)</definedName>
    <definedName name="Excel_BuiltIn_Print_Area_1_1_1">#REF!</definedName>
    <definedName name="Excel_BuiltIn_Print_Area_1_1_1_1">#REF!</definedName>
    <definedName name="Excel_BuiltIn_Print_Area_1_1_1_1_1">(#REF!,#REF!)</definedName>
    <definedName name="Excel_BuiltIn_Print_Area_1_1_1_1_1_1">#REF!</definedName>
    <definedName name="Excel_BuiltIn_Print_Area_2">[19]GM!#REF!</definedName>
    <definedName name="Excel_BuiltIn_Print_Titles_1_1">#REF!</definedName>
    <definedName name="Exch">#REF!</definedName>
    <definedName name="Exchange">#REF!</definedName>
    <definedName name="ExchAr">#REF!</definedName>
    <definedName name="ExchCons">#REF!</definedName>
    <definedName name="ExchSA">#REF!</definedName>
    <definedName name="ExchTh">#REF!</definedName>
    <definedName name="FEU_ProdProc">'[20]Input Sheet'!$D$87</definedName>
    <definedName name="FEU_PVTest">'[20]Input Sheet'!$D$88</definedName>
    <definedName name="FEU_Tooling">'[20]Input Sheet'!$D$86</definedName>
    <definedName name="fgfngf">#REF!</definedName>
    <definedName name="Filter">[21]BOM_40_20_40!$A$2:$BB$140</definedName>
    <definedName name="Foot2">#REF!</definedName>
    <definedName name="GROUP">#REF!</definedName>
    <definedName name="HF1_HARN">#N/A</definedName>
    <definedName name="HRSORT">'[22]LOAD HOURS'!$A$1:$IV$259</definedName>
    <definedName name="HTIS">#REF!</definedName>
    <definedName name="HTIS_LTIS">#REF!</definedName>
    <definedName name="HTIS_TGW">#REF!</definedName>
    <definedName name="HTML1_1" hidden="1">"'[details.xls]PST GYR'!$A$1:$M$22"</definedName>
    <definedName name="HTML1_10" hidden="1">""</definedName>
    <definedName name="HTML1_11" hidden="1">1</definedName>
    <definedName name="HTML1_12" hidden="1">"C:\My Documents\net\hiimpact\un150.htm"</definedName>
    <definedName name="HTML1_2" hidden="1">1</definedName>
    <definedName name="HTML1_3" hidden="1">"details"</definedName>
    <definedName name="HTML1_4" hidden="1">"PST GYR"</definedName>
    <definedName name="HTML1_5" hidden="1">""</definedName>
    <definedName name="HTML1_6" hidden="1">-4146</definedName>
    <definedName name="HTML1_7" hidden="1">-4146</definedName>
    <definedName name="HTML1_8" hidden="1">"7/7/98"</definedName>
    <definedName name="HTML1_9" hidden="1">"Ford"</definedName>
    <definedName name="HTMLCount" hidden="1">1</definedName>
    <definedName name="ｉ199革図面">[23]材料使用量原紙!$B$2:$V$53</definedName>
    <definedName name="i354インフィニティ仕様">[24]材料使用量原紙!$B$2:$V$53</definedName>
    <definedName name="indchart1">#REF!</definedName>
    <definedName name="indchart2">#REF!</definedName>
    <definedName name="INDEX">#REF!</definedName>
    <definedName name="infoHI">#REF!</definedName>
    <definedName name="JOKEN">#REF!</definedName>
    <definedName name="junk1" hidden="1">{#N/A,#N/A,FALSE,"QS9000";#N/A,#N/A,FALSE,"Initial APQP Timing"}</definedName>
    <definedName name="kinji" hidden="1">[25]MOTO!#REF!</definedName>
    <definedName name="kiuj">#REF!</definedName>
    <definedName name="kkkk" hidden="1">#REF!</definedName>
    <definedName name="L4976.">#REF!</definedName>
    <definedName name="l5000.">#REF!</definedName>
    <definedName name="LaborCost">[26]Labor!$B$40:$H$45</definedName>
    <definedName name="Late_Sites">'[27]Input Sheet'!#REF!</definedName>
    <definedName name="LC">#REF!</definedName>
    <definedName name="LC__">#REF!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OB">#REF!</definedName>
    <definedName name="Level">[28]Dropdowns!$G$2:$G$22</definedName>
    <definedName name="lk">#REF!</definedName>
    <definedName name="LOC.SUPPLIER_NO">#REF!</definedName>
    <definedName name="LTIS">#REF!</definedName>
    <definedName name="LTIS_AWS">#REF!</definedName>
    <definedName name="LTIS_TGW">#REF!</definedName>
    <definedName name="Mach_rate">'[29]Lookup Tables'!$A$13:$C$24</definedName>
    <definedName name="Mat_Ext">#REF!</definedName>
    <definedName name="Matrix_Origination">#REF!</definedName>
    <definedName name="Matrix_Revised_on">#REF!</definedName>
    <definedName name="ME">#REF!</definedName>
    <definedName name="mm">#REF!</definedName>
    <definedName name="Model_Year">#REF!</definedName>
    <definedName name="Month">[30]Month!$A$1:$A$12</definedName>
    <definedName name="muroi" hidden="1">[25]MOTO!#REF!</definedName>
    <definedName name="nom">#REF!</definedName>
    <definedName name="none" hidden="1">{#N/A,#N/A,FALSE,"QS9000";#N/A,#N/A,FALSE,"Initial APQP Timing"}</definedName>
    <definedName name="none1" hidden="1">{#N/A,#N/A,FALSE,"QS9000";#N/A,#N/A,FALSE,"Initial APQP Timing"}</definedName>
    <definedName name="none2" hidden="1">{#N/A,#N/A,FALSE,"QS9000";#N/A,#N/A,FALSE,"Initial APQP Timing"}</definedName>
    <definedName name="NOTES">#REF!</definedName>
    <definedName name="Op_Combo_Ch">[15]Header!$H$10</definedName>
    <definedName name="Op_Wrksht_Ch">[15]Header!$H$9</definedName>
    <definedName name="Option">[15]Header!$H$5</definedName>
    <definedName name="Oth_data">#REF!</definedName>
    <definedName name="PACT">#REF!</definedName>
    <definedName name="PART_DESCRIPTIO">#REF!</definedName>
    <definedName name="PART_NO.">#REF!</definedName>
    <definedName name="Paste">#REF!</definedName>
    <definedName name="PCS_UNIT_1035">#REF!</definedName>
    <definedName name="Pillar_Ch">[15]Header!$H$11</definedName>
    <definedName name="plan">#REF!</definedName>
    <definedName name="Platf">[31]Month!$A$1:$A$12</definedName>
    <definedName name="PRdata">#REF!</definedName>
    <definedName name="pre_rank">'[32]5-03 Previous Ranking'!$A$2:$B$323</definedName>
    <definedName name="_xlnm.Print_Area" localSheetId="5">CNS!$F$3:$U$3</definedName>
    <definedName name="_xlnm.Print_Area" localSheetId="3">Mnr!$F$3:$U$50</definedName>
    <definedName name="_xlnm.Print_Area" localSheetId="4">'New BWL'!$F$2:$AF$49</definedName>
    <definedName name="_xlnm.Print_Area" localSheetId="6">SBD!$F$3:$U$50</definedName>
    <definedName name="_xlnm.Print_Area" localSheetId="8">Summary!$F$3:$U$3</definedName>
    <definedName name="_xlnm.Print_Area">#REF!</definedName>
    <definedName name="PRINT_AREA_MI">#REF!</definedName>
    <definedName name="Print_Date">#REF!</definedName>
    <definedName name="Print_QRAM" localSheetId="0">[33]!Print_QRAM</definedName>
    <definedName name="Print_QRAM" localSheetId="8">[33]!Print_QRAM</definedName>
    <definedName name="Print_QRAM">[33]!Print_QRAM</definedName>
    <definedName name="_xlnm.Print_Titles">#REF!</definedName>
    <definedName name="PRINT_TITLES_MI">#REF!</definedName>
    <definedName name="prix_f">#REF!</definedName>
    <definedName name="prix_o">#REF!</definedName>
    <definedName name="prix_op">#REF!</definedName>
    <definedName name="Proc_1">'[27]Input Sheet'!#REF!</definedName>
    <definedName name="Prod_Ext">#REF!</definedName>
    <definedName name="Product">#REF!</definedName>
    <definedName name="Program">[14]Basic!$B$6</definedName>
    <definedName name="Project_Manager">#REF!</definedName>
    <definedName name="PV_1">'[27]Input Sheet'!#REF!</definedName>
    <definedName name="PV_Engineer">#REF!</definedName>
    <definedName name="PV_Sample_Cost_Tot">[18]Visor!#REF!</definedName>
    <definedName name="PW_cccS01">#REF!</definedName>
    <definedName name="PW_CS01">#REF!</definedName>
    <definedName name="PW_DS01">#REF!</definedName>
    <definedName name="PWA">#REF!</definedName>
    <definedName name="QRY_Polman_Request_Final_Output">#REF!</definedName>
    <definedName name="Quality">#REF!</definedName>
    <definedName name="quantity_function">#REF!</definedName>
    <definedName name="quantity_option">#REF!</definedName>
    <definedName name="R_01">#REF!</definedName>
    <definedName name="R_02">#REF!</definedName>
    <definedName name="R_04">#REF!</definedName>
    <definedName name="R_05">#REF!</definedName>
    <definedName name="R_06">#REF!</definedName>
    <definedName name="R_07">#REF!</definedName>
    <definedName name="R_08">#REF!</definedName>
    <definedName name="R_09">#REF!</definedName>
    <definedName name="R_10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cccS01">#REF!</definedName>
    <definedName name="R_CS01">#REF!</definedName>
    <definedName name="R_DS01">#REF!</definedName>
    <definedName name="r000">#REF!</definedName>
    <definedName name="RATE">#REF!</definedName>
    <definedName name="Rate_Eng">'[34]validation 1'!#REF!</definedName>
    <definedName name="Rate_Env">'[34]validation 1'!#REF!</definedName>
    <definedName name="Rate_Tech">'[34]validation 1'!#REF!</definedName>
    <definedName name="Rate_Vib">'[34]validation 1'!#REF!</definedName>
    <definedName name="Recovery1">#REF!</definedName>
    <definedName name="Recovery2">#REF!</definedName>
    <definedName name="Recovery3">#REF!</definedName>
    <definedName name="ref_function">#REF!</definedName>
    <definedName name="ref_kit">#REF!</definedName>
    <definedName name="ref_option_quotation">#REF!</definedName>
    <definedName name="REFERENCE">#REF!</definedName>
    <definedName name="Renault">#REF!</definedName>
    <definedName name="Rev_Level">#REF!</definedName>
    <definedName name="rp">#REF!</definedName>
    <definedName name="RV_Cost">[18]Visor!#REF!</definedName>
    <definedName name="RV_Cost_Tot">[18]Visor!#REF!</definedName>
    <definedName name="RV_Eng_Hrs">[18]Visor!#REF!</definedName>
    <definedName name="RV_Eng_Hrs_Tot">[18]Visor!#REF!</definedName>
    <definedName name="RV_Env_Hrs">[18]Visor!#REF!</definedName>
    <definedName name="RV_Env_Hrs_Tot">[18]Visor!#REF!</definedName>
    <definedName name="RV_Misc_Test">[18]Visor!#REF!</definedName>
    <definedName name="RV_Misc_Test_Tot">[18]Visor!#REF!</definedName>
    <definedName name="RV_Outsource">[18]Visor!#REF!</definedName>
    <definedName name="RV_Outsource_Tot">[18]Visor!#REF!</definedName>
    <definedName name="RV_Tech_Hrs">[18]Visor!#REF!</definedName>
    <definedName name="RV_Tech_Hrs_Tot">[18]Visor!#REF!</definedName>
    <definedName name="RV_Vib_Hrs">[18]Visor!#REF!</definedName>
    <definedName name="RV_Vib_Hrs_Tot">[18]Visor!#REF!</definedName>
    <definedName name="Sales_plan">#REF!</definedName>
    <definedName name="SAMPLES">#REF!</definedName>
    <definedName name="sdfa" hidden="1">{#N/A,#N/A,FALSE,"Cash Flows";#N/A,#N/A,FALSE,"Fixed Assets";#N/A,#N/A,FALSE,"Balance Sheet";#N/A,#N/A,FALSE,"P &amp; L"}</definedName>
    <definedName name="sdfgsdg">#REF!</definedName>
    <definedName name="slaprevsaq" hidden="1">{#N/A,#N/A,FALSE,"QS9000";#N/A,#N/A,FALSE,"Initial APQP Timing"}</definedName>
    <definedName name="SOP">#REF!</definedName>
    <definedName name="SORTED">#REF!</definedName>
    <definedName name="sortrange">#REF!</definedName>
    <definedName name="SP_SOB">#REF!</definedName>
    <definedName name="Specification">#REF!</definedName>
    <definedName name="Spend1">#REF!</definedName>
    <definedName name="Spend2">#REF!</definedName>
    <definedName name="Spend3">#REF!</definedName>
    <definedName name="sss" hidden="1">[25]MOTO!#REF!</definedName>
    <definedName name="STRUCTUR">#REF!</definedName>
    <definedName name="Sub_Assembly">[15]Header!$H$7</definedName>
    <definedName name="subaru_calucuiation_sheet" hidden="1">'[2]N719(NC)'!$D$19:$G$19</definedName>
    <definedName name="supplierlist">#REF!</definedName>
    <definedName name="T">#REF!</definedName>
    <definedName name="T_実際原価データ">#REF!</definedName>
    <definedName name="table">#REF!</definedName>
    <definedName name="TC_NO.">#REF!</definedName>
    <definedName name="test" hidden="1">{#N/A,#N/A,FALSE,"QS9000";#N/A,#N/A,FALSE,"Initial APQP Timing"}</definedName>
    <definedName name="Test_Area">#REF!</definedName>
    <definedName name="Test_Engineer">#REF!</definedName>
    <definedName name="Test_Level">#REF!</definedName>
    <definedName name="Test_Reason">#REF!</definedName>
    <definedName name="test1" hidden="1">{#N/A,#N/A,FALSE,"QS9000";#N/A,#N/A,FALSE,"Initial APQP Timing"}</definedName>
    <definedName name="test2" hidden="1">{#N/A,#N/A,FALSE,"QS9000";#N/A,#N/A,FALSE,"Initial APQP Timing"}</definedName>
    <definedName name="test3" hidden="1">{#N/A,#N/A,FALSE,"QS9000";#N/A,#N/A,FALSE,"Initial APQP Timing"}</definedName>
    <definedName name="test5" hidden="1">{#N/A,#N/A,FALSE,"QS9000";#N/A,#N/A,FALSE,"Initial APQP Timing"}</definedName>
    <definedName name="tests">#REF!</definedName>
    <definedName name="TGW_Category">'[35]LTIS GQRS'!$C$3:$E$271</definedName>
    <definedName name="Time">[15]Header!$H$8</definedName>
    <definedName name="Tool_1">'[27]Input Sheet'!#REF!</definedName>
    <definedName name="tooling" hidden="1">#REF!</definedName>
    <definedName name="Total_Elements">[27]Analysis!#REF!</definedName>
    <definedName name="Total_Parts">'[27]Input Sheet'!#REF!</definedName>
    <definedName name="total_samples">#REF!</definedName>
    <definedName name="TotalVol">#REF!</definedName>
    <definedName name="TransWE">[15]Header!$H$1</definedName>
    <definedName name="tt" hidden="1">{#N/A,#N/A,FALSE,"QS9000";#N/A,#N/A,FALSE,"Initial APQP Timing"}</definedName>
    <definedName name="txtChargeTel">[36]設計通知!#REF!</definedName>
    <definedName name="txtSameProtoNo">[36]設計通知!#REF!</definedName>
    <definedName name="VAVE">#REF!</definedName>
    <definedName name="VLBW_Ch">[15]Header!$H$13</definedName>
    <definedName name="VolTable">#REF!</definedName>
    <definedName name="Volume">#REF!</definedName>
    <definedName name="Volume2">#REF!</definedName>
    <definedName name="Volume3">#REF!</definedName>
    <definedName name="WACC_Table">#REF!</definedName>
    <definedName name="WAVE1_TGW">#REF!</definedName>
    <definedName name="Wrk_Move_Ch">[15]Header!$H$12</definedName>
    <definedName name="wrn.AAQ." hidden="1">{#N/A,#N/A,TRUE,"AAQ Page 1";#N/A,#N/A,TRUE,"AAQ Page 2";#N/A,#N/A,TRUE,"Incremental";#N/A,#N/A,TRUE,"Absorption";#N/A,#N/A,TRUE,"IRR Incremental";#N/A,#N/A,TRUE,"IRR Absorption";#N/A,#N/A,TRUE,"Assumptions";#N/A,#N/A,TRUE,"Land &amp; Buildings";#N/A,#N/A,TRUE,"Office Equipment";#N/A,#N/A,TRUE,"Plant &amp; Machinery";#N/A,#N/A,TRUE,"Tooling Requirements";#N/A,#N/A,TRUE,"Design and Engineering";#N/A,#N/A,TRUE,"Development";#N/A,#N/A,TRUE,"Training";#N/A,#N/A,TRUE,"Scrap &amp; Waste";#N/A,#N/A,TRUE,"Volumes 1";#N/A,#N/A,TRUE,"Volumes 2";#N/A,#N/A,TRUE,"Volumes 3";#N/A,#N/A,TRUE,"Volumes 4";#N/A,#N/A,TRUE,"Volumes 5";#N/A,#N/A,TRUE,"Car Set Economics 1";#N/A,#N/A,TRUE,"Car Set Economics 2";#N/A,#N/A,TRUE,"Car Set Economics 3";#N/A,#N/A,TRUE,"Car Set Economics 4";#N/A,#N/A,TRUE,"Car Set Economics 5"}</definedName>
    <definedName name="wrn.Brief." hidden="1">{#N/A,#N/A,TRUE,"Summary";#N/A,#N/A,TRUE,"Balance Sheet";#N/A,#N/A,TRUE,"P &amp; L";#N/A,#N/A,TRUE,"Fixed Assets";#N/A,#N/A,TRUE,"Cash Flows"}</definedName>
    <definedName name="wrn.Elaborate." hidden="1">{#N/A,#N/A,FALSE,"Cash Flows";#N/A,#N/A,FALSE,"Fixed Assets";#N/A,#N/A,FALSE,"Balance Sheet";#N/A,#N/A,FALSE,"P &amp; L"}</definedName>
    <definedName name="wrn.QRAM._.Status._.RYG." hidden="1">{#N/A,#N/A,FALSE,"QS9000";#N/A,#N/A,FALSE,"Initial APQP Timing"}</definedName>
    <definedName name="wrn.qram1_.ststus._.rvg" hidden="1">{#N/A,#N/A,FALSE,"QS9000";#N/A,#N/A,FALSE,"Initial APQP Timing"}</definedName>
    <definedName name="wrn.Volumes." hidden="1">{#N/A,#N/A,TRUE,"Volumes"}</definedName>
    <definedName name="wrn1.brief" hidden="1">{#N/A,#N/A,TRUE,"Summary";#N/A,#N/A,TRUE,"Balance Sheet";#N/A,#N/A,TRUE,"P &amp; L";#N/A,#N/A,TRUE,"Fixed Assets";#N/A,#N/A,TRUE,"Cash Flows"}</definedName>
    <definedName name="wrn1.elaborate" hidden="1">{#N/A,#N/A,FALSE,"Cash Flows";#N/A,#N/A,FALSE,"Fixed Assets";#N/A,#N/A,FALSE,"Balance Sheet";#N/A,#N/A,FALSE,"P &amp; L"}</definedName>
    <definedName name="XPT01">[37]XPT01!$A$1:$AC$365</definedName>
    <definedName name="XPT02">[37]XPT02!$A$1:$AB$851</definedName>
    <definedName name="XPT04">[37]XPT04!$A$1:$AE$1276</definedName>
    <definedName name="XPT05">[37]XPT05!$A$1:$D$2</definedName>
    <definedName name="XPT06">[37]XPT06!$A$1:$N$21</definedName>
    <definedName name="XPT09">[37]XPT09!$A$1:$P$2</definedName>
    <definedName name="XPT10">[37]XPT10!$A$1:$D$21</definedName>
    <definedName name="XPT11">[37]XPT11!$A$1:$I$2</definedName>
    <definedName name="XPT12">[37]XPT12!$A$1:$N$23</definedName>
    <definedName name="XPT13">[37]XPT13!$A$1:$N$22</definedName>
    <definedName name="XPT14">[37]XPT14!$A$1:$E$23</definedName>
    <definedName name="XPT15">[37]XPT15!$A$1:$E$26</definedName>
    <definedName name="ZÄHLER">#REF!</definedName>
    <definedName name="ZF">#REF!</definedName>
    <definedName name="あて先">#REF!</definedName>
    <definedName name="ﾃｸﾀｽｸ">#REF!</definedName>
    <definedName name="ﾊﾟｲﾌﾟ">[7]ﾊﾟｲﾌﾟ!$A$1:$B$65536</definedName>
    <definedName name="ﾒﾆｭｰ">[1]SCH!$EW$1:$IV$65536</definedName>
    <definedName name="一般">[38]材料使用量原紙!$B$2:$V$53</definedName>
    <definedName name="他材料費">[7]他材料費!$A$1:$B$65536</definedName>
    <definedName name="冷延ﾊﾟｲﾌﾟ">[7]ﾊﾟｲﾌﾟ!$A$1:$B$65536</definedName>
    <definedName name="冷延ﾊﾟｲﾌﾟJX">'[7]ﾊﾟｲﾌﾟ|_x0013_?_x0013_?'!$A$1:$B$65536</definedName>
    <definedName name="冷延ﾊﾟｲﾌﾟ径ｴｷｽﾄﾗ">[7]ﾊﾟｲﾌﾟ!$H$1:$I$65536</definedName>
    <definedName name="冷延ﾊﾟｲﾌﾟ板厚ｴｷｽﾄﾗ">[7]ﾊﾟｲﾌﾟ!$C$1:$G$65536</definedName>
    <definedName name="冷延板厚ｴｷｽﾄﾗ">[7]冷延鋼板!$C$1:$G$65536</definedName>
    <definedName name="冷延板厚ｴｷｽﾄﾗｴｷｽﾄ">'[7]冷延鋼板 EAT_0410'!$C$1:$G$65536</definedName>
    <definedName name="冷延鋼板">[7]冷延鋼板!$A$1:$B$65536</definedName>
    <definedName name="冷延鋼板ｲﾌﾟ板">'[7]冷延鋼板 EAT_0410'!$A$1:$B$65536</definedName>
    <definedName name="原低計画集計">#REF!</definedName>
    <definedName name="売上計画集計">#REF!</definedName>
    <definedName name="布地ｶﾊﾞｰ配分計算" hidden="1">'[39]N719(NC)'!$D$4:$G$4</definedName>
    <definedName name="布地配分計算表" hidden="1">'[4]N719(NC)'!$D$16:$G$16</definedName>
    <definedName name="改訂表２" hidden="1">'[4]N719(NC)'!$D$19:$G$19</definedName>
    <definedName name="本革">[40]材料使用量原紙!$B$2:$V$53</definedName>
    <definedName name="欧州">[41]材料使用量原紙!$B$2:$V$53</definedName>
    <definedName name="熱延鋼板">[7]熱延鋼板!$A$1:$B$65536</definedName>
    <definedName name="資産種類">[42]資産種類DD_List!$A$2:$A$10</definedName>
    <definedName name="輸出">[38]材料使用量原紙!$B$2:$V$53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" i="49" l="1"/>
  <c r="V54" i="49" l="1"/>
  <c r="V53" i="49"/>
  <c r="V52" i="49"/>
  <c r="T54" i="49"/>
  <c r="T53" i="49"/>
  <c r="T52" i="49"/>
  <c r="R54" i="49"/>
  <c r="R53" i="49"/>
  <c r="R52" i="49"/>
  <c r="R55" i="49" s="1"/>
  <c r="V49" i="49"/>
  <c r="V48" i="49"/>
  <c r="V47" i="49"/>
  <c r="V46" i="49"/>
  <c r="V45" i="49"/>
  <c r="V44" i="49"/>
  <c r="V43" i="49"/>
  <c r="V42" i="49"/>
  <c r="V41" i="49"/>
  <c r="V40" i="49"/>
  <c r="T49" i="49"/>
  <c r="T48" i="49"/>
  <c r="T47" i="49"/>
  <c r="T46" i="49"/>
  <c r="T45" i="49"/>
  <c r="T44" i="49"/>
  <c r="T43" i="49"/>
  <c r="T42" i="49"/>
  <c r="T41" i="49"/>
  <c r="T50" i="49" s="1"/>
  <c r="T40" i="49"/>
  <c r="R49" i="49"/>
  <c r="R48" i="49"/>
  <c r="R47" i="49"/>
  <c r="R46" i="49"/>
  <c r="R45" i="49"/>
  <c r="R44" i="49"/>
  <c r="R43" i="49"/>
  <c r="R42" i="49"/>
  <c r="R41" i="49"/>
  <c r="R40" i="49"/>
  <c r="V37" i="49"/>
  <c r="V36" i="49"/>
  <c r="V35" i="49"/>
  <c r="V34" i="49"/>
  <c r="V33" i="49"/>
  <c r="V32" i="49"/>
  <c r="V31" i="49"/>
  <c r="T37" i="49"/>
  <c r="T36" i="49"/>
  <c r="T35" i="49"/>
  <c r="T34" i="49"/>
  <c r="T33" i="49"/>
  <c r="T32" i="49"/>
  <c r="T38" i="49" s="1"/>
  <c r="T31" i="49"/>
  <c r="R37" i="49"/>
  <c r="R36" i="49"/>
  <c r="R35" i="49"/>
  <c r="R34" i="49"/>
  <c r="R33" i="49"/>
  <c r="R32" i="49"/>
  <c r="R31" i="49"/>
  <c r="V28" i="49"/>
  <c r="V27" i="49"/>
  <c r="V26" i="49"/>
  <c r="V25" i="49"/>
  <c r="V24" i="49"/>
  <c r="V23" i="49"/>
  <c r="V22" i="49"/>
  <c r="V21" i="49"/>
  <c r="V20" i="49"/>
  <c r="V19" i="49"/>
  <c r="V18" i="49"/>
  <c r="V17" i="49"/>
  <c r="V16" i="49"/>
  <c r="V15" i="49"/>
  <c r="V14" i="49"/>
  <c r="V13" i="49"/>
  <c r="V12" i="49"/>
  <c r="V11" i="49"/>
  <c r="T28" i="49"/>
  <c r="T27" i="49"/>
  <c r="T26" i="49"/>
  <c r="T25" i="49"/>
  <c r="T24" i="49"/>
  <c r="T23" i="49"/>
  <c r="T22" i="49"/>
  <c r="T21" i="49"/>
  <c r="T20" i="49"/>
  <c r="T19" i="49"/>
  <c r="T18" i="49"/>
  <c r="T17" i="49"/>
  <c r="T16" i="49"/>
  <c r="T15" i="49"/>
  <c r="T14" i="49"/>
  <c r="T13" i="49"/>
  <c r="T12" i="49"/>
  <c r="T11" i="49"/>
  <c r="R28" i="49"/>
  <c r="R27" i="49"/>
  <c r="R26" i="49"/>
  <c r="R25" i="49"/>
  <c r="R24" i="49"/>
  <c r="R23" i="49"/>
  <c r="R22" i="49"/>
  <c r="R21" i="49"/>
  <c r="R20" i="49"/>
  <c r="R19" i="49"/>
  <c r="R18" i="49"/>
  <c r="R17" i="49"/>
  <c r="R16" i="49"/>
  <c r="R15" i="49"/>
  <c r="R14" i="49"/>
  <c r="R13" i="49"/>
  <c r="R12" i="49"/>
  <c r="R11" i="49"/>
  <c r="V8" i="49"/>
  <c r="V7" i="49"/>
  <c r="V6" i="49"/>
  <c r="V5" i="49"/>
  <c r="T8" i="49"/>
  <c r="T7" i="49"/>
  <c r="T6" i="49"/>
  <c r="T9" i="49" s="1"/>
  <c r="T5" i="49"/>
  <c r="R8" i="49"/>
  <c r="R7" i="49"/>
  <c r="R9" i="49" s="1"/>
  <c r="R6" i="49"/>
  <c r="R5" i="49"/>
  <c r="D54" i="49"/>
  <c r="V55" i="49" l="1"/>
  <c r="T29" i="49"/>
  <c r="R50" i="49"/>
  <c r="V29" i="49"/>
  <c r="R38" i="49"/>
  <c r="V38" i="49"/>
  <c r="T55" i="49"/>
  <c r="T3" i="49" s="1"/>
  <c r="V9" i="49"/>
  <c r="V50" i="49"/>
  <c r="R29" i="49"/>
  <c r="R3" i="49" s="1"/>
  <c r="V3" i="49" l="1"/>
  <c r="F55" i="49"/>
  <c r="G55" i="49"/>
  <c r="H55" i="49"/>
  <c r="I55" i="49"/>
  <c r="I50" i="49"/>
  <c r="I38" i="49"/>
  <c r="I29" i="49"/>
  <c r="F9" i="49"/>
  <c r="G9" i="49"/>
  <c r="H9" i="49"/>
  <c r="I9" i="49"/>
  <c r="H50" i="49"/>
  <c r="G50" i="49"/>
  <c r="F50" i="49"/>
  <c r="F16" i="51"/>
  <c r="G16" i="51"/>
  <c r="E16" i="51"/>
  <c r="G47" i="51"/>
  <c r="O50" i="49"/>
  <c r="M50" i="49"/>
  <c r="K50" i="49"/>
  <c r="J50" i="49"/>
  <c r="L9" i="49"/>
  <c r="N9" i="49"/>
  <c r="K9" i="49"/>
  <c r="M9" i="49"/>
  <c r="O9" i="49"/>
  <c r="M29" i="49"/>
  <c r="O29" i="49"/>
  <c r="K29" i="49"/>
  <c r="N29" i="49"/>
  <c r="L29" i="49"/>
  <c r="J9" i="49"/>
  <c r="K38" i="49"/>
  <c r="M38" i="49"/>
  <c r="O38" i="49"/>
  <c r="K55" i="49"/>
  <c r="O55" i="49"/>
  <c r="M55" i="49"/>
  <c r="O3" i="49" l="1"/>
  <c r="M3" i="49"/>
  <c r="K3" i="49"/>
  <c r="G38" i="49"/>
  <c r="G29" i="49"/>
  <c r="H29" i="49"/>
  <c r="H38" i="49"/>
  <c r="F38" i="49"/>
  <c r="P4" i="50"/>
  <c r="Q4" i="50"/>
  <c r="R4" i="50"/>
  <c r="P5" i="50"/>
  <c r="Q5" i="50"/>
  <c r="R5" i="50"/>
  <c r="P6" i="50"/>
  <c r="Q6" i="50"/>
  <c r="R6" i="50"/>
  <c r="P7" i="50"/>
  <c r="Q7" i="50"/>
  <c r="R7" i="50"/>
  <c r="P8" i="50"/>
  <c r="Q8" i="50"/>
  <c r="R8" i="50"/>
  <c r="P9" i="50"/>
  <c r="Q9" i="50"/>
  <c r="R9" i="50"/>
  <c r="P10" i="50"/>
  <c r="Q10" i="50"/>
  <c r="R10" i="50"/>
  <c r="P11" i="50"/>
  <c r="Q11" i="50"/>
  <c r="R11" i="50"/>
  <c r="P12" i="50"/>
  <c r="Q12" i="50"/>
  <c r="R12" i="50"/>
  <c r="P13" i="50"/>
  <c r="Q13" i="50"/>
  <c r="R13" i="50"/>
  <c r="P14" i="50"/>
  <c r="Q14" i="50"/>
  <c r="R14" i="50"/>
  <c r="P15" i="50"/>
  <c r="Q15" i="50"/>
  <c r="R15" i="50"/>
  <c r="P16" i="50"/>
  <c r="Q16" i="50"/>
  <c r="R16" i="50"/>
  <c r="P17" i="50"/>
  <c r="Q17" i="50"/>
  <c r="R17" i="50"/>
  <c r="P18" i="50"/>
  <c r="Q18" i="50"/>
  <c r="R18" i="50"/>
  <c r="P19" i="50"/>
  <c r="Q19" i="50"/>
  <c r="R19" i="50"/>
  <c r="P20" i="50"/>
  <c r="Q20" i="50"/>
  <c r="R20" i="50"/>
  <c r="P21" i="50"/>
  <c r="Q21" i="50"/>
  <c r="R21" i="50"/>
  <c r="P22" i="50"/>
  <c r="Q22" i="50"/>
  <c r="R22" i="50"/>
  <c r="P23" i="50"/>
  <c r="Q23" i="50"/>
  <c r="R23" i="50"/>
  <c r="P24" i="50"/>
  <c r="Q24" i="50"/>
  <c r="R24" i="50"/>
  <c r="P25" i="50"/>
  <c r="Q25" i="50"/>
  <c r="R25" i="50"/>
  <c r="P26" i="50"/>
  <c r="Q26" i="50"/>
  <c r="R26" i="50"/>
  <c r="P27" i="50"/>
  <c r="Q27" i="50"/>
  <c r="R27" i="50"/>
  <c r="P28" i="50"/>
  <c r="Q28" i="50"/>
  <c r="R28" i="50"/>
  <c r="P29" i="50"/>
  <c r="Q29" i="50"/>
  <c r="R29" i="50"/>
  <c r="P30" i="50"/>
  <c r="Q30" i="50"/>
  <c r="R30" i="50"/>
  <c r="P31" i="50"/>
  <c r="Q31" i="50"/>
  <c r="R31" i="50"/>
  <c r="P32" i="50"/>
  <c r="Q32" i="50"/>
  <c r="R32" i="50"/>
  <c r="P33" i="50"/>
  <c r="Q33" i="50"/>
  <c r="R33" i="50"/>
  <c r="P34" i="50"/>
  <c r="Q34" i="50"/>
  <c r="R34" i="50"/>
  <c r="P35" i="50"/>
  <c r="Q35" i="50"/>
  <c r="R35" i="50"/>
  <c r="P36" i="50"/>
  <c r="Q36" i="50"/>
  <c r="R36" i="50"/>
  <c r="P37" i="50"/>
  <c r="Q37" i="50"/>
  <c r="R37" i="50"/>
  <c r="P38" i="50"/>
  <c r="Q38" i="50"/>
  <c r="R38" i="50"/>
  <c r="P39" i="50"/>
  <c r="Q39" i="50"/>
  <c r="R39" i="50"/>
  <c r="P40" i="50"/>
  <c r="Q40" i="50"/>
  <c r="R40" i="50"/>
  <c r="P41" i="50"/>
  <c r="Q41" i="50"/>
  <c r="R41" i="50"/>
  <c r="P42" i="50"/>
  <c r="Q42" i="50"/>
  <c r="R42" i="50"/>
  <c r="P43" i="50"/>
  <c r="Q43" i="50"/>
  <c r="R43" i="50"/>
  <c r="P44" i="50"/>
  <c r="Q44" i="50"/>
  <c r="R44" i="50"/>
  <c r="P45" i="50"/>
  <c r="Q45" i="50"/>
  <c r="R45" i="50"/>
  <c r="P46" i="50"/>
  <c r="Q46" i="50"/>
  <c r="R46" i="50"/>
  <c r="P47" i="50"/>
  <c r="Q47" i="50"/>
  <c r="R47" i="50"/>
  <c r="P48" i="50"/>
  <c r="Q48" i="50"/>
  <c r="R48" i="50"/>
  <c r="P49" i="50"/>
  <c r="Q49" i="50"/>
  <c r="R49" i="50"/>
  <c r="P50" i="50"/>
  <c r="Q50" i="50"/>
  <c r="R50" i="50"/>
  <c r="P51" i="50"/>
  <c r="Q51" i="50"/>
  <c r="R51" i="50"/>
  <c r="P52" i="50"/>
  <c r="Q52" i="50"/>
  <c r="R52" i="50"/>
  <c r="P53" i="50"/>
  <c r="Q53" i="50"/>
  <c r="R53" i="50"/>
  <c r="P54" i="50"/>
  <c r="Q54" i="50"/>
  <c r="R54" i="50"/>
  <c r="P55" i="50"/>
  <c r="Q55" i="50"/>
  <c r="R55" i="50"/>
  <c r="P56" i="50"/>
  <c r="Q56" i="50"/>
  <c r="R56" i="50"/>
  <c r="P57" i="50"/>
  <c r="Q57" i="50"/>
  <c r="R57" i="50"/>
  <c r="P58" i="50"/>
  <c r="Q58" i="50"/>
  <c r="R58" i="50"/>
  <c r="P59" i="50"/>
  <c r="Q59" i="50"/>
  <c r="R59" i="50"/>
  <c r="P60" i="50"/>
  <c r="Q60" i="50"/>
  <c r="R60" i="50"/>
  <c r="P61" i="50"/>
  <c r="Q61" i="50"/>
  <c r="R61" i="50"/>
  <c r="P62" i="50"/>
  <c r="Q62" i="50"/>
  <c r="R62" i="50"/>
  <c r="P63" i="50"/>
  <c r="Q63" i="50"/>
  <c r="R63" i="50"/>
  <c r="P64" i="50"/>
  <c r="Q64" i="50"/>
  <c r="R64" i="50"/>
  <c r="P65" i="50"/>
  <c r="Q65" i="50"/>
  <c r="R65" i="50"/>
  <c r="P66" i="50"/>
  <c r="Q66" i="50"/>
  <c r="R66" i="50"/>
  <c r="P67" i="50"/>
  <c r="Q67" i="50"/>
  <c r="R67" i="50"/>
  <c r="P68" i="50"/>
  <c r="Q68" i="50"/>
  <c r="R68" i="50"/>
  <c r="P69" i="50"/>
  <c r="Q69" i="50"/>
  <c r="R69" i="50"/>
  <c r="P70" i="50"/>
  <c r="Q70" i="50"/>
  <c r="R70" i="50"/>
  <c r="P71" i="50"/>
  <c r="Q71" i="50"/>
  <c r="R71" i="50"/>
  <c r="P72" i="50"/>
  <c r="Q72" i="50"/>
  <c r="R72" i="50"/>
  <c r="P73" i="50"/>
  <c r="Q73" i="50"/>
  <c r="R73" i="50"/>
  <c r="P74" i="50"/>
  <c r="Q74" i="50"/>
  <c r="R74" i="50"/>
  <c r="P75" i="50"/>
  <c r="Q75" i="50"/>
  <c r="R75" i="50"/>
  <c r="P76" i="50"/>
  <c r="Q76" i="50"/>
  <c r="R76" i="50"/>
  <c r="P77" i="50"/>
  <c r="Q77" i="50"/>
  <c r="R77" i="50"/>
  <c r="P78" i="50"/>
  <c r="Q78" i="50"/>
  <c r="R78" i="50"/>
  <c r="P79" i="50"/>
  <c r="Q79" i="50"/>
  <c r="R79" i="50"/>
  <c r="P80" i="50"/>
  <c r="Q80" i="50"/>
  <c r="R80" i="50"/>
  <c r="P81" i="50"/>
  <c r="Q81" i="50"/>
  <c r="R81" i="50"/>
  <c r="P82" i="50"/>
  <c r="Q82" i="50"/>
  <c r="R82" i="50"/>
  <c r="P83" i="50"/>
  <c r="Q83" i="50"/>
  <c r="R83" i="50"/>
  <c r="P84" i="50"/>
  <c r="Q84" i="50"/>
  <c r="R84" i="50"/>
  <c r="P85" i="50"/>
  <c r="Q85" i="50"/>
  <c r="R85" i="50"/>
  <c r="P86" i="50"/>
  <c r="Q86" i="50"/>
  <c r="R86" i="50"/>
  <c r="P87" i="50"/>
  <c r="Q87" i="50"/>
  <c r="R87" i="50"/>
  <c r="P88" i="50"/>
  <c r="Q88" i="50"/>
  <c r="R88" i="50"/>
  <c r="P89" i="50"/>
  <c r="Q89" i="50"/>
  <c r="R89" i="50"/>
  <c r="P90" i="50"/>
  <c r="Q90" i="50"/>
  <c r="R90" i="50"/>
  <c r="P91" i="50"/>
  <c r="Q91" i="50"/>
  <c r="R91" i="50"/>
  <c r="P92" i="50"/>
  <c r="Q92" i="50"/>
  <c r="R92" i="50"/>
  <c r="P93" i="50"/>
  <c r="Q93" i="50"/>
  <c r="R93" i="50"/>
  <c r="P94" i="50"/>
  <c r="Q94" i="50"/>
  <c r="R94" i="50"/>
  <c r="P95" i="50"/>
  <c r="Q95" i="50"/>
  <c r="R95" i="50"/>
  <c r="P96" i="50"/>
  <c r="Q96" i="50"/>
  <c r="R96" i="50"/>
  <c r="P97" i="50"/>
  <c r="Q97" i="50"/>
  <c r="R97" i="50"/>
  <c r="P98" i="50"/>
  <c r="Q98" i="50"/>
  <c r="R98" i="50"/>
  <c r="P99" i="50"/>
  <c r="Q99" i="50"/>
  <c r="R99" i="50"/>
  <c r="P100" i="50"/>
  <c r="Q100" i="50"/>
  <c r="R100" i="50"/>
  <c r="P101" i="50"/>
  <c r="Q101" i="50"/>
  <c r="R101" i="50"/>
  <c r="P102" i="50"/>
  <c r="Q102" i="50"/>
  <c r="R102" i="50"/>
  <c r="P103" i="50"/>
  <c r="Q103" i="50"/>
  <c r="R103" i="50"/>
  <c r="P104" i="50"/>
  <c r="Q104" i="50"/>
  <c r="R104" i="50"/>
  <c r="P105" i="50"/>
  <c r="Q105" i="50"/>
  <c r="R105" i="50"/>
  <c r="P106" i="50"/>
  <c r="Q106" i="50"/>
  <c r="R106" i="50"/>
  <c r="P107" i="50"/>
  <c r="Q107" i="50"/>
  <c r="R107" i="50"/>
  <c r="P108" i="50"/>
  <c r="Q108" i="50"/>
  <c r="R108" i="50"/>
  <c r="P109" i="50"/>
  <c r="Q109" i="50"/>
  <c r="R109" i="50"/>
  <c r="P110" i="50"/>
  <c r="Q110" i="50"/>
  <c r="R110" i="50"/>
  <c r="P111" i="50"/>
  <c r="Q111" i="50"/>
  <c r="R111" i="50"/>
  <c r="P112" i="50"/>
  <c r="Q112" i="50"/>
  <c r="R112" i="50"/>
  <c r="P113" i="50"/>
  <c r="Q113" i="50"/>
  <c r="R113" i="50"/>
  <c r="P114" i="50"/>
  <c r="Q114" i="50"/>
  <c r="R114" i="50"/>
  <c r="P115" i="50"/>
  <c r="Q115" i="50"/>
  <c r="R115" i="50"/>
  <c r="P116" i="50"/>
  <c r="Q116" i="50"/>
  <c r="R116" i="50"/>
  <c r="P117" i="50"/>
  <c r="Q117" i="50"/>
  <c r="R117" i="50"/>
  <c r="P118" i="50"/>
  <c r="Q118" i="50"/>
  <c r="R118" i="50"/>
  <c r="P119" i="50"/>
  <c r="Q119" i="50"/>
  <c r="R119" i="50"/>
  <c r="P120" i="50"/>
  <c r="Q120" i="50"/>
  <c r="R120" i="50"/>
  <c r="P121" i="50"/>
  <c r="Q121" i="50"/>
  <c r="R121" i="50"/>
  <c r="P122" i="50"/>
  <c r="Q122" i="50"/>
  <c r="R122" i="50"/>
  <c r="P123" i="50"/>
  <c r="Q123" i="50"/>
  <c r="R123" i="50"/>
  <c r="P124" i="50"/>
  <c r="Q124" i="50"/>
  <c r="R124" i="50"/>
  <c r="P125" i="50"/>
  <c r="Q125" i="50"/>
  <c r="R125" i="50"/>
  <c r="P126" i="50"/>
  <c r="Q126" i="50"/>
  <c r="R126" i="50"/>
  <c r="P127" i="50"/>
  <c r="Q127" i="50"/>
  <c r="R127" i="50"/>
  <c r="P128" i="50"/>
  <c r="Q128" i="50"/>
  <c r="R128" i="50"/>
  <c r="P129" i="50"/>
  <c r="Q129" i="50"/>
  <c r="R129" i="50"/>
  <c r="P130" i="50"/>
  <c r="Q130" i="50"/>
  <c r="R130" i="50"/>
  <c r="P131" i="50"/>
  <c r="Q131" i="50"/>
  <c r="R131" i="50"/>
  <c r="P132" i="50"/>
  <c r="Q132" i="50"/>
  <c r="R132" i="50"/>
  <c r="P133" i="50"/>
  <c r="Q133" i="50"/>
  <c r="R133" i="50"/>
  <c r="P134" i="50"/>
  <c r="Q134" i="50"/>
  <c r="R134" i="50"/>
  <c r="P135" i="50"/>
  <c r="Q135" i="50"/>
  <c r="R135" i="50"/>
  <c r="P136" i="50"/>
  <c r="Q136" i="50"/>
  <c r="R136" i="50"/>
  <c r="P137" i="50"/>
  <c r="Q137" i="50"/>
  <c r="R137" i="50"/>
  <c r="P138" i="50"/>
  <c r="Q138" i="50"/>
  <c r="R138" i="50"/>
  <c r="P139" i="50"/>
  <c r="Q139" i="50"/>
  <c r="R139" i="50"/>
  <c r="P140" i="50"/>
  <c r="Q140" i="50"/>
  <c r="R140" i="50"/>
  <c r="P141" i="50"/>
  <c r="Q141" i="50"/>
  <c r="R141" i="50"/>
  <c r="P142" i="50"/>
  <c r="Q142" i="50"/>
  <c r="R142" i="50"/>
  <c r="P143" i="50"/>
  <c r="Q143" i="50"/>
  <c r="R143" i="50"/>
  <c r="P144" i="50"/>
  <c r="Q144" i="50"/>
  <c r="R144" i="50"/>
  <c r="P145" i="50"/>
  <c r="Q145" i="50"/>
  <c r="R145" i="50"/>
  <c r="P146" i="50"/>
  <c r="Q146" i="50"/>
  <c r="R146" i="50"/>
  <c r="P147" i="50"/>
  <c r="Q147" i="50"/>
  <c r="R147" i="50"/>
  <c r="P148" i="50"/>
  <c r="Q148" i="50"/>
  <c r="R148" i="50"/>
  <c r="P149" i="50"/>
  <c r="Q149" i="50"/>
  <c r="R149" i="50"/>
  <c r="P150" i="50"/>
  <c r="Q150" i="50"/>
  <c r="R150" i="50"/>
  <c r="P151" i="50"/>
  <c r="Q151" i="50"/>
  <c r="R151" i="50"/>
  <c r="P152" i="50"/>
  <c r="Q152" i="50"/>
  <c r="R152" i="50"/>
  <c r="P153" i="50"/>
  <c r="Q153" i="50"/>
  <c r="R153" i="50"/>
  <c r="P154" i="50"/>
  <c r="Q154" i="50"/>
  <c r="R154" i="50"/>
  <c r="P155" i="50"/>
  <c r="Q155" i="50"/>
  <c r="R155" i="50"/>
  <c r="P156" i="50"/>
  <c r="Q156" i="50"/>
  <c r="R156" i="50"/>
  <c r="P157" i="50"/>
  <c r="Q157" i="50"/>
  <c r="R157" i="50"/>
  <c r="P158" i="50"/>
  <c r="Q158" i="50"/>
  <c r="R158" i="50"/>
  <c r="P159" i="50"/>
  <c r="Q159" i="50"/>
  <c r="R159" i="50"/>
  <c r="P160" i="50"/>
  <c r="Q160" i="50"/>
  <c r="R160" i="50"/>
  <c r="P161" i="50"/>
  <c r="Q161" i="50"/>
  <c r="R161" i="50"/>
  <c r="P162" i="50"/>
  <c r="Q162" i="50"/>
  <c r="R162" i="50"/>
  <c r="P163" i="50"/>
  <c r="Q163" i="50"/>
  <c r="R163" i="50"/>
  <c r="P164" i="50"/>
  <c r="Q164" i="50"/>
  <c r="R164" i="50"/>
  <c r="P165" i="50"/>
  <c r="Q165" i="50"/>
  <c r="R165" i="50"/>
  <c r="P166" i="50"/>
  <c r="Q166" i="50"/>
  <c r="R166" i="50"/>
  <c r="P167" i="50"/>
  <c r="Q167" i="50"/>
  <c r="R167" i="50"/>
  <c r="P168" i="50"/>
  <c r="Q168" i="50"/>
  <c r="R168" i="50"/>
  <c r="P169" i="50"/>
  <c r="Q169" i="50"/>
  <c r="R169" i="50"/>
  <c r="P170" i="50"/>
  <c r="Q170" i="50"/>
  <c r="R170" i="50"/>
  <c r="P171" i="50"/>
  <c r="Q171" i="50"/>
  <c r="R171" i="50"/>
  <c r="P172" i="50"/>
  <c r="Q172" i="50"/>
  <c r="R172" i="50"/>
  <c r="P173" i="50"/>
  <c r="Q173" i="50"/>
  <c r="R173" i="50"/>
  <c r="P174" i="50"/>
  <c r="Q174" i="50"/>
  <c r="R174" i="50"/>
  <c r="P175" i="50"/>
  <c r="Q175" i="50"/>
  <c r="R175" i="50"/>
  <c r="P176" i="50"/>
  <c r="Q176" i="50"/>
  <c r="R176" i="50"/>
  <c r="P177" i="50"/>
  <c r="Q177" i="50"/>
  <c r="R177" i="50"/>
  <c r="P178" i="50"/>
  <c r="Q178" i="50"/>
  <c r="R178" i="50"/>
  <c r="P179" i="50"/>
  <c r="Q179" i="50"/>
  <c r="R179" i="50"/>
  <c r="P180" i="50"/>
  <c r="Q180" i="50"/>
  <c r="R180" i="50"/>
  <c r="P181" i="50"/>
  <c r="Q181" i="50"/>
  <c r="R181" i="50"/>
  <c r="P182" i="50"/>
  <c r="Q182" i="50"/>
  <c r="R182" i="50"/>
  <c r="P183" i="50"/>
  <c r="Q183" i="50"/>
  <c r="R183" i="50"/>
  <c r="P184" i="50"/>
  <c r="Q184" i="50"/>
  <c r="R184" i="50"/>
  <c r="P185" i="50"/>
  <c r="Q185" i="50"/>
  <c r="R185" i="50"/>
  <c r="P186" i="50"/>
  <c r="Q186" i="50"/>
  <c r="R186" i="50"/>
  <c r="P187" i="50"/>
  <c r="Q187" i="50"/>
  <c r="R187" i="50"/>
  <c r="P188" i="50"/>
  <c r="Q188" i="50"/>
  <c r="R188" i="50"/>
  <c r="P189" i="50"/>
  <c r="Q189" i="50"/>
  <c r="R189" i="50"/>
  <c r="P190" i="50"/>
  <c r="Q190" i="50"/>
  <c r="R190" i="50"/>
  <c r="P191" i="50"/>
  <c r="Q191" i="50"/>
  <c r="R191" i="50"/>
  <c r="P192" i="50"/>
  <c r="Q192" i="50"/>
  <c r="R192" i="50"/>
  <c r="P193" i="50"/>
  <c r="Q193" i="50"/>
  <c r="R193" i="50"/>
  <c r="P194" i="50"/>
  <c r="Q194" i="50"/>
  <c r="R194" i="50"/>
  <c r="P195" i="50"/>
  <c r="Q195" i="50"/>
  <c r="R195" i="50"/>
  <c r="P196" i="50"/>
  <c r="Q196" i="50"/>
  <c r="R196" i="50"/>
  <c r="P197" i="50"/>
  <c r="Q197" i="50"/>
  <c r="R197" i="50"/>
  <c r="P198" i="50"/>
  <c r="Q198" i="50"/>
  <c r="R198" i="50"/>
  <c r="P199" i="50"/>
  <c r="Q199" i="50"/>
  <c r="R199" i="50"/>
  <c r="P200" i="50"/>
  <c r="Q200" i="50"/>
  <c r="R200" i="50"/>
  <c r="P201" i="50"/>
  <c r="Q201" i="50"/>
  <c r="R201" i="50"/>
  <c r="P202" i="50"/>
  <c r="Q202" i="50"/>
  <c r="R202" i="50"/>
  <c r="P203" i="50"/>
  <c r="Q203" i="50"/>
  <c r="R203" i="50"/>
  <c r="P204" i="50"/>
  <c r="Q204" i="50"/>
  <c r="R204" i="50"/>
  <c r="P205" i="50"/>
  <c r="Q205" i="50"/>
  <c r="R205" i="50"/>
  <c r="P206" i="50"/>
  <c r="Q206" i="50"/>
  <c r="R206" i="50"/>
  <c r="P207" i="50"/>
  <c r="Q207" i="50"/>
  <c r="R207" i="50"/>
  <c r="P208" i="50"/>
  <c r="Q208" i="50"/>
  <c r="R208" i="50"/>
  <c r="P209" i="50"/>
  <c r="Q209" i="50"/>
  <c r="R209" i="50"/>
  <c r="P210" i="50"/>
  <c r="Q210" i="50"/>
  <c r="R210" i="50"/>
  <c r="P211" i="50"/>
  <c r="Q211" i="50"/>
  <c r="R211" i="50"/>
  <c r="P212" i="50"/>
  <c r="Q212" i="50"/>
  <c r="R212" i="50"/>
  <c r="P213" i="50"/>
  <c r="Q213" i="50"/>
  <c r="R213" i="50"/>
  <c r="P214" i="50"/>
  <c r="Q214" i="50"/>
  <c r="R214" i="50"/>
  <c r="P215" i="50"/>
  <c r="Q215" i="50"/>
  <c r="R215" i="50"/>
  <c r="P216" i="50"/>
  <c r="Q216" i="50"/>
  <c r="R216" i="50"/>
  <c r="P217" i="50"/>
  <c r="Q217" i="50"/>
  <c r="R217" i="50"/>
  <c r="P218" i="50"/>
  <c r="Q218" i="50"/>
  <c r="R218" i="50"/>
  <c r="P219" i="50"/>
  <c r="Q219" i="50"/>
  <c r="R219" i="50"/>
  <c r="P220" i="50"/>
  <c r="Q220" i="50"/>
  <c r="R220" i="50"/>
  <c r="P221" i="50"/>
  <c r="Q221" i="50"/>
  <c r="R221" i="50"/>
  <c r="P222" i="50"/>
  <c r="Q222" i="50"/>
  <c r="R222" i="50"/>
  <c r="P223" i="50"/>
  <c r="Q223" i="50"/>
  <c r="R223" i="50"/>
  <c r="P224" i="50"/>
  <c r="Q224" i="50"/>
  <c r="R224" i="50"/>
  <c r="P225" i="50"/>
  <c r="Q225" i="50"/>
  <c r="R225" i="50"/>
  <c r="P226" i="50"/>
  <c r="Q226" i="50"/>
  <c r="R226" i="50"/>
  <c r="P227" i="50"/>
  <c r="Q227" i="50"/>
  <c r="R227" i="50"/>
  <c r="P228" i="50"/>
  <c r="Q228" i="50"/>
  <c r="R228" i="50"/>
  <c r="P229" i="50"/>
  <c r="Q229" i="50"/>
  <c r="R229" i="50"/>
  <c r="P230" i="50"/>
  <c r="Q230" i="50"/>
  <c r="R230" i="50"/>
  <c r="P231" i="50"/>
  <c r="Q231" i="50"/>
  <c r="R231" i="50"/>
  <c r="P232" i="50"/>
  <c r="Q232" i="50"/>
  <c r="R232" i="50"/>
  <c r="P233" i="50"/>
  <c r="Q233" i="50"/>
  <c r="R233" i="50"/>
  <c r="P234" i="50"/>
  <c r="Q234" i="50"/>
  <c r="R234" i="50"/>
  <c r="P235" i="50"/>
  <c r="Q235" i="50"/>
  <c r="R235" i="50"/>
  <c r="P236" i="50"/>
  <c r="Q236" i="50"/>
  <c r="R236" i="50"/>
  <c r="Q3" i="50"/>
  <c r="R3" i="50"/>
  <c r="P3" i="50"/>
  <c r="Q5" i="49"/>
  <c r="N55" i="49"/>
  <c r="L55" i="49"/>
  <c r="J55" i="49"/>
  <c r="L50" i="49"/>
  <c r="L38" i="49"/>
  <c r="L3" i="49" s="1"/>
  <c r="N38" i="49"/>
  <c r="J38" i="49"/>
  <c r="U5" i="49"/>
  <c r="S5" i="49"/>
  <c r="Q7" i="49"/>
  <c r="S7" i="49"/>
  <c r="U7" i="49"/>
  <c r="Q8" i="49"/>
  <c r="S8" i="49"/>
  <c r="U8" i="49"/>
  <c r="Q11" i="49"/>
  <c r="S11" i="49"/>
  <c r="U11" i="49"/>
  <c r="Q12" i="49"/>
  <c r="S12" i="49"/>
  <c r="U12" i="49"/>
  <c r="Q13" i="49"/>
  <c r="S13" i="49"/>
  <c r="U13" i="49"/>
  <c r="Q14" i="49"/>
  <c r="S14" i="49"/>
  <c r="U14" i="49"/>
  <c r="Q15" i="49"/>
  <c r="S15" i="49"/>
  <c r="U15" i="49"/>
  <c r="Q16" i="49"/>
  <c r="S16" i="49"/>
  <c r="U16" i="49"/>
  <c r="Q17" i="49"/>
  <c r="S17" i="49"/>
  <c r="U17" i="49"/>
  <c r="Q18" i="49"/>
  <c r="S18" i="49"/>
  <c r="U18" i="49"/>
  <c r="Q19" i="49"/>
  <c r="S19" i="49"/>
  <c r="U19" i="49"/>
  <c r="Q20" i="49"/>
  <c r="S20" i="49"/>
  <c r="U20" i="49"/>
  <c r="Q21" i="49"/>
  <c r="S21" i="49"/>
  <c r="U21" i="49"/>
  <c r="Q22" i="49"/>
  <c r="S22" i="49"/>
  <c r="U22" i="49"/>
  <c r="Q23" i="49"/>
  <c r="S23" i="49"/>
  <c r="U23" i="49"/>
  <c r="Q24" i="49"/>
  <c r="S24" i="49"/>
  <c r="U24" i="49"/>
  <c r="S25" i="49"/>
  <c r="U25" i="49"/>
  <c r="Q26" i="49"/>
  <c r="S26" i="49"/>
  <c r="U26" i="49"/>
  <c r="Q27" i="49"/>
  <c r="S27" i="49"/>
  <c r="U27" i="49"/>
  <c r="Q28" i="49"/>
  <c r="S28" i="49"/>
  <c r="U28" i="49"/>
  <c r="Q31" i="49"/>
  <c r="S31" i="49"/>
  <c r="U31" i="49"/>
  <c r="Q32" i="49"/>
  <c r="S32" i="49"/>
  <c r="U32" i="49"/>
  <c r="Q33" i="49"/>
  <c r="S33" i="49"/>
  <c r="U33" i="49"/>
  <c r="Q34" i="49"/>
  <c r="S34" i="49"/>
  <c r="U34" i="49"/>
  <c r="Q35" i="49"/>
  <c r="S35" i="49"/>
  <c r="U35" i="49"/>
  <c r="Q36" i="49"/>
  <c r="S36" i="49"/>
  <c r="U36" i="49"/>
  <c r="Q37" i="49"/>
  <c r="S37" i="49"/>
  <c r="U37" i="49"/>
  <c r="Q40" i="49"/>
  <c r="S40" i="49"/>
  <c r="U40" i="49"/>
  <c r="Q41" i="49"/>
  <c r="S41" i="49"/>
  <c r="U41" i="49"/>
  <c r="Q42" i="49"/>
  <c r="S42" i="49"/>
  <c r="U42" i="49"/>
  <c r="Q43" i="49"/>
  <c r="S43" i="49"/>
  <c r="U43" i="49"/>
  <c r="Q44" i="49"/>
  <c r="S44" i="49"/>
  <c r="U44" i="49"/>
  <c r="Q45" i="49"/>
  <c r="S45" i="49"/>
  <c r="U45" i="49"/>
  <c r="Q46" i="49"/>
  <c r="S46" i="49"/>
  <c r="U46" i="49"/>
  <c r="Q47" i="49"/>
  <c r="S47" i="49"/>
  <c r="U47" i="49"/>
  <c r="Q48" i="49"/>
  <c r="S48" i="49"/>
  <c r="Q49" i="49"/>
  <c r="S49" i="49"/>
  <c r="Q52" i="49"/>
  <c r="S52" i="49"/>
  <c r="S55" i="49" s="1"/>
  <c r="U52" i="49"/>
  <c r="Q53" i="49"/>
  <c r="S53" i="49"/>
  <c r="U53" i="49"/>
  <c r="Q54" i="49"/>
  <c r="S54" i="49"/>
  <c r="U54" i="49"/>
  <c r="U6" i="49"/>
  <c r="S6" i="49"/>
  <c r="Q6" i="49"/>
  <c r="U48" i="49"/>
  <c r="J25" i="49"/>
  <c r="I2" i="42"/>
  <c r="G2" i="42"/>
  <c r="G3" i="42"/>
  <c r="F3" i="42"/>
  <c r="K2" i="42"/>
  <c r="K47" i="42"/>
  <c r="K46" i="42"/>
  <c r="I4" i="42"/>
  <c r="G4" i="42"/>
  <c r="S50" i="49" l="1"/>
  <c r="U38" i="49"/>
  <c r="S38" i="49"/>
  <c r="U29" i="49"/>
  <c r="M2" i="49"/>
  <c r="S29" i="49"/>
  <c r="S9" i="49"/>
  <c r="U55" i="49"/>
  <c r="U9" i="49"/>
  <c r="Q25" i="49"/>
  <c r="Q29" i="49" s="1"/>
  <c r="J29" i="49"/>
  <c r="J3" i="49" s="1"/>
  <c r="K2" i="49" s="1"/>
  <c r="Q50" i="49"/>
  <c r="N50" i="49"/>
  <c r="N3" i="49" s="1"/>
  <c r="O2" i="49" s="1"/>
  <c r="Q55" i="49"/>
  <c r="Q38" i="49"/>
  <c r="Q9" i="49"/>
  <c r="U49" i="49"/>
  <c r="U50" i="49" s="1"/>
  <c r="I5" i="42"/>
  <c r="K5" i="42"/>
  <c r="G27" i="42"/>
  <c r="G5" i="42" s="1"/>
  <c r="P5" i="48"/>
  <c r="Q5" i="48"/>
  <c r="R5" i="48"/>
  <c r="S5" i="48"/>
  <c r="T5" i="48"/>
  <c r="U5" i="48"/>
  <c r="P6" i="48"/>
  <c r="Q6" i="48"/>
  <c r="R6" i="48"/>
  <c r="S6" i="48"/>
  <c r="T6" i="48"/>
  <c r="U6" i="48"/>
  <c r="P7" i="48"/>
  <c r="Q7" i="48"/>
  <c r="R7" i="48"/>
  <c r="S7" i="48"/>
  <c r="T7" i="48"/>
  <c r="U7" i="48"/>
  <c r="P8" i="48"/>
  <c r="Q8" i="48"/>
  <c r="R8" i="48"/>
  <c r="S8" i="48"/>
  <c r="T8" i="48"/>
  <c r="U8" i="48"/>
  <c r="P9" i="48"/>
  <c r="Q9" i="48"/>
  <c r="R9" i="48"/>
  <c r="S9" i="48"/>
  <c r="T9" i="48"/>
  <c r="U9" i="48"/>
  <c r="P10" i="48"/>
  <c r="Q10" i="48"/>
  <c r="R10" i="48"/>
  <c r="S10" i="48"/>
  <c r="T10" i="48"/>
  <c r="U10" i="48"/>
  <c r="P11" i="48"/>
  <c r="Q11" i="48"/>
  <c r="R11" i="48"/>
  <c r="S11" i="48"/>
  <c r="T11" i="48"/>
  <c r="U11" i="48"/>
  <c r="P12" i="48"/>
  <c r="Q12" i="48"/>
  <c r="R12" i="48"/>
  <c r="S12" i="48"/>
  <c r="T12" i="48"/>
  <c r="U12" i="48"/>
  <c r="P13" i="48"/>
  <c r="Q13" i="48"/>
  <c r="R13" i="48"/>
  <c r="S13" i="48"/>
  <c r="T13" i="48"/>
  <c r="U13" i="48"/>
  <c r="P14" i="48"/>
  <c r="Q14" i="48"/>
  <c r="R14" i="48"/>
  <c r="S14" i="48"/>
  <c r="T14" i="48"/>
  <c r="U14" i="48"/>
  <c r="P15" i="48"/>
  <c r="Q15" i="48"/>
  <c r="R15" i="48"/>
  <c r="S15" i="48"/>
  <c r="T15" i="48"/>
  <c r="U15" i="48"/>
  <c r="P16" i="48"/>
  <c r="Q16" i="48"/>
  <c r="R16" i="48"/>
  <c r="S16" i="48"/>
  <c r="T16" i="48"/>
  <c r="U16" i="48"/>
  <c r="P17" i="48"/>
  <c r="Q17" i="48"/>
  <c r="R17" i="48"/>
  <c r="S17" i="48"/>
  <c r="T17" i="48"/>
  <c r="U17" i="48"/>
  <c r="P18" i="48"/>
  <c r="Q18" i="48"/>
  <c r="R18" i="48"/>
  <c r="S18" i="48"/>
  <c r="T18" i="48"/>
  <c r="U18" i="48"/>
  <c r="P19" i="48"/>
  <c r="Q19" i="48"/>
  <c r="R19" i="48"/>
  <c r="S19" i="48"/>
  <c r="T19" i="48"/>
  <c r="U19" i="48"/>
  <c r="P20" i="48"/>
  <c r="Q20" i="48"/>
  <c r="R20" i="48"/>
  <c r="S20" i="48"/>
  <c r="T20" i="48"/>
  <c r="U20" i="48"/>
  <c r="P21" i="48"/>
  <c r="Q21" i="48"/>
  <c r="R21" i="48"/>
  <c r="S21" i="48"/>
  <c r="T21" i="48"/>
  <c r="U21" i="48"/>
  <c r="P22" i="48"/>
  <c r="Q22" i="48"/>
  <c r="R22" i="48"/>
  <c r="S22" i="48"/>
  <c r="T22" i="48"/>
  <c r="U22" i="48"/>
  <c r="P23" i="48"/>
  <c r="Q23" i="48"/>
  <c r="R23" i="48"/>
  <c r="S23" i="48"/>
  <c r="T23" i="48"/>
  <c r="U23" i="48"/>
  <c r="P24" i="48"/>
  <c r="Q24" i="48"/>
  <c r="R24" i="48"/>
  <c r="S24" i="48"/>
  <c r="T24" i="48"/>
  <c r="U24" i="48"/>
  <c r="P25" i="48"/>
  <c r="Q25" i="48"/>
  <c r="R25" i="48"/>
  <c r="S25" i="48"/>
  <c r="T25" i="48"/>
  <c r="U25" i="48"/>
  <c r="P26" i="48"/>
  <c r="Q26" i="48"/>
  <c r="R26" i="48"/>
  <c r="S26" i="48"/>
  <c r="T26" i="48"/>
  <c r="U26" i="48"/>
  <c r="P27" i="48"/>
  <c r="Q27" i="48"/>
  <c r="R27" i="48"/>
  <c r="S27" i="48"/>
  <c r="T27" i="48"/>
  <c r="U27" i="48"/>
  <c r="P28" i="48"/>
  <c r="Q28" i="48"/>
  <c r="R28" i="48"/>
  <c r="S28" i="48"/>
  <c r="T28" i="48"/>
  <c r="U28" i="48"/>
  <c r="P29" i="48"/>
  <c r="Q29" i="48"/>
  <c r="R29" i="48"/>
  <c r="S29" i="48"/>
  <c r="T29" i="48"/>
  <c r="U29" i="48"/>
  <c r="P30" i="48"/>
  <c r="Q30" i="48"/>
  <c r="R30" i="48"/>
  <c r="S30" i="48"/>
  <c r="T30" i="48"/>
  <c r="U30" i="48"/>
  <c r="P31" i="48"/>
  <c r="Q31" i="48"/>
  <c r="R31" i="48"/>
  <c r="S31" i="48"/>
  <c r="T31" i="48"/>
  <c r="U31" i="48"/>
  <c r="P32" i="48"/>
  <c r="Q32" i="48"/>
  <c r="R32" i="48"/>
  <c r="S32" i="48"/>
  <c r="T32" i="48"/>
  <c r="U32" i="48"/>
  <c r="P33" i="48"/>
  <c r="Q33" i="48"/>
  <c r="R33" i="48"/>
  <c r="S33" i="48"/>
  <c r="T33" i="48"/>
  <c r="U33" i="48"/>
  <c r="P34" i="48"/>
  <c r="Q34" i="48"/>
  <c r="R34" i="48"/>
  <c r="S34" i="48"/>
  <c r="T34" i="48"/>
  <c r="U34" i="48"/>
  <c r="P35" i="48"/>
  <c r="Q35" i="48"/>
  <c r="R35" i="48"/>
  <c r="S35" i="48"/>
  <c r="T35" i="48"/>
  <c r="U35" i="48"/>
  <c r="P36" i="48"/>
  <c r="Q36" i="48"/>
  <c r="R36" i="48"/>
  <c r="S36" i="48"/>
  <c r="T36" i="48"/>
  <c r="U36" i="48"/>
  <c r="P37" i="48"/>
  <c r="Q37" i="48"/>
  <c r="R37" i="48"/>
  <c r="S37" i="48"/>
  <c r="T37" i="48"/>
  <c r="U37" i="48"/>
  <c r="P38" i="48"/>
  <c r="Q38" i="48"/>
  <c r="R38" i="48"/>
  <c r="S38" i="48"/>
  <c r="T38" i="48"/>
  <c r="U38" i="48"/>
  <c r="P39" i="48"/>
  <c r="Q39" i="48"/>
  <c r="R39" i="48"/>
  <c r="S39" i="48"/>
  <c r="T39" i="48"/>
  <c r="U39" i="48"/>
  <c r="P40" i="48"/>
  <c r="Q40" i="48"/>
  <c r="R40" i="48"/>
  <c r="S40" i="48"/>
  <c r="T40" i="48"/>
  <c r="U40" i="48"/>
  <c r="P41" i="48"/>
  <c r="Q41" i="48"/>
  <c r="R41" i="48"/>
  <c r="S41" i="48"/>
  <c r="T41" i="48"/>
  <c r="U41" i="48"/>
  <c r="P42" i="48"/>
  <c r="Q42" i="48"/>
  <c r="R42" i="48"/>
  <c r="S42" i="48"/>
  <c r="T42" i="48"/>
  <c r="U42" i="48"/>
  <c r="P43" i="48"/>
  <c r="Q43" i="48"/>
  <c r="R43" i="48"/>
  <c r="S43" i="48"/>
  <c r="T43" i="48"/>
  <c r="U43" i="48"/>
  <c r="P44" i="48"/>
  <c r="Q44" i="48"/>
  <c r="R44" i="48"/>
  <c r="S44" i="48"/>
  <c r="T44" i="48"/>
  <c r="U44" i="48"/>
  <c r="P45" i="48"/>
  <c r="Q45" i="48"/>
  <c r="R45" i="48"/>
  <c r="S45" i="48"/>
  <c r="T45" i="48"/>
  <c r="U45" i="48"/>
  <c r="P46" i="48"/>
  <c r="Q46" i="48"/>
  <c r="R46" i="48"/>
  <c r="S46" i="48"/>
  <c r="T46" i="48"/>
  <c r="U46" i="48"/>
  <c r="P47" i="48"/>
  <c r="Q47" i="48"/>
  <c r="R47" i="48"/>
  <c r="S47" i="48"/>
  <c r="T47" i="48"/>
  <c r="U47" i="48"/>
  <c r="P48" i="48"/>
  <c r="Q48" i="48"/>
  <c r="R48" i="48"/>
  <c r="S48" i="48"/>
  <c r="T48" i="48"/>
  <c r="U48" i="48"/>
  <c r="P49" i="48"/>
  <c r="Q49" i="48"/>
  <c r="R49" i="48"/>
  <c r="S49" i="48"/>
  <c r="T49" i="48"/>
  <c r="U49" i="48"/>
  <c r="P50" i="48"/>
  <c r="Q50" i="48"/>
  <c r="R50" i="48"/>
  <c r="S50" i="48"/>
  <c r="T50" i="48"/>
  <c r="U50" i="48"/>
  <c r="P51" i="48"/>
  <c r="Q51" i="48"/>
  <c r="R51" i="48"/>
  <c r="S51" i="48"/>
  <c r="T51" i="48"/>
  <c r="U51" i="48"/>
  <c r="P52" i="48"/>
  <c r="Q52" i="48"/>
  <c r="R52" i="48"/>
  <c r="S52" i="48"/>
  <c r="T52" i="48"/>
  <c r="U52" i="48"/>
  <c r="P53" i="48"/>
  <c r="Q53" i="48"/>
  <c r="R53" i="48"/>
  <c r="S53" i="48"/>
  <c r="T53" i="48"/>
  <c r="U53" i="48"/>
  <c r="P54" i="48"/>
  <c r="Q54" i="48"/>
  <c r="R54" i="48"/>
  <c r="S54" i="48"/>
  <c r="T54" i="48"/>
  <c r="U54" i="48"/>
  <c r="P55" i="48"/>
  <c r="Q55" i="48"/>
  <c r="R55" i="48"/>
  <c r="S55" i="48"/>
  <c r="T55" i="48"/>
  <c r="U55" i="48"/>
  <c r="P56" i="48"/>
  <c r="Q56" i="48"/>
  <c r="R56" i="48"/>
  <c r="S56" i="48"/>
  <c r="T56" i="48"/>
  <c r="U56" i="48"/>
  <c r="P57" i="48"/>
  <c r="Q57" i="48"/>
  <c r="R57" i="48"/>
  <c r="S57" i="48"/>
  <c r="T57" i="48"/>
  <c r="U57" i="48"/>
  <c r="P58" i="48"/>
  <c r="Q58" i="48"/>
  <c r="R58" i="48"/>
  <c r="S58" i="48"/>
  <c r="T58" i="48"/>
  <c r="U58" i="48"/>
  <c r="P59" i="48"/>
  <c r="Q59" i="48"/>
  <c r="R59" i="48"/>
  <c r="S59" i="48"/>
  <c r="T59" i="48"/>
  <c r="U59" i="48"/>
  <c r="P60" i="48"/>
  <c r="Q60" i="48"/>
  <c r="R60" i="48"/>
  <c r="S60" i="48"/>
  <c r="T60" i="48"/>
  <c r="U60" i="48"/>
  <c r="P61" i="48"/>
  <c r="Q61" i="48"/>
  <c r="R61" i="48"/>
  <c r="S61" i="48"/>
  <c r="T61" i="48"/>
  <c r="U61" i="48"/>
  <c r="P62" i="48"/>
  <c r="Q62" i="48"/>
  <c r="R62" i="48"/>
  <c r="S62" i="48"/>
  <c r="T62" i="48"/>
  <c r="U62" i="48"/>
  <c r="P63" i="48"/>
  <c r="Q63" i="48"/>
  <c r="R63" i="48"/>
  <c r="S63" i="48"/>
  <c r="T63" i="48"/>
  <c r="U63" i="48"/>
  <c r="P64" i="48"/>
  <c r="Q64" i="48"/>
  <c r="R64" i="48"/>
  <c r="S64" i="48"/>
  <c r="T64" i="48"/>
  <c r="U64" i="48"/>
  <c r="P65" i="48"/>
  <c r="Q65" i="48"/>
  <c r="R65" i="48"/>
  <c r="S65" i="48"/>
  <c r="T65" i="48"/>
  <c r="U65" i="48"/>
  <c r="P66" i="48"/>
  <c r="Q66" i="48"/>
  <c r="R66" i="48"/>
  <c r="S66" i="48"/>
  <c r="T66" i="48"/>
  <c r="U66" i="48"/>
  <c r="P67" i="48"/>
  <c r="Q67" i="48"/>
  <c r="R67" i="48"/>
  <c r="S67" i="48"/>
  <c r="T67" i="48"/>
  <c r="U67" i="48"/>
  <c r="P68" i="48"/>
  <c r="Q68" i="48"/>
  <c r="R68" i="48"/>
  <c r="S68" i="48"/>
  <c r="T68" i="48"/>
  <c r="U68" i="48"/>
  <c r="P69" i="48"/>
  <c r="Q69" i="48"/>
  <c r="R69" i="48"/>
  <c r="S69" i="48"/>
  <c r="T69" i="48"/>
  <c r="U69" i="48"/>
  <c r="P70" i="48"/>
  <c r="Q70" i="48"/>
  <c r="R70" i="48"/>
  <c r="S70" i="48"/>
  <c r="T70" i="48"/>
  <c r="U70" i="48"/>
  <c r="P71" i="48"/>
  <c r="Q71" i="48"/>
  <c r="R71" i="48"/>
  <c r="S71" i="48"/>
  <c r="T71" i="48"/>
  <c r="U71" i="48"/>
  <c r="P72" i="48"/>
  <c r="Q72" i="48"/>
  <c r="R72" i="48"/>
  <c r="S72" i="48"/>
  <c r="T72" i="48"/>
  <c r="U72" i="48"/>
  <c r="P73" i="48"/>
  <c r="Q73" i="48"/>
  <c r="R73" i="48"/>
  <c r="S73" i="48"/>
  <c r="T73" i="48"/>
  <c r="U73" i="48"/>
  <c r="P74" i="48"/>
  <c r="Q74" i="48"/>
  <c r="R74" i="48"/>
  <c r="S74" i="48"/>
  <c r="T74" i="48"/>
  <c r="U74" i="48"/>
  <c r="P75" i="48"/>
  <c r="Q75" i="48"/>
  <c r="R75" i="48"/>
  <c r="S75" i="48"/>
  <c r="T75" i="48"/>
  <c r="U75" i="48"/>
  <c r="P76" i="48"/>
  <c r="Q76" i="48"/>
  <c r="R76" i="48"/>
  <c r="S76" i="48"/>
  <c r="T76" i="48"/>
  <c r="U76" i="48"/>
  <c r="P77" i="48"/>
  <c r="Q77" i="48"/>
  <c r="R77" i="48"/>
  <c r="S77" i="48"/>
  <c r="T77" i="48"/>
  <c r="U77" i="48"/>
  <c r="P78" i="48"/>
  <c r="Q78" i="48"/>
  <c r="R78" i="48"/>
  <c r="S78" i="48"/>
  <c r="T78" i="48"/>
  <c r="U78" i="48"/>
  <c r="P79" i="48"/>
  <c r="Q79" i="48"/>
  <c r="R79" i="48"/>
  <c r="S79" i="48"/>
  <c r="T79" i="48"/>
  <c r="U79" i="48"/>
  <c r="P80" i="48"/>
  <c r="Q80" i="48"/>
  <c r="R80" i="48"/>
  <c r="S80" i="48"/>
  <c r="T80" i="48"/>
  <c r="U80" i="48"/>
  <c r="P81" i="48"/>
  <c r="Q81" i="48"/>
  <c r="R81" i="48"/>
  <c r="S81" i="48"/>
  <c r="T81" i="48"/>
  <c r="U81" i="48"/>
  <c r="P82" i="48"/>
  <c r="Q82" i="48"/>
  <c r="R82" i="48"/>
  <c r="S82" i="48"/>
  <c r="T82" i="48"/>
  <c r="U82" i="48"/>
  <c r="P83" i="48"/>
  <c r="Q83" i="48"/>
  <c r="R83" i="48"/>
  <c r="S83" i="48"/>
  <c r="T83" i="48"/>
  <c r="U83" i="48"/>
  <c r="P84" i="48"/>
  <c r="Q84" i="48"/>
  <c r="R84" i="48"/>
  <c r="S84" i="48"/>
  <c r="T84" i="48"/>
  <c r="U84" i="48"/>
  <c r="P85" i="48"/>
  <c r="Q85" i="48"/>
  <c r="R85" i="48"/>
  <c r="S85" i="48"/>
  <c r="T85" i="48"/>
  <c r="U85" i="48"/>
  <c r="P86" i="48"/>
  <c r="Q86" i="48"/>
  <c r="R86" i="48"/>
  <c r="S86" i="48"/>
  <c r="T86" i="48"/>
  <c r="U86" i="48"/>
  <c r="P87" i="48"/>
  <c r="Q87" i="48"/>
  <c r="R87" i="48"/>
  <c r="S87" i="48"/>
  <c r="T87" i="48"/>
  <c r="U87" i="48"/>
  <c r="P88" i="48"/>
  <c r="Q88" i="48"/>
  <c r="R88" i="48"/>
  <c r="S88" i="48"/>
  <c r="T88" i="48"/>
  <c r="U88" i="48"/>
  <c r="P89" i="48"/>
  <c r="Q89" i="48"/>
  <c r="R89" i="48"/>
  <c r="S89" i="48"/>
  <c r="T89" i="48"/>
  <c r="U89" i="48"/>
  <c r="P90" i="48"/>
  <c r="Q90" i="48"/>
  <c r="R90" i="48"/>
  <c r="S90" i="48"/>
  <c r="T90" i="48"/>
  <c r="U90" i="48"/>
  <c r="P91" i="48"/>
  <c r="Q91" i="48"/>
  <c r="R91" i="48"/>
  <c r="S91" i="48"/>
  <c r="T91" i="48"/>
  <c r="U91" i="48"/>
  <c r="P92" i="48"/>
  <c r="Q92" i="48"/>
  <c r="R92" i="48"/>
  <c r="S92" i="48"/>
  <c r="T92" i="48"/>
  <c r="U92" i="48"/>
  <c r="P93" i="48"/>
  <c r="Q93" i="48"/>
  <c r="R93" i="48"/>
  <c r="S93" i="48"/>
  <c r="T93" i="48"/>
  <c r="U93" i="48"/>
  <c r="P94" i="48"/>
  <c r="Q94" i="48"/>
  <c r="R94" i="48"/>
  <c r="S94" i="48"/>
  <c r="T94" i="48"/>
  <c r="U94" i="48"/>
  <c r="P95" i="48"/>
  <c r="Q95" i="48"/>
  <c r="R95" i="48"/>
  <c r="S95" i="48"/>
  <c r="T95" i="48"/>
  <c r="U95" i="48"/>
  <c r="P96" i="48"/>
  <c r="Q96" i="48"/>
  <c r="R96" i="48"/>
  <c r="S96" i="48"/>
  <c r="T96" i="48"/>
  <c r="U96" i="48"/>
  <c r="P97" i="48"/>
  <c r="Q97" i="48"/>
  <c r="R97" i="48"/>
  <c r="S97" i="48"/>
  <c r="T97" i="48"/>
  <c r="U97" i="48"/>
  <c r="P98" i="48"/>
  <c r="Q98" i="48"/>
  <c r="R98" i="48"/>
  <c r="S98" i="48"/>
  <c r="T98" i="48"/>
  <c r="U98" i="48"/>
  <c r="P99" i="48"/>
  <c r="Q99" i="48"/>
  <c r="R99" i="48"/>
  <c r="S99" i="48"/>
  <c r="T99" i="48"/>
  <c r="U99" i="48"/>
  <c r="P100" i="48"/>
  <c r="Q100" i="48"/>
  <c r="R100" i="48"/>
  <c r="S100" i="48"/>
  <c r="T100" i="48"/>
  <c r="U100" i="48"/>
  <c r="P101" i="48"/>
  <c r="Q101" i="48"/>
  <c r="R101" i="48"/>
  <c r="S101" i="48"/>
  <c r="T101" i="48"/>
  <c r="U101" i="48"/>
  <c r="P102" i="48"/>
  <c r="Q102" i="48"/>
  <c r="R102" i="48"/>
  <c r="S102" i="48"/>
  <c r="T102" i="48"/>
  <c r="U102" i="48"/>
  <c r="P103" i="48"/>
  <c r="Q103" i="48"/>
  <c r="R103" i="48"/>
  <c r="S103" i="48"/>
  <c r="T103" i="48"/>
  <c r="U103" i="48"/>
  <c r="P104" i="48"/>
  <c r="Q104" i="48"/>
  <c r="R104" i="48"/>
  <c r="S104" i="48"/>
  <c r="T104" i="48"/>
  <c r="U104" i="48"/>
  <c r="P105" i="48"/>
  <c r="Q105" i="48"/>
  <c r="R105" i="48"/>
  <c r="S105" i="48"/>
  <c r="T105" i="48"/>
  <c r="U105" i="48"/>
  <c r="P106" i="48"/>
  <c r="Q106" i="48"/>
  <c r="R106" i="48"/>
  <c r="S106" i="48"/>
  <c r="T106" i="48"/>
  <c r="U106" i="48"/>
  <c r="P107" i="48"/>
  <c r="Q107" i="48"/>
  <c r="R107" i="48"/>
  <c r="S107" i="48"/>
  <c r="T107" i="48"/>
  <c r="U107" i="48"/>
  <c r="P108" i="48"/>
  <c r="Q108" i="48"/>
  <c r="R108" i="48"/>
  <c r="S108" i="48"/>
  <c r="T108" i="48"/>
  <c r="U108" i="48"/>
  <c r="P109" i="48"/>
  <c r="Q109" i="48"/>
  <c r="R109" i="48"/>
  <c r="S109" i="48"/>
  <c r="T109" i="48"/>
  <c r="U109" i="48"/>
  <c r="P110" i="48"/>
  <c r="Q110" i="48"/>
  <c r="R110" i="48"/>
  <c r="S110" i="48"/>
  <c r="T110" i="48"/>
  <c r="U110" i="48"/>
  <c r="P111" i="48"/>
  <c r="Q111" i="48"/>
  <c r="R111" i="48"/>
  <c r="S111" i="48"/>
  <c r="T111" i="48"/>
  <c r="U111" i="48"/>
  <c r="P112" i="48"/>
  <c r="Q112" i="48"/>
  <c r="R112" i="48"/>
  <c r="S112" i="48"/>
  <c r="T112" i="48"/>
  <c r="U112" i="48"/>
  <c r="P113" i="48"/>
  <c r="Q113" i="48"/>
  <c r="R113" i="48"/>
  <c r="S113" i="48"/>
  <c r="T113" i="48"/>
  <c r="U113" i="48"/>
  <c r="P114" i="48"/>
  <c r="Q114" i="48"/>
  <c r="R114" i="48"/>
  <c r="S114" i="48"/>
  <c r="T114" i="48"/>
  <c r="U114" i="48"/>
  <c r="P115" i="48"/>
  <c r="Q115" i="48"/>
  <c r="R115" i="48"/>
  <c r="S115" i="48"/>
  <c r="T115" i="48"/>
  <c r="U115" i="48"/>
  <c r="P116" i="48"/>
  <c r="Q116" i="48"/>
  <c r="R116" i="48"/>
  <c r="S116" i="48"/>
  <c r="T116" i="48"/>
  <c r="U116" i="48"/>
  <c r="P117" i="48"/>
  <c r="Q117" i="48"/>
  <c r="R117" i="48"/>
  <c r="S117" i="48"/>
  <c r="T117" i="48"/>
  <c r="U117" i="48"/>
  <c r="P118" i="48"/>
  <c r="Q118" i="48"/>
  <c r="R118" i="48"/>
  <c r="S118" i="48"/>
  <c r="T118" i="48"/>
  <c r="U118" i="48"/>
  <c r="P119" i="48"/>
  <c r="Q119" i="48"/>
  <c r="R119" i="48"/>
  <c r="S119" i="48"/>
  <c r="T119" i="48"/>
  <c r="U119" i="48"/>
  <c r="P120" i="48"/>
  <c r="Q120" i="48"/>
  <c r="R120" i="48"/>
  <c r="S120" i="48"/>
  <c r="T120" i="48"/>
  <c r="U120" i="48"/>
  <c r="P121" i="48"/>
  <c r="Q121" i="48"/>
  <c r="R121" i="48"/>
  <c r="S121" i="48"/>
  <c r="T121" i="48"/>
  <c r="U121" i="48"/>
  <c r="P122" i="48"/>
  <c r="Q122" i="48"/>
  <c r="R122" i="48"/>
  <c r="S122" i="48"/>
  <c r="T122" i="48"/>
  <c r="U122" i="48"/>
  <c r="P123" i="48"/>
  <c r="Q123" i="48"/>
  <c r="R123" i="48"/>
  <c r="S123" i="48"/>
  <c r="T123" i="48"/>
  <c r="U123" i="48"/>
  <c r="P124" i="48"/>
  <c r="Q124" i="48"/>
  <c r="R124" i="48"/>
  <c r="S124" i="48"/>
  <c r="T124" i="48"/>
  <c r="U124" i="48"/>
  <c r="P125" i="48"/>
  <c r="Q125" i="48"/>
  <c r="R125" i="48"/>
  <c r="S125" i="48"/>
  <c r="T125" i="48"/>
  <c r="U125" i="48"/>
  <c r="P126" i="48"/>
  <c r="Q126" i="48"/>
  <c r="R126" i="48"/>
  <c r="S126" i="48"/>
  <c r="T126" i="48"/>
  <c r="U126" i="48"/>
  <c r="P127" i="48"/>
  <c r="Q127" i="48"/>
  <c r="R127" i="48"/>
  <c r="S127" i="48"/>
  <c r="T127" i="48"/>
  <c r="U127" i="48"/>
  <c r="P128" i="48"/>
  <c r="Q128" i="48"/>
  <c r="R128" i="48"/>
  <c r="S128" i="48"/>
  <c r="T128" i="48"/>
  <c r="U128" i="48"/>
  <c r="P129" i="48"/>
  <c r="Q129" i="48"/>
  <c r="R129" i="48"/>
  <c r="S129" i="48"/>
  <c r="T129" i="48"/>
  <c r="U129" i="48"/>
  <c r="P130" i="48"/>
  <c r="Q130" i="48"/>
  <c r="R130" i="48"/>
  <c r="S130" i="48"/>
  <c r="T130" i="48"/>
  <c r="U130" i="48"/>
  <c r="P131" i="48"/>
  <c r="Q131" i="48"/>
  <c r="R131" i="48"/>
  <c r="S131" i="48"/>
  <c r="T131" i="48"/>
  <c r="U131" i="48"/>
  <c r="P132" i="48"/>
  <c r="Q132" i="48"/>
  <c r="R132" i="48"/>
  <c r="S132" i="48"/>
  <c r="T132" i="48"/>
  <c r="U132" i="48"/>
  <c r="P133" i="48"/>
  <c r="Q133" i="48"/>
  <c r="R133" i="48"/>
  <c r="S133" i="48"/>
  <c r="T133" i="48"/>
  <c r="U133" i="48"/>
  <c r="P134" i="48"/>
  <c r="Q134" i="48"/>
  <c r="R134" i="48"/>
  <c r="S134" i="48"/>
  <c r="T134" i="48"/>
  <c r="U134" i="48"/>
  <c r="P135" i="48"/>
  <c r="Q135" i="48"/>
  <c r="R135" i="48"/>
  <c r="S135" i="48"/>
  <c r="T135" i="48"/>
  <c r="U135" i="48"/>
  <c r="P136" i="48"/>
  <c r="Q136" i="48"/>
  <c r="R136" i="48"/>
  <c r="S136" i="48"/>
  <c r="T136" i="48"/>
  <c r="U136" i="48"/>
  <c r="P137" i="48"/>
  <c r="Q137" i="48"/>
  <c r="R137" i="48"/>
  <c r="S137" i="48"/>
  <c r="T137" i="48"/>
  <c r="U137" i="48"/>
  <c r="P138" i="48"/>
  <c r="Q138" i="48"/>
  <c r="R138" i="48"/>
  <c r="S138" i="48"/>
  <c r="T138" i="48"/>
  <c r="U138" i="48"/>
  <c r="P139" i="48"/>
  <c r="Q139" i="48"/>
  <c r="R139" i="48"/>
  <c r="S139" i="48"/>
  <c r="T139" i="48"/>
  <c r="U139" i="48"/>
  <c r="P140" i="48"/>
  <c r="Q140" i="48"/>
  <c r="R140" i="48"/>
  <c r="S140" i="48"/>
  <c r="T140" i="48"/>
  <c r="U140" i="48"/>
  <c r="P141" i="48"/>
  <c r="Q141" i="48"/>
  <c r="R141" i="48"/>
  <c r="S141" i="48"/>
  <c r="T141" i="48"/>
  <c r="U141" i="48"/>
  <c r="P142" i="48"/>
  <c r="Q142" i="48"/>
  <c r="R142" i="48"/>
  <c r="S142" i="48"/>
  <c r="T142" i="48"/>
  <c r="U142" i="48"/>
  <c r="P143" i="48"/>
  <c r="Q143" i="48"/>
  <c r="R143" i="48"/>
  <c r="S143" i="48"/>
  <c r="T143" i="48"/>
  <c r="U143" i="48"/>
  <c r="P144" i="48"/>
  <c r="Q144" i="48"/>
  <c r="R144" i="48"/>
  <c r="S144" i="48"/>
  <c r="T144" i="48"/>
  <c r="U144" i="48"/>
  <c r="P145" i="48"/>
  <c r="Q145" i="48"/>
  <c r="R145" i="48"/>
  <c r="S145" i="48"/>
  <c r="T145" i="48"/>
  <c r="U145" i="48"/>
  <c r="P146" i="48"/>
  <c r="Q146" i="48"/>
  <c r="R146" i="48"/>
  <c r="S146" i="48"/>
  <c r="T146" i="48"/>
  <c r="U146" i="48"/>
  <c r="P147" i="48"/>
  <c r="Q147" i="48"/>
  <c r="R147" i="48"/>
  <c r="S147" i="48"/>
  <c r="T147" i="48"/>
  <c r="U147" i="48"/>
  <c r="P148" i="48"/>
  <c r="Q148" i="48"/>
  <c r="R148" i="48"/>
  <c r="S148" i="48"/>
  <c r="T148" i="48"/>
  <c r="U148" i="48"/>
  <c r="P149" i="48"/>
  <c r="Q149" i="48"/>
  <c r="R149" i="48"/>
  <c r="S149" i="48"/>
  <c r="T149" i="48"/>
  <c r="U149" i="48"/>
  <c r="P150" i="48"/>
  <c r="Q150" i="48"/>
  <c r="R150" i="48"/>
  <c r="S150" i="48"/>
  <c r="T150" i="48"/>
  <c r="U150" i="48"/>
  <c r="P151" i="48"/>
  <c r="Q151" i="48"/>
  <c r="R151" i="48"/>
  <c r="S151" i="48"/>
  <c r="T151" i="48"/>
  <c r="U151" i="48"/>
  <c r="P152" i="48"/>
  <c r="Q152" i="48"/>
  <c r="R152" i="48"/>
  <c r="S152" i="48"/>
  <c r="T152" i="48"/>
  <c r="U152" i="48"/>
  <c r="P153" i="48"/>
  <c r="Q153" i="48"/>
  <c r="R153" i="48"/>
  <c r="S153" i="48"/>
  <c r="T153" i="48"/>
  <c r="U153" i="48"/>
  <c r="P154" i="48"/>
  <c r="Q154" i="48"/>
  <c r="R154" i="48"/>
  <c r="S154" i="48"/>
  <c r="T154" i="48"/>
  <c r="U154" i="48"/>
  <c r="P155" i="48"/>
  <c r="Q155" i="48"/>
  <c r="R155" i="48"/>
  <c r="S155" i="48"/>
  <c r="T155" i="48"/>
  <c r="U155" i="48"/>
  <c r="P156" i="48"/>
  <c r="Q156" i="48"/>
  <c r="R156" i="48"/>
  <c r="S156" i="48"/>
  <c r="T156" i="48"/>
  <c r="U156" i="48"/>
  <c r="P157" i="48"/>
  <c r="Q157" i="48"/>
  <c r="R157" i="48"/>
  <c r="S157" i="48"/>
  <c r="T157" i="48"/>
  <c r="U157" i="48"/>
  <c r="P158" i="48"/>
  <c r="Q158" i="48"/>
  <c r="R158" i="48"/>
  <c r="S158" i="48"/>
  <c r="T158" i="48"/>
  <c r="U158" i="48"/>
  <c r="P159" i="48"/>
  <c r="Q159" i="48"/>
  <c r="R159" i="48"/>
  <c r="S159" i="48"/>
  <c r="T159" i="48"/>
  <c r="U159" i="48"/>
  <c r="P160" i="48"/>
  <c r="Q160" i="48"/>
  <c r="R160" i="48"/>
  <c r="S160" i="48"/>
  <c r="T160" i="48"/>
  <c r="U160" i="48"/>
  <c r="P161" i="48"/>
  <c r="Q161" i="48"/>
  <c r="R161" i="48"/>
  <c r="S161" i="48"/>
  <c r="T161" i="48"/>
  <c r="U161" i="48"/>
  <c r="P162" i="48"/>
  <c r="Q162" i="48"/>
  <c r="R162" i="48"/>
  <c r="S162" i="48"/>
  <c r="T162" i="48"/>
  <c r="U162" i="48"/>
  <c r="P163" i="48"/>
  <c r="Q163" i="48"/>
  <c r="R163" i="48"/>
  <c r="S163" i="48"/>
  <c r="T163" i="48"/>
  <c r="U163" i="48"/>
  <c r="P164" i="48"/>
  <c r="Q164" i="48"/>
  <c r="R164" i="48"/>
  <c r="S164" i="48"/>
  <c r="T164" i="48"/>
  <c r="U164" i="48"/>
  <c r="P165" i="48"/>
  <c r="Q165" i="48"/>
  <c r="R165" i="48"/>
  <c r="S165" i="48"/>
  <c r="T165" i="48"/>
  <c r="U165" i="48"/>
  <c r="P166" i="48"/>
  <c r="Q166" i="48"/>
  <c r="R166" i="48"/>
  <c r="S166" i="48"/>
  <c r="T166" i="48"/>
  <c r="U166" i="48"/>
  <c r="P167" i="48"/>
  <c r="Q167" i="48"/>
  <c r="R167" i="48"/>
  <c r="S167" i="48"/>
  <c r="T167" i="48"/>
  <c r="U167" i="48"/>
  <c r="P168" i="48"/>
  <c r="Q168" i="48"/>
  <c r="R168" i="48"/>
  <c r="S168" i="48"/>
  <c r="T168" i="48"/>
  <c r="U168" i="48"/>
  <c r="P169" i="48"/>
  <c r="Q169" i="48"/>
  <c r="R169" i="48"/>
  <c r="S169" i="48"/>
  <c r="T169" i="48"/>
  <c r="U169" i="48"/>
  <c r="P170" i="48"/>
  <c r="Q170" i="48"/>
  <c r="R170" i="48"/>
  <c r="S170" i="48"/>
  <c r="T170" i="48"/>
  <c r="U170" i="48"/>
  <c r="P171" i="48"/>
  <c r="Q171" i="48"/>
  <c r="R171" i="48"/>
  <c r="S171" i="48"/>
  <c r="T171" i="48"/>
  <c r="U171" i="48"/>
  <c r="P172" i="48"/>
  <c r="Q172" i="48"/>
  <c r="R172" i="48"/>
  <c r="S172" i="48"/>
  <c r="T172" i="48"/>
  <c r="U172" i="48"/>
  <c r="P173" i="48"/>
  <c r="Q173" i="48"/>
  <c r="R173" i="48"/>
  <c r="S173" i="48"/>
  <c r="T173" i="48"/>
  <c r="U173" i="48"/>
  <c r="P174" i="48"/>
  <c r="Q174" i="48"/>
  <c r="R174" i="48"/>
  <c r="S174" i="48"/>
  <c r="T174" i="48"/>
  <c r="U174" i="48"/>
  <c r="P175" i="48"/>
  <c r="Q175" i="48"/>
  <c r="R175" i="48"/>
  <c r="S175" i="48"/>
  <c r="T175" i="48"/>
  <c r="U175" i="48"/>
  <c r="P176" i="48"/>
  <c r="Q176" i="48"/>
  <c r="R176" i="48"/>
  <c r="S176" i="48"/>
  <c r="T176" i="48"/>
  <c r="U176" i="48"/>
  <c r="P177" i="48"/>
  <c r="Q177" i="48"/>
  <c r="R177" i="48"/>
  <c r="S177" i="48"/>
  <c r="T177" i="48"/>
  <c r="U177" i="48"/>
  <c r="P178" i="48"/>
  <c r="Q178" i="48"/>
  <c r="R178" i="48"/>
  <c r="S178" i="48"/>
  <c r="T178" i="48"/>
  <c r="U178" i="48"/>
  <c r="P179" i="48"/>
  <c r="Q179" i="48"/>
  <c r="R179" i="48"/>
  <c r="S179" i="48"/>
  <c r="T179" i="48"/>
  <c r="U179" i="48"/>
  <c r="P180" i="48"/>
  <c r="Q180" i="48"/>
  <c r="R180" i="48"/>
  <c r="S180" i="48"/>
  <c r="T180" i="48"/>
  <c r="U180" i="48"/>
  <c r="P181" i="48"/>
  <c r="Q181" i="48"/>
  <c r="R181" i="48"/>
  <c r="S181" i="48"/>
  <c r="T181" i="48"/>
  <c r="U181" i="48"/>
  <c r="P182" i="48"/>
  <c r="Q182" i="48"/>
  <c r="R182" i="48"/>
  <c r="S182" i="48"/>
  <c r="T182" i="48"/>
  <c r="U182" i="48"/>
  <c r="P183" i="48"/>
  <c r="Q183" i="48"/>
  <c r="R183" i="48"/>
  <c r="S183" i="48"/>
  <c r="T183" i="48"/>
  <c r="U183" i="48"/>
  <c r="P184" i="48"/>
  <c r="Q184" i="48"/>
  <c r="R184" i="48"/>
  <c r="S184" i="48"/>
  <c r="T184" i="48"/>
  <c r="U184" i="48"/>
  <c r="P185" i="48"/>
  <c r="Q185" i="48"/>
  <c r="R185" i="48"/>
  <c r="S185" i="48"/>
  <c r="T185" i="48"/>
  <c r="U185" i="48"/>
  <c r="P186" i="48"/>
  <c r="Q186" i="48"/>
  <c r="R186" i="48"/>
  <c r="S186" i="48"/>
  <c r="T186" i="48"/>
  <c r="U186" i="48"/>
  <c r="P187" i="48"/>
  <c r="Q187" i="48"/>
  <c r="R187" i="48"/>
  <c r="S187" i="48"/>
  <c r="T187" i="48"/>
  <c r="U187" i="48"/>
  <c r="P188" i="48"/>
  <c r="Q188" i="48"/>
  <c r="R188" i="48"/>
  <c r="S188" i="48"/>
  <c r="T188" i="48"/>
  <c r="U188" i="48"/>
  <c r="P189" i="48"/>
  <c r="Q189" i="48"/>
  <c r="R189" i="48"/>
  <c r="S189" i="48"/>
  <c r="T189" i="48"/>
  <c r="U189" i="48"/>
  <c r="P190" i="48"/>
  <c r="Q190" i="48"/>
  <c r="R190" i="48"/>
  <c r="S190" i="48"/>
  <c r="T190" i="48"/>
  <c r="U190" i="48"/>
  <c r="P191" i="48"/>
  <c r="Q191" i="48"/>
  <c r="R191" i="48"/>
  <c r="S191" i="48"/>
  <c r="T191" i="48"/>
  <c r="U191" i="48"/>
  <c r="P192" i="48"/>
  <c r="Q192" i="48"/>
  <c r="R192" i="48"/>
  <c r="S192" i="48"/>
  <c r="T192" i="48"/>
  <c r="U192" i="48"/>
  <c r="P193" i="48"/>
  <c r="Q193" i="48"/>
  <c r="R193" i="48"/>
  <c r="S193" i="48"/>
  <c r="T193" i="48"/>
  <c r="U193" i="48"/>
  <c r="P194" i="48"/>
  <c r="Q194" i="48"/>
  <c r="R194" i="48"/>
  <c r="S194" i="48"/>
  <c r="T194" i="48"/>
  <c r="U194" i="48"/>
  <c r="P195" i="48"/>
  <c r="Q195" i="48"/>
  <c r="R195" i="48"/>
  <c r="S195" i="48"/>
  <c r="T195" i="48"/>
  <c r="U195" i="48"/>
  <c r="P196" i="48"/>
  <c r="Q196" i="48"/>
  <c r="R196" i="48"/>
  <c r="S196" i="48"/>
  <c r="T196" i="48"/>
  <c r="U196" i="48"/>
  <c r="P197" i="48"/>
  <c r="Q197" i="48"/>
  <c r="R197" i="48"/>
  <c r="S197" i="48"/>
  <c r="T197" i="48"/>
  <c r="U197" i="48"/>
  <c r="P198" i="48"/>
  <c r="Q198" i="48"/>
  <c r="R198" i="48"/>
  <c r="S198" i="48"/>
  <c r="T198" i="48"/>
  <c r="U198" i="48"/>
  <c r="P199" i="48"/>
  <c r="Q199" i="48"/>
  <c r="R199" i="48"/>
  <c r="S199" i="48"/>
  <c r="T199" i="48"/>
  <c r="U199" i="48"/>
  <c r="P200" i="48"/>
  <c r="Q200" i="48"/>
  <c r="R200" i="48"/>
  <c r="S200" i="48"/>
  <c r="T200" i="48"/>
  <c r="U200" i="48"/>
  <c r="P201" i="48"/>
  <c r="Q201" i="48"/>
  <c r="R201" i="48"/>
  <c r="S201" i="48"/>
  <c r="T201" i="48"/>
  <c r="U201" i="48"/>
  <c r="P202" i="48"/>
  <c r="Q202" i="48"/>
  <c r="R202" i="48"/>
  <c r="S202" i="48"/>
  <c r="T202" i="48"/>
  <c r="U202" i="48"/>
  <c r="P203" i="48"/>
  <c r="Q203" i="48"/>
  <c r="R203" i="48"/>
  <c r="S203" i="48"/>
  <c r="T203" i="48"/>
  <c r="U203" i="48"/>
  <c r="P204" i="48"/>
  <c r="Q204" i="48"/>
  <c r="R204" i="48"/>
  <c r="S204" i="48"/>
  <c r="T204" i="48"/>
  <c r="U204" i="48"/>
  <c r="P205" i="48"/>
  <c r="Q205" i="48"/>
  <c r="R205" i="48"/>
  <c r="S205" i="48"/>
  <c r="T205" i="48"/>
  <c r="U205" i="48"/>
  <c r="P206" i="48"/>
  <c r="Q206" i="48"/>
  <c r="R206" i="48"/>
  <c r="S206" i="48"/>
  <c r="T206" i="48"/>
  <c r="U206" i="48"/>
  <c r="P207" i="48"/>
  <c r="Q207" i="48"/>
  <c r="R207" i="48"/>
  <c r="S207" i="48"/>
  <c r="T207" i="48"/>
  <c r="U207" i="48"/>
  <c r="P208" i="48"/>
  <c r="Q208" i="48"/>
  <c r="R208" i="48"/>
  <c r="S208" i="48"/>
  <c r="T208" i="48"/>
  <c r="U208" i="48"/>
  <c r="P209" i="48"/>
  <c r="Q209" i="48"/>
  <c r="R209" i="48"/>
  <c r="S209" i="48"/>
  <c r="T209" i="48"/>
  <c r="U209" i="48"/>
  <c r="P210" i="48"/>
  <c r="Q210" i="48"/>
  <c r="R210" i="48"/>
  <c r="S210" i="48"/>
  <c r="T210" i="48"/>
  <c r="U210" i="48"/>
  <c r="P211" i="48"/>
  <c r="Q211" i="48"/>
  <c r="R211" i="48"/>
  <c r="S211" i="48"/>
  <c r="T211" i="48"/>
  <c r="U211" i="48"/>
  <c r="P212" i="48"/>
  <c r="Q212" i="48"/>
  <c r="R212" i="48"/>
  <c r="S212" i="48"/>
  <c r="T212" i="48"/>
  <c r="U212" i="48"/>
  <c r="P213" i="48"/>
  <c r="Q213" i="48"/>
  <c r="R213" i="48"/>
  <c r="S213" i="48"/>
  <c r="T213" i="48"/>
  <c r="U213" i="48"/>
  <c r="P214" i="48"/>
  <c r="Q214" i="48"/>
  <c r="R214" i="48"/>
  <c r="S214" i="48"/>
  <c r="T214" i="48"/>
  <c r="U214" i="48"/>
  <c r="P215" i="48"/>
  <c r="Q215" i="48"/>
  <c r="R215" i="48"/>
  <c r="S215" i="48"/>
  <c r="T215" i="48"/>
  <c r="U215" i="48"/>
  <c r="P216" i="48"/>
  <c r="Q216" i="48"/>
  <c r="R216" i="48"/>
  <c r="S216" i="48"/>
  <c r="T216" i="48"/>
  <c r="U216" i="48"/>
  <c r="P217" i="48"/>
  <c r="Q217" i="48"/>
  <c r="R217" i="48"/>
  <c r="S217" i="48"/>
  <c r="T217" i="48"/>
  <c r="U217" i="48"/>
  <c r="P218" i="48"/>
  <c r="Q218" i="48"/>
  <c r="R218" i="48"/>
  <c r="S218" i="48"/>
  <c r="T218" i="48"/>
  <c r="U218" i="48"/>
  <c r="P219" i="48"/>
  <c r="Q219" i="48"/>
  <c r="R219" i="48"/>
  <c r="S219" i="48"/>
  <c r="T219" i="48"/>
  <c r="U219" i="48"/>
  <c r="P220" i="48"/>
  <c r="Q220" i="48"/>
  <c r="R220" i="48"/>
  <c r="S220" i="48"/>
  <c r="T220" i="48"/>
  <c r="U220" i="48"/>
  <c r="P221" i="48"/>
  <c r="Q221" i="48"/>
  <c r="R221" i="48"/>
  <c r="S221" i="48"/>
  <c r="T221" i="48"/>
  <c r="U221" i="48"/>
  <c r="P222" i="48"/>
  <c r="Q222" i="48"/>
  <c r="R222" i="48"/>
  <c r="S222" i="48"/>
  <c r="T222" i="48"/>
  <c r="U222" i="48"/>
  <c r="P223" i="48"/>
  <c r="Q223" i="48"/>
  <c r="R223" i="48"/>
  <c r="S223" i="48"/>
  <c r="T223" i="48"/>
  <c r="U223" i="48"/>
  <c r="P224" i="48"/>
  <c r="Q224" i="48"/>
  <c r="R224" i="48"/>
  <c r="S224" i="48"/>
  <c r="T224" i="48"/>
  <c r="U224" i="48"/>
  <c r="P225" i="48"/>
  <c r="Q225" i="48"/>
  <c r="R225" i="48"/>
  <c r="S225" i="48"/>
  <c r="T225" i="48"/>
  <c r="U225" i="48"/>
  <c r="P226" i="48"/>
  <c r="Q226" i="48"/>
  <c r="R226" i="48"/>
  <c r="S226" i="48"/>
  <c r="T226" i="48"/>
  <c r="U226" i="48"/>
  <c r="P227" i="48"/>
  <c r="Q227" i="48"/>
  <c r="R227" i="48"/>
  <c r="S227" i="48"/>
  <c r="T227" i="48"/>
  <c r="U227" i="48"/>
  <c r="P228" i="48"/>
  <c r="Q228" i="48"/>
  <c r="R228" i="48"/>
  <c r="S228" i="48"/>
  <c r="T228" i="48"/>
  <c r="U228" i="48"/>
  <c r="P229" i="48"/>
  <c r="Q229" i="48"/>
  <c r="R229" i="48"/>
  <c r="S229" i="48"/>
  <c r="T229" i="48"/>
  <c r="U229" i="48"/>
  <c r="P230" i="48"/>
  <c r="Q230" i="48"/>
  <c r="R230" i="48"/>
  <c r="S230" i="48"/>
  <c r="T230" i="48"/>
  <c r="U230" i="48"/>
  <c r="P231" i="48"/>
  <c r="Q231" i="48"/>
  <c r="R231" i="48"/>
  <c r="S231" i="48"/>
  <c r="T231" i="48"/>
  <c r="U231" i="48"/>
  <c r="P232" i="48"/>
  <c r="Q232" i="48"/>
  <c r="R232" i="48"/>
  <c r="S232" i="48"/>
  <c r="T232" i="48"/>
  <c r="U232" i="48"/>
  <c r="P233" i="48"/>
  <c r="Q233" i="48"/>
  <c r="R233" i="48"/>
  <c r="S233" i="48"/>
  <c r="T233" i="48"/>
  <c r="U233" i="48"/>
  <c r="P234" i="48"/>
  <c r="Q234" i="48"/>
  <c r="R234" i="48"/>
  <c r="S234" i="48"/>
  <c r="T234" i="48"/>
  <c r="U234" i="48"/>
  <c r="P235" i="48"/>
  <c r="Q235" i="48"/>
  <c r="R235" i="48"/>
  <c r="S235" i="48"/>
  <c r="T235" i="48"/>
  <c r="U235" i="48"/>
  <c r="P236" i="48"/>
  <c r="Q236" i="48"/>
  <c r="R236" i="48"/>
  <c r="S236" i="48"/>
  <c r="T236" i="48"/>
  <c r="U236" i="48"/>
  <c r="P237" i="48"/>
  <c r="Q237" i="48"/>
  <c r="R237" i="48"/>
  <c r="S237" i="48"/>
  <c r="T237" i="48"/>
  <c r="U237" i="48"/>
  <c r="P238" i="48"/>
  <c r="Q238" i="48"/>
  <c r="R238" i="48"/>
  <c r="S238" i="48"/>
  <c r="T238" i="48"/>
  <c r="U238" i="48"/>
  <c r="P239" i="48"/>
  <c r="Q239" i="48"/>
  <c r="R239" i="48"/>
  <c r="S239" i="48"/>
  <c r="T239" i="48"/>
  <c r="U239" i="48"/>
  <c r="P240" i="48"/>
  <c r="Q240" i="48"/>
  <c r="R240" i="48"/>
  <c r="S240" i="48"/>
  <c r="T240" i="48"/>
  <c r="U240" i="48"/>
  <c r="P241" i="48"/>
  <c r="Q241" i="48"/>
  <c r="R241" i="48"/>
  <c r="S241" i="48"/>
  <c r="T241" i="48"/>
  <c r="U241" i="48"/>
  <c r="P242" i="48"/>
  <c r="Q242" i="48"/>
  <c r="R242" i="48"/>
  <c r="S242" i="48"/>
  <c r="T242" i="48"/>
  <c r="U242" i="48"/>
  <c r="P243" i="48"/>
  <c r="Q243" i="48"/>
  <c r="R243" i="48"/>
  <c r="S243" i="48"/>
  <c r="T243" i="48"/>
  <c r="U243" i="48"/>
  <c r="P244" i="48"/>
  <c r="Q244" i="48"/>
  <c r="R244" i="48"/>
  <c r="S244" i="48"/>
  <c r="T244" i="48"/>
  <c r="U244" i="48"/>
  <c r="P245" i="48"/>
  <c r="Q245" i="48"/>
  <c r="R245" i="48"/>
  <c r="S245" i="48"/>
  <c r="T245" i="48"/>
  <c r="U245" i="48"/>
  <c r="P246" i="48"/>
  <c r="Q246" i="48"/>
  <c r="R246" i="48"/>
  <c r="S246" i="48"/>
  <c r="T246" i="48"/>
  <c r="U246" i="48"/>
  <c r="P247" i="48"/>
  <c r="Q247" i="48"/>
  <c r="R247" i="48"/>
  <c r="S247" i="48"/>
  <c r="T247" i="48"/>
  <c r="U247" i="48"/>
  <c r="P248" i="48"/>
  <c r="Q248" i="48"/>
  <c r="R248" i="48"/>
  <c r="S248" i="48"/>
  <c r="T248" i="48"/>
  <c r="U248" i="48"/>
  <c r="P249" i="48"/>
  <c r="Q249" i="48"/>
  <c r="R249" i="48"/>
  <c r="S249" i="48"/>
  <c r="T249" i="48"/>
  <c r="U249" i="48"/>
  <c r="P250" i="48"/>
  <c r="Q250" i="48"/>
  <c r="R250" i="48"/>
  <c r="S250" i="48"/>
  <c r="T250" i="48"/>
  <c r="U250" i="48"/>
  <c r="P251" i="48"/>
  <c r="Q251" i="48"/>
  <c r="R251" i="48"/>
  <c r="S251" i="48"/>
  <c r="T251" i="48"/>
  <c r="U251" i="48"/>
  <c r="P252" i="48"/>
  <c r="Q252" i="48"/>
  <c r="R252" i="48"/>
  <c r="S252" i="48"/>
  <c r="T252" i="48"/>
  <c r="U252" i="48"/>
  <c r="P253" i="48"/>
  <c r="Q253" i="48"/>
  <c r="R253" i="48"/>
  <c r="S253" i="48"/>
  <c r="T253" i="48"/>
  <c r="U253" i="48"/>
  <c r="P254" i="48"/>
  <c r="Q254" i="48"/>
  <c r="R254" i="48"/>
  <c r="S254" i="48"/>
  <c r="T254" i="48"/>
  <c r="U254" i="48"/>
  <c r="P255" i="48"/>
  <c r="Q255" i="48"/>
  <c r="R255" i="48"/>
  <c r="S255" i="48"/>
  <c r="T255" i="48"/>
  <c r="U255" i="48"/>
  <c r="P256" i="48"/>
  <c r="Q256" i="48"/>
  <c r="R256" i="48"/>
  <c r="S256" i="48"/>
  <c r="T256" i="48"/>
  <c r="U256" i="48"/>
  <c r="P257" i="48"/>
  <c r="Q257" i="48"/>
  <c r="R257" i="48"/>
  <c r="S257" i="48"/>
  <c r="T257" i="48"/>
  <c r="U257" i="48"/>
  <c r="P258" i="48"/>
  <c r="Q258" i="48"/>
  <c r="R258" i="48"/>
  <c r="S258" i="48"/>
  <c r="T258" i="48"/>
  <c r="U258" i="48"/>
  <c r="P259" i="48"/>
  <c r="Q259" i="48"/>
  <c r="R259" i="48"/>
  <c r="S259" i="48"/>
  <c r="T259" i="48"/>
  <c r="U259" i="48"/>
  <c r="P260" i="48"/>
  <c r="Q260" i="48"/>
  <c r="R260" i="48"/>
  <c r="S260" i="48"/>
  <c r="T260" i="48"/>
  <c r="U260" i="48"/>
  <c r="P261" i="48"/>
  <c r="Q261" i="48"/>
  <c r="R261" i="48"/>
  <c r="S261" i="48"/>
  <c r="T261" i="48"/>
  <c r="U261" i="48"/>
  <c r="P262" i="48"/>
  <c r="Q262" i="48"/>
  <c r="R262" i="48"/>
  <c r="S262" i="48"/>
  <c r="T262" i="48"/>
  <c r="U262" i="48"/>
  <c r="P263" i="48"/>
  <c r="Q263" i="48"/>
  <c r="R263" i="48"/>
  <c r="S263" i="48"/>
  <c r="T263" i="48"/>
  <c r="U263" i="48"/>
  <c r="P264" i="48"/>
  <c r="Q264" i="48"/>
  <c r="R264" i="48"/>
  <c r="S264" i="48"/>
  <c r="T264" i="48"/>
  <c r="U264" i="48"/>
  <c r="P265" i="48"/>
  <c r="Q265" i="48"/>
  <c r="R265" i="48"/>
  <c r="S265" i="48"/>
  <c r="T265" i="48"/>
  <c r="U265" i="48"/>
  <c r="P266" i="48"/>
  <c r="Q266" i="48"/>
  <c r="R266" i="48"/>
  <c r="S266" i="48"/>
  <c r="T266" i="48"/>
  <c r="U266" i="48"/>
  <c r="P267" i="48"/>
  <c r="Q267" i="48"/>
  <c r="R267" i="48"/>
  <c r="S267" i="48"/>
  <c r="T267" i="48"/>
  <c r="U267" i="48"/>
  <c r="P268" i="48"/>
  <c r="Q268" i="48"/>
  <c r="R268" i="48"/>
  <c r="S268" i="48"/>
  <c r="T268" i="48"/>
  <c r="U268" i="48"/>
  <c r="P269" i="48"/>
  <c r="Q269" i="48"/>
  <c r="R269" i="48"/>
  <c r="S269" i="48"/>
  <c r="T269" i="48"/>
  <c r="U269" i="48"/>
  <c r="P270" i="48"/>
  <c r="Q270" i="48"/>
  <c r="R270" i="48"/>
  <c r="S270" i="48"/>
  <c r="T270" i="48"/>
  <c r="U270" i="48"/>
  <c r="P271" i="48"/>
  <c r="Q271" i="48"/>
  <c r="R271" i="48"/>
  <c r="S271" i="48"/>
  <c r="T271" i="48"/>
  <c r="U271" i="48"/>
  <c r="P272" i="48"/>
  <c r="Q272" i="48"/>
  <c r="R272" i="48"/>
  <c r="S272" i="48"/>
  <c r="T272" i="48"/>
  <c r="U272" i="48"/>
  <c r="P273" i="48"/>
  <c r="Q273" i="48"/>
  <c r="R273" i="48"/>
  <c r="S273" i="48"/>
  <c r="T273" i="48"/>
  <c r="U273" i="48"/>
  <c r="P274" i="48"/>
  <c r="Q274" i="48"/>
  <c r="R274" i="48"/>
  <c r="S274" i="48"/>
  <c r="T274" i="48"/>
  <c r="U274" i="48"/>
  <c r="P275" i="48"/>
  <c r="Q275" i="48"/>
  <c r="R275" i="48"/>
  <c r="S275" i="48"/>
  <c r="T275" i="48"/>
  <c r="U275" i="48"/>
  <c r="P276" i="48"/>
  <c r="Q276" i="48"/>
  <c r="R276" i="48"/>
  <c r="S276" i="48"/>
  <c r="T276" i="48"/>
  <c r="U276" i="48"/>
  <c r="P277" i="48"/>
  <c r="Q277" i="48"/>
  <c r="R277" i="48"/>
  <c r="S277" i="48"/>
  <c r="T277" i="48"/>
  <c r="U277" i="48"/>
  <c r="P278" i="48"/>
  <c r="Q278" i="48"/>
  <c r="R278" i="48"/>
  <c r="S278" i="48"/>
  <c r="T278" i="48"/>
  <c r="U278" i="48"/>
  <c r="P279" i="48"/>
  <c r="Q279" i="48"/>
  <c r="R279" i="48"/>
  <c r="S279" i="48"/>
  <c r="T279" i="48"/>
  <c r="U279" i="48"/>
  <c r="P280" i="48"/>
  <c r="Q280" i="48"/>
  <c r="R280" i="48"/>
  <c r="S280" i="48"/>
  <c r="T280" i="48"/>
  <c r="U280" i="48"/>
  <c r="P281" i="48"/>
  <c r="Q281" i="48"/>
  <c r="R281" i="48"/>
  <c r="S281" i="48"/>
  <c r="T281" i="48"/>
  <c r="U281" i="48"/>
  <c r="P282" i="48"/>
  <c r="Q282" i="48"/>
  <c r="R282" i="48"/>
  <c r="S282" i="48"/>
  <c r="T282" i="48"/>
  <c r="U282" i="48"/>
  <c r="P283" i="48"/>
  <c r="Q283" i="48"/>
  <c r="R283" i="48"/>
  <c r="S283" i="48"/>
  <c r="T283" i="48"/>
  <c r="U283" i="48"/>
  <c r="P284" i="48"/>
  <c r="Q284" i="48"/>
  <c r="R284" i="48"/>
  <c r="S284" i="48"/>
  <c r="T284" i="48"/>
  <c r="U284" i="48"/>
  <c r="P285" i="48"/>
  <c r="Q285" i="48"/>
  <c r="R285" i="48"/>
  <c r="S285" i="48"/>
  <c r="T285" i="48"/>
  <c r="U285" i="48"/>
  <c r="P286" i="48"/>
  <c r="Q286" i="48"/>
  <c r="R286" i="48"/>
  <c r="S286" i="48"/>
  <c r="T286" i="48"/>
  <c r="U286" i="48"/>
  <c r="P287" i="48"/>
  <c r="Q287" i="48"/>
  <c r="R287" i="48"/>
  <c r="S287" i="48"/>
  <c r="T287" i="48"/>
  <c r="U287" i="48"/>
  <c r="P288" i="48"/>
  <c r="Q288" i="48"/>
  <c r="R288" i="48"/>
  <c r="S288" i="48"/>
  <c r="T288" i="48"/>
  <c r="U288" i="48"/>
  <c r="P289" i="48"/>
  <c r="Q289" i="48"/>
  <c r="R289" i="48"/>
  <c r="S289" i="48"/>
  <c r="T289" i="48"/>
  <c r="U289" i="48"/>
  <c r="P290" i="48"/>
  <c r="Q290" i="48"/>
  <c r="R290" i="48"/>
  <c r="S290" i="48"/>
  <c r="T290" i="48"/>
  <c r="U290" i="48"/>
  <c r="P291" i="48"/>
  <c r="Q291" i="48"/>
  <c r="R291" i="48"/>
  <c r="S291" i="48"/>
  <c r="T291" i="48"/>
  <c r="U291" i="48"/>
  <c r="P292" i="48"/>
  <c r="Q292" i="48"/>
  <c r="R292" i="48"/>
  <c r="S292" i="48"/>
  <c r="T292" i="48"/>
  <c r="U292" i="48"/>
  <c r="P293" i="48"/>
  <c r="Q293" i="48"/>
  <c r="R293" i="48"/>
  <c r="S293" i="48"/>
  <c r="T293" i="48"/>
  <c r="U293" i="48"/>
  <c r="P294" i="48"/>
  <c r="Q294" i="48"/>
  <c r="R294" i="48"/>
  <c r="S294" i="48"/>
  <c r="T294" i="48"/>
  <c r="U294" i="48"/>
  <c r="P295" i="48"/>
  <c r="Q295" i="48"/>
  <c r="R295" i="48"/>
  <c r="S295" i="48"/>
  <c r="T295" i="48"/>
  <c r="U295" i="48"/>
  <c r="P296" i="48"/>
  <c r="Q296" i="48"/>
  <c r="R296" i="48"/>
  <c r="S296" i="48"/>
  <c r="T296" i="48"/>
  <c r="U296" i="48"/>
  <c r="P297" i="48"/>
  <c r="Q297" i="48"/>
  <c r="R297" i="48"/>
  <c r="S297" i="48"/>
  <c r="T297" i="48"/>
  <c r="U297" i="48"/>
  <c r="P298" i="48"/>
  <c r="Q298" i="48"/>
  <c r="R298" i="48"/>
  <c r="S298" i="48"/>
  <c r="T298" i="48"/>
  <c r="U298" i="48"/>
  <c r="P299" i="48"/>
  <c r="Q299" i="48"/>
  <c r="R299" i="48"/>
  <c r="S299" i="48"/>
  <c r="T299" i="48"/>
  <c r="U299" i="48"/>
  <c r="P300" i="48"/>
  <c r="Q300" i="48"/>
  <c r="R300" i="48"/>
  <c r="S300" i="48"/>
  <c r="T300" i="48"/>
  <c r="U300" i="48"/>
  <c r="P301" i="48"/>
  <c r="Q301" i="48"/>
  <c r="R301" i="48"/>
  <c r="S301" i="48"/>
  <c r="T301" i="48"/>
  <c r="U301" i="48"/>
  <c r="P302" i="48"/>
  <c r="Q302" i="48"/>
  <c r="R302" i="48"/>
  <c r="S302" i="48"/>
  <c r="T302" i="48"/>
  <c r="U302" i="48"/>
  <c r="P303" i="48"/>
  <c r="Q303" i="48"/>
  <c r="R303" i="48"/>
  <c r="S303" i="48"/>
  <c r="T303" i="48"/>
  <c r="U303" i="48"/>
  <c r="P304" i="48"/>
  <c r="Q304" i="48"/>
  <c r="R304" i="48"/>
  <c r="S304" i="48"/>
  <c r="T304" i="48"/>
  <c r="U304" i="48"/>
  <c r="P305" i="48"/>
  <c r="Q305" i="48"/>
  <c r="R305" i="48"/>
  <c r="S305" i="48"/>
  <c r="T305" i="48"/>
  <c r="U305" i="48"/>
  <c r="P306" i="48"/>
  <c r="Q306" i="48"/>
  <c r="R306" i="48"/>
  <c r="S306" i="48"/>
  <c r="T306" i="48"/>
  <c r="U306" i="48"/>
  <c r="P307" i="48"/>
  <c r="Q307" i="48"/>
  <c r="R307" i="48"/>
  <c r="S307" i="48"/>
  <c r="T307" i="48"/>
  <c r="U307" i="48"/>
  <c r="P308" i="48"/>
  <c r="Q308" i="48"/>
  <c r="R308" i="48"/>
  <c r="S308" i="48"/>
  <c r="T308" i="48"/>
  <c r="U308" i="48"/>
  <c r="P309" i="48"/>
  <c r="Q309" i="48"/>
  <c r="R309" i="48"/>
  <c r="S309" i="48"/>
  <c r="T309" i="48"/>
  <c r="U309" i="48"/>
  <c r="P310" i="48"/>
  <c r="Q310" i="48"/>
  <c r="R310" i="48"/>
  <c r="S310" i="48"/>
  <c r="T310" i="48"/>
  <c r="U310" i="48"/>
  <c r="P311" i="48"/>
  <c r="Q311" i="48"/>
  <c r="R311" i="48"/>
  <c r="S311" i="48"/>
  <c r="T311" i="48"/>
  <c r="U311" i="48"/>
  <c r="P312" i="48"/>
  <c r="Q312" i="48"/>
  <c r="R312" i="48"/>
  <c r="S312" i="48"/>
  <c r="T312" i="48"/>
  <c r="U312" i="48"/>
  <c r="P313" i="48"/>
  <c r="Q313" i="48"/>
  <c r="R313" i="48"/>
  <c r="S313" i="48"/>
  <c r="T313" i="48"/>
  <c r="U313" i="48"/>
  <c r="P314" i="48"/>
  <c r="Q314" i="48"/>
  <c r="R314" i="48"/>
  <c r="S314" i="48"/>
  <c r="T314" i="48"/>
  <c r="U314" i="48"/>
  <c r="P315" i="48"/>
  <c r="Q315" i="48"/>
  <c r="R315" i="48"/>
  <c r="S315" i="48"/>
  <c r="T315" i="48"/>
  <c r="U315" i="48"/>
  <c r="P316" i="48"/>
  <c r="Q316" i="48"/>
  <c r="R316" i="48"/>
  <c r="S316" i="48"/>
  <c r="T316" i="48"/>
  <c r="U316" i="48"/>
  <c r="P317" i="48"/>
  <c r="Q317" i="48"/>
  <c r="R317" i="48"/>
  <c r="S317" i="48"/>
  <c r="T317" i="48"/>
  <c r="U317" i="48"/>
  <c r="P318" i="48"/>
  <c r="Q318" i="48"/>
  <c r="R318" i="48"/>
  <c r="S318" i="48"/>
  <c r="T318" i="48"/>
  <c r="U318" i="48"/>
  <c r="P319" i="48"/>
  <c r="Q319" i="48"/>
  <c r="R319" i="48"/>
  <c r="S319" i="48"/>
  <c r="T319" i="48"/>
  <c r="U319" i="48"/>
  <c r="P320" i="48"/>
  <c r="Q320" i="48"/>
  <c r="R320" i="48"/>
  <c r="S320" i="48"/>
  <c r="T320" i="48"/>
  <c r="U320" i="48"/>
  <c r="P321" i="48"/>
  <c r="Q321" i="48"/>
  <c r="R321" i="48"/>
  <c r="S321" i="48"/>
  <c r="T321" i="48"/>
  <c r="U321" i="48"/>
  <c r="P322" i="48"/>
  <c r="Q322" i="48"/>
  <c r="R322" i="48"/>
  <c r="S322" i="48"/>
  <c r="T322" i="48"/>
  <c r="U322" i="48"/>
  <c r="P323" i="48"/>
  <c r="Q323" i="48"/>
  <c r="R323" i="48"/>
  <c r="S323" i="48"/>
  <c r="T323" i="48"/>
  <c r="U323" i="48"/>
  <c r="P324" i="48"/>
  <c r="Q324" i="48"/>
  <c r="R324" i="48"/>
  <c r="S324" i="48"/>
  <c r="T324" i="48"/>
  <c r="U324" i="48"/>
  <c r="P325" i="48"/>
  <c r="Q325" i="48"/>
  <c r="R325" i="48"/>
  <c r="S325" i="48"/>
  <c r="T325" i="48"/>
  <c r="U325" i="48"/>
  <c r="P326" i="48"/>
  <c r="Q326" i="48"/>
  <c r="R326" i="48"/>
  <c r="S326" i="48"/>
  <c r="T326" i="48"/>
  <c r="U326" i="48"/>
  <c r="P327" i="48"/>
  <c r="Q327" i="48"/>
  <c r="R327" i="48"/>
  <c r="S327" i="48"/>
  <c r="T327" i="48"/>
  <c r="U327" i="48"/>
  <c r="P328" i="48"/>
  <c r="Q328" i="48"/>
  <c r="R328" i="48"/>
  <c r="S328" i="48"/>
  <c r="T328" i="48"/>
  <c r="U328" i="48"/>
  <c r="P329" i="48"/>
  <c r="Q329" i="48"/>
  <c r="R329" i="48"/>
  <c r="S329" i="48"/>
  <c r="T329" i="48"/>
  <c r="U329" i="48"/>
  <c r="P330" i="48"/>
  <c r="Q330" i="48"/>
  <c r="R330" i="48"/>
  <c r="S330" i="48"/>
  <c r="T330" i="48"/>
  <c r="U330" i="48"/>
  <c r="P331" i="48"/>
  <c r="Q331" i="48"/>
  <c r="R331" i="48"/>
  <c r="S331" i="48"/>
  <c r="T331" i="48"/>
  <c r="U331" i="48"/>
  <c r="P332" i="48"/>
  <c r="Q332" i="48"/>
  <c r="R332" i="48"/>
  <c r="S332" i="48"/>
  <c r="T332" i="48"/>
  <c r="U332" i="48"/>
  <c r="P333" i="48"/>
  <c r="Q333" i="48"/>
  <c r="R333" i="48"/>
  <c r="S333" i="48"/>
  <c r="T333" i="48"/>
  <c r="U333" i="48"/>
  <c r="P334" i="48"/>
  <c r="Q334" i="48"/>
  <c r="R334" i="48"/>
  <c r="S334" i="48"/>
  <c r="T334" i="48"/>
  <c r="U334" i="48"/>
  <c r="P335" i="48"/>
  <c r="Q335" i="48"/>
  <c r="R335" i="48"/>
  <c r="S335" i="48"/>
  <c r="T335" i="48"/>
  <c r="U335" i="48"/>
  <c r="P336" i="48"/>
  <c r="Q336" i="48"/>
  <c r="R336" i="48"/>
  <c r="S336" i="48"/>
  <c r="T336" i="48"/>
  <c r="U336" i="48"/>
  <c r="P337" i="48"/>
  <c r="Q337" i="48"/>
  <c r="R337" i="48"/>
  <c r="S337" i="48"/>
  <c r="T337" i="48"/>
  <c r="U337" i="48"/>
  <c r="P338" i="48"/>
  <c r="Q338" i="48"/>
  <c r="R338" i="48"/>
  <c r="S338" i="48"/>
  <c r="T338" i="48"/>
  <c r="U338" i="48"/>
  <c r="P339" i="48"/>
  <c r="Q339" i="48"/>
  <c r="R339" i="48"/>
  <c r="S339" i="48"/>
  <c r="T339" i="48"/>
  <c r="U339" i="48"/>
  <c r="P340" i="48"/>
  <c r="Q340" i="48"/>
  <c r="R340" i="48"/>
  <c r="S340" i="48"/>
  <c r="T340" i="48"/>
  <c r="U340" i="48"/>
  <c r="P341" i="48"/>
  <c r="Q341" i="48"/>
  <c r="R341" i="48"/>
  <c r="S341" i="48"/>
  <c r="T341" i="48"/>
  <c r="U341" i="48"/>
  <c r="P342" i="48"/>
  <c r="Q342" i="48"/>
  <c r="R342" i="48"/>
  <c r="S342" i="48"/>
  <c r="T342" i="48"/>
  <c r="U342" i="48"/>
  <c r="P343" i="48"/>
  <c r="Q343" i="48"/>
  <c r="R343" i="48"/>
  <c r="S343" i="48"/>
  <c r="T343" i="48"/>
  <c r="U343" i="48"/>
  <c r="P344" i="48"/>
  <c r="Q344" i="48"/>
  <c r="R344" i="48"/>
  <c r="S344" i="48"/>
  <c r="T344" i="48"/>
  <c r="U344" i="48"/>
  <c r="P345" i="48"/>
  <c r="Q345" i="48"/>
  <c r="R345" i="48"/>
  <c r="S345" i="48"/>
  <c r="T345" i="48"/>
  <c r="U345" i="48"/>
  <c r="P346" i="48"/>
  <c r="Q346" i="48"/>
  <c r="R346" i="48"/>
  <c r="S346" i="48"/>
  <c r="T346" i="48"/>
  <c r="U346" i="48"/>
  <c r="P347" i="48"/>
  <c r="Q347" i="48"/>
  <c r="R347" i="48"/>
  <c r="S347" i="48"/>
  <c r="T347" i="48"/>
  <c r="U347" i="48"/>
  <c r="P348" i="48"/>
  <c r="Q348" i="48"/>
  <c r="R348" i="48"/>
  <c r="S348" i="48"/>
  <c r="T348" i="48"/>
  <c r="U348" i="48"/>
  <c r="P349" i="48"/>
  <c r="Q349" i="48"/>
  <c r="R349" i="48"/>
  <c r="S349" i="48"/>
  <c r="T349" i="48"/>
  <c r="U349" i="48"/>
  <c r="P350" i="48"/>
  <c r="Q350" i="48"/>
  <c r="R350" i="48"/>
  <c r="S350" i="48"/>
  <c r="T350" i="48"/>
  <c r="U350" i="48"/>
  <c r="P351" i="48"/>
  <c r="Q351" i="48"/>
  <c r="R351" i="48"/>
  <c r="S351" i="48"/>
  <c r="T351" i="48"/>
  <c r="U351" i="48"/>
  <c r="P352" i="48"/>
  <c r="Q352" i="48"/>
  <c r="R352" i="48"/>
  <c r="S352" i="48"/>
  <c r="T352" i="48"/>
  <c r="U352" i="48"/>
  <c r="P353" i="48"/>
  <c r="Q353" i="48"/>
  <c r="R353" i="48"/>
  <c r="S353" i="48"/>
  <c r="T353" i="48"/>
  <c r="U353" i="48"/>
  <c r="P354" i="48"/>
  <c r="Q354" i="48"/>
  <c r="R354" i="48"/>
  <c r="S354" i="48"/>
  <c r="T354" i="48"/>
  <c r="U354" i="48"/>
  <c r="P355" i="48"/>
  <c r="Q355" i="48"/>
  <c r="R355" i="48"/>
  <c r="S355" i="48"/>
  <c r="T355" i="48"/>
  <c r="U355" i="48"/>
  <c r="P356" i="48"/>
  <c r="Q356" i="48"/>
  <c r="R356" i="48"/>
  <c r="S356" i="48"/>
  <c r="T356" i="48"/>
  <c r="U356" i="48"/>
  <c r="P357" i="48"/>
  <c r="Q357" i="48"/>
  <c r="R357" i="48"/>
  <c r="S357" i="48"/>
  <c r="T357" i="48"/>
  <c r="U357" i="48"/>
  <c r="P358" i="48"/>
  <c r="Q358" i="48"/>
  <c r="R358" i="48"/>
  <c r="S358" i="48"/>
  <c r="T358" i="48"/>
  <c r="U358" i="48"/>
  <c r="P359" i="48"/>
  <c r="Q359" i="48"/>
  <c r="R359" i="48"/>
  <c r="S359" i="48"/>
  <c r="T359" i="48"/>
  <c r="U359" i="48"/>
  <c r="P360" i="48"/>
  <c r="Q360" i="48"/>
  <c r="R360" i="48"/>
  <c r="S360" i="48"/>
  <c r="T360" i="48"/>
  <c r="U360" i="48"/>
  <c r="P361" i="48"/>
  <c r="Q361" i="48"/>
  <c r="R361" i="48"/>
  <c r="S361" i="48"/>
  <c r="T361" i="48"/>
  <c r="U361" i="48"/>
  <c r="P362" i="48"/>
  <c r="Q362" i="48"/>
  <c r="R362" i="48"/>
  <c r="S362" i="48"/>
  <c r="T362" i="48"/>
  <c r="U362" i="48"/>
  <c r="P363" i="48"/>
  <c r="Q363" i="48"/>
  <c r="R363" i="48"/>
  <c r="S363" i="48"/>
  <c r="T363" i="48"/>
  <c r="U363" i="48"/>
  <c r="P364" i="48"/>
  <c r="Q364" i="48"/>
  <c r="R364" i="48"/>
  <c r="S364" i="48"/>
  <c r="T364" i="48"/>
  <c r="U364" i="48"/>
  <c r="P365" i="48"/>
  <c r="Q365" i="48"/>
  <c r="R365" i="48"/>
  <c r="S365" i="48"/>
  <c r="T365" i="48"/>
  <c r="U365" i="48"/>
  <c r="P366" i="48"/>
  <c r="Q366" i="48"/>
  <c r="R366" i="48"/>
  <c r="S366" i="48"/>
  <c r="T366" i="48"/>
  <c r="U366" i="48"/>
  <c r="P367" i="48"/>
  <c r="Q367" i="48"/>
  <c r="R367" i="48"/>
  <c r="S367" i="48"/>
  <c r="T367" i="48"/>
  <c r="U367" i="48"/>
  <c r="P368" i="48"/>
  <c r="Q368" i="48"/>
  <c r="R368" i="48"/>
  <c r="S368" i="48"/>
  <c r="T368" i="48"/>
  <c r="U368" i="48"/>
  <c r="P369" i="48"/>
  <c r="Q369" i="48"/>
  <c r="R369" i="48"/>
  <c r="S369" i="48"/>
  <c r="T369" i="48"/>
  <c r="U369" i="48"/>
  <c r="P370" i="48"/>
  <c r="Q370" i="48"/>
  <c r="R370" i="48"/>
  <c r="S370" i="48"/>
  <c r="T370" i="48"/>
  <c r="U370" i="48"/>
  <c r="P371" i="48"/>
  <c r="Q371" i="48"/>
  <c r="R371" i="48"/>
  <c r="S371" i="48"/>
  <c r="T371" i="48"/>
  <c r="U371" i="48"/>
  <c r="P372" i="48"/>
  <c r="Q372" i="48"/>
  <c r="R372" i="48"/>
  <c r="S372" i="48"/>
  <c r="T372" i="48"/>
  <c r="U372" i="48"/>
  <c r="P373" i="48"/>
  <c r="Q373" i="48"/>
  <c r="R373" i="48"/>
  <c r="S373" i="48"/>
  <c r="T373" i="48"/>
  <c r="U373" i="48"/>
  <c r="P374" i="48"/>
  <c r="Q374" i="48"/>
  <c r="R374" i="48"/>
  <c r="S374" i="48"/>
  <c r="T374" i="48"/>
  <c r="U374" i="48"/>
  <c r="P375" i="48"/>
  <c r="Q375" i="48"/>
  <c r="R375" i="48"/>
  <c r="S375" i="48"/>
  <c r="T375" i="48"/>
  <c r="U375" i="48"/>
  <c r="P376" i="48"/>
  <c r="Q376" i="48"/>
  <c r="R376" i="48"/>
  <c r="S376" i="48"/>
  <c r="T376" i="48"/>
  <c r="U376" i="48"/>
  <c r="P377" i="48"/>
  <c r="Q377" i="48"/>
  <c r="R377" i="48"/>
  <c r="S377" i="48"/>
  <c r="T377" i="48"/>
  <c r="U377" i="48"/>
  <c r="P378" i="48"/>
  <c r="Q378" i="48"/>
  <c r="R378" i="48"/>
  <c r="S378" i="48"/>
  <c r="T378" i="48"/>
  <c r="U378" i="48"/>
  <c r="P379" i="48"/>
  <c r="Q379" i="48"/>
  <c r="R379" i="48"/>
  <c r="S379" i="48"/>
  <c r="T379" i="48"/>
  <c r="U379" i="48"/>
  <c r="P380" i="48"/>
  <c r="Q380" i="48"/>
  <c r="R380" i="48"/>
  <c r="S380" i="48"/>
  <c r="T380" i="48"/>
  <c r="U380" i="48"/>
  <c r="P381" i="48"/>
  <c r="Q381" i="48"/>
  <c r="R381" i="48"/>
  <c r="S381" i="48"/>
  <c r="T381" i="48"/>
  <c r="U381" i="48"/>
  <c r="P382" i="48"/>
  <c r="Q382" i="48"/>
  <c r="R382" i="48"/>
  <c r="S382" i="48"/>
  <c r="T382" i="48"/>
  <c r="U382" i="48"/>
  <c r="P383" i="48"/>
  <c r="Q383" i="48"/>
  <c r="R383" i="48"/>
  <c r="S383" i="48"/>
  <c r="T383" i="48"/>
  <c r="U383" i="48"/>
  <c r="P384" i="48"/>
  <c r="Q384" i="48"/>
  <c r="R384" i="48"/>
  <c r="S384" i="48"/>
  <c r="T384" i="48"/>
  <c r="U384" i="48"/>
  <c r="P385" i="48"/>
  <c r="Q385" i="48"/>
  <c r="R385" i="48"/>
  <c r="S385" i="48"/>
  <c r="T385" i="48"/>
  <c r="U385" i="48"/>
  <c r="P386" i="48"/>
  <c r="Q386" i="48"/>
  <c r="R386" i="48"/>
  <c r="S386" i="48"/>
  <c r="T386" i="48"/>
  <c r="U386" i="48"/>
  <c r="P387" i="48"/>
  <c r="Q387" i="48"/>
  <c r="R387" i="48"/>
  <c r="S387" i="48"/>
  <c r="T387" i="48"/>
  <c r="U387" i="48"/>
  <c r="P388" i="48"/>
  <c r="Q388" i="48"/>
  <c r="R388" i="48"/>
  <c r="S388" i="48"/>
  <c r="T388" i="48"/>
  <c r="U388" i="48"/>
  <c r="P389" i="48"/>
  <c r="Q389" i="48"/>
  <c r="R389" i="48"/>
  <c r="S389" i="48"/>
  <c r="T389" i="48"/>
  <c r="U389" i="48"/>
  <c r="P390" i="48"/>
  <c r="Q390" i="48"/>
  <c r="R390" i="48"/>
  <c r="S390" i="48"/>
  <c r="T390" i="48"/>
  <c r="U390" i="48"/>
  <c r="P391" i="48"/>
  <c r="Q391" i="48"/>
  <c r="R391" i="48"/>
  <c r="S391" i="48"/>
  <c r="T391" i="48"/>
  <c r="U391" i="48"/>
  <c r="P392" i="48"/>
  <c r="Q392" i="48"/>
  <c r="R392" i="48"/>
  <c r="S392" i="48"/>
  <c r="T392" i="48"/>
  <c r="U392" i="48"/>
  <c r="P393" i="48"/>
  <c r="Q393" i="48"/>
  <c r="R393" i="48"/>
  <c r="S393" i="48"/>
  <c r="T393" i="48"/>
  <c r="U393" i="48"/>
  <c r="P394" i="48"/>
  <c r="Q394" i="48"/>
  <c r="R394" i="48"/>
  <c r="S394" i="48"/>
  <c r="T394" i="48"/>
  <c r="U394" i="48"/>
  <c r="P395" i="48"/>
  <c r="Q395" i="48"/>
  <c r="R395" i="48"/>
  <c r="S395" i="48"/>
  <c r="T395" i="48"/>
  <c r="U395" i="48"/>
  <c r="P396" i="48"/>
  <c r="Q396" i="48"/>
  <c r="R396" i="48"/>
  <c r="S396" i="48"/>
  <c r="T396" i="48"/>
  <c r="U396" i="48"/>
  <c r="P397" i="48"/>
  <c r="Q397" i="48"/>
  <c r="R397" i="48"/>
  <c r="S397" i="48"/>
  <c r="T397" i="48"/>
  <c r="U397" i="48"/>
  <c r="P398" i="48"/>
  <c r="Q398" i="48"/>
  <c r="R398" i="48"/>
  <c r="S398" i="48"/>
  <c r="T398" i="48"/>
  <c r="U398" i="48"/>
  <c r="P399" i="48"/>
  <c r="Q399" i="48"/>
  <c r="R399" i="48"/>
  <c r="S399" i="48"/>
  <c r="T399" i="48"/>
  <c r="U399" i="48"/>
  <c r="P400" i="48"/>
  <c r="Q400" i="48"/>
  <c r="R400" i="48"/>
  <c r="S400" i="48"/>
  <c r="T400" i="48"/>
  <c r="U400" i="48"/>
  <c r="P401" i="48"/>
  <c r="Q401" i="48"/>
  <c r="R401" i="48"/>
  <c r="S401" i="48"/>
  <c r="T401" i="48"/>
  <c r="U401" i="48"/>
  <c r="P402" i="48"/>
  <c r="Q402" i="48"/>
  <c r="R402" i="48"/>
  <c r="S402" i="48"/>
  <c r="T402" i="48"/>
  <c r="U402" i="48"/>
  <c r="P403" i="48"/>
  <c r="Q403" i="48"/>
  <c r="R403" i="48"/>
  <c r="S403" i="48"/>
  <c r="T403" i="48"/>
  <c r="U403" i="48"/>
  <c r="P404" i="48"/>
  <c r="Q404" i="48"/>
  <c r="R404" i="48"/>
  <c r="S404" i="48"/>
  <c r="T404" i="48"/>
  <c r="U404" i="48"/>
  <c r="P405" i="48"/>
  <c r="Q405" i="48"/>
  <c r="R405" i="48"/>
  <c r="S405" i="48"/>
  <c r="T405" i="48"/>
  <c r="U405" i="48"/>
  <c r="P406" i="48"/>
  <c r="Q406" i="48"/>
  <c r="R406" i="48"/>
  <c r="S406" i="48"/>
  <c r="T406" i="48"/>
  <c r="U406" i="48"/>
  <c r="P407" i="48"/>
  <c r="Q407" i="48"/>
  <c r="R407" i="48"/>
  <c r="S407" i="48"/>
  <c r="T407" i="48"/>
  <c r="U407" i="48"/>
  <c r="P408" i="48"/>
  <c r="Q408" i="48"/>
  <c r="R408" i="48"/>
  <c r="S408" i="48"/>
  <c r="T408" i="48"/>
  <c r="U408" i="48"/>
  <c r="P409" i="48"/>
  <c r="Q409" i="48"/>
  <c r="R409" i="48"/>
  <c r="S409" i="48"/>
  <c r="T409" i="48"/>
  <c r="U409" i="48"/>
  <c r="P410" i="48"/>
  <c r="Q410" i="48"/>
  <c r="R410" i="48"/>
  <c r="S410" i="48"/>
  <c r="T410" i="48"/>
  <c r="U410" i="48"/>
  <c r="P411" i="48"/>
  <c r="Q411" i="48"/>
  <c r="R411" i="48"/>
  <c r="S411" i="48"/>
  <c r="T411" i="48"/>
  <c r="U411" i="48"/>
  <c r="P412" i="48"/>
  <c r="Q412" i="48"/>
  <c r="R412" i="48"/>
  <c r="S412" i="48"/>
  <c r="T412" i="48"/>
  <c r="U412" i="48"/>
  <c r="P413" i="48"/>
  <c r="Q413" i="48"/>
  <c r="R413" i="48"/>
  <c r="S413" i="48"/>
  <c r="T413" i="48"/>
  <c r="U413" i="48"/>
  <c r="P414" i="48"/>
  <c r="Q414" i="48"/>
  <c r="R414" i="48"/>
  <c r="S414" i="48"/>
  <c r="T414" i="48"/>
  <c r="U414" i="48"/>
  <c r="P415" i="48"/>
  <c r="Q415" i="48"/>
  <c r="R415" i="48"/>
  <c r="S415" i="48"/>
  <c r="T415" i="48"/>
  <c r="U415" i="48"/>
  <c r="P416" i="48"/>
  <c r="Q416" i="48"/>
  <c r="R416" i="48"/>
  <c r="S416" i="48"/>
  <c r="T416" i="48"/>
  <c r="U416" i="48"/>
  <c r="P417" i="48"/>
  <c r="Q417" i="48"/>
  <c r="R417" i="48"/>
  <c r="S417" i="48"/>
  <c r="T417" i="48"/>
  <c r="U417" i="48"/>
  <c r="P418" i="48"/>
  <c r="Q418" i="48"/>
  <c r="R418" i="48"/>
  <c r="S418" i="48"/>
  <c r="T418" i="48"/>
  <c r="U418" i="48"/>
  <c r="P419" i="48"/>
  <c r="Q419" i="48"/>
  <c r="R419" i="48"/>
  <c r="S419" i="48"/>
  <c r="T419" i="48"/>
  <c r="U419" i="48"/>
  <c r="P420" i="48"/>
  <c r="Q420" i="48"/>
  <c r="R420" i="48"/>
  <c r="S420" i="48"/>
  <c r="T420" i="48"/>
  <c r="U420" i="48"/>
  <c r="P421" i="48"/>
  <c r="Q421" i="48"/>
  <c r="R421" i="48"/>
  <c r="S421" i="48"/>
  <c r="T421" i="48"/>
  <c r="U421" i="48"/>
  <c r="P422" i="48"/>
  <c r="Q422" i="48"/>
  <c r="R422" i="48"/>
  <c r="S422" i="48"/>
  <c r="T422" i="48"/>
  <c r="U422" i="48"/>
  <c r="P423" i="48"/>
  <c r="Q423" i="48"/>
  <c r="R423" i="48"/>
  <c r="S423" i="48"/>
  <c r="T423" i="48"/>
  <c r="U423" i="48"/>
  <c r="P424" i="48"/>
  <c r="Q424" i="48"/>
  <c r="R424" i="48"/>
  <c r="S424" i="48"/>
  <c r="T424" i="48"/>
  <c r="U424" i="48"/>
  <c r="P425" i="48"/>
  <c r="Q425" i="48"/>
  <c r="R425" i="48"/>
  <c r="S425" i="48"/>
  <c r="T425" i="48"/>
  <c r="U425" i="48"/>
  <c r="P426" i="48"/>
  <c r="Q426" i="48"/>
  <c r="R426" i="48"/>
  <c r="S426" i="48"/>
  <c r="T426" i="48"/>
  <c r="U426" i="48"/>
  <c r="P427" i="48"/>
  <c r="Q427" i="48"/>
  <c r="R427" i="48"/>
  <c r="S427" i="48"/>
  <c r="T427" i="48"/>
  <c r="U427" i="48"/>
  <c r="P428" i="48"/>
  <c r="Q428" i="48"/>
  <c r="R428" i="48"/>
  <c r="S428" i="48"/>
  <c r="T428" i="48"/>
  <c r="U428" i="48"/>
  <c r="P429" i="48"/>
  <c r="Q429" i="48"/>
  <c r="R429" i="48"/>
  <c r="S429" i="48"/>
  <c r="T429" i="48"/>
  <c r="U429" i="48"/>
  <c r="P430" i="48"/>
  <c r="Q430" i="48"/>
  <c r="R430" i="48"/>
  <c r="S430" i="48"/>
  <c r="T430" i="48"/>
  <c r="U430" i="48"/>
  <c r="P431" i="48"/>
  <c r="Q431" i="48"/>
  <c r="R431" i="48"/>
  <c r="S431" i="48"/>
  <c r="T431" i="48"/>
  <c r="U431" i="48"/>
  <c r="P432" i="48"/>
  <c r="Q432" i="48"/>
  <c r="R432" i="48"/>
  <c r="S432" i="48"/>
  <c r="T432" i="48"/>
  <c r="U432" i="48"/>
  <c r="P433" i="48"/>
  <c r="Q433" i="48"/>
  <c r="R433" i="48"/>
  <c r="S433" i="48"/>
  <c r="T433" i="48"/>
  <c r="U433" i="48"/>
  <c r="P434" i="48"/>
  <c r="Q434" i="48"/>
  <c r="R434" i="48"/>
  <c r="S434" i="48"/>
  <c r="T434" i="48"/>
  <c r="U434" i="48"/>
  <c r="P435" i="48"/>
  <c r="Q435" i="48"/>
  <c r="R435" i="48"/>
  <c r="S435" i="48"/>
  <c r="T435" i="48"/>
  <c r="U435" i="48"/>
  <c r="P436" i="48"/>
  <c r="Q436" i="48"/>
  <c r="R436" i="48"/>
  <c r="S436" i="48"/>
  <c r="T436" i="48"/>
  <c r="U436" i="48"/>
  <c r="P437" i="48"/>
  <c r="Q437" i="48"/>
  <c r="R437" i="48"/>
  <c r="S437" i="48"/>
  <c r="T437" i="48"/>
  <c r="U437" i="48"/>
  <c r="P438" i="48"/>
  <c r="Q438" i="48"/>
  <c r="R438" i="48"/>
  <c r="S438" i="48"/>
  <c r="T438" i="48"/>
  <c r="U438" i="48"/>
  <c r="P439" i="48"/>
  <c r="Q439" i="48"/>
  <c r="R439" i="48"/>
  <c r="S439" i="48"/>
  <c r="T439" i="48"/>
  <c r="U439" i="48"/>
  <c r="P440" i="48"/>
  <c r="Q440" i="48"/>
  <c r="R440" i="48"/>
  <c r="S440" i="48"/>
  <c r="T440" i="48"/>
  <c r="U440" i="48"/>
  <c r="P441" i="48"/>
  <c r="Q441" i="48"/>
  <c r="R441" i="48"/>
  <c r="S441" i="48"/>
  <c r="T441" i="48"/>
  <c r="U441" i="48"/>
  <c r="P442" i="48"/>
  <c r="Q442" i="48"/>
  <c r="R442" i="48"/>
  <c r="S442" i="48"/>
  <c r="T442" i="48"/>
  <c r="U442" i="48"/>
  <c r="P443" i="48"/>
  <c r="Q443" i="48"/>
  <c r="R443" i="48"/>
  <c r="S443" i="48"/>
  <c r="T443" i="48"/>
  <c r="U443" i="48"/>
  <c r="P444" i="48"/>
  <c r="Q444" i="48"/>
  <c r="R444" i="48"/>
  <c r="S444" i="48"/>
  <c r="T444" i="48"/>
  <c r="U444" i="48"/>
  <c r="P445" i="48"/>
  <c r="Q445" i="48"/>
  <c r="R445" i="48"/>
  <c r="S445" i="48"/>
  <c r="T445" i="48"/>
  <c r="U445" i="48"/>
  <c r="P446" i="48"/>
  <c r="Q446" i="48"/>
  <c r="R446" i="48"/>
  <c r="S446" i="48"/>
  <c r="T446" i="48"/>
  <c r="U446" i="48"/>
  <c r="P447" i="48"/>
  <c r="Q447" i="48"/>
  <c r="R447" i="48"/>
  <c r="S447" i="48"/>
  <c r="T447" i="48"/>
  <c r="U447" i="48"/>
  <c r="P448" i="48"/>
  <c r="Q448" i="48"/>
  <c r="R448" i="48"/>
  <c r="S448" i="48"/>
  <c r="T448" i="48"/>
  <c r="U448" i="48"/>
  <c r="P449" i="48"/>
  <c r="Q449" i="48"/>
  <c r="R449" i="48"/>
  <c r="S449" i="48"/>
  <c r="T449" i="48"/>
  <c r="U449" i="48"/>
  <c r="P450" i="48"/>
  <c r="Q450" i="48"/>
  <c r="R450" i="48"/>
  <c r="S450" i="48"/>
  <c r="T450" i="48"/>
  <c r="U450" i="48"/>
  <c r="P451" i="48"/>
  <c r="Q451" i="48"/>
  <c r="R451" i="48"/>
  <c r="S451" i="48"/>
  <c r="T451" i="48"/>
  <c r="U451" i="48"/>
  <c r="P452" i="48"/>
  <c r="Q452" i="48"/>
  <c r="R452" i="48"/>
  <c r="S452" i="48"/>
  <c r="T452" i="48"/>
  <c r="U452" i="48"/>
  <c r="P453" i="48"/>
  <c r="Q453" i="48"/>
  <c r="R453" i="48"/>
  <c r="S453" i="48"/>
  <c r="T453" i="48"/>
  <c r="U453" i="48"/>
  <c r="P454" i="48"/>
  <c r="Q454" i="48"/>
  <c r="R454" i="48"/>
  <c r="S454" i="48"/>
  <c r="T454" i="48"/>
  <c r="U454" i="48"/>
  <c r="P455" i="48"/>
  <c r="Q455" i="48"/>
  <c r="R455" i="48"/>
  <c r="S455" i="48"/>
  <c r="T455" i="48"/>
  <c r="U455" i="48"/>
  <c r="P456" i="48"/>
  <c r="Q456" i="48"/>
  <c r="R456" i="48"/>
  <c r="S456" i="48"/>
  <c r="T456" i="48"/>
  <c r="U456" i="48"/>
  <c r="P457" i="48"/>
  <c r="Q457" i="48"/>
  <c r="R457" i="48"/>
  <c r="S457" i="48"/>
  <c r="T457" i="48"/>
  <c r="U457" i="48"/>
  <c r="P458" i="48"/>
  <c r="Q458" i="48"/>
  <c r="R458" i="48"/>
  <c r="S458" i="48"/>
  <c r="T458" i="48"/>
  <c r="U458" i="48"/>
  <c r="P459" i="48"/>
  <c r="Q459" i="48"/>
  <c r="R459" i="48"/>
  <c r="S459" i="48"/>
  <c r="T459" i="48"/>
  <c r="U459" i="48"/>
  <c r="P460" i="48"/>
  <c r="Q460" i="48"/>
  <c r="R460" i="48"/>
  <c r="S460" i="48"/>
  <c r="T460" i="48"/>
  <c r="U460" i="48"/>
  <c r="P461" i="48"/>
  <c r="Q461" i="48"/>
  <c r="R461" i="48"/>
  <c r="S461" i="48"/>
  <c r="T461" i="48"/>
  <c r="U461" i="48"/>
  <c r="P462" i="48"/>
  <c r="Q462" i="48"/>
  <c r="R462" i="48"/>
  <c r="S462" i="48"/>
  <c r="T462" i="48"/>
  <c r="U462" i="48"/>
  <c r="P463" i="48"/>
  <c r="Q463" i="48"/>
  <c r="R463" i="48"/>
  <c r="S463" i="48"/>
  <c r="T463" i="48"/>
  <c r="U463" i="48"/>
  <c r="P464" i="48"/>
  <c r="Q464" i="48"/>
  <c r="R464" i="48"/>
  <c r="S464" i="48"/>
  <c r="T464" i="48"/>
  <c r="U464" i="48"/>
  <c r="P465" i="48"/>
  <c r="Q465" i="48"/>
  <c r="R465" i="48"/>
  <c r="S465" i="48"/>
  <c r="T465" i="48"/>
  <c r="U465" i="48"/>
  <c r="P466" i="48"/>
  <c r="Q466" i="48"/>
  <c r="R466" i="48"/>
  <c r="S466" i="48"/>
  <c r="T466" i="48"/>
  <c r="U466" i="48"/>
  <c r="P467" i="48"/>
  <c r="Q467" i="48"/>
  <c r="R467" i="48"/>
  <c r="S467" i="48"/>
  <c r="T467" i="48"/>
  <c r="U467" i="48"/>
  <c r="P468" i="48"/>
  <c r="Q468" i="48"/>
  <c r="R468" i="48"/>
  <c r="S468" i="48"/>
  <c r="T468" i="48"/>
  <c r="U468" i="48"/>
  <c r="P469" i="48"/>
  <c r="Q469" i="48"/>
  <c r="R469" i="48"/>
  <c r="S469" i="48"/>
  <c r="T469" i="48"/>
  <c r="U469" i="48"/>
  <c r="P470" i="48"/>
  <c r="Q470" i="48"/>
  <c r="R470" i="48"/>
  <c r="S470" i="48"/>
  <c r="T470" i="48"/>
  <c r="U470" i="48"/>
  <c r="P471" i="48"/>
  <c r="Q471" i="48"/>
  <c r="R471" i="48"/>
  <c r="S471" i="48"/>
  <c r="T471" i="48"/>
  <c r="U471" i="48"/>
  <c r="P472" i="48"/>
  <c r="Q472" i="48"/>
  <c r="R472" i="48"/>
  <c r="S472" i="48"/>
  <c r="T472" i="48"/>
  <c r="U472" i="48"/>
  <c r="P473" i="48"/>
  <c r="Q473" i="48"/>
  <c r="R473" i="48"/>
  <c r="S473" i="48"/>
  <c r="T473" i="48"/>
  <c r="U473" i="48"/>
  <c r="P474" i="48"/>
  <c r="Q474" i="48"/>
  <c r="R474" i="48"/>
  <c r="S474" i="48"/>
  <c r="T474" i="48"/>
  <c r="U474" i="48"/>
  <c r="P475" i="48"/>
  <c r="Q475" i="48"/>
  <c r="R475" i="48"/>
  <c r="S475" i="48"/>
  <c r="T475" i="48"/>
  <c r="U475" i="48"/>
  <c r="P476" i="48"/>
  <c r="Q476" i="48"/>
  <c r="R476" i="48"/>
  <c r="S476" i="48"/>
  <c r="T476" i="48"/>
  <c r="U476" i="48"/>
  <c r="P477" i="48"/>
  <c r="Q477" i="48"/>
  <c r="R477" i="48"/>
  <c r="S477" i="48"/>
  <c r="T477" i="48"/>
  <c r="U477" i="48"/>
  <c r="P478" i="48"/>
  <c r="Q478" i="48"/>
  <c r="R478" i="48"/>
  <c r="S478" i="48"/>
  <c r="T478" i="48"/>
  <c r="U478" i="48"/>
  <c r="P479" i="48"/>
  <c r="Q479" i="48"/>
  <c r="R479" i="48"/>
  <c r="S479" i="48"/>
  <c r="T479" i="48"/>
  <c r="U479" i="48"/>
  <c r="P480" i="48"/>
  <c r="Q480" i="48"/>
  <c r="R480" i="48"/>
  <c r="S480" i="48"/>
  <c r="T480" i="48"/>
  <c r="U480" i="48"/>
  <c r="P481" i="48"/>
  <c r="Q481" i="48"/>
  <c r="R481" i="48"/>
  <c r="S481" i="48"/>
  <c r="T481" i="48"/>
  <c r="U481" i="48"/>
  <c r="P482" i="48"/>
  <c r="Q482" i="48"/>
  <c r="R482" i="48"/>
  <c r="S482" i="48"/>
  <c r="T482" i="48"/>
  <c r="U482" i="48"/>
  <c r="P483" i="48"/>
  <c r="Q483" i="48"/>
  <c r="R483" i="48"/>
  <c r="S483" i="48"/>
  <c r="T483" i="48"/>
  <c r="U483" i="48"/>
  <c r="P484" i="48"/>
  <c r="Q484" i="48"/>
  <c r="R484" i="48"/>
  <c r="S484" i="48"/>
  <c r="T484" i="48"/>
  <c r="U484" i="48"/>
  <c r="P485" i="48"/>
  <c r="Q485" i="48"/>
  <c r="R485" i="48"/>
  <c r="S485" i="48"/>
  <c r="T485" i="48"/>
  <c r="U485" i="48"/>
  <c r="P486" i="48"/>
  <c r="Q486" i="48"/>
  <c r="R486" i="48"/>
  <c r="S486" i="48"/>
  <c r="T486" i="48"/>
  <c r="U486" i="48"/>
  <c r="P487" i="48"/>
  <c r="Q487" i="48"/>
  <c r="R487" i="48"/>
  <c r="S487" i="48"/>
  <c r="T487" i="48"/>
  <c r="U487" i="48"/>
  <c r="P488" i="48"/>
  <c r="Q488" i="48"/>
  <c r="R488" i="48"/>
  <c r="S488" i="48"/>
  <c r="T488" i="48"/>
  <c r="U488" i="48"/>
  <c r="P489" i="48"/>
  <c r="Q489" i="48"/>
  <c r="R489" i="48"/>
  <c r="S489" i="48"/>
  <c r="T489" i="48"/>
  <c r="U489" i="48"/>
  <c r="P490" i="48"/>
  <c r="Q490" i="48"/>
  <c r="R490" i="48"/>
  <c r="S490" i="48"/>
  <c r="T490" i="48"/>
  <c r="U490" i="48"/>
  <c r="P491" i="48"/>
  <c r="Q491" i="48"/>
  <c r="R491" i="48"/>
  <c r="S491" i="48"/>
  <c r="T491" i="48"/>
  <c r="U491" i="48"/>
  <c r="P492" i="48"/>
  <c r="Q492" i="48"/>
  <c r="R492" i="48"/>
  <c r="S492" i="48"/>
  <c r="T492" i="48"/>
  <c r="U492" i="48"/>
  <c r="P493" i="48"/>
  <c r="Q493" i="48"/>
  <c r="R493" i="48"/>
  <c r="S493" i="48"/>
  <c r="T493" i="48"/>
  <c r="U493" i="48"/>
  <c r="P494" i="48"/>
  <c r="Q494" i="48"/>
  <c r="R494" i="48"/>
  <c r="S494" i="48"/>
  <c r="T494" i="48"/>
  <c r="U494" i="48"/>
  <c r="P495" i="48"/>
  <c r="Q495" i="48"/>
  <c r="R495" i="48"/>
  <c r="S495" i="48"/>
  <c r="T495" i="48"/>
  <c r="U495" i="48"/>
  <c r="P496" i="48"/>
  <c r="Q496" i="48"/>
  <c r="R496" i="48"/>
  <c r="S496" i="48"/>
  <c r="T496" i="48"/>
  <c r="U496" i="48"/>
  <c r="P497" i="48"/>
  <c r="Q497" i="48"/>
  <c r="R497" i="48"/>
  <c r="S497" i="48"/>
  <c r="T497" i="48"/>
  <c r="U497" i="48"/>
  <c r="P498" i="48"/>
  <c r="Q498" i="48"/>
  <c r="R498" i="48"/>
  <c r="S498" i="48"/>
  <c r="T498" i="48"/>
  <c r="U498" i="48"/>
  <c r="P499" i="48"/>
  <c r="Q499" i="48"/>
  <c r="R499" i="48"/>
  <c r="S499" i="48"/>
  <c r="T499" i="48"/>
  <c r="U499" i="48"/>
  <c r="P500" i="48"/>
  <c r="Q500" i="48"/>
  <c r="R500" i="48"/>
  <c r="S500" i="48"/>
  <c r="T500" i="48"/>
  <c r="U500" i="48"/>
  <c r="P501" i="48"/>
  <c r="Q501" i="48"/>
  <c r="R501" i="48"/>
  <c r="S501" i="48"/>
  <c r="T501" i="48"/>
  <c r="U501" i="48"/>
  <c r="P502" i="48"/>
  <c r="Q502" i="48"/>
  <c r="R502" i="48"/>
  <c r="S502" i="48"/>
  <c r="T502" i="48"/>
  <c r="U502" i="48"/>
  <c r="P503" i="48"/>
  <c r="Q503" i="48"/>
  <c r="R503" i="48"/>
  <c r="S503" i="48"/>
  <c r="T503" i="48"/>
  <c r="U503" i="48"/>
  <c r="P504" i="48"/>
  <c r="Q504" i="48"/>
  <c r="R504" i="48"/>
  <c r="S504" i="48"/>
  <c r="T504" i="48"/>
  <c r="U504" i="48"/>
  <c r="P505" i="48"/>
  <c r="Q505" i="48"/>
  <c r="R505" i="48"/>
  <c r="S505" i="48"/>
  <c r="T505" i="48"/>
  <c r="U505" i="48"/>
  <c r="P506" i="48"/>
  <c r="Q506" i="48"/>
  <c r="R506" i="48"/>
  <c r="S506" i="48"/>
  <c r="T506" i="48"/>
  <c r="U506" i="48"/>
  <c r="P507" i="48"/>
  <c r="Q507" i="48"/>
  <c r="R507" i="48"/>
  <c r="S507" i="48"/>
  <c r="T507" i="48"/>
  <c r="U507" i="48"/>
  <c r="P508" i="48"/>
  <c r="Q508" i="48"/>
  <c r="R508" i="48"/>
  <c r="S508" i="48"/>
  <c r="T508" i="48"/>
  <c r="U508" i="48"/>
  <c r="P509" i="48"/>
  <c r="Q509" i="48"/>
  <c r="R509" i="48"/>
  <c r="S509" i="48"/>
  <c r="T509" i="48"/>
  <c r="U509" i="48"/>
  <c r="P510" i="48"/>
  <c r="Q510" i="48"/>
  <c r="R510" i="48"/>
  <c r="S510" i="48"/>
  <c r="T510" i="48"/>
  <c r="U510" i="48"/>
  <c r="P511" i="48"/>
  <c r="Q511" i="48"/>
  <c r="R511" i="48"/>
  <c r="S511" i="48"/>
  <c r="T511" i="48"/>
  <c r="U511" i="48"/>
  <c r="P512" i="48"/>
  <c r="Q512" i="48"/>
  <c r="R512" i="48"/>
  <c r="S512" i="48"/>
  <c r="T512" i="48"/>
  <c r="U512" i="48"/>
  <c r="P513" i="48"/>
  <c r="Q513" i="48"/>
  <c r="R513" i="48"/>
  <c r="S513" i="48"/>
  <c r="T513" i="48"/>
  <c r="U513" i="48"/>
  <c r="P514" i="48"/>
  <c r="Q514" i="48"/>
  <c r="R514" i="48"/>
  <c r="S514" i="48"/>
  <c r="T514" i="48"/>
  <c r="U514" i="48"/>
  <c r="P515" i="48"/>
  <c r="Q515" i="48"/>
  <c r="R515" i="48"/>
  <c r="S515" i="48"/>
  <c r="T515" i="48"/>
  <c r="U515" i="48"/>
  <c r="P516" i="48"/>
  <c r="Q516" i="48"/>
  <c r="R516" i="48"/>
  <c r="S516" i="48"/>
  <c r="T516" i="48"/>
  <c r="U516" i="48"/>
  <c r="P517" i="48"/>
  <c r="Q517" i="48"/>
  <c r="R517" i="48"/>
  <c r="S517" i="48"/>
  <c r="T517" i="48"/>
  <c r="U517" i="48"/>
  <c r="P518" i="48"/>
  <c r="Q518" i="48"/>
  <c r="R518" i="48"/>
  <c r="S518" i="48"/>
  <c r="T518" i="48"/>
  <c r="U518" i="48"/>
  <c r="P519" i="48"/>
  <c r="Q519" i="48"/>
  <c r="R519" i="48"/>
  <c r="S519" i="48"/>
  <c r="T519" i="48"/>
  <c r="U519" i="48"/>
  <c r="P520" i="48"/>
  <c r="Q520" i="48"/>
  <c r="R520" i="48"/>
  <c r="S520" i="48"/>
  <c r="T520" i="48"/>
  <c r="U520" i="48"/>
  <c r="P521" i="48"/>
  <c r="Q521" i="48"/>
  <c r="R521" i="48"/>
  <c r="S521" i="48"/>
  <c r="T521" i="48"/>
  <c r="U521" i="48"/>
  <c r="P522" i="48"/>
  <c r="Q522" i="48"/>
  <c r="R522" i="48"/>
  <c r="S522" i="48"/>
  <c r="T522" i="48"/>
  <c r="U522" i="48"/>
  <c r="P523" i="48"/>
  <c r="Q523" i="48"/>
  <c r="R523" i="48"/>
  <c r="S523" i="48"/>
  <c r="T523" i="48"/>
  <c r="U523" i="48"/>
  <c r="P524" i="48"/>
  <c r="Q524" i="48"/>
  <c r="R524" i="48"/>
  <c r="S524" i="48"/>
  <c r="T524" i="48"/>
  <c r="U524" i="48"/>
  <c r="P525" i="48"/>
  <c r="Q525" i="48"/>
  <c r="R525" i="48"/>
  <c r="S525" i="48"/>
  <c r="T525" i="48"/>
  <c r="U525" i="48"/>
  <c r="P526" i="48"/>
  <c r="Q526" i="48"/>
  <c r="R526" i="48"/>
  <c r="S526" i="48"/>
  <c r="T526" i="48"/>
  <c r="U526" i="48"/>
  <c r="P527" i="48"/>
  <c r="Q527" i="48"/>
  <c r="R527" i="48"/>
  <c r="S527" i="48"/>
  <c r="T527" i="48"/>
  <c r="U527" i="48"/>
  <c r="P528" i="48"/>
  <c r="Q528" i="48"/>
  <c r="R528" i="48"/>
  <c r="S528" i="48"/>
  <c r="T528" i="48"/>
  <c r="U528" i="48"/>
  <c r="P529" i="48"/>
  <c r="Q529" i="48"/>
  <c r="R529" i="48"/>
  <c r="S529" i="48"/>
  <c r="T529" i="48"/>
  <c r="U529" i="48"/>
  <c r="P530" i="48"/>
  <c r="Q530" i="48"/>
  <c r="R530" i="48"/>
  <c r="S530" i="48"/>
  <c r="T530" i="48"/>
  <c r="U530" i="48"/>
  <c r="P531" i="48"/>
  <c r="Q531" i="48"/>
  <c r="R531" i="48"/>
  <c r="S531" i="48"/>
  <c r="T531" i="48"/>
  <c r="U531" i="48"/>
  <c r="P532" i="48"/>
  <c r="Q532" i="48"/>
  <c r="R532" i="48"/>
  <c r="S532" i="48"/>
  <c r="T532" i="48"/>
  <c r="U532" i="48"/>
  <c r="P533" i="48"/>
  <c r="Q533" i="48"/>
  <c r="R533" i="48"/>
  <c r="S533" i="48"/>
  <c r="T533" i="48"/>
  <c r="U533" i="48"/>
  <c r="P534" i="48"/>
  <c r="Q534" i="48"/>
  <c r="R534" i="48"/>
  <c r="S534" i="48"/>
  <c r="T534" i="48"/>
  <c r="U534" i="48"/>
  <c r="P535" i="48"/>
  <c r="Q535" i="48"/>
  <c r="R535" i="48"/>
  <c r="S535" i="48"/>
  <c r="T535" i="48"/>
  <c r="U535" i="48"/>
  <c r="P536" i="48"/>
  <c r="Q536" i="48"/>
  <c r="R536" i="48"/>
  <c r="S536" i="48"/>
  <c r="T536" i="48"/>
  <c r="U536" i="48"/>
  <c r="P537" i="48"/>
  <c r="Q537" i="48"/>
  <c r="R537" i="48"/>
  <c r="S537" i="48"/>
  <c r="T537" i="48"/>
  <c r="U537" i="48"/>
  <c r="P538" i="48"/>
  <c r="Q538" i="48"/>
  <c r="R538" i="48"/>
  <c r="S538" i="48"/>
  <c r="T538" i="48"/>
  <c r="U538" i="48"/>
  <c r="P539" i="48"/>
  <c r="Q539" i="48"/>
  <c r="R539" i="48"/>
  <c r="S539" i="48"/>
  <c r="T539" i="48"/>
  <c r="U539" i="48"/>
  <c r="P540" i="48"/>
  <c r="Q540" i="48"/>
  <c r="R540" i="48"/>
  <c r="S540" i="48"/>
  <c r="T540" i="48"/>
  <c r="U540" i="48"/>
  <c r="P541" i="48"/>
  <c r="Q541" i="48"/>
  <c r="R541" i="48"/>
  <c r="S541" i="48"/>
  <c r="T541" i="48"/>
  <c r="U541" i="48"/>
  <c r="P542" i="48"/>
  <c r="Q542" i="48"/>
  <c r="R542" i="48"/>
  <c r="S542" i="48"/>
  <c r="T542" i="48"/>
  <c r="U542" i="48"/>
  <c r="P543" i="48"/>
  <c r="Q543" i="48"/>
  <c r="R543" i="48"/>
  <c r="S543" i="48"/>
  <c r="T543" i="48"/>
  <c r="U543" i="48"/>
  <c r="P544" i="48"/>
  <c r="Q544" i="48"/>
  <c r="R544" i="48"/>
  <c r="S544" i="48"/>
  <c r="T544" i="48"/>
  <c r="U544" i="48"/>
  <c r="P545" i="48"/>
  <c r="Q545" i="48"/>
  <c r="R545" i="48"/>
  <c r="S545" i="48"/>
  <c r="T545" i="48"/>
  <c r="U545" i="48"/>
  <c r="P546" i="48"/>
  <c r="Q546" i="48"/>
  <c r="R546" i="48"/>
  <c r="S546" i="48"/>
  <c r="T546" i="48"/>
  <c r="U546" i="48"/>
  <c r="P547" i="48"/>
  <c r="Q547" i="48"/>
  <c r="R547" i="48"/>
  <c r="S547" i="48"/>
  <c r="T547" i="48"/>
  <c r="U547" i="48"/>
  <c r="P548" i="48"/>
  <c r="Q548" i="48"/>
  <c r="R548" i="48"/>
  <c r="S548" i="48"/>
  <c r="T548" i="48"/>
  <c r="U548" i="48"/>
  <c r="P549" i="48"/>
  <c r="Q549" i="48"/>
  <c r="R549" i="48"/>
  <c r="S549" i="48"/>
  <c r="T549" i="48"/>
  <c r="U549" i="48"/>
  <c r="P550" i="48"/>
  <c r="Q550" i="48"/>
  <c r="R550" i="48"/>
  <c r="S550" i="48"/>
  <c r="T550" i="48"/>
  <c r="U550" i="48"/>
  <c r="P551" i="48"/>
  <c r="Q551" i="48"/>
  <c r="R551" i="48"/>
  <c r="S551" i="48"/>
  <c r="T551" i="48"/>
  <c r="U551" i="48"/>
  <c r="P552" i="48"/>
  <c r="Q552" i="48"/>
  <c r="R552" i="48"/>
  <c r="S552" i="48"/>
  <c r="T552" i="48"/>
  <c r="U552" i="48"/>
  <c r="P553" i="48"/>
  <c r="Q553" i="48"/>
  <c r="R553" i="48"/>
  <c r="S553" i="48"/>
  <c r="T553" i="48"/>
  <c r="U553" i="48"/>
  <c r="P554" i="48"/>
  <c r="Q554" i="48"/>
  <c r="R554" i="48"/>
  <c r="S554" i="48"/>
  <c r="T554" i="48"/>
  <c r="U554" i="48"/>
  <c r="P555" i="48"/>
  <c r="Q555" i="48"/>
  <c r="R555" i="48"/>
  <c r="S555" i="48"/>
  <c r="T555" i="48"/>
  <c r="U555" i="48"/>
  <c r="P556" i="48"/>
  <c r="Q556" i="48"/>
  <c r="R556" i="48"/>
  <c r="S556" i="48"/>
  <c r="T556" i="48"/>
  <c r="U556" i="48"/>
  <c r="P557" i="48"/>
  <c r="Q557" i="48"/>
  <c r="R557" i="48"/>
  <c r="S557" i="48"/>
  <c r="T557" i="48"/>
  <c r="U557" i="48"/>
  <c r="P558" i="48"/>
  <c r="Q558" i="48"/>
  <c r="R558" i="48"/>
  <c r="S558" i="48"/>
  <c r="T558" i="48"/>
  <c r="U558" i="48"/>
  <c r="P559" i="48"/>
  <c r="Q559" i="48"/>
  <c r="R559" i="48"/>
  <c r="S559" i="48"/>
  <c r="T559" i="48"/>
  <c r="U559" i="48"/>
  <c r="P560" i="48"/>
  <c r="Q560" i="48"/>
  <c r="R560" i="48"/>
  <c r="S560" i="48"/>
  <c r="T560" i="48"/>
  <c r="U560" i="48"/>
  <c r="P561" i="48"/>
  <c r="Q561" i="48"/>
  <c r="R561" i="48"/>
  <c r="S561" i="48"/>
  <c r="T561" i="48"/>
  <c r="U561" i="48"/>
  <c r="P562" i="48"/>
  <c r="Q562" i="48"/>
  <c r="R562" i="48"/>
  <c r="S562" i="48"/>
  <c r="T562" i="48"/>
  <c r="U562" i="48"/>
  <c r="P563" i="48"/>
  <c r="Q563" i="48"/>
  <c r="R563" i="48"/>
  <c r="S563" i="48"/>
  <c r="T563" i="48"/>
  <c r="U563" i="48"/>
  <c r="P564" i="48"/>
  <c r="Q564" i="48"/>
  <c r="R564" i="48"/>
  <c r="S564" i="48"/>
  <c r="T564" i="48"/>
  <c r="U564" i="48"/>
  <c r="P565" i="48"/>
  <c r="Q565" i="48"/>
  <c r="R565" i="48"/>
  <c r="S565" i="48"/>
  <c r="T565" i="48"/>
  <c r="U565" i="48"/>
  <c r="P566" i="48"/>
  <c r="Q566" i="48"/>
  <c r="R566" i="48"/>
  <c r="S566" i="48"/>
  <c r="T566" i="48"/>
  <c r="U566" i="48"/>
  <c r="P567" i="48"/>
  <c r="Q567" i="48"/>
  <c r="R567" i="48"/>
  <c r="S567" i="48"/>
  <c r="T567" i="48"/>
  <c r="U567" i="48"/>
  <c r="P568" i="48"/>
  <c r="Q568" i="48"/>
  <c r="R568" i="48"/>
  <c r="S568" i="48"/>
  <c r="T568" i="48"/>
  <c r="U568" i="48"/>
  <c r="P569" i="48"/>
  <c r="Q569" i="48"/>
  <c r="R569" i="48"/>
  <c r="S569" i="48"/>
  <c r="T569" i="48"/>
  <c r="U569" i="48"/>
  <c r="P570" i="48"/>
  <c r="Q570" i="48"/>
  <c r="R570" i="48"/>
  <c r="S570" i="48"/>
  <c r="T570" i="48"/>
  <c r="U570" i="48"/>
  <c r="P571" i="48"/>
  <c r="Q571" i="48"/>
  <c r="R571" i="48"/>
  <c r="S571" i="48"/>
  <c r="T571" i="48"/>
  <c r="U571" i="48"/>
  <c r="P572" i="48"/>
  <c r="Q572" i="48"/>
  <c r="R572" i="48"/>
  <c r="S572" i="48"/>
  <c r="T572" i="48"/>
  <c r="U572" i="48"/>
  <c r="P573" i="48"/>
  <c r="Q573" i="48"/>
  <c r="R573" i="48"/>
  <c r="S573" i="48"/>
  <c r="T573" i="48"/>
  <c r="U573" i="48"/>
  <c r="P574" i="48"/>
  <c r="Q574" i="48"/>
  <c r="R574" i="48"/>
  <c r="S574" i="48"/>
  <c r="T574" i="48"/>
  <c r="U574" i="48"/>
  <c r="P575" i="48"/>
  <c r="Q575" i="48"/>
  <c r="R575" i="48"/>
  <c r="S575" i="48"/>
  <c r="T575" i="48"/>
  <c r="U575" i="48"/>
  <c r="P576" i="48"/>
  <c r="Q576" i="48"/>
  <c r="R576" i="48"/>
  <c r="S576" i="48"/>
  <c r="T576" i="48"/>
  <c r="U576" i="48"/>
  <c r="P577" i="48"/>
  <c r="Q577" i="48"/>
  <c r="R577" i="48"/>
  <c r="S577" i="48"/>
  <c r="T577" i="48"/>
  <c r="U577" i="48"/>
  <c r="P578" i="48"/>
  <c r="Q578" i="48"/>
  <c r="R578" i="48"/>
  <c r="S578" i="48"/>
  <c r="T578" i="48"/>
  <c r="U578" i="48"/>
  <c r="P579" i="48"/>
  <c r="Q579" i="48"/>
  <c r="R579" i="48"/>
  <c r="S579" i="48"/>
  <c r="T579" i="48"/>
  <c r="U579" i="48"/>
  <c r="P580" i="48"/>
  <c r="Q580" i="48"/>
  <c r="R580" i="48"/>
  <c r="S580" i="48"/>
  <c r="T580" i="48"/>
  <c r="U580" i="48"/>
  <c r="P581" i="48"/>
  <c r="Q581" i="48"/>
  <c r="R581" i="48"/>
  <c r="S581" i="48"/>
  <c r="T581" i="48"/>
  <c r="U581" i="48"/>
  <c r="P582" i="48"/>
  <c r="Q582" i="48"/>
  <c r="R582" i="48"/>
  <c r="S582" i="48"/>
  <c r="T582" i="48"/>
  <c r="U582" i="48"/>
  <c r="P583" i="48"/>
  <c r="Q583" i="48"/>
  <c r="R583" i="48"/>
  <c r="S583" i="48"/>
  <c r="T583" i="48"/>
  <c r="U583" i="48"/>
  <c r="P584" i="48"/>
  <c r="Q584" i="48"/>
  <c r="R584" i="48"/>
  <c r="S584" i="48"/>
  <c r="T584" i="48"/>
  <c r="U584" i="48"/>
  <c r="P585" i="48"/>
  <c r="Q585" i="48"/>
  <c r="R585" i="48"/>
  <c r="S585" i="48"/>
  <c r="T585" i="48"/>
  <c r="U585" i="48"/>
  <c r="P586" i="48"/>
  <c r="Q586" i="48"/>
  <c r="R586" i="48"/>
  <c r="S586" i="48"/>
  <c r="T586" i="48"/>
  <c r="U586" i="48"/>
  <c r="P587" i="48"/>
  <c r="Q587" i="48"/>
  <c r="R587" i="48"/>
  <c r="S587" i="48"/>
  <c r="T587" i="48"/>
  <c r="U587" i="48"/>
  <c r="P588" i="48"/>
  <c r="Q588" i="48"/>
  <c r="R588" i="48"/>
  <c r="S588" i="48"/>
  <c r="T588" i="48"/>
  <c r="U588" i="48"/>
  <c r="P589" i="48"/>
  <c r="Q589" i="48"/>
  <c r="R589" i="48"/>
  <c r="S589" i="48"/>
  <c r="T589" i="48"/>
  <c r="U589" i="48"/>
  <c r="P590" i="48"/>
  <c r="Q590" i="48"/>
  <c r="R590" i="48"/>
  <c r="S590" i="48"/>
  <c r="T590" i="48"/>
  <c r="U590" i="48"/>
  <c r="P591" i="48"/>
  <c r="Q591" i="48"/>
  <c r="R591" i="48"/>
  <c r="S591" i="48"/>
  <c r="T591" i="48"/>
  <c r="U591" i="48"/>
  <c r="P592" i="48"/>
  <c r="Q592" i="48"/>
  <c r="R592" i="48"/>
  <c r="S592" i="48"/>
  <c r="T592" i="48"/>
  <c r="U592" i="48"/>
  <c r="P593" i="48"/>
  <c r="Q593" i="48"/>
  <c r="R593" i="48"/>
  <c r="S593" i="48"/>
  <c r="T593" i="48"/>
  <c r="U593" i="48"/>
  <c r="P594" i="48"/>
  <c r="Q594" i="48"/>
  <c r="R594" i="48"/>
  <c r="S594" i="48"/>
  <c r="T594" i="48"/>
  <c r="U594" i="48"/>
  <c r="P595" i="48"/>
  <c r="Q595" i="48"/>
  <c r="R595" i="48"/>
  <c r="S595" i="48"/>
  <c r="T595" i="48"/>
  <c r="U595" i="48"/>
  <c r="P596" i="48"/>
  <c r="Q596" i="48"/>
  <c r="R596" i="48"/>
  <c r="S596" i="48"/>
  <c r="T596" i="48"/>
  <c r="U596" i="48"/>
  <c r="P597" i="48"/>
  <c r="Q597" i="48"/>
  <c r="R597" i="48"/>
  <c r="S597" i="48"/>
  <c r="T597" i="48"/>
  <c r="U597" i="48"/>
  <c r="P598" i="48"/>
  <c r="Q598" i="48"/>
  <c r="R598" i="48"/>
  <c r="S598" i="48"/>
  <c r="T598" i="48"/>
  <c r="U598" i="48"/>
  <c r="P599" i="48"/>
  <c r="Q599" i="48"/>
  <c r="R599" i="48"/>
  <c r="S599" i="48"/>
  <c r="T599" i="48"/>
  <c r="U599" i="48"/>
  <c r="P600" i="48"/>
  <c r="Q600" i="48"/>
  <c r="R600" i="48"/>
  <c r="S600" i="48"/>
  <c r="T600" i="48"/>
  <c r="U600" i="48"/>
  <c r="P601" i="48"/>
  <c r="Q601" i="48"/>
  <c r="R601" i="48"/>
  <c r="S601" i="48"/>
  <c r="T601" i="48"/>
  <c r="U601" i="48"/>
  <c r="P602" i="48"/>
  <c r="Q602" i="48"/>
  <c r="R602" i="48"/>
  <c r="S602" i="48"/>
  <c r="T602" i="48"/>
  <c r="U602" i="48"/>
  <c r="P603" i="48"/>
  <c r="Q603" i="48"/>
  <c r="R603" i="48"/>
  <c r="S603" i="48"/>
  <c r="T603" i="48"/>
  <c r="U603" i="48"/>
  <c r="P604" i="48"/>
  <c r="Q604" i="48"/>
  <c r="R604" i="48"/>
  <c r="S604" i="48"/>
  <c r="T604" i="48"/>
  <c r="U604" i="48"/>
  <c r="P605" i="48"/>
  <c r="Q605" i="48"/>
  <c r="R605" i="48"/>
  <c r="S605" i="48"/>
  <c r="T605" i="48"/>
  <c r="U605" i="48"/>
  <c r="P606" i="48"/>
  <c r="Q606" i="48"/>
  <c r="R606" i="48"/>
  <c r="S606" i="48"/>
  <c r="T606" i="48"/>
  <c r="U606" i="48"/>
  <c r="P607" i="48"/>
  <c r="Q607" i="48"/>
  <c r="R607" i="48"/>
  <c r="S607" i="48"/>
  <c r="T607" i="48"/>
  <c r="U607" i="48"/>
  <c r="P608" i="48"/>
  <c r="Q608" i="48"/>
  <c r="R608" i="48"/>
  <c r="S608" i="48"/>
  <c r="T608" i="48"/>
  <c r="U608" i="48"/>
  <c r="P609" i="48"/>
  <c r="Q609" i="48"/>
  <c r="R609" i="48"/>
  <c r="S609" i="48"/>
  <c r="T609" i="48"/>
  <c r="U609" i="48"/>
  <c r="P610" i="48"/>
  <c r="Q610" i="48"/>
  <c r="R610" i="48"/>
  <c r="S610" i="48"/>
  <c r="T610" i="48"/>
  <c r="U610" i="48"/>
  <c r="P611" i="48"/>
  <c r="Q611" i="48"/>
  <c r="R611" i="48"/>
  <c r="S611" i="48"/>
  <c r="T611" i="48"/>
  <c r="U611" i="48"/>
  <c r="P612" i="48"/>
  <c r="Q612" i="48"/>
  <c r="R612" i="48"/>
  <c r="S612" i="48"/>
  <c r="T612" i="48"/>
  <c r="U612" i="48"/>
  <c r="P613" i="48"/>
  <c r="Q613" i="48"/>
  <c r="R613" i="48"/>
  <c r="S613" i="48"/>
  <c r="T613" i="48"/>
  <c r="U613" i="48"/>
  <c r="P614" i="48"/>
  <c r="Q614" i="48"/>
  <c r="R614" i="48"/>
  <c r="S614" i="48"/>
  <c r="T614" i="48"/>
  <c r="U614" i="48"/>
  <c r="P615" i="48"/>
  <c r="Q615" i="48"/>
  <c r="R615" i="48"/>
  <c r="S615" i="48"/>
  <c r="T615" i="48"/>
  <c r="U615" i="48"/>
  <c r="P616" i="48"/>
  <c r="Q616" i="48"/>
  <c r="R616" i="48"/>
  <c r="S616" i="48"/>
  <c r="T616" i="48"/>
  <c r="U616" i="48"/>
  <c r="P617" i="48"/>
  <c r="Q617" i="48"/>
  <c r="R617" i="48"/>
  <c r="S617" i="48"/>
  <c r="T617" i="48"/>
  <c r="U617" i="48"/>
  <c r="P618" i="48"/>
  <c r="Q618" i="48"/>
  <c r="R618" i="48"/>
  <c r="S618" i="48"/>
  <c r="T618" i="48"/>
  <c r="U618" i="48"/>
  <c r="P619" i="48"/>
  <c r="Q619" i="48"/>
  <c r="R619" i="48"/>
  <c r="S619" i="48"/>
  <c r="T619" i="48"/>
  <c r="U619" i="48"/>
  <c r="P620" i="48"/>
  <c r="Q620" i="48"/>
  <c r="R620" i="48"/>
  <c r="S620" i="48"/>
  <c r="T620" i="48"/>
  <c r="U620" i="48"/>
  <c r="P621" i="48"/>
  <c r="Q621" i="48"/>
  <c r="R621" i="48"/>
  <c r="S621" i="48"/>
  <c r="T621" i="48"/>
  <c r="U621" i="48"/>
  <c r="P622" i="48"/>
  <c r="Q622" i="48"/>
  <c r="R622" i="48"/>
  <c r="S622" i="48"/>
  <c r="T622" i="48"/>
  <c r="U622" i="48"/>
  <c r="P623" i="48"/>
  <c r="Q623" i="48"/>
  <c r="R623" i="48"/>
  <c r="S623" i="48"/>
  <c r="T623" i="48"/>
  <c r="U623" i="48"/>
  <c r="P624" i="48"/>
  <c r="Q624" i="48"/>
  <c r="R624" i="48"/>
  <c r="S624" i="48"/>
  <c r="T624" i="48"/>
  <c r="U624" i="48"/>
  <c r="P625" i="48"/>
  <c r="Q625" i="48"/>
  <c r="R625" i="48"/>
  <c r="S625" i="48"/>
  <c r="T625" i="48"/>
  <c r="U625" i="48"/>
  <c r="P626" i="48"/>
  <c r="Q626" i="48"/>
  <c r="R626" i="48"/>
  <c r="S626" i="48"/>
  <c r="T626" i="48"/>
  <c r="U626" i="48"/>
  <c r="P627" i="48"/>
  <c r="Q627" i="48"/>
  <c r="R627" i="48"/>
  <c r="S627" i="48"/>
  <c r="T627" i="48"/>
  <c r="U627" i="48"/>
  <c r="P628" i="48"/>
  <c r="Q628" i="48"/>
  <c r="R628" i="48"/>
  <c r="S628" i="48"/>
  <c r="T628" i="48"/>
  <c r="U628" i="48"/>
  <c r="P629" i="48"/>
  <c r="Q629" i="48"/>
  <c r="R629" i="48"/>
  <c r="S629" i="48"/>
  <c r="T629" i="48"/>
  <c r="U629" i="48"/>
  <c r="P630" i="48"/>
  <c r="Q630" i="48"/>
  <c r="R630" i="48"/>
  <c r="S630" i="48"/>
  <c r="T630" i="48"/>
  <c r="U630" i="48"/>
  <c r="P631" i="48"/>
  <c r="Q631" i="48"/>
  <c r="R631" i="48"/>
  <c r="S631" i="48"/>
  <c r="T631" i="48"/>
  <c r="U631" i="48"/>
  <c r="P632" i="48"/>
  <c r="Q632" i="48"/>
  <c r="R632" i="48"/>
  <c r="S632" i="48"/>
  <c r="T632" i="48"/>
  <c r="U632" i="48"/>
  <c r="P633" i="48"/>
  <c r="Q633" i="48"/>
  <c r="R633" i="48"/>
  <c r="S633" i="48"/>
  <c r="T633" i="48"/>
  <c r="U633" i="48"/>
  <c r="P634" i="48"/>
  <c r="Q634" i="48"/>
  <c r="R634" i="48"/>
  <c r="S634" i="48"/>
  <c r="T634" i="48"/>
  <c r="U634" i="48"/>
  <c r="P635" i="48"/>
  <c r="Q635" i="48"/>
  <c r="R635" i="48"/>
  <c r="S635" i="48"/>
  <c r="T635" i="48"/>
  <c r="U635" i="48"/>
  <c r="P636" i="48"/>
  <c r="Q636" i="48"/>
  <c r="R636" i="48"/>
  <c r="S636" i="48"/>
  <c r="T636" i="48"/>
  <c r="U636" i="48"/>
  <c r="P637" i="48"/>
  <c r="Q637" i="48"/>
  <c r="R637" i="48"/>
  <c r="S637" i="48"/>
  <c r="T637" i="48"/>
  <c r="U637" i="48"/>
  <c r="P638" i="48"/>
  <c r="Q638" i="48"/>
  <c r="R638" i="48"/>
  <c r="S638" i="48"/>
  <c r="T638" i="48"/>
  <c r="U638" i="48"/>
  <c r="P639" i="48"/>
  <c r="Q639" i="48"/>
  <c r="R639" i="48"/>
  <c r="S639" i="48"/>
  <c r="T639" i="48"/>
  <c r="U639" i="48"/>
  <c r="P640" i="48"/>
  <c r="Q640" i="48"/>
  <c r="R640" i="48"/>
  <c r="S640" i="48"/>
  <c r="T640" i="48"/>
  <c r="U640" i="48"/>
  <c r="P641" i="48"/>
  <c r="Q641" i="48"/>
  <c r="R641" i="48"/>
  <c r="S641" i="48"/>
  <c r="T641" i="48"/>
  <c r="U641" i="48"/>
  <c r="P642" i="48"/>
  <c r="Q642" i="48"/>
  <c r="R642" i="48"/>
  <c r="S642" i="48"/>
  <c r="T642" i="48"/>
  <c r="U642" i="48"/>
  <c r="P643" i="48"/>
  <c r="Q643" i="48"/>
  <c r="R643" i="48"/>
  <c r="S643" i="48"/>
  <c r="T643" i="48"/>
  <c r="U643" i="48"/>
  <c r="P644" i="48"/>
  <c r="Q644" i="48"/>
  <c r="R644" i="48"/>
  <c r="S644" i="48"/>
  <c r="T644" i="48"/>
  <c r="U644" i="48"/>
  <c r="P645" i="48"/>
  <c r="Q645" i="48"/>
  <c r="R645" i="48"/>
  <c r="S645" i="48"/>
  <c r="T645" i="48"/>
  <c r="U645" i="48"/>
  <c r="P646" i="48"/>
  <c r="Q646" i="48"/>
  <c r="R646" i="48"/>
  <c r="S646" i="48"/>
  <c r="T646" i="48"/>
  <c r="U646" i="48"/>
  <c r="P647" i="48"/>
  <c r="Q647" i="48"/>
  <c r="R647" i="48"/>
  <c r="S647" i="48"/>
  <c r="T647" i="48"/>
  <c r="U647" i="48"/>
  <c r="P648" i="48"/>
  <c r="Q648" i="48"/>
  <c r="R648" i="48"/>
  <c r="S648" i="48"/>
  <c r="T648" i="48"/>
  <c r="U648" i="48"/>
  <c r="P649" i="48"/>
  <c r="Q649" i="48"/>
  <c r="R649" i="48"/>
  <c r="S649" i="48"/>
  <c r="T649" i="48"/>
  <c r="U649" i="48"/>
  <c r="P650" i="48"/>
  <c r="Q650" i="48"/>
  <c r="R650" i="48"/>
  <c r="S650" i="48"/>
  <c r="T650" i="48"/>
  <c r="U650" i="48"/>
  <c r="P651" i="48"/>
  <c r="Q651" i="48"/>
  <c r="R651" i="48"/>
  <c r="S651" i="48"/>
  <c r="T651" i="48"/>
  <c r="U651" i="48"/>
  <c r="P652" i="48"/>
  <c r="Q652" i="48"/>
  <c r="R652" i="48"/>
  <c r="S652" i="48"/>
  <c r="T652" i="48"/>
  <c r="U652" i="48"/>
  <c r="P653" i="48"/>
  <c r="Q653" i="48"/>
  <c r="R653" i="48"/>
  <c r="S653" i="48"/>
  <c r="T653" i="48"/>
  <c r="U653" i="48"/>
  <c r="P654" i="48"/>
  <c r="Q654" i="48"/>
  <c r="R654" i="48"/>
  <c r="S654" i="48"/>
  <c r="T654" i="48"/>
  <c r="U654" i="48"/>
  <c r="P655" i="48"/>
  <c r="Q655" i="48"/>
  <c r="R655" i="48"/>
  <c r="S655" i="48"/>
  <c r="T655" i="48"/>
  <c r="U655" i="48"/>
  <c r="P656" i="48"/>
  <c r="Q656" i="48"/>
  <c r="R656" i="48"/>
  <c r="S656" i="48"/>
  <c r="T656" i="48"/>
  <c r="U656" i="48"/>
  <c r="P657" i="48"/>
  <c r="Q657" i="48"/>
  <c r="R657" i="48"/>
  <c r="S657" i="48"/>
  <c r="T657" i="48"/>
  <c r="U657" i="48"/>
  <c r="P658" i="48"/>
  <c r="Q658" i="48"/>
  <c r="R658" i="48"/>
  <c r="S658" i="48"/>
  <c r="T658" i="48"/>
  <c r="U658" i="48"/>
  <c r="P659" i="48"/>
  <c r="Q659" i="48"/>
  <c r="R659" i="48"/>
  <c r="S659" i="48"/>
  <c r="T659" i="48"/>
  <c r="U659" i="48"/>
  <c r="P660" i="48"/>
  <c r="Q660" i="48"/>
  <c r="R660" i="48"/>
  <c r="S660" i="48"/>
  <c r="T660" i="48"/>
  <c r="U660" i="48"/>
  <c r="P661" i="48"/>
  <c r="Q661" i="48"/>
  <c r="R661" i="48"/>
  <c r="S661" i="48"/>
  <c r="T661" i="48"/>
  <c r="U661" i="48"/>
  <c r="P662" i="48"/>
  <c r="Q662" i="48"/>
  <c r="R662" i="48"/>
  <c r="S662" i="48"/>
  <c r="T662" i="48"/>
  <c r="U662" i="48"/>
  <c r="P663" i="48"/>
  <c r="Q663" i="48"/>
  <c r="R663" i="48"/>
  <c r="S663" i="48"/>
  <c r="T663" i="48"/>
  <c r="U663" i="48"/>
  <c r="P664" i="48"/>
  <c r="Q664" i="48"/>
  <c r="R664" i="48"/>
  <c r="S664" i="48"/>
  <c r="T664" i="48"/>
  <c r="U664" i="48"/>
  <c r="P665" i="48"/>
  <c r="Q665" i="48"/>
  <c r="R665" i="48"/>
  <c r="S665" i="48"/>
  <c r="T665" i="48"/>
  <c r="U665" i="48"/>
  <c r="P666" i="48"/>
  <c r="Q666" i="48"/>
  <c r="R666" i="48"/>
  <c r="S666" i="48"/>
  <c r="T666" i="48"/>
  <c r="U666" i="48"/>
  <c r="P667" i="48"/>
  <c r="Q667" i="48"/>
  <c r="R667" i="48"/>
  <c r="S667" i="48"/>
  <c r="T667" i="48"/>
  <c r="U667" i="48"/>
  <c r="P668" i="48"/>
  <c r="Q668" i="48"/>
  <c r="R668" i="48"/>
  <c r="S668" i="48"/>
  <c r="T668" i="48"/>
  <c r="U668" i="48"/>
  <c r="P669" i="48"/>
  <c r="Q669" i="48"/>
  <c r="R669" i="48"/>
  <c r="S669" i="48"/>
  <c r="T669" i="48"/>
  <c r="U669" i="48"/>
  <c r="P670" i="48"/>
  <c r="Q670" i="48"/>
  <c r="R670" i="48"/>
  <c r="S670" i="48"/>
  <c r="T670" i="48"/>
  <c r="U670" i="48"/>
  <c r="P671" i="48"/>
  <c r="Q671" i="48"/>
  <c r="R671" i="48"/>
  <c r="S671" i="48"/>
  <c r="T671" i="48"/>
  <c r="U671" i="48"/>
  <c r="P672" i="48"/>
  <c r="Q672" i="48"/>
  <c r="R672" i="48"/>
  <c r="S672" i="48"/>
  <c r="T672" i="48"/>
  <c r="U672" i="48"/>
  <c r="P673" i="48"/>
  <c r="Q673" i="48"/>
  <c r="R673" i="48"/>
  <c r="S673" i="48"/>
  <c r="T673" i="48"/>
  <c r="U673" i="48"/>
  <c r="P674" i="48"/>
  <c r="Q674" i="48"/>
  <c r="R674" i="48"/>
  <c r="S674" i="48"/>
  <c r="T674" i="48"/>
  <c r="U674" i="48"/>
  <c r="P675" i="48"/>
  <c r="Q675" i="48"/>
  <c r="R675" i="48"/>
  <c r="S675" i="48"/>
  <c r="T675" i="48"/>
  <c r="U675" i="48"/>
  <c r="P676" i="48"/>
  <c r="Q676" i="48"/>
  <c r="R676" i="48"/>
  <c r="S676" i="48"/>
  <c r="T676" i="48"/>
  <c r="U676" i="48"/>
  <c r="P677" i="48"/>
  <c r="Q677" i="48"/>
  <c r="R677" i="48"/>
  <c r="S677" i="48"/>
  <c r="T677" i="48"/>
  <c r="U677" i="48"/>
  <c r="P678" i="48"/>
  <c r="Q678" i="48"/>
  <c r="R678" i="48"/>
  <c r="S678" i="48"/>
  <c r="T678" i="48"/>
  <c r="U678" i="48"/>
  <c r="P679" i="48"/>
  <c r="Q679" i="48"/>
  <c r="R679" i="48"/>
  <c r="S679" i="48"/>
  <c r="T679" i="48"/>
  <c r="U679" i="48"/>
  <c r="P680" i="48"/>
  <c r="Q680" i="48"/>
  <c r="R680" i="48"/>
  <c r="S680" i="48"/>
  <c r="T680" i="48"/>
  <c r="U680" i="48"/>
  <c r="P681" i="48"/>
  <c r="Q681" i="48"/>
  <c r="R681" i="48"/>
  <c r="S681" i="48"/>
  <c r="T681" i="48"/>
  <c r="U681" i="48"/>
  <c r="P682" i="48"/>
  <c r="Q682" i="48"/>
  <c r="R682" i="48"/>
  <c r="S682" i="48"/>
  <c r="T682" i="48"/>
  <c r="U682" i="48"/>
  <c r="P683" i="48"/>
  <c r="Q683" i="48"/>
  <c r="R683" i="48"/>
  <c r="S683" i="48"/>
  <c r="T683" i="48"/>
  <c r="U683" i="48"/>
  <c r="P684" i="48"/>
  <c r="Q684" i="48"/>
  <c r="R684" i="48"/>
  <c r="S684" i="48"/>
  <c r="T684" i="48"/>
  <c r="U684" i="48"/>
  <c r="P685" i="48"/>
  <c r="Q685" i="48"/>
  <c r="R685" i="48"/>
  <c r="S685" i="48"/>
  <c r="T685" i="48"/>
  <c r="U685" i="48"/>
  <c r="P686" i="48"/>
  <c r="Q686" i="48"/>
  <c r="R686" i="48"/>
  <c r="S686" i="48"/>
  <c r="T686" i="48"/>
  <c r="U686" i="48"/>
  <c r="P687" i="48"/>
  <c r="Q687" i="48"/>
  <c r="R687" i="48"/>
  <c r="S687" i="48"/>
  <c r="T687" i="48"/>
  <c r="U687" i="48"/>
  <c r="P688" i="48"/>
  <c r="Q688" i="48"/>
  <c r="R688" i="48"/>
  <c r="S688" i="48"/>
  <c r="T688" i="48"/>
  <c r="U688" i="48"/>
  <c r="P689" i="48"/>
  <c r="Q689" i="48"/>
  <c r="R689" i="48"/>
  <c r="S689" i="48"/>
  <c r="T689" i="48"/>
  <c r="U689" i="48"/>
  <c r="P690" i="48"/>
  <c r="Q690" i="48"/>
  <c r="R690" i="48"/>
  <c r="S690" i="48"/>
  <c r="T690" i="48"/>
  <c r="U690" i="48"/>
  <c r="P691" i="48"/>
  <c r="Q691" i="48"/>
  <c r="R691" i="48"/>
  <c r="S691" i="48"/>
  <c r="T691" i="48"/>
  <c r="U691" i="48"/>
  <c r="P692" i="48"/>
  <c r="Q692" i="48"/>
  <c r="R692" i="48"/>
  <c r="S692" i="48"/>
  <c r="T692" i="48"/>
  <c r="U692" i="48"/>
  <c r="P693" i="48"/>
  <c r="Q693" i="48"/>
  <c r="R693" i="48"/>
  <c r="S693" i="48"/>
  <c r="T693" i="48"/>
  <c r="U693" i="48"/>
  <c r="P694" i="48"/>
  <c r="Q694" i="48"/>
  <c r="R694" i="48"/>
  <c r="S694" i="48"/>
  <c r="T694" i="48"/>
  <c r="U694" i="48"/>
  <c r="P695" i="48"/>
  <c r="Q695" i="48"/>
  <c r="R695" i="48"/>
  <c r="S695" i="48"/>
  <c r="T695" i="48"/>
  <c r="U695" i="48"/>
  <c r="P696" i="48"/>
  <c r="Q696" i="48"/>
  <c r="R696" i="48"/>
  <c r="S696" i="48"/>
  <c r="T696" i="48"/>
  <c r="U696" i="48"/>
  <c r="P697" i="48"/>
  <c r="Q697" i="48"/>
  <c r="R697" i="48"/>
  <c r="S697" i="48"/>
  <c r="T697" i="48"/>
  <c r="U697" i="48"/>
  <c r="P698" i="48"/>
  <c r="Q698" i="48"/>
  <c r="R698" i="48"/>
  <c r="S698" i="48"/>
  <c r="T698" i="48"/>
  <c r="P699" i="48"/>
  <c r="Q699" i="48"/>
  <c r="R699" i="48"/>
  <c r="S699" i="48"/>
  <c r="T699" i="48"/>
  <c r="P700" i="48"/>
  <c r="Q700" i="48"/>
  <c r="R700" i="48"/>
  <c r="S700" i="48"/>
  <c r="T700" i="48"/>
  <c r="U700" i="48"/>
  <c r="P701" i="48"/>
  <c r="Q701" i="48"/>
  <c r="R701" i="48"/>
  <c r="S701" i="48"/>
  <c r="T701" i="48"/>
  <c r="U701" i="48"/>
  <c r="P702" i="48"/>
  <c r="Q702" i="48"/>
  <c r="R702" i="48"/>
  <c r="S702" i="48"/>
  <c r="T702" i="48"/>
  <c r="U702" i="48"/>
  <c r="P703" i="48"/>
  <c r="Q703" i="48"/>
  <c r="R703" i="48"/>
  <c r="S703" i="48"/>
  <c r="T703" i="48"/>
  <c r="P704" i="48"/>
  <c r="Q704" i="48"/>
  <c r="R704" i="48"/>
  <c r="S704" i="48"/>
  <c r="T704" i="48"/>
  <c r="P705" i="48"/>
  <c r="Q705" i="48"/>
  <c r="R705" i="48"/>
  <c r="S705" i="48"/>
  <c r="T705" i="48"/>
  <c r="U705" i="48"/>
  <c r="P706" i="48"/>
  <c r="Q706" i="48"/>
  <c r="R706" i="48"/>
  <c r="S706" i="48"/>
  <c r="T706" i="48"/>
  <c r="P707" i="48"/>
  <c r="Q707" i="48"/>
  <c r="R707" i="48"/>
  <c r="S707" i="48"/>
  <c r="T707" i="48"/>
  <c r="P708" i="48"/>
  <c r="Q708" i="48"/>
  <c r="R708" i="48"/>
  <c r="S708" i="48"/>
  <c r="T708" i="48"/>
  <c r="U708" i="48"/>
  <c r="P709" i="48"/>
  <c r="Q709" i="48"/>
  <c r="R709" i="48"/>
  <c r="S709" i="48"/>
  <c r="T709" i="48"/>
  <c r="U709" i="48"/>
  <c r="P710" i="48"/>
  <c r="Q710" i="48"/>
  <c r="R710" i="48"/>
  <c r="S710" i="48"/>
  <c r="T710" i="48"/>
  <c r="U710" i="48"/>
  <c r="P711" i="48"/>
  <c r="Q711" i="48"/>
  <c r="R711" i="48"/>
  <c r="S711" i="48"/>
  <c r="T711" i="48"/>
  <c r="P712" i="48"/>
  <c r="Q712" i="48"/>
  <c r="R712" i="48"/>
  <c r="S712" i="48"/>
  <c r="T712" i="48"/>
  <c r="P713" i="48"/>
  <c r="Q713" i="48"/>
  <c r="R713" i="48"/>
  <c r="S713" i="48"/>
  <c r="T713" i="48"/>
  <c r="U713" i="48"/>
  <c r="P714" i="48"/>
  <c r="Q714" i="48"/>
  <c r="R714" i="48"/>
  <c r="S714" i="48"/>
  <c r="T714" i="48"/>
  <c r="P715" i="48"/>
  <c r="Q715" i="48"/>
  <c r="R715" i="48"/>
  <c r="S715" i="48"/>
  <c r="T715" i="48"/>
  <c r="P716" i="48"/>
  <c r="Q716" i="48"/>
  <c r="R716" i="48"/>
  <c r="S716" i="48"/>
  <c r="T716" i="48"/>
  <c r="U716" i="48"/>
  <c r="P717" i="48"/>
  <c r="Q717" i="48"/>
  <c r="R717" i="48"/>
  <c r="S717" i="48"/>
  <c r="T717" i="48"/>
  <c r="U717" i="48"/>
  <c r="P718" i="48"/>
  <c r="Q718" i="48"/>
  <c r="R718" i="48"/>
  <c r="S718" i="48"/>
  <c r="T718" i="48"/>
  <c r="U718" i="48"/>
  <c r="P719" i="48"/>
  <c r="Q719" i="48"/>
  <c r="R719" i="48"/>
  <c r="S719" i="48"/>
  <c r="T719" i="48"/>
  <c r="P720" i="48"/>
  <c r="Q720" i="48"/>
  <c r="R720" i="48"/>
  <c r="S720" i="48"/>
  <c r="T720" i="48"/>
  <c r="P721" i="48"/>
  <c r="Q721" i="48"/>
  <c r="R721" i="48"/>
  <c r="S721" i="48"/>
  <c r="T721" i="48"/>
  <c r="U721" i="48"/>
  <c r="P722" i="48"/>
  <c r="Q722" i="48"/>
  <c r="R722" i="48"/>
  <c r="S722" i="48"/>
  <c r="T722" i="48"/>
  <c r="P723" i="48"/>
  <c r="Q723" i="48"/>
  <c r="R723" i="48"/>
  <c r="S723" i="48"/>
  <c r="T723" i="48"/>
  <c r="P724" i="48"/>
  <c r="Q724" i="48"/>
  <c r="R724" i="48"/>
  <c r="S724" i="48"/>
  <c r="T724" i="48"/>
  <c r="U724" i="48"/>
  <c r="P725" i="48"/>
  <c r="Q725" i="48"/>
  <c r="R725" i="48"/>
  <c r="S725" i="48"/>
  <c r="T725" i="48"/>
  <c r="U725" i="48"/>
  <c r="P726" i="48"/>
  <c r="Q726" i="48"/>
  <c r="R726" i="48"/>
  <c r="S726" i="48"/>
  <c r="T726" i="48"/>
  <c r="U726" i="48"/>
  <c r="P727" i="48"/>
  <c r="Q727" i="48"/>
  <c r="R727" i="48"/>
  <c r="S727" i="48"/>
  <c r="T727" i="48"/>
  <c r="P728" i="48"/>
  <c r="Q728" i="48"/>
  <c r="R728" i="48"/>
  <c r="S728" i="48"/>
  <c r="T728" i="48"/>
  <c r="P729" i="48"/>
  <c r="Q729" i="48"/>
  <c r="R729" i="48"/>
  <c r="S729" i="48"/>
  <c r="T729" i="48"/>
  <c r="U729" i="48"/>
  <c r="P730" i="48"/>
  <c r="Q730" i="48"/>
  <c r="R730" i="48"/>
  <c r="S730" i="48"/>
  <c r="T730" i="48"/>
  <c r="P731" i="48"/>
  <c r="Q731" i="48"/>
  <c r="R731" i="48"/>
  <c r="S731" i="48"/>
  <c r="T731" i="48"/>
  <c r="P732" i="48"/>
  <c r="Q732" i="48"/>
  <c r="R732" i="48"/>
  <c r="S732" i="48"/>
  <c r="T732" i="48"/>
  <c r="U732" i="48"/>
  <c r="P733" i="48"/>
  <c r="Q733" i="48"/>
  <c r="R733" i="48"/>
  <c r="S733" i="48"/>
  <c r="T733" i="48"/>
  <c r="U733" i="48"/>
  <c r="P734" i="48"/>
  <c r="Q734" i="48"/>
  <c r="R734" i="48"/>
  <c r="S734" i="48"/>
  <c r="T734" i="48"/>
  <c r="U734" i="48"/>
  <c r="P735" i="48"/>
  <c r="Q735" i="48"/>
  <c r="R735" i="48"/>
  <c r="S735" i="48"/>
  <c r="T735" i="48"/>
  <c r="P736" i="48"/>
  <c r="Q736" i="48"/>
  <c r="R736" i="48"/>
  <c r="S736" i="48"/>
  <c r="T736" i="48"/>
  <c r="P737" i="48"/>
  <c r="Q737" i="48"/>
  <c r="R737" i="48"/>
  <c r="S737" i="48"/>
  <c r="T737" i="48"/>
  <c r="U737" i="48"/>
  <c r="P738" i="48"/>
  <c r="Q738" i="48"/>
  <c r="R738" i="48"/>
  <c r="S738" i="48"/>
  <c r="T738" i="48"/>
  <c r="P739" i="48"/>
  <c r="Q739" i="48"/>
  <c r="R739" i="48"/>
  <c r="S739" i="48"/>
  <c r="T739" i="48"/>
  <c r="P740" i="48"/>
  <c r="Q740" i="48"/>
  <c r="R740" i="48"/>
  <c r="S740" i="48"/>
  <c r="T740" i="48"/>
  <c r="U740" i="48"/>
  <c r="P741" i="48"/>
  <c r="Q741" i="48"/>
  <c r="R741" i="48"/>
  <c r="S741" i="48"/>
  <c r="T741" i="48"/>
  <c r="U741" i="48"/>
  <c r="P742" i="48"/>
  <c r="Q742" i="48"/>
  <c r="R742" i="48"/>
  <c r="S742" i="48"/>
  <c r="T742" i="48"/>
  <c r="U742" i="48"/>
  <c r="P743" i="48"/>
  <c r="Q743" i="48"/>
  <c r="R743" i="48"/>
  <c r="S743" i="48"/>
  <c r="T743" i="48"/>
  <c r="P744" i="48"/>
  <c r="Q744" i="48"/>
  <c r="R744" i="48"/>
  <c r="S744" i="48"/>
  <c r="T744" i="48"/>
  <c r="P745" i="48"/>
  <c r="Q745" i="48"/>
  <c r="R745" i="48"/>
  <c r="S745" i="48"/>
  <c r="T745" i="48"/>
  <c r="U745" i="48"/>
  <c r="P746" i="48"/>
  <c r="Q746" i="48"/>
  <c r="R746" i="48"/>
  <c r="S746" i="48"/>
  <c r="T746" i="48"/>
  <c r="P747" i="48"/>
  <c r="Q747" i="48"/>
  <c r="R747" i="48"/>
  <c r="S747" i="48"/>
  <c r="T747" i="48"/>
  <c r="P748" i="48"/>
  <c r="Q748" i="48"/>
  <c r="R748" i="48"/>
  <c r="S748" i="48"/>
  <c r="T748" i="48"/>
  <c r="U748" i="48"/>
  <c r="P749" i="48"/>
  <c r="Q749" i="48"/>
  <c r="R749" i="48"/>
  <c r="S749" i="48"/>
  <c r="T749" i="48"/>
  <c r="U749" i="48"/>
  <c r="P750" i="48"/>
  <c r="Q750" i="48"/>
  <c r="R750" i="48"/>
  <c r="S750" i="48"/>
  <c r="T750" i="48"/>
  <c r="U750" i="48"/>
  <c r="P751" i="48"/>
  <c r="Q751" i="48"/>
  <c r="R751" i="48"/>
  <c r="S751" i="48"/>
  <c r="T751" i="48"/>
  <c r="P752" i="48"/>
  <c r="Q752" i="48"/>
  <c r="R752" i="48"/>
  <c r="S752" i="48"/>
  <c r="T752" i="48"/>
  <c r="P753" i="48"/>
  <c r="Q753" i="48"/>
  <c r="R753" i="48"/>
  <c r="S753" i="48"/>
  <c r="T753" i="48"/>
  <c r="U753" i="48"/>
  <c r="P754" i="48"/>
  <c r="Q754" i="48"/>
  <c r="R754" i="48"/>
  <c r="S754" i="48"/>
  <c r="T754" i="48"/>
  <c r="P755" i="48"/>
  <c r="Q755" i="48"/>
  <c r="R755" i="48"/>
  <c r="S755" i="48"/>
  <c r="T755" i="48"/>
  <c r="P756" i="48"/>
  <c r="Q756" i="48"/>
  <c r="R756" i="48"/>
  <c r="S756" i="48"/>
  <c r="T756" i="48"/>
  <c r="U756" i="48"/>
  <c r="P757" i="48"/>
  <c r="Q757" i="48"/>
  <c r="R757" i="48"/>
  <c r="S757" i="48"/>
  <c r="T757" i="48"/>
  <c r="U757" i="48"/>
  <c r="P758" i="48"/>
  <c r="Q758" i="48"/>
  <c r="R758" i="48"/>
  <c r="S758" i="48"/>
  <c r="T758" i="48"/>
  <c r="U758" i="48"/>
  <c r="P759" i="48"/>
  <c r="Q759" i="48"/>
  <c r="R759" i="48"/>
  <c r="S759" i="48"/>
  <c r="T759" i="48"/>
  <c r="P760" i="48"/>
  <c r="Q760" i="48"/>
  <c r="R760" i="48"/>
  <c r="S760" i="48"/>
  <c r="T760" i="48"/>
  <c r="P761" i="48"/>
  <c r="Q761" i="48"/>
  <c r="R761" i="48"/>
  <c r="S761" i="48"/>
  <c r="T761" i="48"/>
  <c r="U761" i="48"/>
  <c r="P762" i="48"/>
  <c r="Q762" i="48"/>
  <c r="R762" i="48"/>
  <c r="S762" i="48"/>
  <c r="T762" i="48"/>
  <c r="P763" i="48"/>
  <c r="Q763" i="48"/>
  <c r="R763" i="48"/>
  <c r="S763" i="48"/>
  <c r="T763" i="48"/>
  <c r="P764" i="48"/>
  <c r="Q764" i="48"/>
  <c r="R764" i="48"/>
  <c r="S764" i="48"/>
  <c r="T764" i="48"/>
  <c r="U764" i="48"/>
  <c r="P765" i="48"/>
  <c r="Q765" i="48"/>
  <c r="R765" i="48"/>
  <c r="S765" i="48"/>
  <c r="T765" i="48"/>
  <c r="U765" i="48"/>
  <c r="P766" i="48"/>
  <c r="Q766" i="48"/>
  <c r="R766" i="48"/>
  <c r="S766" i="48"/>
  <c r="T766" i="48"/>
  <c r="U766" i="48"/>
  <c r="P767" i="48"/>
  <c r="Q767" i="48"/>
  <c r="R767" i="48"/>
  <c r="S767" i="48"/>
  <c r="T767" i="48"/>
  <c r="P768" i="48"/>
  <c r="Q768" i="48"/>
  <c r="R768" i="48"/>
  <c r="S768" i="48"/>
  <c r="T768" i="48"/>
  <c r="P769" i="48"/>
  <c r="Q769" i="48"/>
  <c r="R769" i="48"/>
  <c r="S769" i="48"/>
  <c r="T769" i="48"/>
  <c r="U769" i="48"/>
  <c r="P770" i="48"/>
  <c r="Q770" i="48"/>
  <c r="R770" i="48"/>
  <c r="S770" i="48"/>
  <c r="T770" i="48"/>
  <c r="P771" i="48"/>
  <c r="Q771" i="48"/>
  <c r="R771" i="48"/>
  <c r="S771" i="48"/>
  <c r="T771" i="48"/>
  <c r="P772" i="48"/>
  <c r="Q772" i="48"/>
  <c r="R772" i="48"/>
  <c r="S772" i="48"/>
  <c r="T772" i="48"/>
  <c r="U772" i="48"/>
  <c r="P773" i="48"/>
  <c r="Q773" i="48"/>
  <c r="R773" i="48"/>
  <c r="S773" i="48"/>
  <c r="T773" i="48"/>
  <c r="U773" i="48"/>
  <c r="P774" i="48"/>
  <c r="Q774" i="48"/>
  <c r="R774" i="48"/>
  <c r="S774" i="48"/>
  <c r="T774" i="48"/>
  <c r="U774" i="48"/>
  <c r="P775" i="48"/>
  <c r="Q775" i="48"/>
  <c r="R775" i="48"/>
  <c r="S775" i="48"/>
  <c r="T775" i="48"/>
  <c r="P776" i="48"/>
  <c r="Q776" i="48"/>
  <c r="R776" i="48"/>
  <c r="S776" i="48"/>
  <c r="T776" i="48"/>
  <c r="P777" i="48"/>
  <c r="Q777" i="48"/>
  <c r="R777" i="48"/>
  <c r="S777" i="48"/>
  <c r="T777" i="48"/>
  <c r="U777" i="48"/>
  <c r="P778" i="48"/>
  <c r="Q778" i="48"/>
  <c r="R778" i="48"/>
  <c r="S778" i="48"/>
  <c r="T778" i="48"/>
  <c r="P779" i="48"/>
  <c r="Q779" i="48"/>
  <c r="R779" i="48"/>
  <c r="S779" i="48"/>
  <c r="T779" i="48"/>
  <c r="P780" i="48"/>
  <c r="Q780" i="48"/>
  <c r="R780" i="48"/>
  <c r="S780" i="48"/>
  <c r="T780" i="48"/>
  <c r="U780" i="48"/>
  <c r="P781" i="48"/>
  <c r="Q781" i="48"/>
  <c r="R781" i="48"/>
  <c r="S781" i="48"/>
  <c r="T781" i="48"/>
  <c r="U781" i="48"/>
  <c r="P782" i="48"/>
  <c r="Q782" i="48"/>
  <c r="R782" i="48"/>
  <c r="S782" i="48"/>
  <c r="T782" i="48"/>
  <c r="U782" i="48"/>
  <c r="P783" i="48"/>
  <c r="Q783" i="48"/>
  <c r="R783" i="48"/>
  <c r="S783" i="48"/>
  <c r="T783" i="48"/>
  <c r="P784" i="48"/>
  <c r="Q784" i="48"/>
  <c r="R784" i="48"/>
  <c r="S784" i="48"/>
  <c r="T784" i="48"/>
  <c r="P785" i="48"/>
  <c r="Q785" i="48"/>
  <c r="R785" i="48"/>
  <c r="S785" i="48"/>
  <c r="T785" i="48"/>
  <c r="U785" i="48"/>
  <c r="P786" i="48"/>
  <c r="Q786" i="48"/>
  <c r="R786" i="48"/>
  <c r="S786" i="48"/>
  <c r="T786" i="48"/>
  <c r="P787" i="48"/>
  <c r="Q787" i="48"/>
  <c r="R787" i="48"/>
  <c r="S787" i="48"/>
  <c r="T787" i="48"/>
  <c r="P788" i="48"/>
  <c r="Q788" i="48"/>
  <c r="R788" i="48"/>
  <c r="S788" i="48"/>
  <c r="T788" i="48"/>
  <c r="U788" i="48"/>
  <c r="P789" i="48"/>
  <c r="Q789" i="48"/>
  <c r="R789" i="48"/>
  <c r="S789" i="48"/>
  <c r="T789" i="48"/>
  <c r="U789" i="48"/>
  <c r="P790" i="48"/>
  <c r="Q790" i="48"/>
  <c r="R790" i="48"/>
  <c r="S790" i="48"/>
  <c r="T790" i="48"/>
  <c r="U790" i="48"/>
  <c r="P791" i="48"/>
  <c r="Q791" i="48"/>
  <c r="R791" i="48"/>
  <c r="S791" i="48"/>
  <c r="T791" i="48"/>
  <c r="U791" i="48"/>
  <c r="P792" i="48"/>
  <c r="Q792" i="48"/>
  <c r="R792" i="48"/>
  <c r="S792" i="48"/>
  <c r="T792" i="48"/>
  <c r="P793" i="48"/>
  <c r="Q793" i="48"/>
  <c r="R793" i="48"/>
  <c r="S793" i="48"/>
  <c r="T793" i="48"/>
  <c r="U793" i="48"/>
  <c r="U792" i="48"/>
  <c r="U787" i="48"/>
  <c r="U786" i="48"/>
  <c r="U784" i="48"/>
  <c r="U783" i="48"/>
  <c r="U779" i="48"/>
  <c r="U778" i="48"/>
  <c r="U776" i="48"/>
  <c r="U775" i="48"/>
  <c r="U771" i="48"/>
  <c r="U770" i="48"/>
  <c r="U768" i="48"/>
  <c r="U767" i="48"/>
  <c r="U763" i="48"/>
  <c r="U762" i="48"/>
  <c r="U760" i="48"/>
  <c r="U759" i="48"/>
  <c r="U755" i="48"/>
  <c r="U754" i="48"/>
  <c r="U752" i="48"/>
  <c r="U751" i="48"/>
  <c r="U747" i="48"/>
  <c r="U746" i="48"/>
  <c r="U744" i="48"/>
  <c r="U743" i="48"/>
  <c r="U739" i="48"/>
  <c r="U738" i="48"/>
  <c r="U736" i="48"/>
  <c r="U735" i="48"/>
  <c r="U731" i="48"/>
  <c r="U730" i="48"/>
  <c r="U728" i="48"/>
  <c r="U727" i="48"/>
  <c r="U723" i="48"/>
  <c r="U722" i="48"/>
  <c r="U720" i="48"/>
  <c r="U719" i="48"/>
  <c r="U715" i="48"/>
  <c r="U714" i="48"/>
  <c r="U712" i="48"/>
  <c r="U711" i="48"/>
  <c r="U707" i="48"/>
  <c r="U706" i="48"/>
  <c r="U704" i="48"/>
  <c r="U703" i="48"/>
  <c r="U699" i="48"/>
  <c r="U698" i="48"/>
  <c r="J654" i="48"/>
  <c r="U4" i="48"/>
  <c r="T4" i="48"/>
  <c r="S4" i="48"/>
  <c r="R4" i="48"/>
  <c r="Q4" i="48"/>
  <c r="P4" i="48"/>
  <c r="R45" i="47"/>
  <c r="U82" i="47"/>
  <c r="T82" i="47"/>
  <c r="S82" i="47"/>
  <c r="R82" i="47"/>
  <c r="Q82" i="47"/>
  <c r="P82" i="47"/>
  <c r="U81" i="47"/>
  <c r="T81" i="47"/>
  <c r="S81" i="47"/>
  <c r="R81" i="47"/>
  <c r="Q81" i="47"/>
  <c r="P81" i="47"/>
  <c r="U80" i="47"/>
  <c r="T80" i="47"/>
  <c r="S80" i="47"/>
  <c r="R80" i="47"/>
  <c r="Q80" i="47"/>
  <c r="P80" i="47"/>
  <c r="U79" i="47"/>
  <c r="T79" i="47"/>
  <c r="S79" i="47"/>
  <c r="R79" i="47"/>
  <c r="Q79" i="47"/>
  <c r="P79" i="47"/>
  <c r="U78" i="47"/>
  <c r="T78" i="47"/>
  <c r="S78" i="47"/>
  <c r="R78" i="47"/>
  <c r="Q78" i="47"/>
  <c r="P78" i="47"/>
  <c r="U77" i="47"/>
  <c r="T77" i="47"/>
  <c r="S77" i="47"/>
  <c r="R77" i="47"/>
  <c r="Q77" i="47"/>
  <c r="P77" i="47"/>
  <c r="U76" i="47"/>
  <c r="T76" i="47"/>
  <c r="S76" i="47"/>
  <c r="R76" i="47"/>
  <c r="Q76" i="47"/>
  <c r="P76" i="47"/>
  <c r="U75" i="47"/>
  <c r="T75" i="47"/>
  <c r="S75" i="47"/>
  <c r="R75" i="47"/>
  <c r="Q75" i="47"/>
  <c r="P75" i="47"/>
  <c r="U74" i="47"/>
  <c r="T74" i="47"/>
  <c r="S74" i="47"/>
  <c r="R74" i="47"/>
  <c r="Q74" i="47"/>
  <c r="P74" i="47"/>
  <c r="U73" i="47"/>
  <c r="T73" i="47"/>
  <c r="S73" i="47"/>
  <c r="R73" i="47"/>
  <c r="Q73" i="47"/>
  <c r="P73" i="47"/>
  <c r="U72" i="47"/>
  <c r="T72" i="47"/>
  <c r="S72" i="47"/>
  <c r="R72" i="47"/>
  <c r="Q72" i="47"/>
  <c r="P72" i="47"/>
  <c r="U71" i="47"/>
  <c r="T71" i="47"/>
  <c r="S71" i="47"/>
  <c r="R71" i="47"/>
  <c r="Q71" i="47"/>
  <c r="P71" i="47"/>
  <c r="U70" i="47"/>
  <c r="T70" i="47"/>
  <c r="S70" i="47"/>
  <c r="R70" i="47"/>
  <c r="Q70" i="47"/>
  <c r="P70" i="47"/>
  <c r="U69" i="47"/>
  <c r="T69" i="47"/>
  <c r="S69" i="47"/>
  <c r="R69" i="47"/>
  <c r="Q69" i="47"/>
  <c r="P69" i="47"/>
  <c r="U68" i="47"/>
  <c r="T68" i="47"/>
  <c r="S68" i="47"/>
  <c r="R68" i="47"/>
  <c r="Q68" i="47"/>
  <c r="P68" i="47"/>
  <c r="U67" i="47"/>
  <c r="T67" i="47"/>
  <c r="S67" i="47"/>
  <c r="R67" i="47"/>
  <c r="Q67" i="47"/>
  <c r="P67" i="47"/>
  <c r="U66" i="47"/>
  <c r="T66" i="47"/>
  <c r="S66" i="47"/>
  <c r="R66" i="47"/>
  <c r="Q66" i="47"/>
  <c r="P66" i="47"/>
  <c r="U65" i="47"/>
  <c r="T65" i="47"/>
  <c r="S65" i="47"/>
  <c r="R65" i="47"/>
  <c r="Q65" i="47"/>
  <c r="P65" i="47"/>
  <c r="U64" i="47"/>
  <c r="T64" i="47"/>
  <c r="S64" i="47"/>
  <c r="R64" i="47"/>
  <c r="Q64" i="47"/>
  <c r="P64" i="47"/>
  <c r="U63" i="47"/>
  <c r="T63" i="47"/>
  <c r="S63" i="47"/>
  <c r="R63" i="47"/>
  <c r="Q63" i="47"/>
  <c r="P63" i="47"/>
  <c r="U62" i="47"/>
  <c r="T62" i="47"/>
  <c r="S62" i="47"/>
  <c r="R62" i="47"/>
  <c r="Q62" i="47"/>
  <c r="P62" i="47"/>
  <c r="U61" i="47"/>
  <c r="T61" i="47"/>
  <c r="S61" i="47"/>
  <c r="R61" i="47"/>
  <c r="Q61" i="47"/>
  <c r="P61" i="47"/>
  <c r="U60" i="47"/>
  <c r="T60" i="47"/>
  <c r="S60" i="47"/>
  <c r="R60" i="47"/>
  <c r="Q60" i="47"/>
  <c r="P60" i="47"/>
  <c r="U59" i="47"/>
  <c r="T59" i="47"/>
  <c r="S59" i="47"/>
  <c r="R59" i="47"/>
  <c r="Q59" i="47"/>
  <c r="P59" i="47"/>
  <c r="U58" i="47"/>
  <c r="T58" i="47"/>
  <c r="S58" i="47"/>
  <c r="R58" i="47"/>
  <c r="Q58" i="47"/>
  <c r="P58" i="47"/>
  <c r="U57" i="47"/>
  <c r="T57" i="47"/>
  <c r="S57" i="47"/>
  <c r="R57" i="47"/>
  <c r="Q57" i="47"/>
  <c r="P57" i="47"/>
  <c r="U56" i="47"/>
  <c r="T56" i="47"/>
  <c r="S56" i="47"/>
  <c r="R56" i="47"/>
  <c r="Q56" i="47"/>
  <c r="P56" i="47"/>
  <c r="U55" i="47"/>
  <c r="T55" i="47"/>
  <c r="S55" i="47"/>
  <c r="R55" i="47"/>
  <c r="Q55" i="47"/>
  <c r="P55" i="47"/>
  <c r="U54" i="47"/>
  <c r="T54" i="47"/>
  <c r="S54" i="47"/>
  <c r="R54" i="47"/>
  <c r="Q54" i="47"/>
  <c r="P54" i="47"/>
  <c r="U53" i="47"/>
  <c r="T53" i="47"/>
  <c r="S53" i="47"/>
  <c r="R53" i="47"/>
  <c r="Q53" i="47"/>
  <c r="P53" i="47"/>
  <c r="U52" i="47"/>
  <c r="T52" i="47"/>
  <c r="S52" i="47"/>
  <c r="R52" i="47"/>
  <c r="Q52" i="47"/>
  <c r="P52" i="47"/>
  <c r="U51" i="47"/>
  <c r="T51" i="47"/>
  <c r="S51" i="47"/>
  <c r="R51" i="47"/>
  <c r="Q51" i="47"/>
  <c r="P51" i="47"/>
  <c r="U50" i="47"/>
  <c r="T50" i="47"/>
  <c r="S50" i="47"/>
  <c r="R50" i="47"/>
  <c r="Q50" i="47"/>
  <c r="P50" i="47"/>
  <c r="U49" i="47"/>
  <c r="T49" i="47"/>
  <c r="S49" i="47"/>
  <c r="R49" i="47"/>
  <c r="Q49" i="47"/>
  <c r="P49" i="47"/>
  <c r="U48" i="47"/>
  <c r="T48" i="47"/>
  <c r="S48" i="47"/>
  <c r="R48" i="47"/>
  <c r="Q48" i="47"/>
  <c r="P48" i="47"/>
  <c r="U47" i="47"/>
  <c r="T47" i="47"/>
  <c r="S47" i="47"/>
  <c r="R47" i="47"/>
  <c r="Q47" i="47"/>
  <c r="P47" i="47"/>
  <c r="U46" i="47"/>
  <c r="T46" i="47"/>
  <c r="S46" i="47"/>
  <c r="R46" i="47"/>
  <c r="Q46" i="47"/>
  <c r="P46" i="47"/>
  <c r="U45" i="47"/>
  <c r="T45" i="47"/>
  <c r="S45" i="47"/>
  <c r="Q45" i="47"/>
  <c r="P45" i="47"/>
  <c r="U44" i="47"/>
  <c r="T44" i="47"/>
  <c r="S44" i="47"/>
  <c r="R44" i="47"/>
  <c r="Q44" i="47"/>
  <c r="P44" i="47"/>
  <c r="U43" i="47"/>
  <c r="T43" i="47"/>
  <c r="S43" i="47"/>
  <c r="R43" i="47"/>
  <c r="Q43" i="47"/>
  <c r="P43" i="47"/>
  <c r="U42" i="47"/>
  <c r="T42" i="47"/>
  <c r="S42" i="47"/>
  <c r="R42" i="47"/>
  <c r="Q42" i="47"/>
  <c r="P42" i="47"/>
  <c r="U41" i="47"/>
  <c r="T41" i="47"/>
  <c r="S41" i="47"/>
  <c r="R41" i="47"/>
  <c r="Q41" i="47"/>
  <c r="P41" i="47"/>
  <c r="U40" i="47"/>
  <c r="T40" i="47"/>
  <c r="S40" i="47"/>
  <c r="R40" i="47"/>
  <c r="Q40" i="47"/>
  <c r="J40" i="47"/>
  <c r="P40" i="47" s="1"/>
  <c r="U39" i="47"/>
  <c r="T39" i="47"/>
  <c r="S39" i="47"/>
  <c r="R39" i="47"/>
  <c r="Q39" i="47"/>
  <c r="P39" i="47"/>
  <c r="U38" i="47"/>
  <c r="T38" i="47"/>
  <c r="S38" i="47"/>
  <c r="R38" i="47"/>
  <c r="Q38" i="47"/>
  <c r="P38" i="47"/>
  <c r="U37" i="47"/>
  <c r="T37" i="47"/>
  <c r="S37" i="47"/>
  <c r="R37" i="47"/>
  <c r="Q37" i="47"/>
  <c r="P37" i="47"/>
  <c r="U36" i="47"/>
  <c r="T36" i="47"/>
  <c r="S36" i="47"/>
  <c r="R36" i="47"/>
  <c r="Q36" i="47"/>
  <c r="P36" i="47"/>
  <c r="U35" i="47"/>
  <c r="T35" i="47"/>
  <c r="S35" i="47"/>
  <c r="R35" i="47"/>
  <c r="Q35" i="47"/>
  <c r="P35" i="47"/>
  <c r="U34" i="47"/>
  <c r="T34" i="47"/>
  <c r="S34" i="47"/>
  <c r="R34" i="47"/>
  <c r="Q34" i="47"/>
  <c r="P34" i="47"/>
  <c r="U33" i="47"/>
  <c r="T33" i="47"/>
  <c r="S33" i="47"/>
  <c r="R33" i="47"/>
  <c r="Q33" i="47"/>
  <c r="P33" i="47"/>
  <c r="U32" i="47"/>
  <c r="T32" i="47"/>
  <c r="S32" i="47"/>
  <c r="R32" i="47"/>
  <c r="Q32" i="47"/>
  <c r="P32" i="47"/>
  <c r="U31" i="47"/>
  <c r="T31" i="47"/>
  <c r="S31" i="47"/>
  <c r="R31" i="47"/>
  <c r="Q31" i="47"/>
  <c r="P31" i="47"/>
  <c r="U30" i="47"/>
  <c r="T30" i="47"/>
  <c r="S30" i="47"/>
  <c r="R30" i="47"/>
  <c r="Q30" i="47"/>
  <c r="P30" i="47"/>
  <c r="U29" i="47"/>
  <c r="T29" i="47"/>
  <c r="S29" i="47"/>
  <c r="R29" i="47"/>
  <c r="Q29" i="47"/>
  <c r="P29" i="47"/>
  <c r="U28" i="47"/>
  <c r="T28" i="47"/>
  <c r="S28" i="47"/>
  <c r="R28" i="47"/>
  <c r="Q28" i="47"/>
  <c r="P28" i="47"/>
  <c r="U27" i="47"/>
  <c r="T27" i="47"/>
  <c r="S27" i="47"/>
  <c r="R27" i="47"/>
  <c r="Q27" i="47"/>
  <c r="P27" i="47"/>
  <c r="U26" i="47"/>
  <c r="T26" i="47"/>
  <c r="S26" i="47"/>
  <c r="R26" i="47"/>
  <c r="Q26" i="47"/>
  <c r="P26" i="47"/>
  <c r="U25" i="47"/>
  <c r="T25" i="47"/>
  <c r="S25" i="47"/>
  <c r="R25" i="47"/>
  <c r="Q25" i="47"/>
  <c r="P25" i="47"/>
  <c r="U24" i="47"/>
  <c r="T24" i="47"/>
  <c r="S24" i="47"/>
  <c r="R24" i="47"/>
  <c r="Q24" i="47"/>
  <c r="P24" i="47"/>
  <c r="U23" i="47"/>
  <c r="T23" i="47"/>
  <c r="S23" i="47"/>
  <c r="R23" i="47"/>
  <c r="Q23" i="47"/>
  <c r="P23" i="47"/>
  <c r="U22" i="47"/>
  <c r="T22" i="47"/>
  <c r="S22" i="47"/>
  <c r="R22" i="47"/>
  <c r="Q22" i="47"/>
  <c r="P22" i="47"/>
  <c r="U21" i="47"/>
  <c r="T21" i="47"/>
  <c r="S21" i="47"/>
  <c r="R21" i="47"/>
  <c r="Q21" i="47"/>
  <c r="P21" i="47"/>
  <c r="U20" i="47"/>
  <c r="T20" i="47"/>
  <c r="S20" i="47"/>
  <c r="R20" i="47"/>
  <c r="Q20" i="47"/>
  <c r="P20" i="47"/>
  <c r="U19" i="47"/>
  <c r="T19" i="47"/>
  <c r="S19" i="47"/>
  <c r="R19" i="47"/>
  <c r="Q19" i="47"/>
  <c r="P19" i="47"/>
  <c r="U18" i="47"/>
  <c r="T18" i="47"/>
  <c r="S18" i="47"/>
  <c r="R18" i="47"/>
  <c r="Q18" i="47"/>
  <c r="P18" i="47"/>
  <c r="U17" i="47"/>
  <c r="T17" i="47"/>
  <c r="S17" i="47"/>
  <c r="R17" i="47"/>
  <c r="Q17" i="47"/>
  <c r="P17" i="47"/>
  <c r="U16" i="47"/>
  <c r="T16" i="47"/>
  <c r="S16" i="47"/>
  <c r="R16" i="47"/>
  <c r="Q16" i="47"/>
  <c r="P16" i="47"/>
  <c r="U15" i="47"/>
  <c r="T15" i="47"/>
  <c r="S15" i="47"/>
  <c r="R15" i="47"/>
  <c r="Q15" i="47"/>
  <c r="P15" i="47"/>
  <c r="U14" i="47"/>
  <c r="T14" i="47"/>
  <c r="S14" i="47"/>
  <c r="R14" i="47"/>
  <c r="Q14" i="47"/>
  <c r="P14" i="47"/>
  <c r="U13" i="47"/>
  <c r="T13" i="47"/>
  <c r="S13" i="47"/>
  <c r="R13" i="47"/>
  <c r="Q13" i="47"/>
  <c r="P13" i="47"/>
  <c r="U12" i="47"/>
  <c r="T12" i="47"/>
  <c r="S12" i="47"/>
  <c r="R12" i="47"/>
  <c r="Q12" i="47"/>
  <c r="P12" i="47"/>
  <c r="U11" i="47"/>
  <c r="T11" i="47"/>
  <c r="S11" i="47"/>
  <c r="R11" i="47"/>
  <c r="Q11" i="47"/>
  <c r="P11" i="47"/>
  <c r="U10" i="47"/>
  <c r="T10" i="47"/>
  <c r="S10" i="47"/>
  <c r="R10" i="47"/>
  <c r="Q10" i="47"/>
  <c r="P10" i="47"/>
  <c r="U9" i="47"/>
  <c r="T9" i="47"/>
  <c r="S9" i="47"/>
  <c r="R9" i="47"/>
  <c r="Q9" i="47"/>
  <c r="P9" i="47"/>
  <c r="U8" i="47"/>
  <c r="T8" i="47"/>
  <c r="S8" i="47"/>
  <c r="R8" i="47"/>
  <c r="Q8" i="47"/>
  <c r="P8" i="47"/>
  <c r="U7" i="47"/>
  <c r="T7" i="47"/>
  <c r="S7" i="47"/>
  <c r="R7" i="47"/>
  <c r="Q7" i="47"/>
  <c r="P7" i="47"/>
  <c r="U6" i="47"/>
  <c r="T6" i="47"/>
  <c r="S6" i="47"/>
  <c r="R6" i="47"/>
  <c r="Q6" i="47"/>
  <c r="P6" i="47"/>
  <c r="U5" i="47"/>
  <c r="T5" i="47"/>
  <c r="S5" i="47"/>
  <c r="R5" i="47"/>
  <c r="Q5" i="47"/>
  <c r="P5" i="47"/>
  <c r="U4" i="47"/>
  <c r="T4" i="47"/>
  <c r="S4" i="47"/>
  <c r="R4" i="47"/>
  <c r="Q4" i="47"/>
  <c r="P4" i="47"/>
  <c r="Q3" i="49" l="1"/>
  <c r="R2" i="49" s="1"/>
  <c r="U3" i="49"/>
  <c r="V2" i="49" s="1"/>
  <c r="S3" i="49"/>
  <c r="T2" i="49" s="1"/>
  <c r="Q1" i="47"/>
  <c r="R1" i="47"/>
  <c r="S1" i="48"/>
  <c r="T1" i="48"/>
  <c r="U1" i="48"/>
  <c r="Q1" i="48"/>
  <c r="P1" i="48"/>
  <c r="R1" i="48"/>
  <c r="P1" i="47"/>
  <c r="S1" i="47"/>
  <c r="T1" i="47"/>
  <c r="U1" i="47"/>
  <c r="P5" i="46" l="1"/>
  <c r="Q5" i="46"/>
  <c r="R5" i="46"/>
  <c r="S5" i="46"/>
  <c r="T5" i="46"/>
  <c r="U5" i="46"/>
  <c r="P6" i="46"/>
  <c r="Q6" i="46"/>
  <c r="R6" i="46"/>
  <c r="S6" i="46"/>
  <c r="T6" i="46"/>
  <c r="U6" i="46"/>
  <c r="P7" i="46"/>
  <c r="Q7" i="46"/>
  <c r="R7" i="46"/>
  <c r="S7" i="46"/>
  <c r="T7" i="46"/>
  <c r="U7" i="46"/>
  <c r="P8" i="46"/>
  <c r="Q8" i="46"/>
  <c r="R8" i="46"/>
  <c r="S8" i="46"/>
  <c r="T8" i="46"/>
  <c r="U8" i="46"/>
  <c r="P9" i="46"/>
  <c r="Q9" i="46"/>
  <c r="R9" i="46"/>
  <c r="S9" i="46"/>
  <c r="T9" i="46"/>
  <c r="U9" i="46"/>
  <c r="P10" i="46"/>
  <c r="Q10" i="46"/>
  <c r="R10" i="46"/>
  <c r="S10" i="46"/>
  <c r="T10" i="46"/>
  <c r="U10" i="46"/>
  <c r="P11" i="46"/>
  <c r="Q11" i="46"/>
  <c r="R11" i="46"/>
  <c r="S11" i="46"/>
  <c r="T11" i="46"/>
  <c r="U11" i="46"/>
  <c r="P12" i="46"/>
  <c r="Q12" i="46"/>
  <c r="R12" i="46"/>
  <c r="S12" i="46"/>
  <c r="T12" i="46"/>
  <c r="U12" i="46"/>
  <c r="P13" i="46"/>
  <c r="Q13" i="46"/>
  <c r="R13" i="46"/>
  <c r="S13" i="46"/>
  <c r="T13" i="46"/>
  <c r="U13" i="46"/>
  <c r="P14" i="46"/>
  <c r="Q14" i="46"/>
  <c r="R14" i="46"/>
  <c r="S14" i="46"/>
  <c r="T14" i="46"/>
  <c r="U14" i="46"/>
  <c r="P15" i="46"/>
  <c r="Q15" i="46"/>
  <c r="R15" i="46"/>
  <c r="S15" i="46"/>
  <c r="T15" i="46"/>
  <c r="U15" i="46"/>
  <c r="P16" i="46"/>
  <c r="Q16" i="46"/>
  <c r="R16" i="46"/>
  <c r="S16" i="46"/>
  <c r="T16" i="46"/>
  <c r="U16" i="46"/>
  <c r="P17" i="46"/>
  <c r="Q17" i="46"/>
  <c r="R17" i="46"/>
  <c r="S17" i="46"/>
  <c r="T17" i="46"/>
  <c r="U17" i="46"/>
  <c r="P18" i="46"/>
  <c r="Q18" i="46"/>
  <c r="R18" i="46"/>
  <c r="S18" i="46"/>
  <c r="T18" i="46"/>
  <c r="U18" i="46"/>
  <c r="P19" i="46"/>
  <c r="Q19" i="46"/>
  <c r="R19" i="46"/>
  <c r="S19" i="46"/>
  <c r="T19" i="46"/>
  <c r="U19" i="46"/>
  <c r="P20" i="46"/>
  <c r="Q20" i="46"/>
  <c r="R20" i="46"/>
  <c r="S20" i="46"/>
  <c r="T20" i="46"/>
  <c r="U20" i="46"/>
  <c r="P21" i="46"/>
  <c r="Q21" i="46"/>
  <c r="R21" i="46"/>
  <c r="S21" i="46"/>
  <c r="T21" i="46"/>
  <c r="U21" i="46"/>
  <c r="P22" i="46"/>
  <c r="Q22" i="46"/>
  <c r="R22" i="46"/>
  <c r="S22" i="46"/>
  <c r="T22" i="46"/>
  <c r="U22" i="46"/>
  <c r="P23" i="46"/>
  <c r="Q23" i="46"/>
  <c r="R23" i="46"/>
  <c r="S23" i="46"/>
  <c r="T23" i="46"/>
  <c r="U23" i="46"/>
  <c r="P24" i="46"/>
  <c r="Q24" i="46"/>
  <c r="R24" i="46"/>
  <c r="S24" i="46"/>
  <c r="T24" i="46"/>
  <c r="U24" i="46"/>
  <c r="P25" i="46"/>
  <c r="Q25" i="46"/>
  <c r="R25" i="46"/>
  <c r="S25" i="46"/>
  <c r="T25" i="46"/>
  <c r="U25" i="46"/>
  <c r="P26" i="46"/>
  <c r="Q26" i="46"/>
  <c r="R26" i="46"/>
  <c r="S26" i="46"/>
  <c r="T26" i="46"/>
  <c r="U26" i="46"/>
  <c r="P27" i="46"/>
  <c r="Q27" i="46"/>
  <c r="R27" i="46"/>
  <c r="S27" i="46"/>
  <c r="T27" i="46"/>
  <c r="U27" i="46"/>
  <c r="P28" i="46"/>
  <c r="Q28" i="46"/>
  <c r="R28" i="46"/>
  <c r="S28" i="46"/>
  <c r="T28" i="46"/>
  <c r="U28" i="46"/>
  <c r="P29" i="46"/>
  <c r="Q29" i="46"/>
  <c r="R29" i="46"/>
  <c r="S29" i="46"/>
  <c r="T29" i="46"/>
  <c r="U29" i="46"/>
  <c r="P30" i="46"/>
  <c r="Q30" i="46"/>
  <c r="R30" i="46"/>
  <c r="S30" i="46"/>
  <c r="T30" i="46"/>
  <c r="U30" i="46"/>
  <c r="P31" i="46"/>
  <c r="Q31" i="46"/>
  <c r="R31" i="46"/>
  <c r="S31" i="46"/>
  <c r="T31" i="46"/>
  <c r="U31" i="46"/>
  <c r="P32" i="46"/>
  <c r="Q32" i="46"/>
  <c r="R32" i="46"/>
  <c r="S32" i="46"/>
  <c r="T32" i="46"/>
  <c r="U32" i="46"/>
  <c r="P33" i="46"/>
  <c r="Q33" i="46"/>
  <c r="R33" i="46"/>
  <c r="S33" i="46"/>
  <c r="T33" i="46"/>
  <c r="U33" i="46"/>
  <c r="P34" i="46"/>
  <c r="Q34" i="46"/>
  <c r="R34" i="46"/>
  <c r="S34" i="46"/>
  <c r="T34" i="46"/>
  <c r="U34" i="46"/>
  <c r="P35" i="46"/>
  <c r="Q35" i="46"/>
  <c r="R35" i="46"/>
  <c r="S35" i="46"/>
  <c r="T35" i="46"/>
  <c r="U35" i="46"/>
  <c r="P36" i="46"/>
  <c r="Q36" i="46"/>
  <c r="R36" i="46"/>
  <c r="S36" i="46"/>
  <c r="T36" i="46"/>
  <c r="U36" i="46"/>
  <c r="P37" i="46"/>
  <c r="Q37" i="46"/>
  <c r="R37" i="46"/>
  <c r="S37" i="46"/>
  <c r="T37" i="46"/>
  <c r="U37" i="46"/>
  <c r="P38" i="46"/>
  <c r="Q38" i="46"/>
  <c r="R38" i="46"/>
  <c r="S38" i="46"/>
  <c r="T38" i="46"/>
  <c r="U38" i="46"/>
  <c r="P39" i="46"/>
  <c r="Q39" i="46"/>
  <c r="R39" i="46"/>
  <c r="S39" i="46"/>
  <c r="T39" i="46"/>
  <c r="U39" i="46"/>
  <c r="P40" i="46"/>
  <c r="Q40" i="46"/>
  <c r="R40" i="46"/>
  <c r="S40" i="46"/>
  <c r="T40" i="46"/>
  <c r="U40" i="46"/>
  <c r="P41" i="46"/>
  <c r="Q41" i="46"/>
  <c r="R41" i="46"/>
  <c r="S41" i="46"/>
  <c r="T41" i="46"/>
  <c r="U41" i="46"/>
  <c r="P42" i="46"/>
  <c r="Q42" i="46"/>
  <c r="R42" i="46"/>
  <c r="S42" i="46"/>
  <c r="T42" i="46"/>
  <c r="U42" i="46"/>
  <c r="P43" i="46"/>
  <c r="Q43" i="46"/>
  <c r="R43" i="46"/>
  <c r="S43" i="46"/>
  <c r="T43" i="46"/>
  <c r="U43" i="46"/>
  <c r="P44" i="46"/>
  <c r="Q44" i="46"/>
  <c r="R44" i="46"/>
  <c r="S44" i="46"/>
  <c r="T44" i="46"/>
  <c r="U44" i="46"/>
  <c r="P45" i="46"/>
  <c r="Q45" i="46"/>
  <c r="R45" i="46"/>
  <c r="S45" i="46"/>
  <c r="T45" i="46"/>
  <c r="U45" i="46"/>
  <c r="P46" i="46"/>
  <c r="Q46" i="46"/>
  <c r="R46" i="46"/>
  <c r="S46" i="46"/>
  <c r="T46" i="46"/>
  <c r="U46" i="46"/>
  <c r="P47" i="46"/>
  <c r="Q47" i="46"/>
  <c r="R47" i="46"/>
  <c r="S47" i="46"/>
  <c r="T47" i="46"/>
  <c r="U47" i="46"/>
  <c r="P48" i="46"/>
  <c r="Q48" i="46"/>
  <c r="R48" i="46"/>
  <c r="S48" i="46"/>
  <c r="T48" i="46"/>
  <c r="U48" i="46"/>
  <c r="P49" i="46"/>
  <c r="Q49" i="46"/>
  <c r="R49" i="46"/>
  <c r="S49" i="46"/>
  <c r="T49" i="46"/>
  <c r="U49" i="46"/>
  <c r="P50" i="46"/>
  <c r="Q50" i="46"/>
  <c r="R50" i="46"/>
  <c r="S50" i="46"/>
  <c r="T50" i="46"/>
  <c r="U50" i="46"/>
  <c r="P51" i="46"/>
  <c r="Q51" i="46"/>
  <c r="R51" i="46"/>
  <c r="S51" i="46"/>
  <c r="T51" i="46"/>
  <c r="U51" i="46"/>
  <c r="P52" i="46"/>
  <c r="Q52" i="46"/>
  <c r="R52" i="46"/>
  <c r="S52" i="46"/>
  <c r="T52" i="46"/>
  <c r="U52" i="46"/>
  <c r="P53" i="46"/>
  <c r="Q53" i="46"/>
  <c r="R53" i="46"/>
  <c r="S53" i="46"/>
  <c r="T53" i="46"/>
  <c r="U53" i="46"/>
  <c r="P54" i="46"/>
  <c r="Q54" i="46"/>
  <c r="R54" i="46"/>
  <c r="S54" i="46"/>
  <c r="T54" i="46"/>
  <c r="U54" i="46"/>
  <c r="P55" i="46"/>
  <c r="Q55" i="46"/>
  <c r="R55" i="46"/>
  <c r="S55" i="46"/>
  <c r="T55" i="46"/>
  <c r="U55" i="46"/>
  <c r="P56" i="46"/>
  <c r="Q56" i="46"/>
  <c r="R56" i="46"/>
  <c r="S56" i="46"/>
  <c r="T56" i="46"/>
  <c r="U56" i="46"/>
  <c r="P57" i="46"/>
  <c r="Q57" i="46"/>
  <c r="R57" i="46"/>
  <c r="S57" i="46"/>
  <c r="T57" i="46"/>
  <c r="U57" i="46"/>
  <c r="P58" i="46"/>
  <c r="Q58" i="46"/>
  <c r="R58" i="46"/>
  <c r="S58" i="46"/>
  <c r="T58" i="46"/>
  <c r="U58" i="46"/>
  <c r="P59" i="46"/>
  <c r="Q59" i="46"/>
  <c r="R59" i="46"/>
  <c r="S59" i="46"/>
  <c r="T59" i="46"/>
  <c r="U59" i="46"/>
  <c r="P60" i="46"/>
  <c r="Q60" i="46"/>
  <c r="R60" i="46"/>
  <c r="S60" i="46"/>
  <c r="T60" i="46"/>
  <c r="U60" i="46"/>
  <c r="P61" i="46"/>
  <c r="Q61" i="46"/>
  <c r="R61" i="46"/>
  <c r="S61" i="46"/>
  <c r="T61" i="46"/>
  <c r="U61" i="46"/>
  <c r="P62" i="46"/>
  <c r="Q62" i="46"/>
  <c r="R62" i="46"/>
  <c r="S62" i="46"/>
  <c r="T62" i="46"/>
  <c r="U62" i="46"/>
  <c r="P63" i="46"/>
  <c r="Q63" i="46"/>
  <c r="R63" i="46"/>
  <c r="S63" i="46"/>
  <c r="T63" i="46"/>
  <c r="U63" i="46"/>
  <c r="P64" i="46"/>
  <c r="Q64" i="46"/>
  <c r="R64" i="46"/>
  <c r="S64" i="46"/>
  <c r="T64" i="46"/>
  <c r="U64" i="46"/>
  <c r="P65" i="46"/>
  <c r="Q65" i="46"/>
  <c r="R65" i="46"/>
  <c r="S65" i="46"/>
  <c r="T65" i="46"/>
  <c r="U65" i="46"/>
  <c r="P66" i="46"/>
  <c r="Q66" i="46"/>
  <c r="R66" i="46"/>
  <c r="S66" i="46"/>
  <c r="T66" i="46"/>
  <c r="U66" i="46"/>
  <c r="P67" i="46"/>
  <c r="Q67" i="46"/>
  <c r="R67" i="46"/>
  <c r="S67" i="46"/>
  <c r="T67" i="46"/>
  <c r="U67" i="46"/>
  <c r="P68" i="46"/>
  <c r="Q68" i="46"/>
  <c r="R68" i="46"/>
  <c r="S68" i="46"/>
  <c r="T68" i="46"/>
  <c r="U68" i="46"/>
  <c r="P69" i="46"/>
  <c r="Q69" i="46"/>
  <c r="R69" i="46"/>
  <c r="S69" i="46"/>
  <c r="T69" i="46"/>
  <c r="U69" i="46"/>
  <c r="P70" i="46"/>
  <c r="Q70" i="46"/>
  <c r="R70" i="46"/>
  <c r="S70" i="46"/>
  <c r="T70" i="46"/>
  <c r="U70" i="46"/>
  <c r="P71" i="46"/>
  <c r="Q71" i="46"/>
  <c r="R71" i="46"/>
  <c r="S71" i="46"/>
  <c r="T71" i="46"/>
  <c r="U71" i="46"/>
  <c r="P72" i="46"/>
  <c r="Q72" i="46"/>
  <c r="R72" i="46"/>
  <c r="S72" i="46"/>
  <c r="T72" i="46"/>
  <c r="U72" i="46"/>
  <c r="P73" i="46"/>
  <c r="Q73" i="46"/>
  <c r="R73" i="46"/>
  <c r="S73" i="46"/>
  <c r="T73" i="46"/>
  <c r="U73" i="46"/>
  <c r="P74" i="46"/>
  <c r="Q74" i="46"/>
  <c r="R74" i="46"/>
  <c r="S74" i="46"/>
  <c r="T74" i="46"/>
  <c r="U74" i="46"/>
  <c r="P75" i="46"/>
  <c r="Q75" i="46"/>
  <c r="R75" i="46"/>
  <c r="S75" i="46"/>
  <c r="T75" i="46"/>
  <c r="U75" i="46"/>
  <c r="P76" i="46"/>
  <c r="Q76" i="46"/>
  <c r="R76" i="46"/>
  <c r="S76" i="46"/>
  <c r="T76" i="46"/>
  <c r="U76" i="46"/>
  <c r="P77" i="46"/>
  <c r="Q77" i="46"/>
  <c r="R77" i="46"/>
  <c r="S77" i="46"/>
  <c r="T77" i="46"/>
  <c r="U77" i="46"/>
  <c r="P78" i="46"/>
  <c r="Q78" i="46"/>
  <c r="R78" i="46"/>
  <c r="S78" i="46"/>
  <c r="T78" i="46"/>
  <c r="U78" i="46"/>
  <c r="P79" i="46"/>
  <c r="Q79" i="46"/>
  <c r="R79" i="46"/>
  <c r="S79" i="46"/>
  <c r="T79" i="46"/>
  <c r="U79" i="46"/>
  <c r="P80" i="46"/>
  <c r="Q80" i="46"/>
  <c r="R80" i="46"/>
  <c r="S80" i="46"/>
  <c r="T80" i="46"/>
  <c r="U80" i="46"/>
  <c r="P81" i="46"/>
  <c r="Q81" i="46"/>
  <c r="R81" i="46"/>
  <c r="S81" i="46"/>
  <c r="T81" i="46"/>
  <c r="U81" i="46"/>
  <c r="P82" i="46"/>
  <c r="Q82" i="46"/>
  <c r="R82" i="46"/>
  <c r="S82" i="46"/>
  <c r="T82" i="46"/>
  <c r="U82" i="46"/>
  <c r="P83" i="46"/>
  <c r="Q83" i="46"/>
  <c r="R83" i="46"/>
  <c r="S83" i="46"/>
  <c r="T83" i="46"/>
  <c r="U83" i="46"/>
  <c r="P84" i="46"/>
  <c r="Q84" i="46"/>
  <c r="R84" i="46"/>
  <c r="S84" i="46"/>
  <c r="T84" i="46"/>
  <c r="U84" i="46"/>
  <c r="P85" i="46"/>
  <c r="Q85" i="46"/>
  <c r="R85" i="46"/>
  <c r="S85" i="46"/>
  <c r="T85" i="46"/>
  <c r="U85" i="46"/>
  <c r="P86" i="46"/>
  <c r="Q86" i="46"/>
  <c r="R86" i="46"/>
  <c r="S86" i="46"/>
  <c r="T86" i="46"/>
  <c r="U86" i="46"/>
  <c r="P87" i="46"/>
  <c r="Q87" i="46"/>
  <c r="R87" i="46"/>
  <c r="S87" i="46"/>
  <c r="T87" i="46"/>
  <c r="U87" i="46"/>
  <c r="P88" i="46"/>
  <c r="Q88" i="46"/>
  <c r="R88" i="46"/>
  <c r="S88" i="46"/>
  <c r="T88" i="46"/>
  <c r="U88" i="46"/>
  <c r="P89" i="46"/>
  <c r="Q89" i="46"/>
  <c r="R89" i="46"/>
  <c r="S89" i="46"/>
  <c r="T89" i="46"/>
  <c r="U89" i="46"/>
  <c r="P90" i="46"/>
  <c r="Q90" i="46"/>
  <c r="R90" i="46"/>
  <c r="S90" i="46"/>
  <c r="T90" i="46"/>
  <c r="U90" i="46"/>
  <c r="P91" i="46"/>
  <c r="Q91" i="46"/>
  <c r="R91" i="46"/>
  <c r="S91" i="46"/>
  <c r="T91" i="46"/>
  <c r="U91" i="46"/>
  <c r="P92" i="46"/>
  <c r="Q92" i="46"/>
  <c r="R92" i="46"/>
  <c r="S92" i="46"/>
  <c r="T92" i="46"/>
  <c r="U92" i="46"/>
  <c r="P93" i="46"/>
  <c r="Q93" i="46"/>
  <c r="R93" i="46"/>
  <c r="S93" i="46"/>
  <c r="T93" i="46"/>
  <c r="U93" i="46"/>
  <c r="P94" i="46"/>
  <c r="Q94" i="46"/>
  <c r="R94" i="46"/>
  <c r="S94" i="46"/>
  <c r="T94" i="46"/>
  <c r="U94" i="46"/>
  <c r="P95" i="46"/>
  <c r="Q95" i="46"/>
  <c r="R95" i="46"/>
  <c r="S95" i="46"/>
  <c r="T95" i="46"/>
  <c r="U95" i="46"/>
  <c r="P96" i="46"/>
  <c r="Q96" i="46"/>
  <c r="R96" i="46"/>
  <c r="S96" i="46"/>
  <c r="T96" i="46"/>
  <c r="U96" i="46"/>
  <c r="P97" i="46"/>
  <c r="Q97" i="46"/>
  <c r="R97" i="46"/>
  <c r="S97" i="46"/>
  <c r="T97" i="46"/>
  <c r="U97" i="46"/>
  <c r="P98" i="46"/>
  <c r="Q98" i="46"/>
  <c r="R98" i="46"/>
  <c r="S98" i="46"/>
  <c r="T98" i="46"/>
  <c r="U98" i="46"/>
  <c r="P99" i="46"/>
  <c r="Q99" i="46"/>
  <c r="R99" i="46"/>
  <c r="S99" i="46"/>
  <c r="T99" i="46"/>
  <c r="U99" i="46"/>
  <c r="P100" i="46"/>
  <c r="Q100" i="46"/>
  <c r="R100" i="46"/>
  <c r="S100" i="46"/>
  <c r="T100" i="46"/>
  <c r="U100" i="46"/>
  <c r="P101" i="46"/>
  <c r="Q101" i="46"/>
  <c r="R101" i="46"/>
  <c r="S101" i="46"/>
  <c r="T101" i="46"/>
  <c r="U101" i="46"/>
  <c r="P102" i="46"/>
  <c r="Q102" i="46"/>
  <c r="R102" i="46"/>
  <c r="S102" i="46"/>
  <c r="T102" i="46"/>
  <c r="U102" i="46"/>
  <c r="P103" i="46"/>
  <c r="Q103" i="46"/>
  <c r="R103" i="46"/>
  <c r="S103" i="46"/>
  <c r="T103" i="46"/>
  <c r="U103" i="46"/>
  <c r="P104" i="46"/>
  <c r="Q104" i="46"/>
  <c r="R104" i="46"/>
  <c r="S104" i="46"/>
  <c r="T104" i="46"/>
  <c r="U104" i="46"/>
  <c r="P105" i="46"/>
  <c r="Q105" i="46"/>
  <c r="R105" i="46"/>
  <c r="S105" i="46"/>
  <c r="T105" i="46"/>
  <c r="U105" i="46"/>
  <c r="P106" i="46"/>
  <c r="Q106" i="46"/>
  <c r="R106" i="46"/>
  <c r="S106" i="46"/>
  <c r="T106" i="46"/>
  <c r="U106" i="46"/>
  <c r="P107" i="46"/>
  <c r="Q107" i="46"/>
  <c r="R107" i="46"/>
  <c r="S107" i="46"/>
  <c r="T107" i="46"/>
  <c r="U107" i="46"/>
  <c r="P108" i="46"/>
  <c r="Q108" i="46"/>
  <c r="R108" i="46"/>
  <c r="S108" i="46"/>
  <c r="T108" i="46"/>
  <c r="U108" i="46"/>
  <c r="P109" i="46"/>
  <c r="Q109" i="46"/>
  <c r="R109" i="46"/>
  <c r="S109" i="46"/>
  <c r="T109" i="46"/>
  <c r="U109" i="46"/>
  <c r="P110" i="46"/>
  <c r="Q110" i="46"/>
  <c r="R110" i="46"/>
  <c r="S110" i="46"/>
  <c r="T110" i="46"/>
  <c r="U110" i="46"/>
  <c r="P111" i="46"/>
  <c r="Q111" i="46"/>
  <c r="R111" i="46"/>
  <c r="S111" i="46"/>
  <c r="T111" i="46"/>
  <c r="U111" i="46"/>
  <c r="P112" i="46"/>
  <c r="Q112" i="46"/>
  <c r="R112" i="46"/>
  <c r="S112" i="46"/>
  <c r="T112" i="46"/>
  <c r="U112" i="46"/>
  <c r="P113" i="46"/>
  <c r="Q113" i="46"/>
  <c r="R113" i="46"/>
  <c r="S113" i="46"/>
  <c r="T113" i="46"/>
  <c r="U113" i="46"/>
  <c r="P114" i="46"/>
  <c r="Q114" i="46"/>
  <c r="R114" i="46"/>
  <c r="S114" i="46"/>
  <c r="T114" i="46"/>
  <c r="U114" i="46"/>
  <c r="P115" i="46"/>
  <c r="Q115" i="46"/>
  <c r="R115" i="46"/>
  <c r="S115" i="46"/>
  <c r="T115" i="46"/>
  <c r="U115" i="46"/>
  <c r="P116" i="46"/>
  <c r="Q116" i="46"/>
  <c r="R116" i="46"/>
  <c r="S116" i="46"/>
  <c r="T116" i="46"/>
  <c r="U116" i="46"/>
  <c r="P117" i="46"/>
  <c r="Q117" i="46"/>
  <c r="R117" i="46"/>
  <c r="S117" i="46"/>
  <c r="T117" i="46"/>
  <c r="U117" i="46"/>
  <c r="P118" i="46"/>
  <c r="Q118" i="46"/>
  <c r="R118" i="46"/>
  <c r="S118" i="46"/>
  <c r="T118" i="46"/>
  <c r="U118" i="46"/>
  <c r="P119" i="46"/>
  <c r="Q119" i="46"/>
  <c r="R119" i="46"/>
  <c r="S119" i="46"/>
  <c r="T119" i="46"/>
  <c r="U119" i="46"/>
  <c r="P120" i="46"/>
  <c r="Q120" i="46"/>
  <c r="R120" i="46"/>
  <c r="S120" i="46"/>
  <c r="T120" i="46"/>
  <c r="U120" i="46"/>
  <c r="P121" i="46"/>
  <c r="Q121" i="46"/>
  <c r="R121" i="46"/>
  <c r="S121" i="46"/>
  <c r="T121" i="46"/>
  <c r="U121" i="46"/>
  <c r="P122" i="46"/>
  <c r="Q122" i="46"/>
  <c r="R122" i="46"/>
  <c r="S122" i="46"/>
  <c r="T122" i="46"/>
  <c r="U122" i="46"/>
  <c r="P123" i="46"/>
  <c r="Q123" i="46"/>
  <c r="R123" i="46"/>
  <c r="S123" i="46"/>
  <c r="T123" i="46"/>
  <c r="U123" i="46"/>
  <c r="P124" i="46"/>
  <c r="Q124" i="46"/>
  <c r="R124" i="46"/>
  <c r="S124" i="46"/>
  <c r="T124" i="46"/>
  <c r="U124" i="46"/>
  <c r="P125" i="46"/>
  <c r="Q125" i="46"/>
  <c r="R125" i="46"/>
  <c r="S125" i="46"/>
  <c r="T125" i="46"/>
  <c r="U125" i="46"/>
  <c r="P126" i="46"/>
  <c r="Q126" i="46"/>
  <c r="R126" i="46"/>
  <c r="S126" i="46"/>
  <c r="T126" i="46"/>
  <c r="U126" i="46"/>
  <c r="P127" i="46"/>
  <c r="Q127" i="46"/>
  <c r="R127" i="46"/>
  <c r="S127" i="46"/>
  <c r="T127" i="46"/>
  <c r="U127" i="46"/>
  <c r="P128" i="46"/>
  <c r="Q128" i="46"/>
  <c r="R128" i="46"/>
  <c r="S128" i="46"/>
  <c r="T128" i="46"/>
  <c r="U128" i="46"/>
  <c r="P129" i="46"/>
  <c r="Q129" i="46"/>
  <c r="R129" i="46"/>
  <c r="S129" i="46"/>
  <c r="T129" i="46"/>
  <c r="U129" i="46"/>
  <c r="P130" i="46"/>
  <c r="Q130" i="46"/>
  <c r="R130" i="46"/>
  <c r="S130" i="46"/>
  <c r="T130" i="46"/>
  <c r="U130" i="46"/>
  <c r="P131" i="46"/>
  <c r="Q131" i="46"/>
  <c r="R131" i="46"/>
  <c r="S131" i="46"/>
  <c r="T131" i="46"/>
  <c r="U131" i="46"/>
  <c r="P132" i="46"/>
  <c r="Q132" i="46"/>
  <c r="R132" i="46"/>
  <c r="S132" i="46"/>
  <c r="T132" i="46"/>
  <c r="U132" i="46"/>
  <c r="P133" i="46"/>
  <c r="Q133" i="46"/>
  <c r="R133" i="46"/>
  <c r="S133" i="46"/>
  <c r="T133" i="46"/>
  <c r="U133" i="46"/>
  <c r="P134" i="46"/>
  <c r="Q134" i="46"/>
  <c r="R134" i="46"/>
  <c r="S134" i="46"/>
  <c r="T134" i="46"/>
  <c r="U134" i="46"/>
  <c r="P135" i="46"/>
  <c r="Q135" i="46"/>
  <c r="R135" i="46"/>
  <c r="S135" i="46"/>
  <c r="T135" i="46"/>
  <c r="U135" i="46"/>
  <c r="P136" i="46"/>
  <c r="Q136" i="46"/>
  <c r="R136" i="46"/>
  <c r="S136" i="46"/>
  <c r="T136" i="46"/>
  <c r="U136" i="46"/>
  <c r="P137" i="46"/>
  <c r="Q137" i="46"/>
  <c r="R137" i="46"/>
  <c r="S137" i="46"/>
  <c r="T137" i="46"/>
  <c r="U137" i="46"/>
  <c r="P138" i="46"/>
  <c r="Q138" i="46"/>
  <c r="R138" i="46"/>
  <c r="S138" i="46"/>
  <c r="T138" i="46"/>
  <c r="U138" i="46"/>
  <c r="P139" i="46"/>
  <c r="Q139" i="46"/>
  <c r="R139" i="46"/>
  <c r="S139" i="46"/>
  <c r="T139" i="46"/>
  <c r="U139" i="46"/>
  <c r="P140" i="46"/>
  <c r="Q140" i="46"/>
  <c r="R140" i="46"/>
  <c r="S140" i="46"/>
  <c r="T140" i="46"/>
  <c r="U140" i="46"/>
  <c r="P141" i="46"/>
  <c r="Q141" i="46"/>
  <c r="R141" i="46"/>
  <c r="S141" i="46"/>
  <c r="T141" i="46"/>
  <c r="U141" i="46"/>
  <c r="P142" i="46"/>
  <c r="Q142" i="46"/>
  <c r="R142" i="46"/>
  <c r="S142" i="46"/>
  <c r="T142" i="46"/>
  <c r="U142" i="46"/>
  <c r="P143" i="46"/>
  <c r="Q143" i="46"/>
  <c r="R143" i="46"/>
  <c r="S143" i="46"/>
  <c r="T143" i="46"/>
  <c r="U143" i="46"/>
  <c r="P144" i="46"/>
  <c r="Q144" i="46"/>
  <c r="R144" i="46"/>
  <c r="S144" i="46"/>
  <c r="T144" i="46"/>
  <c r="U144" i="46"/>
  <c r="P145" i="46"/>
  <c r="Q145" i="46"/>
  <c r="R145" i="46"/>
  <c r="S145" i="46"/>
  <c r="T145" i="46"/>
  <c r="U145" i="46"/>
  <c r="P146" i="46"/>
  <c r="Q146" i="46"/>
  <c r="R146" i="46"/>
  <c r="S146" i="46"/>
  <c r="T146" i="46"/>
  <c r="U146" i="46"/>
  <c r="P147" i="46"/>
  <c r="Q147" i="46"/>
  <c r="R147" i="46"/>
  <c r="S147" i="46"/>
  <c r="T147" i="46"/>
  <c r="U147" i="46"/>
  <c r="P148" i="46"/>
  <c r="Q148" i="46"/>
  <c r="R148" i="46"/>
  <c r="S148" i="46"/>
  <c r="T148" i="46"/>
  <c r="U148" i="46"/>
  <c r="P149" i="46"/>
  <c r="Q149" i="46"/>
  <c r="R149" i="46"/>
  <c r="S149" i="46"/>
  <c r="T149" i="46"/>
  <c r="U149" i="46"/>
  <c r="U4" i="46"/>
  <c r="T4" i="46"/>
  <c r="T1" i="46" s="1"/>
  <c r="S4" i="46"/>
  <c r="R4" i="46"/>
  <c r="Q4" i="46"/>
  <c r="P4" i="46"/>
  <c r="P1" i="46" l="1"/>
  <c r="R1" i="46"/>
  <c r="S1" i="46"/>
  <c r="Q1" i="46"/>
  <c r="U1" i="46"/>
  <c r="U238" i="44" l="1"/>
  <c r="T238" i="44"/>
  <c r="S238" i="44"/>
  <c r="R238" i="44"/>
  <c r="Q238" i="44"/>
  <c r="P238" i="44"/>
  <c r="U237" i="44"/>
  <c r="T237" i="44"/>
  <c r="S237" i="44"/>
  <c r="R237" i="44"/>
  <c r="Q237" i="44"/>
  <c r="P237" i="44"/>
  <c r="U236" i="44"/>
  <c r="T236" i="44"/>
  <c r="S236" i="44"/>
  <c r="R236" i="44"/>
  <c r="Q236" i="44"/>
  <c r="P236" i="44"/>
  <c r="U235" i="44"/>
  <c r="T235" i="44"/>
  <c r="S235" i="44"/>
  <c r="R235" i="44"/>
  <c r="Q235" i="44"/>
  <c r="P235" i="44"/>
  <c r="U234" i="44"/>
  <c r="T234" i="44"/>
  <c r="S234" i="44"/>
  <c r="R234" i="44"/>
  <c r="Q234" i="44"/>
  <c r="P234" i="44"/>
  <c r="U233" i="44"/>
  <c r="T233" i="44"/>
  <c r="S233" i="44"/>
  <c r="R233" i="44"/>
  <c r="Q233" i="44"/>
  <c r="P233" i="44"/>
  <c r="U232" i="44"/>
  <c r="T232" i="44"/>
  <c r="S232" i="44"/>
  <c r="R232" i="44"/>
  <c r="Q232" i="44"/>
  <c r="P232" i="44"/>
  <c r="U231" i="44"/>
  <c r="T231" i="44"/>
  <c r="S231" i="44"/>
  <c r="R231" i="44"/>
  <c r="Q231" i="44"/>
  <c r="P231" i="44"/>
  <c r="U230" i="44"/>
  <c r="T230" i="44"/>
  <c r="S230" i="44"/>
  <c r="R230" i="44"/>
  <c r="Q230" i="44"/>
  <c r="P230" i="44"/>
  <c r="U229" i="44"/>
  <c r="T229" i="44"/>
  <c r="S229" i="44"/>
  <c r="R229" i="44"/>
  <c r="Q229" i="44"/>
  <c r="P229" i="44"/>
  <c r="U228" i="44"/>
  <c r="T228" i="44"/>
  <c r="S228" i="44"/>
  <c r="R228" i="44"/>
  <c r="Q228" i="44"/>
  <c r="P228" i="44"/>
  <c r="U227" i="44"/>
  <c r="T227" i="44"/>
  <c r="S227" i="44"/>
  <c r="R227" i="44"/>
  <c r="Q227" i="44"/>
  <c r="P227" i="44"/>
  <c r="U226" i="44"/>
  <c r="T226" i="44"/>
  <c r="S226" i="44"/>
  <c r="R226" i="44"/>
  <c r="Q226" i="44"/>
  <c r="P226" i="44"/>
  <c r="U225" i="44"/>
  <c r="T225" i="44"/>
  <c r="S225" i="44"/>
  <c r="R225" i="44"/>
  <c r="Q225" i="44"/>
  <c r="P225" i="44"/>
  <c r="U224" i="44"/>
  <c r="T224" i="44"/>
  <c r="S224" i="44"/>
  <c r="R224" i="44"/>
  <c r="Q224" i="44"/>
  <c r="P224" i="44"/>
  <c r="U223" i="44"/>
  <c r="T223" i="44"/>
  <c r="S223" i="44"/>
  <c r="R223" i="44"/>
  <c r="Q223" i="44"/>
  <c r="P223" i="44"/>
  <c r="U222" i="44"/>
  <c r="T222" i="44"/>
  <c r="S222" i="44"/>
  <c r="R222" i="44"/>
  <c r="Q222" i="44"/>
  <c r="P222" i="44"/>
  <c r="U221" i="44"/>
  <c r="T221" i="44"/>
  <c r="S221" i="44"/>
  <c r="R221" i="44"/>
  <c r="Q221" i="44"/>
  <c r="P221" i="44"/>
  <c r="U220" i="44"/>
  <c r="T220" i="44"/>
  <c r="S220" i="44"/>
  <c r="R220" i="44"/>
  <c r="Q220" i="44"/>
  <c r="P220" i="44"/>
  <c r="U219" i="44"/>
  <c r="T219" i="44"/>
  <c r="S219" i="44"/>
  <c r="R219" i="44"/>
  <c r="Q219" i="44"/>
  <c r="P219" i="44"/>
  <c r="U218" i="44"/>
  <c r="T218" i="44"/>
  <c r="S218" i="44"/>
  <c r="R218" i="44"/>
  <c r="Q218" i="44"/>
  <c r="P218" i="44"/>
  <c r="U217" i="44"/>
  <c r="T217" i="44"/>
  <c r="S217" i="44"/>
  <c r="R217" i="44"/>
  <c r="Q217" i="44"/>
  <c r="P217" i="44"/>
  <c r="U216" i="44"/>
  <c r="T216" i="44"/>
  <c r="S216" i="44"/>
  <c r="R216" i="44"/>
  <c r="Q216" i="44"/>
  <c r="P216" i="44"/>
  <c r="U215" i="44"/>
  <c r="T215" i="44"/>
  <c r="S215" i="44"/>
  <c r="R215" i="44"/>
  <c r="Q215" i="44"/>
  <c r="P215" i="44"/>
  <c r="U214" i="44"/>
  <c r="T214" i="44"/>
  <c r="S214" i="44"/>
  <c r="R214" i="44"/>
  <c r="Q214" i="44"/>
  <c r="P214" i="44"/>
  <c r="U213" i="44"/>
  <c r="T213" i="44"/>
  <c r="S213" i="44"/>
  <c r="R213" i="44"/>
  <c r="Q213" i="44"/>
  <c r="P213" i="44"/>
  <c r="U212" i="44"/>
  <c r="T212" i="44"/>
  <c r="S212" i="44"/>
  <c r="R212" i="44"/>
  <c r="Q212" i="44"/>
  <c r="P212" i="44"/>
  <c r="U211" i="44"/>
  <c r="T211" i="44"/>
  <c r="S211" i="44"/>
  <c r="R211" i="44"/>
  <c r="Q211" i="44"/>
  <c r="P211" i="44"/>
  <c r="U210" i="44"/>
  <c r="T210" i="44"/>
  <c r="S210" i="44"/>
  <c r="R210" i="44"/>
  <c r="Q210" i="44"/>
  <c r="P210" i="44"/>
  <c r="U209" i="44"/>
  <c r="T209" i="44"/>
  <c r="S209" i="44"/>
  <c r="R209" i="44"/>
  <c r="Q209" i="44"/>
  <c r="P209" i="44"/>
  <c r="U208" i="44"/>
  <c r="T208" i="44"/>
  <c r="S208" i="44"/>
  <c r="R208" i="44"/>
  <c r="Q208" i="44"/>
  <c r="P208" i="44"/>
  <c r="U207" i="44"/>
  <c r="T207" i="44"/>
  <c r="S207" i="44"/>
  <c r="R207" i="44"/>
  <c r="Q207" i="44"/>
  <c r="P207" i="44"/>
  <c r="U206" i="44"/>
  <c r="T206" i="44"/>
  <c r="S206" i="44"/>
  <c r="R206" i="44"/>
  <c r="Q206" i="44"/>
  <c r="P206" i="44"/>
  <c r="U205" i="44"/>
  <c r="T205" i="44"/>
  <c r="S205" i="44"/>
  <c r="R205" i="44"/>
  <c r="Q205" i="44"/>
  <c r="P205" i="44"/>
  <c r="U204" i="44"/>
  <c r="T204" i="44"/>
  <c r="S204" i="44"/>
  <c r="R204" i="44"/>
  <c r="Q204" i="44"/>
  <c r="P204" i="44"/>
  <c r="U203" i="44"/>
  <c r="T203" i="44"/>
  <c r="S203" i="44"/>
  <c r="R203" i="44"/>
  <c r="Q203" i="44"/>
  <c r="P203" i="44"/>
  <c r="U202" i="44"/>
  <c r="T202" i="44"/>
  <c r="S202" i="44"/>
  <c r="R202" i="44"/>
  <c r="Q202" i="44"/>
  <c r="P202" i="44"/>
  <c r="U201" i="44"/>
  <c r="T201" i="44"/>
  <c r="S201" i="44"/>
  <c r="R201" i="44"/>
  <c r="Q201" i="44"/>
  <c r="P201" i="44"/>
  <c r="U200" i="44"/>
  <c r="T200" i="44"/>
  <c r="S200" i="44"/>
  <c r="R200" i="44"/>
  <c r="Q200" i="44"/>
  <c r="P200" i="44"/>
  <c r="U199" i="44"/>
  <c r="T199" i="44"/>
  <c r="S199" i="44"/>
  <c r="R199" i="44"/>
  <c r="Q199" i="44"/>
  <c r="P199" i="44"/>
  <c r="U198" i="44"/>
  <c r="T198" i="44"/>
  <c r="S198" i="44"/>
  <c r="R198" i="44"/>
  <c r="Q198" i="44"/>
  <c r="P198" i="44"/>
  <c r="U197" i="44"/>
  <c r="T197" i="44"/>
  <c r="S197" i="44"/>
  <c r="R197" i="44"/>
  <c r="Q197" i="44"/>
  <c r="P197" i="44"/>
  <c r="U196" i="44"/>
  <c r="T196" i="44"/>
  <c r="S196" i="44"/>
  <c r="R196" i="44"/>
  <c r="Q196" i="44"/>
  <c r="P196" i="44"/>
  <c r="U195" i="44"/>
  <c r="T195" i="44"/>
  <c r="S195" i="44"/>
  <c r="R195" i="44"/>
  <c r="Q195" i="44"/>
  <c r="P195" i="44"/>
  <c r="U194" i="44"/>
  <c r="T194" i="44"/>
  <c r="S194" i="44"/>
  <c r="R194" i="44"/>
  <c r="Q194" i="44"/>
  <c r="P194" i="44"/>
  <c r="U193" i="44"/>
  <c r="T193" i="44"/>
  <c r="S193" i="44"/>
  <c r="R193" i="44"/>
  <c r="Q193" i="44"/>
  <c r="P193" i="44"/>
  <c r="U192" i="44"/>
  <c r="T192" i="44"/>
  <c r="S192" i="44"/>
  <c r="R192" i="44"/>
  <c r="Q192" i="44"/>
  <c r="P192" i="44"/>
  <c r="U191" i="44"/>
  <c r="T191" i="44"/>
  <c r="S191" i="44"/>
  <c r="R191" i="44"/>
  <c r="Q191" i="44"/>
  <c r="P191" i="44"/>
  <c r="U190" i="44"/>
  <c r="T190" i="44"/>
  <c r="S190" i="44"/>
  <c r="R190" i="44"/>
  <c r="Q190" i="44"/>
  <c r="P190" i="44"/>
  <c r="U189" i="44"/>
  <c r="T189" i="44"/>
  <c r="S189" i="44"/>
  <c r="R189" i="44"/>
  <c r="Q189" i="44"/>
  <c r="P189" i="44"/>
  <c r="U188" i="44"/>
  <c r="T188" i="44"/>
  <c r="S188" i="44"/>
  <c r="R188" i="44"/>
  <c r="Q188" i="44"/>
  <c r="P188" i="44"/>
  <c r="U187" i="44"/>
  <c r="T187" i="44"/>
  <c r="S187" i="44"/>
  <c r="R187" i="44"/>
  <c r="Q187" i="44"/>
  <c r="P187" i="44"/>
  <c r="U186" i="44"/>
  <c r="T186" i="44"/>
  <c r="S186" i="44"/>
  <c r="R186" i="44"/>
  <c r="Q186" i="44"/>
  <c r="P186" i="44"/>
  <c r="U185" i="44"/>
  <c r="T185" i="44"/>
  <c r="S185" i="44"/>
  <c r="R185" i="44"/>
  <c r="Q185" i="44"/>
  <c r="P185" i="44"/>
  <c r="U184" i="44"/>
  <c r="T184" i="44"/>
  <c r="S184" i="44"/>
  <c r="R184" i="44"/>
  <c r="Q184" i="44"/>
  <c r="P184" i="44"/>
  <c r="U183" i="44"/>
  <c r="T183" i="44"/>
  <c r="S183" i="44"/>
  <c r="R183" i="44"/>
  <c r="Q183" i="44"/>
  <c r="P183" i="44"/>
  <c r="U182" i="44"/>
  <c r="T182" i="44"/>
  <c r="S182" i="44"/>
  <c r="R182" i="44"/>
  <c r="Q182" i="44"/>
  <c r="P182" i="44"/>
  <c r="U181" i="44"/>
  <c r="T181" i="44"/>
  <c r="S181" i="44"/>
  <c r="R181" i="44"/>
  <c r="Q181" i="44"/>
  <c r="P181" i="44"/>
  <c r="U180" i="44"/>
  <c r="T180" i="44"/>
  <c r="S180" i="44"/>
  <c r="R180" i="44"/>
  <c r="Q180" i="44"/>
  <c r="P180" i="44"/>
  <c r="U179" i="44"/>
  <c r="T179" i="44"/>
  <c r="S179" i="44"/>
  <c r="R179" i="44"/>
  <c r="Q179" i="44"/>
  <c r="P179" i="44"/>
  <c r="U178" i="44"/>
  <c r="T178" i="44"/>
  <c r="S178" i="44"/>
  <c r="R178" i="44"/>
  <c r="Q178" i="44"/>
  <c r="P178" i="44"/>
  <c r="U177" i="44"/>
  <c r="T177" i="44"/>
  <c r="S177" i="44"/>
  <c r="R177" i="44"/>
  <c r="Q177" i="44"/>
  <c r="P177" i="44"/>
  <c r="U176" i="44"/>
  <c r="T176" i="44"/>
  <c r="S176" i="44"/>
  <c r="R176" i="44"/>
  <c r="Q176" i="44"/>
  <c r="P176" i="44"/>
  <c r="U175" i="44"/>
  <c r="T175" i="44"/>
  <c r="S175" i="44"/>
  <c r="R175" i="44"/>
  <c r="Q175" i="44"/>
  <c r="P175" i="44"/>
  <c r="U174" i="44"/>
  <c r="T174" i="44"/>
  <c r="S174" i="44"/>
  <c r="R174" i="44"/>
  <c r="Q174" i="44"/>
  <c r="P174" i="44"/>
  <c r="U173" i="44"/>
  <c r="T173" i="44"/>
  <c r="S173" i="44"/>
  <c r="R173" i="44"/>
  <c r="Q173" i="44"/>
  <c r="P173" i="44"/>
  <c r="U172" i="44"/>
  <c r="T172" i="44"/>
  <c r="S172" i="44"/>
  <c r="R172" i="44"/>
  <c r="Q172" i="44"/>
  <c r="P172" i="44"/>
  <c r="U171" i="44"/>
  <c r="T171" i="44"/>
  <c r="S171" i="44"/>
  <c r="R171" i="44"/>
  <c r="Q171" i="44"/>
  <c r="P171" i="44"/>
  <c r="U170" i="44"/>
  <c r="T170" i="44"/>
  <c r="S170" i="44"/>
  <c r="R170" i="44"/>
  <c r="Q170" i="44"/>
  <c r="P170" i="44"/>
  <c r="U169" i="44"/>
  <c r="T169" i="44"/>
  <c r="S169" i="44"/>
  <c r="R169" i="44"/>
  <c r="Q169" i="44"/>
  <c r="P169" i="44"/>
  <c r="U168" i="44"/>
  <c r="T168" i="44"/>
  <c r="S168" i="44"/>
  <c r="R168" i="44"/>
  <c r="Q168" i="44"/>
  <c r="P168" i="44"/>
  <c r="U167" i="44"/>
  <c r="T167" i="44"/>
  <c r="S167" i="44"/>
  <c r="R167" i="44"/>
  <c r="Q167" i="44"/>
  <c r="P167" i="44"/>
  <c r="U166" i="44"/>
  <c r="T166" i="44"/>
  <c r="S166" i="44"/>
  <c r="R166" i="44"/>
  <c r="Q166" i="44"/>
  <c r="P166" i="44"/>
  <c r="U165" i="44"/>
  <c r="T165" i="44"/>
  <c r="S165" i="44"/>
  <c r="R165" i="44"/>
  <c r="Q165" i="44"/>
  <c r="P165" i="44"/>
  <c r="U164" i="44"/>
  <c r="T164" i="44"/>
  <c r="S164" i="44"/>
  <c r="R164" i="44"/>
  <c r="Q164" i="44"/>
  <c r="P164" i="44"/>
  <c r="U163" i="44"/>
  <c r="T163" i="44"/>
  <c r="S163" i="44"/>
  <c r="R163" i="44"/>
  <c r="Q163" i="44"/>
  <c r="P163" i="44"/>
  <c r="U162" i="44"/>
  <c r="T162" i="44"/>
  <c r="S162" i="44"/>
  <c r="R162" i="44"/>
  <c r="Q162" i="44"/>
  <c r="P162" i="44"/>
  <c r="U161" i="44"/>
  <c r="T161" i="44"/>
  <c r="S161" i="44"/>
  <c r="R161" i="44"/>
  <c r="Q161" i="44"/>
  <c r="P161" i="44"/>
  <c r="U160" i="44"/>
  <c r="T160" i="44"/>
  <c r="S160" i="44"/>
  <c r="R160" i="44"/>
  <c r="Q160" i="44"/>
  <c r="P160" i="44"/>
  <c r="U159" i="44"/>
  <c r="T159" i="44"/>
  <c r="S159" i="44"/>
  <c r="R159" i="44"/>
  <c r="Q159" i="44"/>
  <c r="P159" i="44"/>
  <c r="U158" i="44"/>
  <c r="T158" i="44"/>
  <c r="S158" i="44"/>
  <c r="R158" i="44"/>
  <c r="Q158" i="44"/>
  <c r="P158" i="44"/>
  <c r="U157" i="44"/>
  <c r="T157" i="44"/>
  <c r="S157" i="44"/>
  <c r="R157" i="44"/>
  <c r="Q157" i="44"/>
  <c r="P157" i="44"/>
  <c r="U156" i="44"/>
  <c r="T156" i="44"/>
  <c r="S156" i="44"/>
  <c r="R156" i="44"/>
  <c r="Q156" i="44"/>
  <c r="P156" i="44"/>
  <c r="U155" i="44"/>
  <c r="T155" i="44"/>
  <c r="S155" i="44"/>
  <c r="R155" i="44"/>
  <c r="Q155" i="44"/>
  <c r="P155" i="44"/>
  <c r="U154" i="44"/>
  <c r="T154" i="44"/>
  <c r="S154" i="44"/>
  <c r="R154" i="44"/>
  <c r="Q154" i="44"/>
  <c r="P154" i="44"/>
  <c r="U153" i="44"/>
  <c r="T153" i="44"/>
  <c r="S153" i="44"/>
  <c r="R153" i="44"/>
  <c r="Q153" i="44"/>
  <c r="P153" i="44"/>
  <c r="U152" i="44"/>
  <c r="T152" i="44"/>
  <c r="S152" i="44"/>
  <c r="R152" i="44"/>
  <c r="Q152" i="44"/>
  <c r="P152" i="44"/>
  <c r="U151" i="44"/>
  <c r="T151" i="44"/>
  <c r="S151" i="44"/>
  <c r="R151" i="44"/>
  <c r="Q151" i="44"/>
  <c r="P151" i="44"/>
  <c r="U150" i="44"/>
  <c r="T150" i="44"/>
  <c r="S150" i="44"/>
  <c r="R150" i="44"/>
  <c r="Q150" i="44"/>
  <c r="P150" i="44"/>
  <c r="U149" i="44"/>
  <c r="T149" i="44"/>
  <c r="S149" i="44"/>
  <c r="R149" i="44"/>
  <c r="Q149" i="44"/>
  <c r="P149" i="44"/>
  <c r="U148" i="44"/>
  <c r="T148" i="44"/>
  <c r="S148" i="44"/>
  <c r="R148" i="44"/>
  <c r="Q148" i="44"/>
  <c r="P148" i="44"/>
  <c r="U147" i="44"/>
  <c r="T147" i="44"/>
  <c r="S147" i="44"/>
  <c r="R147" i="44"/>
  <c r="Q147" i="44"/>
  <c r="P147" i="44"/>
  <c r="U146" i="44"/>
  <c r="T146" i="44"/>
  <c r="S146" i="44"/>
  <c r="R146" i="44"/>
  <c r="Q146" i="44"/>
  <c r="P146" i="44"/>
  <c r="U145" i="44"/>
  <c r="T145" i="44"/>
  <c r="S145" i="44"/>
  <c r="R145" i="44"/>
  <c r="Q145" i="44"/>
  <c r="P145" i="44"/>
  <c r="U144" i="44"/>
  <c r="T144" i="44"/>
  <c r="S144" i="44"/>
  <c r="R144" i="44"/>
  <c r="Q144" i="44"/>
  <c r="P144" i="44"/>
  <c r="U143" i="44"/>
  <c r="T143" i="44"/>
  <c r="S143" i="44"/>
  <c r="R143" i="44"/>
  <c r="Q143" i="44"/>
  <c r="P143" i="44"/>
  <c r="U142" i="44"/>
  <c r="T142" i="44"/>
  <c r="S142" i="44"/>
  <c r="R142" i="44"/>
  <c r="Q142" i="44"/>
  <c r="P142" i="44"/>
  <c r="U141" i="44"/>
  <c r="T141" i="44"/>
  <c r="S141" i="44"/>
  <c r="R141" i="44"/>
  <c r="Q141" i="44"/>
  <c r="P141" i="44"/>
  <c r="U140" i="44"/>
  <c r="T140" i="44"/>
  <c r="S140" i="44"/>
  <c r="R140" i="44"/>
  <c r="Q140" i="44"/>
  <c r="P140" i="44"/>
  <c r="U139" i="44"/>
  <c r="T139" i="44"/>
  <c r="S139" i="44"/>
  <c r="R139" i="44"/>
  <c r="Q139" i="44"/>
  <c r="P139" i="44"/>
  <c r="U138" i="44"/>
  <c r="T138" i="44"/>
  <c r="S138" i="44"/>
  <c r="R138" i="44"/>
  <c r="Q138" i="44"/>
  <c r="P138" i="44"/>
  <c r="U137" i="44"/>
  <c r="T137" i="44"/>
  <c r="S137" i="44"/>
  <c r="R137" i="44"/>
  <c r="Q137" i="44"/>
  <c r="P137" i="44"/>
  <c r="U136" i="44"/>
  <c r="T136" i="44"/>
  <c r="S136" i="44"/>
  <c r="R136" i="44"/>
  <c r="Q136" i="44"/>
  <c r="P136" i="44"/>
  <c r="U135" i="44"/>
  <c r="T135" i="44"/>
  <c r="S135" i="44"/>
  <c r="R135" i="44"/>
  <c r="Q135" i="44"/>
  <c r="P135" i="44"/>
  <c r="U134" i="44"/>
  <c r="T134" i="44"/>
  <c r="S134" i="44"/>
  <c r="R134" i="44"/>
  <c r="Q134" i="44"/>
  <c r="P134" i="44"/>
  <c r="U133" i="44"/>
  <c r="T133" i="44"/>
  <c r="S133" i="44"/>
  <c r="R133" i="44"/>
  <c r="Q133" i="44"/>
  <c r="P133" i="44"/>
  <c r="U132" i="44"/>
  <c r="T132" i="44"/>
  <c r="S132" i="44"/>
  <c r="R132" i="44"/>
  <c r="Q132" i="44"/>
  <c r="P132" i="44"/>
  <c r="U131" i="44"/>
  <c r="T131" i="44"/>
  <c r="S131" i="44"/>
  <c r="R131" i="44"/>
  <c r="Q131" i="44"/>
  <c r="P131" i="44"/>
  <c r="U130" i="44"/>
  <c r="T130" i="44"/>
  <c r="S130" i="44"/>
  <c r="R130" i="44"/>
  <c r="Q130" i="44"/>
  <c r="P130" i="44"/>
  <c r="U129" i="44"/>
  <c r="T129" i="44"/>
  <c r="S129" i="44"/>
  <c r="R129" i="44"/>
  <c r="Q129" i="44"/>
  <c r="P129" i="44"/>
  <c r="U128" i="44"/>
  <c r="T128" i="44"/>
  <c r="S128" i="44"/>
  <c r="R128" i="44"/>
  <c r="Q128" i="44"/>
  <c r="P128" i="44"/>
  <c r="U127" i="44"/>
  <c r="T127" i="44"/>
  <c r="S127" i="44"/>
  <c r="R127" i="44"/>
  <c r="Q127" i="44"/>
  <c r="P127" i="44"/>
  <c r="U126" i="44"/>
  <c r="T126" i="44"/>
  <c r="S126" i="44"/>
  <c r="R126" i="44"/>
  <c r="Q126" i="44"/>
  <c r="P126" i="44"/>
  <c r="U125" i="44"/>
  <c r="T125" i="44"/>
  <c r="S125" i="44"/>
  <c r="R125" i="44"/>
  <c r="Q125" i="44"/>
  <c r="P125" i="44"/>
  <c r="U124" i="44"/>
  <c r="T124" i="44"/>
  <c r="S124" i="44"/>
  <c r="R124" i="44"/>
  <c r="Q124" i="44"/>
  <c r="P124" i="44"/>
  <c r="U123" i="44"/>
  <c r="T123" i="44"/>
  <c r="S123" i="44"/>
  <c r="R123" i="44"/>
  <c r="Q123" i="44"/>
  <c r="P123" i="44"/>
  <c r="U122" i="44"/>
  <c r="T122" i="44"/>
  <c r="S122" i="44"/>
  <c r="R122" i="44"/>
  <c r="Q122" i="44"/>
  <c r="P122" i="44"/>
  <c r="U121" i="44"/>
  <c r="T121" i="44"/>
  <c r="S121" i="44"/>
  <c r="R121" i="44"/>
  <c r="Q121" i="44"/>
  <c r="P121" i="44"/>
  <c r="U120" i="44"/>
  <c r="T120" i="44"/>
  <c r="S120" i="44"/>
  <c r="R120" i="44"/>
  <c r="Q120" i="44"/>
  <c r="P120" i="44"/>
  <c r="U119" i="44"/>
  <c r="T119" i="44"/>
  <c r="S119" i="44"/>
  <c r="R119" i="44"/>
  <c r="Q119" i="44"/>
  <c r="P119" i="44"/>
  <c r="U118" i="44"/>
  <c r="T118" i="44"/>
  <c r="S118" i="44"/>
  <c r="R118" i="44"/>
  <c r="Q118" i="44"/>
  <c r="P118" i="44"/>
  <c r="U117" i="44"/>
  <c r="T117" i="44"/>
  <c r="S117" i="44"/>
  <c r="R117" i="44"/>
  <c r="Q117" i="44"/>
  <c r="P117" i="44"/>
  <c r="U116" i="44"/>
  <c r="T116" i="44"/>
  <c r="S116" i="44"/>
  <c r="R116" i="44"/>
  <c r="Q116" i="44"/>
  <c r="P116" i="44"/>
  <c r="U115" i="44"/>
  <c r="T115" i="44"/>
  <c r="S115" i="44"/>
  <c r="R115" i="44"/>
  <c r="Q115" i="44"/>
  <c r="P115" i="44"/>
  <c r="U114" i="44"/>
  <c r="T114" i="44"/>
  <c r="S114" i="44"/>
  <c r="R114" i="44"/>
  <c r="Q114" i="44"/>
  <c r="P114" i="44"/>
  <c r="O113" i="44"/>
  <c r="U113" i="44" s="1"/>
  <c r="N113" i="44"/>
  <c r="T113" i="44" s="1"/>
  <c r="M113" i="44"/>
  <c r="S113" i="44" s="1"/>
  <c r="L113" i="44"/>
  <c r="R113" i="44" s="1"/>
  <c r="K113" i="44"/>
  <c r="Q113" i="44" s="1"/>
  <c r="J113" i="44"/>
  <c r="P113" i="44" s="1"/>
  <c r="U112" i="44"/>
  <c r="T112" i="44"/>
  <c r="S112" i="44"/>
  <c r="R112" i="44"/>
  <c r="Q112" i="44"/>
  <c r="P112" i="44"/>
  <c r="U111" i="44"/>
  <c r="T111" i="44"/>
  <c r="S111" i="44"/>
  <c r="R111" i="44"/>
  <c r="Q111" i="44"/>
  <c r="P111" i="44"/>
  <c r="U110" i="44"/>
  <c r="T110" i="44"/>
  <c r="S110" i="44"/>
  <c r="R110" i="44"/>
  <c r="Q110" i="44"/>
  <c r="P110" i="44"/>
  <c r="U109" i="44"/>
  <c r="T109" i="44"/>
  <c r="S109" i="44"/>
  <c r="R109" i="44"/>
  <c r="Q109" i="44"/>
  <c r="P109" i="44"/>
  <c r="U108" i="44"/>
  <c r="T108" i="44"/>
  <c r="S108" i="44"/>
  <c r="R108" i="44"/>
  <c r="Q108" i="44"/>
  <c r="P108" i="44"/>
  <c r="U107" i="44"/>
  <c r="T107" i="44"/>
  <c r="S107" i="44"/>
  <c r="R107" i="44"/>
  <c r="Q107" i="44"/>
  <c r="P107" i="44"/>
  <c r="U106" i="44"/>
  <c r="T106" i="44"/>
  <c r="S106" i="44"/>
  <c r="R106" i="44"/>
  <c r="Q106" i="44"/>
  <c r="P106" i="44"/>
  <c r="U105" i="44"/>
  <c r="T105" i="44"/>
  <c r="S105" i="44"/>
  <c r="R105" i="44"/>
  <c r="Q105" i="44"/>
  <c r="P105" i="44"/>
  <c r="U104" i="44"/>
  <c r="T104" i="44"/>
  <c r="S104" i="44"/>
  <c r="R104" i="44"/>
  <c r="Q104" i="44"/>
  <c r="P104" i="44"/>
  <c r="U103" i="44"/>
  <c r="T103" i="44"/>
  <c r="S103" i="44"/>
  <c r="R103" i="44"/>
  <c r="Q103" i="44"/>
  <c r="P103" i="44"/>
  <c r="U102" i="44"/>
  <c r="T102" i="44"/>
  <c r="S102" i="44"/>
  <c r="R102" i="44"/>
  <c r="Q102" i="44"/>
  <c r="P102" i="44"/>
  <c r="U101" i="44"/>
  <c r="T101" i="44"/>
  <c r="S101" i="44"/>
  <c r="R101" i="44"/>
  <c r="Q101" i="44"/>
  <c r="P101" i="44"/>
  <c r="U100" i="44"/>
  <c r="T100" i="44"/>
  <c r="S100" i="44"/>
  <c r="R100" i="44"/>
  <c r="Q100" i="44"/>
  <c r="P100" i="44"/>
  <c r="U99" i="44"/>
  <c r="T99" i="44"/>
  <c r="S99" i="44"/>
  <c r="R99" i="44"/>
  <c r="Q99" i="44"/>
  <c r="P99" i="44"/>
  <c r="U98" i="44"/>
  <c r="T98" i="44"/>
  <c r="S98" i="44"/>
  <c r="R98" i="44"/>
  <c r="Q98" i="44"/>
  <c r="P98" i="44"/>
  <c r="U97" i="44"/>
  <c r="T97" i="44"/>
  <c r="S97" i="44"/>
  <c r="R97" i="44"/>
  <c r="Q97" i="44"/>
  <c r="P97" i="44"/>
  <c r="U96" i="44"/>
  <c r="T96" i="44"/>
  <c r="S96" i="44"/>
  <c r="R96" i="44"/>
  <c r="Q96" i="44"/>
  <c r="P96" i="44"/>
  <c r="U95" i="44"/>
  <c r="T95" i="44"/>
  <c r="S95" i="44"/>
  <c r="R95" i="44"/>
  <c r="Q95" i="44"/>
  <c r="P95" i="44"/>
  <c r="U94" i="44"/>
  <c r="T94" i="44"/>
  <c r="S94" i="44"/>
  <c r="R94" i="44"/>
  <c r="Q94" i="44"/>
  <c r="P94" i="44"/>
  <c r="U93" i="44"/>
  <c r="T93" i="44"/>
  <c r="S93" i="44"/>
  <c r="R93" i="44"/>
  <c r="Q93" i="44"/>
  <c r="P93" i="44"/>
  <c r="U92" i="44"/>
  <c r="T92" i="44"/>
  <c r="S92" i="44"/>
  <c r="R92" i="44"/>
  <c r="Q92" i="44"/>
  <c r="P92" i="44"/>
  <c r="U91" i="44"/>
  <c r="T91" i="44"/>
  <c r="S91" i="44"/>
  <c r="R91" i="44"/>
  <c r="Q91" i="44"/>
  <c r="P91" i="44"/>
  <c r="U90" i="44"/>
  <c r="T90" i="44"/>
  <c r="S90" i="44"/>
  <c r="R90" i="44"/>
  <c r="Q90" i="44"/>
  <c r="P90" i="44"/>
  <c r="U89" i="44"/>
  <c r="T89" i="44"/>
  <c r="S89" i="44"/>
  <c r="R89" i="44"/>
  <c r="Q89" i="44"/>
  <c r="P89" i="44"/>
  <c r="U88" i="44"/>
  <c r="T88" i="44"/>
  <c r="S88" i="44"/>
  <c r="R88" i="44"/>
  <c r="Q88" i="44"/>
  <c r="P88" i="44"/>
  <c r="U87" i="44"/>
  <c r="T87" i="44"/>
  <c r="S87" i="44"/>
  <c r="R87" i="44"/>
  <c r="Q87" i="44"/>
  <c r="P87" i="44"/>
  <c r="U86" i="44"/>
  <c r="T86" i="44"/>
  <c r="S86" i="44"/>
  <c r="R86" i="44"/>
  <c r="Q86" i="44"/>
  <c r="P86" i="44"/>
  <c r="U85" i="44"/>
  <c r="T85" i="44"/>
  <c r="S85" i="44"/>
  <c r="R85" i="44"/>
  <c r="Q85" i="44"/>
  <c r="P85" i="44"/>
  <c r="U84" i="44"/>
  <c r="T84" i="44"/>
  <c r="S84" i="44"/>
  <c r="R84" i="44"/>
  <c r="Q84" i="44"/>
  <c r="P84" i="44"/>
  <c r="U83" i="44"/>
  <c r="T83" i="44"/>
  <c r="S83" i="44"/>
  <c r="R83" i="44"/>
  <c r="Q83" i="44"/>
  <c r="P83" i="44"/>
  <c r="U82" i="44"/>
  <c r="T82" i="44"/>
  <c r="S82" i="44"/>
  <c r="R82" i="44"/>
  <c r="Q82" i="44"/>
  <c r="P82" i="44"/>
  <c r="U81" i="44"/>
  <c r="T81" i="44"/>
  <c r="S81" i="44"/>
  <c r="R81" i="44"/>
  <c r="Q81" i="44"/>
  <c r="P81" i="44"/>
  <c r="U80" i="44"/>
  <c r="T80" i="44"/>
  <c r="S80" i="44"/>
  <c r="R80" i="44"/>
  <c r="Q80" i="44"/>
  <c r="P80" i="44"/>
  <c r="U79" i="44"/>
  <c r="T79" i="44"/>
  <c r="S79" i="44"/>
  <c r="R79" i="44"/>
  <c r="Q79" i="44"/>
  <c r="P79" i="44"/>
  <c r="U78" i="44"/>
  <c r="T78" i="44"/>
  <c r="S78" i="44"/>
  <c r="R78" i="44"/>
  <c r="Q78" i="44"/>
  <c r="P78" i="44"/>
  <c r="U77" i="44"/>
  <c r="T77" i="44"/>
  <c r="S77" i="44"/>
  <c r="R77" i="44"/>
  <c r="Q77" i="44"/>
  <c r="P77" i="44"/>
  <c r="U76" i="44"/>
  <c r="T76" i="44"/>
  <c r="S76" i="44"/>
  <c r="R76" i="44"/>
  <c r="Q76" i="44"/>
  <c r="P76" i="44"/>
  <c r="U75" i="44"/>
  <c r="T75" i="44"/>
  <c r="S75" i="44"/>
  <c r="R75" i="44"/>
  <c r="Q75" i="44"/>
  <c r="P75" i="44"/>
  <c r="U74" i="44"/>
  <c r="T74" i="44"/>
  <c r="S74" i="44"/>
  <c r="R74" i="44"/>
  <c r="Q74" i="44"/>
  <c r="P74" i="44"/>
  <c r="U73" i="44"/>
  <c r="T73" i="44"/>
  <c r="S73" i="44"/>
  <c r="R73" i="44"/>
  <c r="Q73" i="44"/>
  <c r="P73" i="44"/>
  <c r="U72" i="44"/>
  <c r="T72" i="44"/>
  <c r="S72" i="44"/>
  <c r="R72" i="44"/>
  <c r="Q72" i="44"/>
  <c r="P72" i="44"/>
  <c r="U71" i="44"/>
  <c r="T71" i="44"/>
  <c r="S71" i="44"/>
  <c r="R71" i="44"/>
  <c r="Q71" i="44"/>
  <c r="P71" i="44"/>
  <c r="U70" i="44"/>
  <c r="T70" i="44"/>
  <c r="S70" i="44"/>
  <c r="R70" i="44"/>
  <c r="Q70" i="44"/>
  <c r="P70" i="44"/>
  <c r="U69" i="44"/>
  <c r="T69" i="44"/>
  <c r="S69" i="44"/>
  <c r="R69" i="44"/>
  <c r="Q69" i="44"/>
  <c r="P69" i="44"/>
  <c r="U68" i="44"/>
  <c r="T68" i="44"/>
  <c r="S68" i="44"/>
  <c r="R68" i="44"/>
  <c r="Q68" i="44"/>
  <c r="P68" i="44"/>
  <c r="U67" i="44"/>
  <c r="T67" i="44"/>
  <c r="S67" i="44"/>
  <c r="R67" i="44"/>
  <c r="Q67" i="44"/>
  <c r="P67" i="44"/>
  <c r="U66" i="44"/>
  <c r="T66" i="44"/>
  <c r="S66" i="44"/>
  <c r="R66" i="44"/>
  <c r="Q66" i="44"/>
  <c r="P66" i="44"/>
  <c r="U65" i="44"/>
  <c r="T65" i="44"/>
  <c r="S65" i="44"/>
  <c r="R65" i="44"/>
  <c r="Q65" i="44"/>
  <c r="P65" i="44"/>
  <c r="U64" i="44"/>
  <c r="T64" i="44"/>
  <c r="S64" i="44"/>
  <c r="R64" i="44"/>
  <c r="Q64" i="44"/>
  <c r="P64" i="44"/>
  <c r="U63" i="44"/>
  <c r="T63" i="44"/>
  <c r="S63" i="44"/>
  <c r="R63" i="44"/>
  <c r="Q63" i="44"/>
  <c r="P63" i="44"/>
  <c r="U62" i="44"/>
  <c r="T62" i="44"/>
  <c r="S62" i="44"/>
  <c r="R62" i="44"/>
  <c r="Q62" i="44"/>
  <c r="P62" i="44"/>
  <c r="U61" i="44"/>
  <c r="T61" i="44"/>
  <c r="S61" i="44"/>
  <c r="R61" i="44"/>
  <c r="Q61" i="44"/>
  <c r="P61" i="44"/>
  <c r="U60" i="44"/>
  <c r="T60" i="44"/>
  <c r="S60" i="44"/>
  <c r="R60" i="44"/>
  <c r="Q60" i="44"/>
  <c r="P60" i="44"/>
  <c r="U59" i="44"/>
  <c r="T59" i="44"/>
  <c r="S59" i="44"/>
  <c r="R59" i="44"/>
  <c r="Q59" i="44"/>
  <c r="P59" i="44"/>
  <c r="U58" i="44"/>
  <c r="T58" i="44"/>
  <c r="S58" i="44"/>
  <c r="R58" i="44"/>
  <c r="Q58" i="44"/>
  <c r="P58" i="44"/>
  <c r="U57" i="44"/>
  <c r="T57" i="44"/>
  <c r="S57" i="44"/>
  <c r="R57" i="44"/>
  <c r="Q57" i="44"/>
  <c r="P57" i="44"/>
  <c r="U56" i="44"/>
  <c r="T56" i="44"/>
  <c r="S56" i="44"/>
  <c r="R56" i="44"/>
  <c r="Q56" i="44"/>
  <c r="P56" i="44"/>
  <c r="U55" i="44"/>
  <c r="T55" i="44"/>
  <c r="S55" i="44"/>
  <c r="R55" i="44"/>
  <c r="Q55" i="44"/>
  <c r="P55" i="44"/>
  <c r="U54" i="44"/>
  <c r="T54" i="44"/>
  <c r="S54" i="44"/>
  <c r="R54" i="44"/>
  <c r="Q54" i="44"/>
  <c r="P54" i="44"/>
  <c r="U53" i="44"/>
  <c r="T53" i="44"/>
  <c r="S53" i="44"/>
  <c r="R53" i="44"/>
  <c r="Q53" i="44"/>
  <c r="P53" i="44"/>
  <c r="U52" i="44"/>
  <c r="T52" i="44"/>
  <c r="S52" i="44"/>
  <c r="R52" i="44"/>
  <c r="Q52" i="44"/>
  <c r="P52" i="44"/>
  <c r="U51" i="44"/>
  <c r="T51" i="44"/>
  <c r="S51" i="44"/>
  <c r="R51" i="44"/>
  <c r="Q51" i="44"/>
  <c r="P51" i="44"/>
  <c r="U50" i="44"/>
  <c r="T50" i="44"/>
  <c r="S50" i="44"/>
  <c r="R50" i="44"/>
  <c r="Q50" i="44"/>
  <c r="P50" i="44"/>
  <c r="U49" i="44"/>
  <c r="T49" i="44"/>
  <c r="S49" i="44"/>
  <c r="R49" i="44"/>
  <c r="Q49" i="44"/>
  <c r="P49" i="44"/>
  <c r="U48" i="44"/>
  <c r="T48" i="44"/>
  <c r="S48" i="44"/>
  <c r="R48" i="44"/>
  <c r="Q48" i="44"/>
  <c r="P48" i="44"/>
  <c r="U47" i="44"/>
  <c r="T47" i="44"/>
  <c r="S47" i="44"/>
  <c r="R47" i="44"/>
  <c r="Q47" i="44"/>
  <c r="P47" i="44"/>
  <c r="U46" i="44"/>
  <c r="T46" i="44"/>
  <c r="S46" i="44"/>
  <c r="R46" i="44"/>
  <c r="Q46" i="44"/>
  <c r="P46" i="44"/>
  <c r="U45" i="44"/>
  <c r="T45" i="44"/>
  <c r="S45" i="44"/>
  <c r="R45" i="44"/>
  <c r="Q45" i="44"/>
  <c r="P45" i="44"/>
  <c r="U44" i="44"/>
  <c r="T44" i="44"/>
  <c r="S44" i="44"/>
  <c r="R44" i="44"/>
  <c r="Q44" i="44"/>
  <c r="P44" i="44"/>
  <c r="U43" i="44"/>
  <c r="T43" i="44"/>
  <c r="S43" i="44"/>
  <c r="R43" i="44"/>
  <c r="Q43" i="44"/>
  <c r="P43" i="44"/>
  <c r="U42" i="44"/>
  <c r="T42" i="44"/>
  <c r="S42" i="44"/>
  <c r="R42" i="44"/>
  <c r="Q42" i="44"/>
  <c r="P42" i="44"/>
  <c r="U41" i="44"/>
  <c r="T41" i="44"/>
  <c r="S41" i="44"/>
  <c r="R41" i="44"/>
  <c r="Q41" i="44"/>
  <c r="P41" i="44"/>
  <c r="U40" i="44"/>
  <c r="T40" i="44"/>
  <c r="S40" i="44"/>
  <c r="R40" i="44"/>
  <c r="Q40" i="44"/>
  <c r="P40" i="44"/>
  <c r="U39" i="44"/>
  <c r="T39" i="44"/>
  <c r="S39" i="44"/>
  <c r="R39" i="44"/>
  <c r="Q39" i="44"/>
  <c r="P39" i="44"/>
  <c r="U38" i="44"/>
  <c r="T38" i="44"/>
  <c r="S38" i="44"/>
  <c r="R38" i="44"/>
  <c r="Q38" i="44"/>
  <c r="P38" i="44"/>
  <c r="U37" i="44"/>
  <c r="T37" i="44"/>
  <c r="S37" i="44"/>
  <c r="R37" i="44"/>
  <c r="Q37" i="44"/>
  <c r="P37" i="44"/>
  <c r="U36" i="44"/>
  <c r="T36" i="44"/>
  <c r="S36" i="44"/>
  <c r="R36" i="44"/>
  <c r="Q36" i="44"/>
  <c r="P36" i="44"/>
  <c r="U35" i="44"/>
  <c r="T35" i="44"/>
  <c r="S35" i="44"/>
  <c r="R35" i="44"/>
  <c r="Q35" i="44"/>
  <c r="P35" i="44"/>
  <c r="U34" i="44"/>
  <c r="T34" i="44"/>
  <c r="S34" i="44"/>
  <c r="R34" i="44"/>
  <c r="Q34" i="44"/>
  <c r="P34" i="44"/>
  <c r="U33" i="44"/>
  <c r="T33" i="44"/>
  <c r="S33" i="44"/>
  <c r="R33" i="44"/>
  <c r="Q33" i="44"/>
  <c r="P33" i="44"/>
  <c r="U32" i="44"/>
  <c r="T32" i="44"/>
  <c r="S32" i="44"/>
  <c r="R32" i="44"/>
  <c r="Q32" i="44"/>
  <c r="P32" i="44"/>
  <c r="U31" i="44"/>
  <c r="T31" i="44"/>
  <c r="S31" i="44"/>
  <c r="R31" i="44"/>
  <c r="Q31" i="44"/>
  <c r="P31" i="44"/>
  <c r="U30" i="44"/>
  <c r="T30" i="44"/>
  <c r="S30" i="44"/>
  <c r="R30" i="44"/>
  <c r="Q30" i="44"/>
  <c r="P30" i="44"/>
  <c r="U29" i="44"/>
  <c r="T29" i="44"/>
  <c r="S29" i="44"/>
  <c r="R29" i="44"/>
  <c r="Q29" i="44"/>
  <c r="P29" i="44"/>
  <c r="U28" i="44"/>
  <c r="T28" i="44"/>
  <c r="S28" i="44"/>
  <c r="R28" i="44"/>
  <c r="Q28" i="44"/>
  <c r="P28" i="44"/>
  <c r="U27" i="44"/>
  <c r="T27" i="44"/>
  <c r="S27" i="44"/>
  <c r="R27" i="44"/>
  <c r="Q27" i="44"/>
  <c r="P27" i="44"/>
  <c r="U26" i="44"/>
  <c r="T26" i="44"/>
  <c r="S26" i="44"/>
  <c r="R26" i="44"/>
  <c r="Q26" i="44"/>
  <c r="P26" i="44"/>
  <c r="U25" i="44"/>
  <c r="T25" i="44"/>
  <c r="S25" i="44"/>
  <c r="R25" i="44"/>
  <c r="Q25" i="44"/>
  <c r="P25" i="44"/>
  <c r="U24" i="44"/>
  <c r="T24" i="44"/>
  <c r="S24" i="44"/>
  <c r="R24" i="44"/>
  <c r="Q24" i="44"/>
  <c r="P24" i="44"/>
  <c r="U23" i="44"/>
  <c r="T23" i="44"/>
  <c r="S23" i="44"/>
  <c r="R23" i="44"/>
  <c r="Q23" i="44"/>
  <c r="P23" i="44"/>
  <c r="U22" i="44"/>
  <c r="T22" i="44"/>
  <c r="S22" i="44"/>
  <c r="R22" i="44"/>
  <c r="Q22" i="44"/>
  <c r="P22" i="44"/>
  <c r="U21" i="44"/>
  <c r="T21" i="44"/>
  <c r="S21" i="44"/>
  <c r="R21" i="44"/>
  <c r="Q21" i="44"/>
  <c r="P21" i="44"/>
  <c r="U20" i="44"/>
  <c r="T20" i="44"/>
  <c r="S20" i="44"/>
  <c r="R20" i="44"/>
  <c r="Q20" i="44"/>
  <c r="P20" i="44"/>
  <c r="U19" i="44"/>
  <c r="T19" i="44"/>
  <c r="S19" i="44"/>
  <c r="R19" i="44"/>
  <c r="Q19" i="44"/>
  <c r="P19" i="44"/>
  <c r="U18" i="44"/>
  <c r="T18" i="44"/>
  <c r="S18" i="44"/>
  <c r="R18" i="44"/>
  <c r="Q18" i="44"/>
  <c r="P18" i="44"/>
  <c r="U17" i="44"/>
  <c r="T17" i="44"/>
  <c r="S17" i="44"/>
  <c r="R17" i="44"/>
  <c r="Q17" i="44"/>
  <c r="P17" i="44"/>
  <c r="U16" i="44"/>
  <c r="T16" i="44"/>
  <c r="S16" i="44"/>
  <c r="R16" i="44"/>
  <c r="Q16" i="44"/>
  <c r="P16" i="44"/>
  <c r="U15" i="44"/>
  <c r="T15" i="44"/>
  <c r="S15" i="44"/>
  <c r="R15" i="44"/>
  <c r="Q15" i="44"/>
  <c r="P15" i="44"/>
  <c r="U14" i="44"/>
  <c r="T14" i="44"/>
  <c r="S14" i="44"/>
  <c r="R14" i="44"/>
  <c r="Q14" i="44"/>
  <c r="P14" i="44"/>
  <c r="U13" i="44"/>
  <c r="T13" i="44"/>
  <c r="S13" i="44"/>
  <c r="R13" i="44"/>
  <c r="Q13" i="44"/>
  <c r="P13" i="44"/>
  <c r="U12" i="44"/>
  <c r="T12" i="44"/>
  <c r="S12" i="44"/>
  <c r="R12" i="44"/>
  <c r="Q12" i="44"/>
  <c r="P12" i="44"/>
  <c r="U11" i="44"/>
  <c r="T11" i="44"/>
  <c r="S11" i="44"/>
  <c r="R11" i="44"/>
  <c r="Q11" i="44"/>
  <c r="P11" i="44"/>
  <c r="U10" i="44"/>
  <c r="T10" i="44"/>
  <c r="S10" i="44"/>
  <c r="R10" i="44"/>
  <c r="Q10" i="44"/>
  <c r="P10" i="44"/>
  <c r="U9" i="44"/>
  <c r="T9" i="44"/>
  <c r="S9" i="44"/>
  <c r="R9" i="44"/>
  <c r="Q9" i="44"/>
  <c r="P9" i="44"/>
  <c r="U8" i="44"/>
  <c r="T8" i="44"/>
  <c r="S8" i="44"/>
  <c r="L8" i="44"/>
  <c r="R8" i="44" s="1"/>
  <c r="J8" i="44"/>
  <c r="P8" i="44" s="1"/>
  <c r="U7" i="44"/>
  <c r="T7" i="44"/>
  <c r="S7" i="44"/>
  <c r="R7" i="44"/>
  <c r="Q7" i="44"/>
  <c r="P7" i="44"/>
  <c r="U6" i="44"/>
  <c r="T6" i="44"/>
  <c r="S6" i="44"/>
  <c r="R6" i="44"/>
  <c r="Q6" i="44"/>
  <c r="P6" i="44"/>
  <c r="U5" i="44"/>
  <c r="T5" i="44"/>
  <c r="S5" i="44"/>
  <c r="R5" i="44"/>
  <c r="Q5" i="44"/>
  <c r="P5" i="44"/>
  <c r="U4" i="44"/>
  <c r="T4" i="44"/>
  <c r="S4" i="44"/>
  <c r="P4" i="44"/>
  <c r="L4" i="44"/>
  <c r="R4" i="44" s="1"/>
  <c r="K4" i="44"/>
  <c r="K8" i="44" s="1"/>
  <c r="Q8" i="44" s="1"/>
  <c r="J4" i="44"/>
  <c r="P1" i="44" l="1"/>
  <c r="S1" i="44"/>
  <c r="U1" i="44"/>
  <c r="T1" i="44"/>
  <c r="R1" i="44"/>
  <c r="Q4" i="44"/>
  <c r="Q1" i="44" s="1"/>
  <c r="F5" i="42" l="1"/>
  <c r="J5" i="42"/>
  <c r="H5" i="42"/>
  <c r="S100" i="38" l="1"/>
  <c r="R100" i="38"/>
  <c r="Q100" i="38"/>
  <c r="P100" i="38"/>
  <c r="O100" i="38"/>
  <c r="S99" i="38"/>
  <c r="R99" i="38"/>
  <c r="Q99" i="38"/>
  <c r="P99" i="38"/>
  <c r="O99" i="38"/>
  <c r="S98" i="38"/>
  <c r="R98" i="38"/>
  <c r="Q98" i="38"/>
  <c r="P98" i="38"/>
  <c r="O98" i="38"/>
  <c r="S97" i="38"/>
  <c r="R97" i="38"/>
  <c r="Q97" i="38"/>
  <c r="P97" i="38"/>
  <c r="O97" i="38"/>
  <c r="S96" i="38"/>
  <c r="R96" i="38"/>
  <c r="Q96" i="38"/>
  <c r="P96" i="38"/>
  <c r="O96" i="38"/>
  <c r="S95" i="38"/>
  <c r="R95" i="38"/>
  <c r="Q95" i="38"/>
  <c r="P95" i="38"/>
  <c r="O95" i="38"/>
  <c r="S94" i="38"/>
  <c r="R94" i="38"/>
  <c r="Q94" i="38"/>
  <c r="P94" i="38"/>
  <c r="O94" i="38"/>
  <c r="S93" i="38"/>
  <c r="R93" i="38"/>
  <c r="Q93" i="38"/>
  <c r="P93" i="38"/>
  <c r="O93" i="38"/>
  <c r="S92" i="38"/>
  <c r="R92" i="38"/>
  <c r="Q92" i="38"/>
  <c r="P92" i="38"/>
  <c r="O92" i="38"/>
  <c r="S91" i="38"/>
  <c r="R91" i="38"/>
  <c r="Q91" i="38"/>
  <c r="P91" i="38"/>
  <c r="O91" i="38"/>
  <c r="S90" i="38"/>
  <c r="R90" i="38"/>
  <c r="Q90" i="38"/>
  <c r="P90" i="38"/>
  <c r="O90" i="38"/>
  <c r="S89" i="38"/>
  <c r="R89" i="38"/>
  <c r="Q89" i="38"/>
  <c r="P89" i="38"/>
  <c r="O89" i="38"/>
  <c r="S88" i="38"/>
  <c r="R88" i="38"/>
  <c r="Q88" i="38"/>
  <c r="P88" i="38"/>
  <c r="O88" i="38"/>
  <c r="S87" i="38"/>
  <c r="R87" i="38"/>
  <c r="Q87" i="38"/>
  <c r="P87" i="38"/>
  <c r="O87" i="38"/>
  <c r="S86" i="38"/>
  <c r="R86" i="38"/>
  <c r="Q86" i="38"/>
  <c r="P86" i="38"/>
  <c r="O86" i="38"/>
  <c r="S85" i="38"/>
  <c r="R85" i="38"/>
  <c r="Q85" i="38"/>
  <c r="P85" i="38"/>
  <c r="O85" i="38"/>
  <c r="S84" i="38"/>
  <c r="R84" i="38"/>
  <c r="Q84" i="38"/>
  <c r="P84" i="38"/>
  <c r="O84" i="38"/>
  <c r="S83" i="38"/>
  <c r="R83" i="38"/>
  <c r="Q83" i="38"/>
  <c r="P83" i="38"/>
  <c r="O83" i="38"/>
  <c r="S82" i="38"/>
  <c r="R82" i="38"/>
  <c r="Q82" i="38"/>
  <c r="P82" i="38"/>
  <c r="O82" i="38"/>
  <c r="S81" i="38"/>
  <c r="R81" i="38"/>
  <c r="Q81" i="38"/>
  <c r="P81" i="38"/>
  <c r="O81" i="38"/>
  <c r="S80" i="38"/>
  <c r="R80" i="38"/>
  <c r="Q80" i="38"/>
  <c r="P80" i="38"/>
  <c r="O80" i="38"/>
  <c r="S79" i="38"/>
  <c r="R79" i="38"/>
  <c r="Q79" i="38"/>
  <c r="P79" i="38"/>
  <c r="O79" i="38"/>
  <c r="S78" i="38"/>
  <c r="R78" i="38"/>
  <c r="Q78" i="38"/>
  <c r="P78" i="38"/>
  <c r="O78" i="38"/>
  <c r="S77" i="38"/>
  <c r="R77" i="38"/>
  <c r="Q77" i="38"/>
  <c r="P77" i="38"/>
  <c r="O77" i="38"/>
  <c r="S76" i="38"/>
  <c r="R76" i="38"/>
  <c r="Q76" i="38"/>
  <c r="P76" i="38"/>
  <c r="O76" i="38"/>
  <c r="S75" i="38"/>
  <c r="R75" i="38"/>
  <c r="Q75" i="38"/>
  <c r="P75" i="38"/>
  <c r="O75" i="38"/>
  <c r="S74" i="38"/>
  <c r="R74" i="38"/>
  <c r="Q74" i="38"/>
  <c r="P74" i="38"/>
  <c r="O74" i="38"/>
  <c r="S73" i="38"/>
  <c r="R73" i="38"/>
  <c r="Q73" i="38"/>
  <c r="P73" i="38"/>
  <c r="O73" i="38"/>
  <c r="S72" i="38"/>
  <c r="R72" i="38"/>
  <c r="Q72" i="38"/>
  <c r="P72" i="38"/>
  <c r="O72" i="38"/>
  <c r="S71" i="38"/>
  <c r="R71" i="38"/>
  <c r="Q71" i="38"/>
  <c r="P71" i="38"/>
  <c r="O71" i="38"/>
  <c r="S70" i="38"/>
  <c r="R70" i="38"/>
  <c r="Q70" i="38"/>
  <c r="P70" i="38"/>
  <c r="O70" i="38"/>
  <c r="S69" i="38"/>
  <c r="R69" i="38"/>
  <c r="Q69" i="38"/>
  <c r="P69" i="38"/>
  <c r="O69" i="38"/>
  <c r="S68" i="38"/>
  <c r="R68" i="38"/>
  <c r="Q68" i="38"/>
  <c r="P68" i="38"/>
  <c r="O68" i="38"/>
  <c r="S67" i="38"/>
  <c r="R67" i="38"/>
  <c r="Q67" i="38"/>
  <c r="P67" i="38"/>
  <c r="O67" i="38"/>
  <c r="S66" i="38"/>
  <c r="R66" i="38"/>
  <c r="Q66" i="38"/>
  <c r="P66" i="38"/>
  <c r="O66" i="38"/>
  <c r="S65" i="38"/>
  <c r="R65" i="38"/>
  <c r="Q65" i="38"/>
  <c r="P65" i="38"/>
  <c r="O65" i="38"/>
  <c r="S64" i="38"/>
  <c r="R64" i="38"/>
  <c r="Q64" i="38"/>
  <c r="P64" i="38"/>
  <c r="O64" i="38"/>
  <c r="S63" i="38"/>
  <c r="R63" i="38"/>
  <c r="Q63" i="38"/>
  <c r="P63" i="38"/>
  <c r="O63" i="38"/>
  <c r="S62" i="38"/>
  <c r="R62" i="38"/>
  <c r="Q62" i="38"/>
  <c r="P62" i="38"/>
  <c r="O62" i="38"/>
  <c r="S61" i="38"/>
  <c r="R61" i="38"/>
  <c r="Q61" i="38"/>
  <c r="P61" i="38"/>
  <c r="O61" i="38"/>
  <c r="S60" i="38"/>
  <c r="R60" i="38"/>
  <c r="Q60" i="38"/>
  <c r="P60" i="38"/>
  <c r="O60" i="38"/>
  <c r="S59" i="38"/>
  <c r="R59" i="38"/>
  <c r="Q59" i="38"/>
  <c r="P59" i="38"/>
  <c r="O59" i="38"/>
  <c r="S58" i="38"/>
  <c r="R58" i="38"/>
  <c r="Q58" i="38"/>
  <c r="P58" i="38"/>
  <c r="O58" i="38"/>
  <c r="S57" i="38"/>
  <c r="R57" i="38"/>
  <c r="Q57" i="38"/>
  <c r="P57" i="38"/>
  <c r="O57" i="38"/>
  <c r="S56" i="38"/>
  <c r="R56" i="38"/>
  <c r="Q56" i="38"/>
  <c r="P56" i="38"/>
  <c r="O56" i="38"/>
  <c r="S55" i="38"/>
  <c r="R55" i="38"/>
  <c r="Q55" i="38"/>
  <c r="P55" i="38"/>
  <c r="O55" i="38"/>
  <c r="S54" i="38"/>
  <c r="R54" i="38"/>
  <c r="Q54" i="38"/>
  <c r="P54" i="38"/>
  <c r="O54" i="38"/>
  <c r="S53" i="38"/>
  <c r="R53" i="38"/>
  <c r="Q53" i="38"/>
  <c r="P53" i="38"/>
  <c r="O53" i="38"/>
  <c r="S52" i="38"/>
  <c r="R52" i="38"/>
  <c r="Q52" i="38"/>
  <c r="P52" i="38"/>
  <c r="O52" i="38"/>
  <c r="S51" i="38"/>
  <c r="R51" i="38"/>
  <c r="Q51" i="38"/>
  <c r="P51" i="38"/>
  <c r="O51" i="38"/>
  <c r="S50" i="38"/>
  <c r="R50" i="38"/>
  <c r="Q50" i="38"/>
  <c r="P50" i="38"/>
  <c r="O50" i="38"/>
  <c r="S49" i="38"/>
  <c r="R49" i="38"/>
  <c r="Q49" i="38"/>
  <c r="P49" i="38"/>
  <c r="O49" i="38"/>
  <c r="S48" i="38"/>
  <c r="R48" i="38"/>
  <c r="Q48" i="38"/>
  <c r="P48" i="38"/>
  <c r="O48" i="38"/>
  <c r="S47" i="38"/>
  <c r="R47" i="38"/>
  <c r="Q47" i="38"/>
  <c r="P47" i="38"/>
  <c r="O47" i="38"/>
  <c r="S46" i="38"/>
  <c r="R46" i="38"/>
  <c r="Q46" i="38"/>
  <c r="P46" i="38"/>
  <c r="O46" i="38"/>
  <c r="S45" i="38"/>
  <c r="R45" i="38"/>
  <c r="Q45" i="38"/>
  <c r="P45" i="38"/>
  <c r="O45" i="38"/>
  <c r="S44" i="38"/>
  <c r="R44" i="38"/>
  <c r="Q44" i="38"/>
  <c r="P44" i="38"/>
  <c r="O44" i="38"/>
  <c r="S43" i="38"/>
  <c r="R43" i="38"/>
  <c r="Q43" i="38"/>
  <c r="P43" i="38"/>
  <c r="O43" i="38"/>
  <c r="S42" i="38"/>
  <c r="R42" i="38"/>
  <c r="Q42" i="38"/>
  <c r="P42" i="38"/>
  <c r="O42" i="38"/>
  <c r="S41" i="38"/>
  <c r="R41" i="38"/>
  <c r="Q41" i="38"/>
  <c r="P41" i="38"/>
  <c r="O41" i="38"/>
  <c r="S40" i="38"/>
  <c r="R40" i="38"/>
  <c r="Q40" i="38"/>
  <c r="P40" i="38"/>
  <c r="O40" i="38"/>
  <c r="S39" i="38"/>
  <c r="R39" i="38"/>
  <c r="Q39" i="38"/>
  <c r="P39" i="38"/>
  <c r="O39" i="38"/>
  <c r="S38" i="38"/>
  <c r="R38" i="38"/>
  <c r="Q38" i="38"/>
  <c r="P38" i="38"/>
  <c r="O38" i="38"/>
  <c r="S37" i="38"/>
  <c r="R37" i="38"/>
  <c r="Q37" i="38"/>
  <c r="P37" i="38"/>
  <c r="O37" i="38"/>
  <c r="S36" i="38"/>
  <c r="R36" i="38"/>
  <c r="Q36" i="38"/>
  <c r="P36" i="38"/>
  <c r="O36" i="38"/>
  <c r="S35" i="38"/>
  <c r="R35" i="38"/>
  <c r="Q35" i="38"/>
  <c r="P35" i="38"/>
  <c r="O35" i="38"/>
  <c r="S34" i="38"/>
  <c r="R34" i="38"/>
  <c r="Q34" i="38"/>
  <c r="P34" i="38"/>
  <c r="O34" i="38"/>
  <c r="S33" i="38"/>
  <c r="R33" i="38"/>
  <c r="Q33" i="38"/>
  <c r="P33" i="38"/>
  <c r="O33" i="38"/>
  <c r="S32" i="38"/>
  <c r="R32" i="38"/>
  <c r="Q32" i="38"/>
  <c r="P32" i="38"/>
  <c r="O32" i="38"/>
  <c r="S31" i="38"/>
  <c r="R31" i="38"/>
  <c r="Q31" i="38"/>
  <c r="P31" i="38"/>
  <c r="O31" i="38"/>
  <c r="S30" i="38"/>
  <c r="R30" i="38"/>
  <c r="Q30" i="38"/>
  <c r="P30" i="38"/>
  <c r="O30" i="38"/>
  <c r="S29" i="38"/>
  <c r="R29" i="38"/>
  <c r="Q29" i="38"/>
  <c r="P29" i="38"/>
  <c r="O29" i="38"/>
  <c r="S28" i="38"/>
  <c r="R28" i="38"/>
  <c r="Q28" i="38"/>
  <c r="P28" i="38"/>
  <c r="O28" i="38"/>
  <c r="S27" i="38"/>
  <c r="R27" i="38"/>
  <c r="Q27" i="38"/>
  <c r="P27" i="38"/>
  <c r="O27" i="38"/>
  <c r="S26" i="38"/>
  <c r="R26" i="38"/>
  <c r="Q26" i="38"/>
  <c r="P26" i="38"/>
  <c r="O26" i="38"/>
  <c r="S25" i="38"/>
  <c r="R25" i="38"/>
  <c r="Q25" i="38"/>
  <c r="P25" i="38"/>
  <c r="O25" i="38"/>
  <c r="S24" i="38"/>
  <c r="R24" i="38"/>
  <c r="Q24" i="38"/>
  <c r="P24" i="38"/>
  <c r="O24" i="38"/>
  <c r="S23" i="38"/>
  <c r="R23" i="38"/>
  <c r="Q23" i="38"/>
  <c r="P23" i="38"/>
  <c r="O23" i="38"/>
  <c r="S22" i="38"/>
  <c r="R22" i="38"/>
  <c r="Q22" i="38"/>
  <c r="P22" i="38"/>
  <c r="O22" i="38"/>
  <c r="S21" i="38"/>
  <c r="R21" i="38"/>
  <c r="Q21" i="38"/>
  <c r="P21" i="38"/>
  <c r="O21" i="38"/>
  <c r="S20" i="38"/>
  <c r="R20" i="38"/>
  <c r="Q20" i="38"/>
  <c r="P20" i="38"/>
  <c r="O20" i="38"/>
  <c r="S19" i="38"/>
  <c r="R19" i="38"/>
  <c r="Q19" i="38"/>
  <c r="P19" i="38"/>
  <c r="O19" i="38"/>
  <c r="S18" i="38"/>
  <c r="R18" i="38"/>
  <c r="Q18" i="38"/>
  <c r="P18" i="38"/>
  <c r="O18" i="38"/>
  <c r="S17" i="38"/>
  <c r="R17" i="38"/>
  <c r="Q17" i="38"/>
  <c r="P17" i="38"/>
  <c r="O17" i="38"/>
  <c r="S16" i="38"/>
  <c r="R16" i="38"/>
  <c r="Q16" i="38"/>
  <c r="P16" i="38"/>
  <c r="O16" i="38"/>
  <c r="S15" i="38"/>
  <c r="R15" i="38"/>
  <c r="Q15" i="38"/>
  <c r="P15" i="38"/>
  <c r="O15" i="38"/>
  <c r="S14" i="38"/>
  <c r="R14" i="38"/>
  <c r="Q14" i="38"/>
  <c r="P14" i="38"/>
  <c r="O14" i="38"/>
  <c r="S13" i="38"/>
  <c r="R13" i="38"/>
  <c r="Q13" i="38"/>
  <c r="P13" i="38"/>
  <c r="O13" i="38"/>
  <c r="S12" i="38"/>
  <c r="R12" i="38"/>
  <c r="Q12" i="38"/>
  <c r="P12" i="38"/>
  <c r="O12" i="38"/>
  <c r="S11" i="38"/>
  <c r="R11" i="38"/>
  <c r="Q11" i="38"/>
  <c r="P11" i="38"/>
  <c r="O11" i="38"/>
  <c r="S10" i="38"/>
  <c r="R10" i="38"/>
  <c r="Q10" i="38"/>
  <c r="P10" i="38"/>
  <c r="O10" i="38"/>
  <c r="S9" i="38"/>
  <c r="R9" i="38"/>
  <c r="Q9" i="38"/>
  <c r="P9" i="38"/>
  <c r="O9" i="38"/>
  <c r="S8" i="38"/>
  <c r="R8" i="38"/>
  <c r="Q8" i="38"/>
  <c r="P8" i="38"/>
  <c r="O8" i="38"/>
  <c r="S7" i="38"/>
  <c r="R7" i="38"/>
  <c r="Q7" i="38"/>
  <c r="P7" i="38"/>
  <c r="O7" i="38"/>
  <c r="S6" i="38"/>
  <c r="R6" i="38"/>
  <c r="Q6" i="38"/>
  <c r="P6" i="38"/>
  <c r="O6" i="38"/>
  <c r="S5" i="38"/>
  <c r="R5" i="38"/>
  <c r="Q5" i="38"/>
  <c r="P5" i="38"/>
  <c r="O5" i="38"/>
  <c r="S4" i="38"/>
  <c r="R4" i="38"/>
  <c r="Q4" i="38"/>
  <c r="P4" i="38"/>
  <c r="O4" i="38"/>
  <c r="O3" i="38"/>
  <c r="O1" i="38" l="1"/>
  <c r="Q1" i="38"/>
  <c r="P1" i="38"/>
  <c r="R1" i="38"/>
  <c r="S1" i="38"/>
  <c r="P3" i="38" l="1"/>
  <c r="Q3" i="38" l="1"/>
  <c r="S3" i="38" l="1"/>
  <c r="R3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1" authorId="0" shapeId="0" xr:uid="{F61733F6-FB3C-45F8-ABA5-DF6F39F83E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 are dispatch only single parts so we are no change the customer for cast
</t>
        </r>
      </text>
    </comment>
  </commentList>
</comments>
</file>

<file path=xl/sharedStrings.xml><?xml version="1.0" encoding="utf-8"?>
<sst xmlns="http://schemas.openxmlformats.org/spreadsheetml/2006/main" count="9539" uniqueCount="1362">
  <si>
    <t>Vento</t>
  </si>
  <si>
    <t>Polo</t>
  </si>
  <si>
    <t>Rear Door Glass Run LH</t>
  </si>
  <si>
    <t>Rear Door Glass Run RH</t>
  </si>
  <si>
    <t>Rear Glass Run Lower Fr</t>
  </si>
  <si>
    <t>Rear Glass Run Lower Rr</t>
  </si>
  <si>
    <t>Front Door Glass Run  LH</t>
  </si>
  <si>
    <t>Front Door Glass Run RH</t>
  </si>
  <si>
    <t>Primary Door Seal Front LH</t>
  </si>
  <si>
    <t>Primary Door Seal Front RH</t>
  </si>
  <si>
    <t>Primary Door Seal Rear LH</t>
  </si>
  <si>
    <t>Primary Door Seal Rear RH</t>
  </si>
  <si>
    <t>Secondary Door Seal Front LH</t>
  </si>
  <si>
    <t>Secondary Door Seal Front RH</t>
  </si>
  <si>
    <t>Secondary Door Seal Rear LH</t>
  </si>
  <si>
    <t>Secondary Door Seal Rear RH</t>
  </si>
  <si>
    <t>Front Door Outer Belt LH</t>
  </si>
  <si>
    <t>Front Door Outer Belt RH</t>
  </si>
  <si>
    <t>Rear Door Outer Belt LH</t>
  </si>
  <si>
    <t>Rear Door Outer Belt RH</t>
  </si>
  <si>
    <t>Seal Bonnet Rear</t>
  </si>
  <si>
    <t xml:space="preserve">Seal Bonnet Front </t>
  </si>
  <si>
    <t>Front Door Inner Belt LH</t>
  </si>
  <si>
    <t>Front Door Inner Belt RH</t>
  </si>
  <si>
    <t>Rear Door Inner Belt LH</t>
  </si>
  <si>
    <t>Rear Door Inner Belt RH</t>
  </si>
  <si>
    <t>Rubber Mould Wind Shield Glass</t>
  </si>
  <si>
    <t>Assy Roof Ditch LH</t>
  </si>
  <si>
    <t>Assy Roof Ditch RH</t>
  </si>
  <si>
    <t>Plenum Seal</t>
  </si>
  <si>
    <t>Windshield Stopper</t>
  </si>
  <si>
    <t>Assy Roof Ditch LH (Single Cab)</t>
  </si>
  <si>
    <t>Assy Roof Ditch RH (Single Cab)</t>
  </si>
  <si>
    <t>Primary Door Seal Front</t>
  </si>
  <si>
    <t>Primary Door Seal Rear</t>
  </si>
  <si>
    <t>Front Door Glass Run LH</t>
  </si>
  <si>
    <t xml:space="preserve">DUST SEAL ASSY, FRONT  LH  </t>
  </si>
  <si>
    <t>DUST SEAL ASSY, FRONT    RH</t>
  </si>
  <si>
    <t xml:space="preserve">DUST SEAL REAR DOOR LH   </t>
  </si>
  <si>
    <t xml:space="preserve">DUST SEAL REAR DOOR RH   </t>
  </si>
  <si>
    <t xml:space="preserve">Rubber piece for fuel lid </t>
  </si>
  <si>
    <t>Aperture Seal, Front LH</t>
  </si>
  <si>
    <t>Aperture Seal, Front RH</t>
  </si>
  <si>
    <t>Aperture Seal, Rear  LH</t>
  </si>
  <si>
    <t>Aperture Seal, Rear  RH</t>
  </si>
  <si>
    <t>Front Door Secondary Seal  LH</t>
  </si>
  <si>
    <t>Front Door Secondary Seal  RH</t>
  </si>
  <si>
    <t>Rear Door Secondary Seal  LH</t>
  </si>
  <si>
    <t>Rear Door Secondary Seal RH</t>
  </si>
  <si>
    <t>Front Door Glass Run Mould  LH</t>
  </si>
  <si>
    <t>Front Door Glass Run Mould  RH</t>
  </si>
  <si>
    <t>Rear Door Glass Run Mould  LH</t>
  </si>
  <si>
    <t>Rear Door Glass Run Mould  RH</t>
  </si>
  <si>
    <t>Front GRN Bright LH</t>
  </si>
  <si>
    <t>Front GRN Bright RH</t>
  </si>
  <si>
    <t>Rear GRN Bright LH</t>
  </si>
  <si>
    <t>Rear GRN Bright RH</t>
  </si>
  <si>
    <t>Front Glass Run Piano Fr LH</t>
  </si>
  <si>
    <t>Front Glass Run Piano Fr RH</t>
  </si>
  <si>
    <t>Rear Glass Run Piano LH</t>
  </si>
  <si>
    <t>Rear Glass Run Piano RH</t>
  </si>
  <si>
    <t>Mud Seal FR LH</t>
  </si>
  <si>
    <t>Mud Seal FR RH</t>
  </si>
  <si>
    <t>00934075560E</t>
  </si>
  <si>
    <t>Front Door Primary Seal LH</t>
  </si>
  <si>
    <t>00934075570E</t>
  </si>
  <si>
    <t>Front Door Primary Seal RH</t>
  </si>
  <si>
    <t>00934076020E</t>
  </si>
  <si>
    <t>Rear Door Primary Seal LH</t>
  </si>
  <si>
    <t>00934076030E</t>
  </si>
  <si>
    <t>Rear Door Primary Seal RH</t>
  </si>
  <si>
    <t>00934075600E</t>
  </si>
  <si>
    <t>00934075610E</t>
  </si>
  <si>
    <t>00934076060E</t>
  </si>
  <si>
    <t>00934076070E</t>
  </si>
  <si>
    <t>00934076380E</t>
  </si>
  <si>
    <t xml:space="preserve">Tail Gate Primary Seal  </t>
  </si>
  <si>
    <t>Seal GR Channel LH</t>
  </si>
  <si>
    <t>Seal GR Channel RH</t>
  </si>
  <si>
    <t>Assy Waist Seal Outer LH</t>
  </si>
  <si>
    <t>Assy Waist Seal Outer RH</t>
  </si>
  <si>
    <t>Waist Seal Inner LH</t>
  </si>
  <si>
    <t>Waist Seal Inner RH</t>
  </si>
  <si>
    <t>Windshield G/S Bodyside</t>
  </si>
  <si>
    <t>Seal Primary LH</t>
  </si>
  <si>
    <t>Seal Primary RH</t>
  </si>
  <si>
    <t>Seal Secondary LH</t>
  </si>
  <si>
    <t>Seal Secondary RH</t>
  </si>
  <si>
    <t>Front Windshield G/S Upper</t>
  </si>
  <si>
    <t>Head Lamp Seal LH</t>
  </si>
  <si>
    <t>Head Lamp Seal RH</t>
  </si>
  <si>
    <t>Narrow Windshield</t>
  </si>
  <si>
    <t>Narrow RR window</t>
  </si>
  <si>
    <t xml:space="preserve">DOOR GAP HIDING SEAL LH </t>
  </si>
  <si>
    <t xml:space="preserve">DOOR GAP HIDING SEAL RH </t>
  </si>
  <si>
    <t xml:space="preserve">SEAL SECONDARY LH </t>
  </si>
  <si>
    <t>SEAL SECONDARY  RH</t>
  </si>
  <si>
    <t>SEAL WINDSCREEN C</t>
  </si>
  <si>
    <t>ASSY WEATHER STRIP OUTER LH</t>
  </si>
  <si>
    <t>ASSY WEATHER STRIP OUTER RH</t>
  </si>
  <si>
    <t>SEAL GLASS REAR C</t>
  </si>
  <si>
    <t>SLIDING WINDOW ( Rear C New )</t>
  </si>
  <si>
    <t>SEAL GLASS SIDE LH</t>
  </si>
  <si>
    <t>SEAL GLASS SIDE RH</t>
  </si>
  <si>
    <t xml:space="preserve">SEAL Primary LH </t>
  </si>
  <si>
    <t>SEAL PRIMARY RH</t>
  </si>
  <si>
    <t xml:space="preserve">EDGE BEADING ROOF SLEEPER </t>
  </si>
  <si>
    <t>SEAL DIRTY STORAGE  LH</t>
  </si>
  <si>
    <t>SEAL DIRTY STORAGE  RH</t>
  </si>
  <si>
    <t>SEAL GLASS RUN CHANNEL TOP LH</t>
  </si>
  <si>
    <t>SEAL GLASS RUN CHANNEL TOP RH</t>
  </si>
  <si>
    <t>SEAL GLASS RUN CHANNEL TOP LH New</t>
  </si>
  <si>
    <t>SEAL GLASS RUN CHANNEL TOP RH New</t>
  </si>
  <si>
    <t>ASSY WEATHER STRIP INNER LH</t>
  </si>
  <si>
    <t>ASSY WEATHER STRIP INNER RH</t>
  </si>
  <si>
    <t>ASSY SEAL AERO CORNER L</t>
  </si>
  <si>
    <t>ASSY SEAL AERO CORNER R</t>
  </si>
  <si>
    <t>913304007/08</t>
  </si>
  <si>
    <t>SEAL GLASS RUN CHANNEL BOTTOM FRONT</t>
  </si>
  <si>
    <t xml:space="preserve">EDGE BEADING ROOF Flat SLEEPER </t>
  </si>
  <si>
    <t>SEAL GLASS RUN CHANNEL BOTTOM FRONT New</t>
  </si>
  <si>
    <t>SUPPORT WINDSCREEN BOTTOM</t>
  </si>
  <si>
    <t>SEAL SUPPORT LID DS BOX ( Sec.D/S.AA. )</t>
  </si>
  <si>
    <t>SEAL TOP LID DS BOX  ( Aero.Corner )</t>
  </si>
  <si>
    <t xml:space="preserve">EDGE BEADING ROOF NON SLEEPER </t>
  </si>
  <si>
    <t>Glass Run Channel Seal FR RH</t>
  </si>
  <si>
    <t>Glass Run Channel Seal FR LH</t>
  </si>
  <si>
    <t>Glass Run Channel Seal RR RH</t>
  </si>
  <si>
    <t>Glass Run Channel Seal RR LH</t>
  </si>
  <si>
    <t>Outer Belt W Strip Fr DR RH</t>
  </si>
  <si>
    <t>Outer Belt W Strip Fr DR LH</t>
  </si>
  <si>
    <t>Outer Belt W Strip Rr DR RH</t>
  </si>
  <si>
    <t>Outer Belt W Strip Rr DR LH</t>
  </si>
  <si>
    <t>Inner Belt W Strip Fr DR RH</t>
  </si>
  <si>
    <t>Inner Belt W Strip Fr DR LH</t>
  </si>
  <si>
    <t>Inner Belt W Strip Rr DR RH</t>
  </si>
  <si>
    <t>Inner Belt W Strip Rr DR LH</t>
  </si>
  <si>
    <t>Seal Garnish</t>
  </si>
  <si>
    <t>Ext. FRT Dr WDO GR RH1 (WO Flap)</t>
  </si>
  <si>
    <t>Ext. FRT Dr WDO GR LH1 (WO Flap)</t>
  </si>
  <si>
    <t>RR Dr WDO GR RH</t>
  </si>
  <si>
    <t>RR Dr WDO GR LH</t>
  </si>
  <si>
    <t>Ext. FRT Dr WDO GR LH2 (W Flap)</t>
  </si>
  <si>
    <t xml:space="preserve"> EXT FRT DR WINDOW GR LH2</t>
  </si>
  <si>
    <t>84651M62S00</t>
  </si>
  <si>
    <t xml:space="preserve"> Sec Door Seal Front LH</t>
  </si>
  <si>
    <t>84641M62S00</t>
  </si>
  <si>
    <t xml:space="preserve"> Sec Door Seal Front RH</t>
  </si>
  <si>
    <t>84671M62S00</t>
  </si>
  <si>
    <t xml:space="preserve"> Sec Door Seal Rear LH</t>
  </si>
  <si>
    <t>84661M62S00</t>
  </si>
  <si>
    <t xml:space="preserve"> Sec Door Seal Rear RH</t>
  </si>
  <si>
    <t>Glass Run Mould Front</t>
  </si>
  <si>
    <t>Glass Run Mould Rear</t>
  </si>
  <si>
    <t>Primary Body Seal Front</t>
  </si>
  <si>
    <t>Primary Body Seal Rear</t>
  </si>
  <si>
    <t xml:space="preserve">Assy Roof Ditch LH </t>
  </si>
  <si>
    <t xml:space="preserve">Assy Roof Ditch RH </t>
  </si>
  <si>
    <t>Xenon</t>
  </si>
  <si>
    <t>Altroz</t>
  </si>
  <si>
    <t>Harrier/ Safari</t>
  </si>
  <si>
    <t>Nexon</t>
  </si>
  <si>
    <t>Tata Ultra</t>
  </si>
  <si>
    <t>EXT FRT DR WINDOW GR RH2</t>
  </si>
  <si>
    <t>W/s Assy Outer Belt FR</t>
  </si>
  <si>
    <t>W/S Assy FR DR Outer</t>
  </si>
  <si>
    <t>W/S Assy RR DR Outer</t>
  </si>
  <si>
    <t>Glass Run FR RH</t>
  </si>
  <si>
    <t xml:space="preserve"> Glass Run FR LH</t>
  </si>
  <si>
    <t>Glass Run RR RH</t>
  </si>
  <si>
    <t>Glass Run RR LH</t>
  </si>
  <si>
    <t>Hornbill</t>
  </si>
  <si>
    <t>Bonnet Seal Rear</t>
  </si>
  <si>
    <t>WINDOWGUIDEFRLHVW250</t>
  </si>
  <si>
    <t>6RG837431E5AP</t>
  </si>
  <si>
    <t>WINDOWGUIDEFRRHVW250</t>
  </si>
  <si>
    <t>6RG837432E5AP</t>
  </si>
  <si>
    <t>WINDOWGUIDEREARLHVW250</t>
  </si>
  <si>
    <t>6RG839431E5AP</t>
  </si>
  <si>
    <t>WINDOWGUIDEREARRHVW250</t>
  </si>
  <si>
    <t>6RG839432E5AP</t>
  </si>
  <si>
    <t>WSTRIPOUTERFRLHVW250</t>
  </si>
  <si>
    <t>6RG8374775AP</t>
  </si>
  <si>
    <t>WSTRIPOUTERFRRHVW250</t>
  </si>
  <si>
    <t>6RG8374785AP</t>
  </si>
  <si>
    <t>WSTRIPOUTERRRLHVW250</t>
  </si>
  <si>
    <t>6RG8394775AP</t>
  </si>
  <si>
    <t>WSTRIPOUTERRRRHVW250</t>
  </si>
  <si>
    <t>6RG8394785AP</t>
  </si>
  <si>
    <t>WSTRIPINNERFRLHVW250</t>
  </si>
  <si>
    <t>6RG837479A5AP</t>
  </si>
  <si>
    <t>WSTRIPINNERFRRHVW250</t>
  </si>
  <si>
    <t>6RG837480A5AP</t>
  </si>
  <si>
    <t>WSTRIPINNERRRLHVW250</t>
  </si>
  <si>
    <t>6RG839479A5AP</t>
  </si>
  <si>
    <t>WSTRIPINNERRRRHVW250</t>
  </si>
  <si>
    <t>6RG839480A5AP</t>
  </si>
  <si>
    <t>WINDOWGUIDEFRLHVW251</t>
  </si>
  <si>
    <t>6RF837431A5AP</t>
  </si>
  <si>
    <t>WINDOWGUIDEFRRHVW251</t>
  </si>
  <si>
    <t>6RF837432A5AP</t>
  </si>
  <si>
    <t>WINDOWGUIDERRLHVW251</t>
  </si>
  <si>
    <t>6RF839431A5AP</t>
  </si>
  <si>
    <t>WINDOWGUIDERRRHVW251</t>
  </si>
  <si>
    <t>6RF839432A5AP</t>
  </si>
  <si>
    <t>WSTRIPOUTERFRLHVW251</t>
  </si>
  <si>
    <t>6RF8374775AP</t>
  </si>
  <si>
    <t>WSTRIPOUTERFRRHVW251</t>
  </si>
  <si>
    <t>6RF8374785AP</t>
  </si>
  <si>
    <t>WSTRIPOUTERRRLHVW251</t>
  </si>
  <si>
    <t>6RF8394775AP</t>
  </si>
  <si>
    <t>WSTRIPOUTERRRRHVW251</t>
  </si>
  <si>
    <t>6RF8394785AP</t>
  </si>
  <si>
    <t>WSTRIPINNERFRLHVW251</t>
  </si>
  <si>
    <t>6RF8374795AP</t>
  </si>
  <si>
    <t>WSTRIPINNERFRRHVW251</t>
  </si>
  <si>
    <t>6RF8374805AP</t>
  </si>
  <si>
    <t>WSTRIPINNERRRLHVW251</t>
  </si>
  <si>
    <t>6RF8394795AP</t>
  </si>
  <si>
    <t>WSTRIPINNERRRRHVW251</t>
  </si>
  <si>
    <t>6RF8394805AP</t>
  </si>
  <si>
    <t>WindowGuideFrontLH</t>
  </si>
  <si>
    <t>6JM8374395AP</t>
  </si>
  <si>
    <t>WindowGuideFrontRH</t>
  </si>
  <si>
    <t>6JM8374405AP</t>
  </si>
  <si>
    <t>WindowGuideRearLH</t>
  </si>
  <si>
    <t>6JM8394395AP</t>
  </si>
  <si>
    <t>WindowGuideRearRH</t>
  </si>
  <si>
    <t>6JM8394405AP</t>
  </si>
  <si>
    <t>OuterWaistBeltBlack</t>
  </si>
  <si>
    <t>6JM8374775AP</t>
  </si>
  <si>
    <t>6JM8374785AP</t>
  </si>
  <si>
    <t>6JM8394775AP</t>
  </si>
  <si>
    <t>6JM8394785AP</t>
  </si>
  <si>
    <t>InnerWaistBeltFront</t>
  </si>
  <si>
    <t>6JM837479</t>
  </si>
  <si>
    <t>6JM837480</t>
  </si>
  <si>
    <t>InnerWaistBeltRearLH</t>
  </si>
  <si>
    <t>6JM839479</t>
  </si>
  <si>
    <t>InnerWaistBeltRearRH</t>
  </si>
  <si>
    <t>6JM839480</t>
  </si>
  <si>
    <t>PartNo-</t>
  </si>
  <si>
    <t>MFGNo-</t>
  </si>
  <si>
    <t>PartName</t>
  </si>
  <si>
    <t>RearDoorGlassRunLH</t>
  </si>
  <si>
    <t>5JL837439 5AP</t>
  </si>
  <si>
    <t>Window Guide Front LH</t>
  </si>
  <si>
    <t>5JL837440 5AP</t>
  </si>
  <si>
    <t>Window Guide Front RH</t>
  </si>
  <si>
    <t>5JL839439 5AP</t>
  </si>
  <si>
    <t>Window Guide Rear LH</t>
  </si>
  <si>
    <t>5JL839440 5AP</t>
  </si>
  <si>
    <t>Window Guide Rear RH</t>
  </si>
  <si>
    <t>5JL837477 5AP</t>
  </si>
  <si>
    <t>Outer Waist Belt Black</t>
  </si>
  <si>
    <t>5JL837478 5AP</t>
  </si>
  <si>
    <t>5JL839477 5AP</t>
  </si>
  <si>
    <t>5JL839478 5AP</t>
  </si>
  <si>
    <t>5JL837479</t>
  </si>
  <si>
    <t>Inner Waist Belt Black</t>
  </si>
  <si>
    <t>5JL837480</t>
  </si>
  <si>
    <t>5JL839479</t>
  </si>
  <si>
    <t>5JL839480</t>
  </si>
  <si>
    <t>FN15N21510BD</t>
  </si>
  <si>
    <t>FN15N21511BD</t>
  </si>
  <si>
    <t>FN15N25824BD</t>
  </si>
  <si>
    <t>FN15N25825BD</t>
  </si>
  <si>
    <t>CN15N20562AF</t>
  </si>
  <si>
    <t>CN15N20563AF</t>
  </si>
  <si>
    <t>CN15N25604AF</t>
  </si>
  <si>
    <t>CN15N25605AF</t>
  </si>
  <si>
    <t>GN15N20570AB</t>
  </si>
  <si>
    <t>GN15N20571AB</t>
  </si>
  <si>
    <t>GN15N25860AB</t>
  </si>
  <si>
    <t>GN15N25861AB</t>
  </si>
  <si>
    <t>CN15A29198AC</t>
  </si>
  <si>
    <t>CN15N223A06BD</t>
  </si>
  <si>
    <t>CN15N223A07BD</t>
  </si>
  <si>
    <t>CN15N223A07AE</t>
  </si>
  <si>
    <t>CN15N263A66AC</t>
  </si>
  <si>
    <t>CN15N263A67AC</t>
  </si>
  <si>
    <t xml:space="preserve">FN15N21510BD </t>
  </si>
  <si>
    <t xml:space="preserve">FN15N21511BD  </t>
  </si>
  <si>
    <t xml:space="preserve">FN15N25824BD </t>
  </si>
  <si>
    <t xml:space="preserve">FN15N25825BD </t>
  </si>
  <si>
    <t>CN15N20562DB</t>
  </si>
  <si>
    <t>CN15N20563DB</t>
  </si>
  <si>
    <t>CN15N20570AB</t>
  </si>
  <si>
    <t>CN15N20571AB</t>
  </si>
  <si>
    <t>CN15N25860AB</t>
  </si>
  <si>
    <t>CN15N25861AB</t>
  </si>
  <si>
    <t>GN15N223A06BA</t>
  </si>
  <si>
    <t>GN15N223A07BA</t>
  </si>
  <si>
    <t xml:space="preserve">Model </t>
  </si>
  <si>
    <t>Tata World truck</t>
  </si>
  <si>
    <t>SK-216</t>
  </si>
  <si>
    <t>SK-271</t>
  </si>
  <si>
    <t>FORD-Domestic</t>
  </si>
  <si>
    <t>FORD -Export</t>
  </si>
  <si>
    <t>MSIL Y-1K</t>
  </si>
  <si>
    <t>Tata -407</t>
  </si>
  <si>
    <t>S.No.</t>
  </si>
  <si>
    <t>Plant</t>
  </si>
  <si>
    <t>Customer</t>
  </si>
  <si>
    <t>Customer Location</t>
  </si>
  <si>
    <t>Bawal</t>
  </si>
  <si>
    <t>TML</t>
  </si>
  <si>
    <t>Pune</t>
  </si>
  <si>
    <t>JSR</t>
  </si>
  <si>
    <t>VW</t>
  </si>
  <si>
    <t>Ford</t>
  </si>
  <si>
    <t>Chennai</t>
  </si>
  <si>
    <t>MSIL</t>
  </si>
  <si>
    <t>GGN/MSR</t>
  </si>
  <si>
    <t>Customer forecast</t>
  </si>
  <si>
    <t>Sale Price</t>
  </si>
  <si>
    <t>Sep</t>
  </si>
  <si>
    <t>Oct</t>
  </si>
  <si>
    <t>Value in INR</t>
  </si>
  <si>
    <t>Nov</t>
  </si>
  <si>
    <t>CNS</t>
  </si>
  <si>
    <t>RNAIPL - OE</t>
  </si>
  <si>
    <t>CHENNAI</t>
  </si>
  <si>
    <t>XBA</t>
  </si>
  <si>
    <t>769221722R</t>
  </si>
  <si>
    <t>REAR SEAL ON BODY LH</t>
  </si>
  <si>
    <t>769235579R</t>
  </si>
  <si>
    <t>REAR SEAL ON BODY RH</t>
  </si>
  <si>
    <t>808334352R</t>
  </si>
  <si>
    <t>SEAL-FR LH DOOR BODY</t>
  </si>
  <si>
    <t>668712279R</t>
  </si>
  <si>
    <t xml:space="preserve">SEAL-COWL TOP COVER </t>
  </si>
  <si>
    <t>803307225R</t>
  </si>
  <si>
    <t xml:space="preserve">RAIL-FR WDW, RH     </t>
  </si>
  <si>
    <t>803318340R</t>
  </si>
  <si>
    <t xml:space="preserve">RAIL-FR WDW, LH     </t>
  </si>
  <si>
    <t>808327790R</t>
  </si>
  <si>
    <t>WELT-BODY, FR RH DOO</t>
  </si>
  <si>
    <t>823308248R</t>
  </si>
  <si>
    <t xml:space="preserve">RAIL-RR WDW,RH      </t>
  </si>
  <si>
    <t>823312105R</t>
  </si>
  <si>
    <t xml:space="preserve">RAIL-RR WDW,LH      </t>
  </si>
  <si>
    <t>908304424R</t>
  </si>
  <si>
    <t>STRIP-SEAL, TRUNK DO</t>
  </si>
  <si>
    <t>RBC</t>
  </si>
  <si>
    <t>668712178R</t>
  </si>
  <si>
    <t>769238157R</t>
  </si>
  <si>
    <t>SEAL-WELT BODY SIDE,</t>
  </si>
  <si>
    <t>769247539R</t>
  </si>
  <si>
    <t>803307192R</t>
  </si>
  <si>
    <t>803319328R</t>
  </si>
  <si>
    <t>808321023R</t>
  </si>
  <si>
    <t>808339348R</t>
  </si>
  <si>
    <t>WELT-BODY, FR LH DOO</t>
  </si>
  <si>
    <t>823304718R</t>
  </si>
  <si>
    <t>823312038R</t>
  </si>
  <si>
    <t>833306764R</t>
  </si>
  <si>
    <t xml:space="preserve">SEAL-QTR GLASS      </t>
  </si>
  <si>
    <t>833307316R</t>
  </si>
  <si>
    <t xml:space="preserve">SEAL-RH QTR WDW     </t>
  </si>
  <si>
    <t>908303254R</t>
  </si>
  <si>
    <t xml:space="preserve">SEAL-TRUNK LID      </t>
  </si>
  <si>
    <t>PY1B</t>
  </si>
  <si>
    <t>508526VA0A</t>
  </si>
  <si>
    <t xml:space="preserve">SEAL-SIDE,RUB RH    </t>
  </si>
  <si>
    <t>508536VA0A</t>
  </si>
  <si>
    <t xml:space="preserve">SEAL-SIDE,RUB LH    </t>
  </si>
  <si>
    <t>668716VA0A</t>
  </si>
  <si>
    <t>SEAL-COWL TOP COVER,</t>
  </si>
  <si>
    <t>803306VA0A</t>
  </si>
  <si>
    <t>GLASS RUN-FR DOOR WD</t>
  </si>
  <si>
    <t>803316VA0A</t>
  </si>
  <si>
    <t>808326VA0A</t>
  </si>
  <si>
    <t>WSTRIP-FR DOOR,OTR R</t>
  </si>
  <si>
    <t>808336VA0A</t>
  </si>
  <si>
    <t>WSTRIP-FR DOOR,OTR L</t>
  </si>
  <si>
    <t>823306VA0A</t>
  </si>
  <si>
    <t>GLASS RUN-RR DOOR WD</t>
  </si>
  <si>
    <t>823316VA0A</t>
  </si>
  <si>
    <t>828326VA0A</t>
  </si>
  <si>
    <t>WSTRIP-SLIDE DOOR,LW</t>
  </si>
  <si>
    <t>828336VA0A</t>
  </si>
  <si>
    <t>908306VA0A</t>
  </si>
  <si>
    <t xml:space="preserve">WSTRIP-BACK DOOR    </t>
  </si>
  <si>
    <t>HHA</t>
  </si>
  <si>
    <t>668306498R</t>
  </si>
  <si>
    <t xml:space="preserve">SEAL-HOOD REAR      </t>
  </si>
  <si>
    <t>HBC</t>
  </si>
  <si>
    <t>601961144R</t>
  </si>
  <si>
    <t xml:space="preserve">FOAM-ADHESIVE       </t>
  </si>
  <si>
    <t>609118995R</t>
  </si>
  <si>
    <t>FOAM-ADHESIVE, RR DO</t>
  </si>
  <si>
    <t>769236345R</t>
  </si>
  <si>
    <t>769246539R</t>
  </si>
  <si>
    <t>803309430R</t>
  </si>
  <si>
    <t>803311257R</t>
  </si>
  <si>
    <t>808320344R</t>
  </si>
  <si>
    <t>808330533R</t>
  </si>
  <si>
    <t>823302694R</t>
  </si>
  <si>
    <t>823312020R</t>
  </si>
  <si>
    <t>908302121R</t>
  </si>
  <si>
    <t>NISSAN EXPORT</t>
  </si>
  <si>
    <t>BRAZIL</t>
  </si>
  <si>
    <t>XBB</t>
  </si>
  <si>
    <t>668719510R</t>
  </si>
  <si>
    <t>COWLTOP</t>
  </si>
  <si>
    <t>803306586R</t>
  </si>
  <si>
    <t>RH KIT</t>
  </si>
  <si>
    <t>803318914R</t>
  </si>
  <si>
    <t>LH KIT</t>
  </si>
  <si>
    <t>UNITED</t>
  </si>
  <si>
    <t>QXI</t>
  </si>
  <si>
    <t>86431K3000</t>
  </si>
  <si>
    <t>HOOD SEAL</t>
  </si>
  <si>
    <t>NISSAN AFTER SALES</t>
  </si>
  <si>
    <t>After sales  -XBA</t>
  </si>
  <si>
    <t>769247177R</t>
  </si>
  <si>
    <t>SEAL-WELT BODY SIDE, RR LH</t>
  </si>
  <si>
    <t>769236186R</t>
  </si>
  <si>
    <t>SEAL-WELT BODY SIDE, RR RH</t>
  </si>
  <si>
    <t>After sales  -H79</t>
  </si>
  <si>
    <t>808321639R</t>
  </si>
  <si>
    <t>WSTRIP ASSY-FR</t>
  </si>
  <si>
    <t>808331610R</t>
  </si>
  <si>
    <t>WELT-BODY, FR LH DOOR</t>
  </si>
  <si>
    <t>769239211R</t>
  </si>
  <si>
    <t>W/STRIP-RR DOOR</t>
  </si>
  <si>
    <t>769242783R</t>
  </si>
  <si>
    <t>WSTRIP ASSY-RR</t>
  </si>
  <si>
    <t>RAIL-FR WDW, RH</t>
  </si>
  <si>
    <t>RAIL-FR WDW, LH</t>
  </si>
  <si>
    <t>808206267R</t>
  </si>
  <si>
    <t>WSTRIP-FR RH WD</t>
  </si>
  <si>
    <t>After sales  -RBC</t>
  </si>
  <si>
    <t>908304580R</t>
  </si>
  <si>
    <t>STRIP-SEAL, TRU</t>
  </si>
  <si>
    <t>828204429R</t>
  </si>
  <si>
    <t>WSTRIP-RR RH WD</t>
  </si>
  <si>
    <t>908300023R</t>
  </si>
  <si>
    <t>SEAL-TRUNK LID</t>
  </si>
  <si>
    <t>RAIL-RR WDW,RH</t>
  </si>
  <si>
    <t>828213416R</t>
  </si>
  <si>
    <t>WSTRIP-RR LH WD</t>
  </si>
  <si>
    <t>RAIL-RR WDW,LH</t>
  </si>
  <si>
    <t>WEATHERSTRIP-BA</t>
  </si>
  <si>
    <t>After sales  -K2</t>
  </si>
  <si>
    <t>908304LB0A</t>
  </si>
  <si>
    <t>908304LA0A</t>
  </si>
  <si>
    <t>808214485R</t>
  </si>
  <si>
    <t>WSTRIP-FR LH WD</t>
  </si>
  <si>
    <t>After sales  -HHA</t>
  </si>
  <si>
    <t>808326814R</t>
  </si>
  <si>
    <t>SEAL-FR DOOR INLET</t>
  </si>
  <si>
    <t>After sales  -I2</t>
  </si>
  <si>
    <t>908302XA0A</t>
  </si>
  <si>
    <t>WEATHERSTRIP-BACK DOOR</t>
  </si>
  <si>
    <t>823300034R</t>
  </si>
  <si>
    <t>769238714R</t>
  </si>
  <si>
    <t>SEAL-RR DOOR ENTRANCE</t>
  </si>
  <si>
    <t>WSTRIP-FR RH DR</t>
  </si>
  <si>
    <t>668300019R</t>
  </si>
  <si>
    <t>SEAL-HOOD REAR</t>
  </si>
  <si>
    <t>668302XB0A</t>
  </si>
  <si>
    <t>SEAL-COWL TOP</t>
  </si>
  <si>
    <t>WSTRIP-FR LH DR</t>
  </si>
  <si>
    <t>769234LA0A</t>
  </si>
  <si>
    <t>WELT-BODY SIDE,</t>
  </si>
  <si>
    <t>823300033R</t>
  </si>
  <si>
    <t>823310036R</t>
  </si>
  <si>
    <t>828368065R</t>
  </si>
  <si>
    <t>SEAL-FR &amp; RR DOOR, UPR RH</t>
  </si>
  <si>
    <t>764M15519R</t>
  </si>
  <si>
    <t>GUARD 1ST-MUD, FR LH DOOR</t>
  </si>
  <si>
    <t>803300614R</t>
  </si>
  <si>
    <t>WSTRIP- FR RH DOOR,INR</t>
  </si>
  <si>
    <t>After sales  -H79(PH-3)</t>
  </si>
  <si>
    <t>808210020R</t>
  </si>
  <si>
    <t>WSTRIP- FR LH D</t>
  </si>
  <si>
    <t>808218422R</t>
  </si>
  <si>
    <t xml:space="preserve">WSTRIP-FR OTR LH    </t>
  </si>
  <si>
    <t>823301394R</t>
  </si>
  <si>
    <t>WSTRIP-RR RH,INR</t>
  </si>
  <si>
    <t>828205721R</t>
  </si>
  <si>
    <t>WSTRIP-RR RH WDW,OTR</t>
  </si>
  <si>
    <t>828386667R</t>
  </si>
  <si>
    <t>SEAL-DIRT PROOF,RR RH DOOR</t>
  </si>
  <si>
    <t>908306834R</t>
  </si>
  <si>
    <t>803306239R</t>
  </si>
  <si>
    <t>RAIL-FR DOOR WDW, RH</t>
  </si>
  <si>
    <t>803307233R</t>
  </si>
  <si>
    <t>WSTRIP-FR RH,INR</t>
  </si>
  <si>
    <t>803310255R</t>
  </si>
  <si>
    <t>RAIL-FR DOOR WDW, LH</t>
  </si>
  <si>
    <t>803317144R</t>
  </si>
  <si>
    <t>WSTRIP-FR LH DOOR,INR</t>
  </si>
  <si>
    <t>808200673R</t>
  </si>
  <si>
    <t>WSTRIP- FR RH D</t>
  </si>
  <si>
    <t>808209081R</t>
  </si>
  <si>
    <t>WSTRIP-FR OTR RH</t>
  </si>
  <si>
    <t>823300406R</t>
  </si>
  <si>
    <t>828317899R</t>
  </si>
  <si>
    <t>SEAL-DIRT PROOF,RR LH DOOR</t>
  </si>
  <si>
    <t>828384555R</t>
  </si>
  <si>
    <t>GUARD-MUD, RR RH DOOR</t>
  </si>
  <si>
    <t>After sales  -XBB</t>
  </si>
  <si>
    <t>769214LA0A</t>
  </si>
  <si>
    <t>808318540R</t>
  </si>
  <si>
    <t>SEAL-DIRT PROOF,FR LH DOOR</t>
  </si>
  <si>
    <t>823300200R</t>
  </si>
  <si>
    <t>WSTRIP-RR RH WDW,INR</t>
  </si>
  <si>
    <t>823313122R</t>
  </si>
  <si>
    <t>WSTRIP-RR LH DOOR,INR</t>
  </si>
  <si>
    <t>823316997R</t>
  </si>
  <si>
    <t>828218674R</t>
  </si>
  <si>
    <t>WSTRIP-RR LH WDW,OTR</t>
  </si>
  <si>
    <t>828396914R</t>
  </si>
  <si>
    <t>GUARD-MUD, RR LH DOOR</t>
  </si>
  <si>
    <t>823305495R</t>
  </si>
  <si>
    <t>823318260R</t>
  </si>
  <si>
    <t xml:space="preserve">Customer Forecast - MNR Plant </t>
  </si>
  <si>
    <t>F</t>
  </si>
  <si>
    <t>MNR</t>
  </si>
  <si>
    <t>Nissan</t>
  </si>
  <si>
    <t>L02B</t>
  </si>
  <si>
    <t xml:space="preserve">76921-3AR0C </t>
  </si>
  <si>
    <t>Welt Bodyside FrRH Europ</t>
  </si>
  <si>
    <t xml:space="preserve">76922-3AR0C </t>
  </si>
  <si>
    <t>Welt Bodyside FrLH Europ</t>
  </si>
  <si>
    <t>76921-3BB0C</t>
  </si>
  <si>
    <t>Welt Bodyside FrRH India</t>
  </si>
  <si>
    <t>76922-3BB0C</t>
  </si>
  <si>
    <t>Welt Bodyside FrLH India</t>
  </si>
  <si>
    <t xml:space="preserve">76923-3BB0A </t>
  </si>
  <si>
    <t>Welt Bodyside RrRH L02B</t>
  </si>
  <si>
    <t xml:space="preserve">76924-3BB0A </t>
  </si>
  <si>
    <t>Welt Bodyside RrLH L02B</t>
  </si>
  <si>
    <t xml:space="preserve">80330-3AR0B </t>
  </si>
  <si>
    <t>GlassRun Fr Dr RH L02B</t>
  </si>
  <si>
    <t xml:space="preserve">80331-3AR0B </t>
  </si>
  <si>
    <t>GlassRun Fr Dr LH L02B</t>
  </si>
  <si>
    <t xml:space="preserve">82330-3AR0B </t>
  </si>
  <si>
    <t>GlassRun Rr Dr RH L02B</t>
  </si>
  <si>
    <t xml:space="preserve">82331-3AR0B </t>
  </si>
  <si>
    <t>GlassRun Rr Dr LH L02B</t>
  </si>
  <si>
    <t>M&amp;M</t>
  </si>
  <si>
    <t>Nasik</t>
  </si>
  <si>
    <t>Scorpio</t>
  </si>
  <si>
    <t>0107CAG00450N</t>
  </si>
  <si>
    <t xml:space="preserve">Flip Seal    </t>
  </si>
  <si>
    <t>0107CG0020N</t>
  </si>
  <si>
    <t>Glass Run Seal FRH</t>
  </si>
  <si>
    <t>0107CG0030N</t>
  </si>
  <si>
    <t>Glass Run Seal FLH</t>
  </si>
  <si>
    <t>0107CG0040N</t>
  </si>
  <si>
    <t>Glass Run Seal RRH</t>
  </si>
  <si>
    <t>0107CG0050N</t>
  </si>
  <si>
    <t>Glass Run Seal RLH</t>
  </si>
  <si>
    <t>0107BAG00171N</t>
  </si>
  <si>
    <t>Dog Leg Seal RH- New</t>
  </si>
  <si>
    <t>0107BAG00181N</t>
  </si>
  <si>
    <t xml:space="preserve">Dog Leg Seal LH- New </t>
  </si>
  <si>
    <t>0107CG0060N</t>
  </si>
  <si>
    <t>Seal fix RH TC1</t>
  </si>
  <si>
    <t>0107CG0070N</t>
  </si>
  <si>
    <t>Seal fix LH TC1</t>
  </si>
  <si>
    <t>0107CG0260N</t>
  </si>
  <si>
    <t>Seal fix RH TC4</t>
  </si>
  <si>
    <t>0107CG0270N</t>
  </si>
  <si>
    <t>Seal fix LH TC4</t>
  </si>
  <si>
    <t>0107GF0020N</t>
  </si>
  <si>
    <t>SCDC Backpannel Seal</t>
  </si>
  <si>
    <t>0107CG0300N</t>
  </si>
  <si>
    <t>Butterfly seal LH</t>
  </si>
  <si>
    <t>0107FAW00370N</t>
  </si>
  <si>
    <t>Stopper W105 New</t>
  </si>
  <si>
    <t>0102EG0020N</t>
  </si>
  <si>
    <t>Hood Rear</t>
  </si>
  <si>
    <t>0107AAG00441N</t>
  </si>
  <si>
    <t>Door Seal FRT New</t>
  </si>
  <si>
    <t>0107AAG00451N</t>
  </si>
  <si>
    <t>Door Seal RR New</t>
  </si>
  <si>
    <t>0107AG0130N</t>
  </si>
  <si>
    <t>Backdoor Inner Seal</t>
  </si>
  <si>
    <t>0107AAG00611N</t>
  </si>
  <si>
    <t>EDGE BIDDING REINF BATTERY TRAY</t>
  </si>
  <si>
    <t>0107AAG00360N</t>
  </si>
  <si>
    <t>Backdoor outer TC1</t>
  </si>
  <si>
    <t>0107AAG00370N</t>
  </si>
  <si>
    <t>Backdoor outer Seal</t>
  </si>
  <si>
    <t>0107AAG00421N</t>
  </si>
  <si>
    <t>Seal Plenum</t>
  </si>
  <si>
    <t>0201FBC01431N</t>
  </si>
  <si>
    <t>SPR Wheel Seal</t>
  </si>
  <si>
    <t>U321</t>
  </si>
  <si>
    <t>0107BU300461N</t>
  </si>
  <si>
    <t xml:space="preserve">SEAL GLASS RUN FRT DOOR RH </t>
  </si>
  <si>
    <t>0107BU300471N</t>
  </si>
  <si>
    <t xml:space="preserve">SEAL GLASS RUN FRT DOOR LH </t>
  </si>
  <si>
    <t>0107BU300481N</t>
  </si>
  <si>
    <t xml:space="preserve">SEAL GLASS RUN RR DOOR RH </t>
  </si>
  <si>
    <t>0107BU300491N</t>
  </si>
  <si>
    <t xml:space="preserve">SEAL GLASS RUN RR DOOR LH </t>
  </si>
  <si>
    <t>0107BU300421N</t>
  </si>
  <si>
    <t xml:space="preserve">SEAL DOOR MOUNTED FRT RH </t>
  </si>
  <si>
    <t>0107BU300431N</t>
  </si>
  <si>
    <t>SEAL DOOR MOUNTED FRT LH</t>
  </si>
  <si>
    <t>0107BU300441N</t>
  </si>
  <si>
    <t>SEAL DOOR MOUNTED RR RH</t>
  </si>
  <si>
    <t>0107BU300451N</t>
  </si>
  <si>
    <t xml:space="preserve">SEAL DOOR MOUNTED RR  LH </t>
  </si>
  <si>
    <t>0107BU300521N</t>
  </si>
  <si>
    <t xml:space="preserve">SEAL BODY MOUNTED FRT DOOR RH </t>
  </si>
  <si>
    <t>0107BU300531N</t>
  </si>
  <si>
    <t xml:space="preserve">SEAL BODY MOUNTED FRT DOOR LH </t>
  </si>
  <si>
    <t>0107BU300541N</t>
  </si>
  <si>
    <t xml:space="preserve">SEAL BODY MOUNTED RR DOOR RH </t>
  </si>
  <si>
    <t>0107BU300551N</t>
  </si>
  <si>
    <t xml:space="preserve">SEAL BODY MOUNTED RR DOOR LH </t>
  </si>
  <si>
    <t>0107BU300681N</t>
  </si>
  <si>
    <t>SEAL BODY MOUNTED LIFTGATE</t>
  </si>
  <si>
    <t>0107BU300501N</t>
  </si>
  <si>
    <t xml:space="preserve">SEAL DUST PROTECT FRT DOOR RH </t>
  </si>
  <si>
    <t>0107BU300511N</t>
  </si>
  <si>
    <t xml:space="preserve">SEAL DUST PROTECT FRT DOOR LH </t>
  </si>
  <si>
    <t>0107BU300401N</t>
  </si>
  <si>
    <t xml:space="preserve">SEAL DUST PROTECT RR DOOR RH </t>
  </si>
  <si>
    <t>0107BU300411N</t>
  </si>
  <si>
    <t xml:space="preserve">SEAL DUST PROTECT RR DOOR LH </t>
  </si>
  <si>
    <t>0107AU300591N</t>
  </si>
  <si>
    <t>Weatherstrip waist OTR Frt RH Black</t>
  </si>
  <si>
    <t>0107AU300601N</t>
  </si>
  <si>
    <t>Weatherstrip waist OTR Frt LH Black</t>
  </si>
  <si>
    <t>0107AU300611N</t>
  </si>
  <si>
    <t>Weatherstrip waist OTR RR RH Black</t>
  </si>
  <si>
    <t>0107AU300621N</t>
  </si>
  <si>
    <t>Weatherstrip waist OTR RR LH Black</t>
  </si>
  <si>
    <t>0107BU300601N</t>
  </si>
  <si>
    <t>SEAL WAIST BELT INR FRT DOOR RH</t>
  </si>
  <si>
    <t>0107BU300611N</t>
  </si>
  <si>
    <t>SEAL WAIST BELT INR FRT DOOR LH</t>
  </si>
  <si>
    <t>0107BU300621N</t>
  </si>
  <si>
    <t>SEAL WAIST BELT INR RR DOOR RH</t>
  </si>
  <si>
    <t>0107BU300631N</t>
  </si>
  <si>
    <t>SEAL WAIST BELT INR RR DOOR LH</t>
  </si>
  <si>
    <t>0107BU300691N</t>
  </si>
  <si>
    <t>SEAL HOOD FRONT</t>
  </si>
  <si>
    <t>0107BU300641N</t>
  </si>
  <si>
    <t>Bright Waist belt seal OTR FR RH</t>
  </si>
  <si>
    <t>0107BU300651N</t>
  </si>
  <si>
    <t xml:space="preserve">Bright Waist belt seal OTR FR LH </t>
  </si>
  <si>
    <t>0107BU300661N</t>
  </si>
  <si>
    <t>Bright Waist belt seal OTR  RR RH</t>
  </si>
  <si>
    <t>0107BU300671N</t>
  </si>
  <si>
    <t xml:space="preserve">Bright Waist belt seal OTR RR LH </t>
  </si>
  <si>
    <t>0108EU300651N</t>
  </si>
  <si>
    <t xml:space="preserve">Bright  FRT QRT RH </t>
  </si>
  <si>
    <t>0108EU300661N</t>
  </si>
  <si>
    <t xml:space="preserve">Bright  FRT QRT LH  </t>
  </si>
  <si>
    <t>0108EU300671N</t>
  </si>
  <si>
    <t xml:space="preserve">Bright  RR QRT RH  </t>
  </si>
  <si>
    <t>0108EU300681N</t>
  </si>
  <si>
    <t xml:space="preserve">Bright  RR QRT LH  </t>
  </si>
  <si>
    <t>0108EU300151N</t>
  </si>
  <si>
    <t>Front  QTR RH (Black)</t>
  </si>
  <si>
    <t>0108EU300161N</t>
  </si>
  <si>
    <t>Front  QTR LH (Black)</t>
  </si>
  <si>
    <t>0108EU300531N</t>
  </si>
  <si>
    <t>Rear QTR RH  (Black)</t>
  </si>
  <si>
    <t>0108EU300541N</t>
  </si>
  <si>
    <t xml:space="preserve">Rear  QTR LH (Black) </t>
  </si>
  <si>
    <t>0108DU300051N</t>
  </si>
  <si>
    <t>Roof ditch seal RH</t>
  </si>
  <si>
    <t>0108DU300061N</t>
  </si>
  <si>
    <t>Roof ditch seal LH</t>
  </si>
  <si>
    <t>0108BU300521N</t>
  </si>
  <si>
    <t>Hood rear</t>
  </si>
  <si>
    <t>0108BU300510N</t>
  </si>
  <si>
    <t>Planum Seal</t>
  </si>
  <si>
    <t>0107CU300201N</t>
  </si>
  <si>
    <t>Liftgate applique</t>
  </si>
  <si>
    <t>ICV</t>
  </si>
  <si>
    <t>6105AAK00010N</t>
  </si>
  <si>
    <t>Front windshield</t>
  </si>
  <si>
    <t>6105AAK00030N</t>
  </si>
  <si>
    <t>Weather Strip Door(Primary D/S)</t>
  </si>
  <si>
    <t>6105AAK00040N</t>
  </si>
  <si>
    <t>Weather Strip Door</t>
  </si>
  <si>
    <t>6105AAK00050N</t>
  </si>
  <si>
    <t>6105AAM00010N</t>
  </si>
  <si>
    <t>Seal Wshld 1.85M Cab</t>
  </si>
  <si>
    <t>Navistar</t>
  </si>
  <si>
    <t>6105AAA00100N</t>
  </si>
  <si>
    <t>W/s Dr Opng Inner LH(Primary D/S)</t>
  </si>
  <si>
    <t>6105AAA00030N</t>
  </si>
  <si>
    <t>W/s Dr Opng Outer LH</t>
  </si>
  <si>
    <t>6105AAA00040N</t>
  </si>
  <si>
    <t>W/s Dr Opng Outer RH</t>
  </si>
  <si>
    <t>6105CAA00120N</t>
  </si>
  <si>
    <t>Run Glass Dr Window LH</t>
  </si>
  <si>
    <t>6105CAA00130N</t>
  </si>
  <si>
    <t>Run Glass Dr Window RH</t>
  </si>
  <si>
    <t>6105CAA00140N</t>
  </si>
  <si>
    <t>Seal Extrusn Storage LH</t>
  </si>
  <si>
    <t>6105CAA00010N</t>
  </si>
  <si>
    <t>Seal Windshield</t>
  </si>
  <si>
    <t>6105CAA00020N</t>
  </si>
  <si>
    <t>Dam Windshield</t>
  </si>
  <si>
    <t>6105CAA00030N</t>
  </si>
  <si>
    <t>Support WindshieldBottom</t>
  </si>
  <si>
    <t>6105CAA00040N</t>
  </si>
  <si>
    <t>Edge Beading Win Side LH</t>
  </si>
  <si>
    <t>6105CAA00060N</t>
  </si>
  <si>
    <t>Dam Window Side</t>
  </si>
  <si>
    <t>6105AAA00110N</t>
  </si>
  <si>
    <t>SealWindshield LowerEdge (Hood RR)</t>
  </si>
  <si>
    <t>6105AAA00120N</t>
  </si>
  <si>
    <t>Seal Front Flap Centre</t>
  </si>
  <si>
    <t>6105AAA00140N</t>
  </si>
  <si>
    <t>6105AAA00190N</t>
  </si>
  <si>
    <t>Protective Beading on</t>
  </si>
  <si>
    <t>GGN</t>
  </si>
  <si>
    <t>YE-3</t>
  </si>
  <si>
    <t>83661M53M00</t>
  </si>
  <si>
    <t>GR FR RH</t>
  </si>
  <si>
    <t>83665M53M00</t>
  </si>
  <si>
    <t>GR FR LH</t>
  </si>
  <si>
    <t>83671M53M00</t>
  </si>
  <si>
    <t>GR RR RH</t>
  </si>
  <si>
    <t>83675M53M00</t>
  </si>
  <si>
    <t>GR RR LH</t>
  </si>
  <si>
    <t>84681M53M00</t>
  </si>
  <si>
    <t>BDO</t>
  </si>
  <si>
    <t>72341M53M00</t>
  </si>
  <si>
    <t>Seal Hood Rear(Model-B)</t>
  </si>
  <si>
    <t>YBA</t>
  </si>
  <si>
    <t>84681M82P00</t>
  </si>
  <si>
    <t>72362M79J00</t>
  </si>
  <si>
    <t>Seal Hood Rear Yba/Yp8/Sx4</t>
  </si>
  <si>
    <t>YL-1</t>
  </si>
  <si>
    <t>84681M79M11</t>
  </si>
  <si>
    <t>72039M61M00</t>
  </si>
  <si>
    <t>Seal Hood Front</t>
  </si>
  <si>
    <t>YG-8(Eccoo)</t>
  </si>
  <si>
    <t>84641M78L00</t>
  </si>
  <si>
    <t>Door Seal FR RH</t>
  </si>
  <si>
    <t>84651M78L00</t>
  </si>
  <si>
    <t>Door Seal FR LH</t>
  </si>
  <si>
    <t>72341M77A00</t>
  </si>
  <si>
    <t>Seal Hood Rear</t>
  </si>
  <si>
    <t>84621M78L00</t>
  </si>
  <si>
    <t>Side Window</t>
  </si>
  <si>
    <t>84623M79A00</t>
  </si>
  <si>
    <t>Back Door Window</t>
  </si>
  <si>
    <t>84681M78L00</t>
  </si>
  <si>
    <t>Back Door Opening</t>
  </si>
  <si>
    <t>84671M83B00</t>
  </si>
  <si>
    <t>Rear Door Opening</t>
  </si>
  <si>
    <t>YG-8 (NAC)</t>
  </si>
  <si>
    <t>84641M78L10</t>
  </si>
  <si>
    <t>84651M78L10</t>
  </si>
  <si>
    <t>84681M78L10</t>
  </si>
  <si>
    <t>Back Door Opening(O2 B/D/O)</t>
  </si>
  <si>
    <t>YP-8 
Swift</t>
  </si>
  <si>
    <t>72039M68L50</t>
  </si>
  <si>
    <t>Y9TCarry</t>
  </si>
  <si>
    <t>84623M77P00</t>
  </si>
  <si>
    <t>Cabin BDW</t>
  </si>
  <si>
    <t>84645M77P00</t>
  </si>
  <si>
    <t>Dust Seal FR</t>
  </si>
  <si>
    <t>85428M77P00</t>
  </si>
  <si>
    <t>Riser</t>
  </si>
  <si>
    <t>85428M77P10</t>
  </si>
  <si>
    <t>Co- Riser</t>
  </si>
  <si>
    <t>YL-7</t>
  </si>
  <si>
    <t>72362M68K00</t>
  </si>
  <si>
    <t>Seal Hood Rear Yl-7/YC-5</t>
  </si>
  <si>
    <t>72399M68K00</t>
  </si>
  <si>
    <t>Skirt Dam YL-7 /YC-5</t>
  </si>
  <si>
    <t>YJ-C</t>
  </si>
  <si>
    <t>72360M66R00</t>
  </si>
  <si>
    <t>YR9</t>
  </si>
  <si>
    <t>83661M67L00</t>
  </si>
  <si>
    <t>83665M67L00</t>
  </si>
  <si>
    <t>83671M67L00</t>
  </si>
  <si>
    <t>83675M67L00</t>
  </si>
  <si>
    <t>81681M67L00</t>
  </si>
  <si>
    <t>W/s Backdoor Opening YR9</t>
  </si>
  <si>
    <t>YJ9 (Gypsy)</t>
  </si>
  <si>
    <t>79771M83950</t>
  </si>
  <si>
    <t>Back Door Glass</t>
  </si>
  <si>
    <t>84611M80151</t>
  </si>
  <si>
    <t>Wind Shield</t>
  </si>
  <si>
    <t>84681M80011</t>
  </si>
  <si>
    <t>Tail gate</t>
  </si>
  <si>
    <t>84681M83911</t>
  </si>
  <si>
    <t>Y88 (Omni)</t>
  </si>
  <si>
    <t>79711M79050</t>
  </si>
  <si>
    <t>79771M79550</t>
  </si>
  <si>
    <t>Back Window</t>
  </si>
  <si>
    <t>79761M79550</t>
  </si>
  <si>
    <t>79741M79550</t>
  </si>
  <si>
    <t>Sliding Dense RH</t>
  </si>
  <si>
    <t>79742M79550</t>
  </si>
  <si>
    <t>Sliding Dense LH</t>
  </si>
  <si>
    <t>79821M79050</t>
  </si>
  <si>
    <t xml:space="preserve">Glass Run FR </t>
  </si>
  <si>
    <t>79842M79550</t>
  </si>
  <si>
    <t>WEATHERSTRIP-REAR DOOR O</t>
  </si>
  <si>
    <t>79852M79550</t>
  </si>
  <si>
    <t>79825M79050</t>
  </si>
  <si>
    <t xml:space="preserve">Dust Seal FR </t>
  </si>
  <si>
    <t>79841M79550</t>
  </si>
  <si>
    <t>YL-8</t>
  </si>
  <si>
    <t>84582M60M00</t>
  </si>
  <si>
    <t>Quarter Window</t>
  </si>
  <si>
    <t>YC-5</t>
  </si>
  <si>
    <t>84641M68K00</t>
  </si>
  <si>
    <t>W/s Fr Dr Opening RH</t>
  </si>
  <si>
    <t>84651M68K00</t>
  </si>
  <si>
    <t>W/s Fr Dr Opening LH</t>
  </si>
  <si>
    <t>84661M68K00</t>
  </si>
  <si>
    <t>W/s Rr Dr RH</t>
  </si>
  <si>
    <t>84671M68K00</t>
  </si>
  <si>
    <t>W/s Rr Dr LH</t>
  </si>
  <si>
    <t>84681M68K00</t>
  </si>
  <si>
    <t>W/s Backdoor Opening</t>
  </si>
  <si>
    <t>71791M68KA0</t>
  </si>
  <si>
    <t>Seal Bumper Front YC-5</t>
  </si>
  <si>
    <t>76291M68K00</t>
  </si>
  <si>
    <t>Trim Fr Dr Opening RH</t>
  </si>
  <si>
    <t>76295M68K00</t>
  </si>
  <si>
    <t>Trim Rr Dr Opening RH</t>
  </si>
  <si>
    <t>71791M68K00</t>
  </si>
  <si>
    <t>YN4</t>
  </si>
  <si>
    <t>84681M75J00</t>
  </si>
  <si>
    <t>Weatherstrip Back Door</t>
  </si>
  <si>
    <t>72361M75J00</t>
  </si>
  <si>
    <t>83665M75J01</t>
  </si>
  <si>
    <t>Run Front Door Glass L</t>
  </si>
  <si>
    <t>83671M75J01</t>
  </si>
  <si>
    <t>Run Rear Door Glass R</t>
  </si>
  <si>
    <t>83675M75J01</t>
  </si>
  <si>
    <t>Run Rear Door Glass L</t>
  </si>
  <si>
    <t>83665M75J00</t>
  </si>
  <si>
    <t>Front Glass Run LH</t>
  </si>
  <si>
    <t>83661M75J01</t>
  </si>
  <si>
    <t>Run Front Door Glass R</t>
  </si>
  <si>
    <t>83661M75J00</t>
  </si>
  <si>
    <t>Front Door Glass RH</t>
  </si>
  <si>
    <t>SX4</t>
  </si>
  <si>
    <t>84661M55KA0</t>
  </si>
  <si>
    <t>W/s Rear Door Opng RH</t>
  </si>
  <si>
    <t>84651M55K00</t>
  </si>
  <si>
    <t>W/s Front Dr Opng LH</t>
  </si>
  <si>
    <t>84641M55K00</t>
  </si>
  <si>
    <t>W/s Front Dr Opng RH</t>
  </si>
  <si>
    <t>84671M55KA0</t>
  </si>
  <si>
    <t>W/s Rear Door Opng LH</t>
  </si>
  <si>
    <t>72061M79J00</t>
  </si>
  <si>
    <t>MODEL A (ALTO)</t>
  </si>
  <si>
    <t>84681M66L00</t>
  </si>
  <si>
    <t>Back Dr W/s Alto Minor</t>
  </si>
  <si>
    <t>83671M79G00</t>
  </si>
  <si>
    <t>REAR DOOR GLASSRUN RH</t>
  </si>
  <si>
    <t>83675M79G00</t>
  </si>
  <si>
    <t>REAR DOOR GLASSRUN LH</t>
  </si>
  <si>
    <t>83661M77G00</t>
  </si>
  <si>
    <t>FRONT DOOR GLASSRUN RH</t>
  </si>
  <si>
    <t>83665M77G00</t>
  </si>
  <si>
    <t>FRONT DOOR GLASSRUN LH</t>
  </si>
  <si>
    <t>83671M77G00</t>
  </si>
  <si>
    <t>72019M66L00</t>
  </si>
  <si>
    <t>Seal Hood Front Minor</t>
  </si>
  <si>
    <t>83675M77G00</t>
  </si>
  <si>
    <t>11396M76G00</t>
  </si>
  <si>
    <t>(YE3) Seal timinb Belt Cover</t>
  </si>
  <si>
    <t>72341M76G00</t>
  </si>
  <si>
    <t>SEAL HOOD TO COWL REAR</t>
  </si>
  <si>
    <t>83661M79G00</t>
  </si>
  <si>
    <t>83665M79G00</t>
  </si>
  <si>
    <t>84623M79G00</t>
  </si>
  <si>
    <t>Weather Strip Back Door Wdo</t>
  </si>
  <si>
    <t>84641M77G00</t>
  </si>
  <si>
    <t>W/S FRONT DOOR OPNG RH</t>
  </si>
  <si>
    <t>84651M77G00</t>
  </si>
  <si>
    <t>W/S FRONT DOOR OPNG LH</t>
  </si>
  <si>
    <t>84661M77G00</t>
  </si>
  <si>
    <t>W/S REAR DOOR OPNG RH</t>
  </si>
  <si>
    <t>84671M77G00</t>
  </si>
  <si>
    <t>W/S REAR DOOR OPNG LH</t>
  </si>
  <si>
    <t>84681M79G00</t>
  </si>
  <si>
    <t>Weather Strip Back Door</t>
  </si>
  <si>
    <t>MODEL M</t>
  </si>
  <si>
    <t>84681M59K00</t>
  </si>
  <si>
    <t>W/s Back Door Opng Model-M</t>
  </si>
  <si>
    <t>72333M73H00</t>
  </si>
  <si>
    <t>83671M59K00</t>
  </si>
  <si>
    <t>Run Rear Door Glass RH</t>
  </si>
  <si>
    <t>83675M59K00</t>
  </si>
  <si>
    <t>Run Rear Door Glass LH</t>
  </si>
  <si>
    <t>83665M59K00</t>
  </si>
  <si>
    <t>Run Front Door Glass LH</t>
  </si>
  <si>
    <t>83662M59K00</t>
  </si>
  <si>
    <t>Tube Comp Brake Vacuum</t>
  </si>
  <si>
    <t>83661M59K00</t>
  </si>
  <si>
    <t>Run Front Door Glass RH</t>
  </si>
  <si>
    <t>YV4</t>
  </si>
  <si>
    <t>84681M83K00</t>
  </si>
  <si>
    <t>W/s Back Dr Opening</t>
  </si>
  <si>
    <t>76291M83K00</t>
  </si>
  <si>
    <t>76295M83K00</t>
  </si>
  <si>
    <t>84651M83K00</t>
  </si>
  <si>
    <t>84641M83K00</t>
  </si>
  <si>
    <t>84661M83K00</t>
  </si>
  <si>
    <t>W/s rr Dr Opening RH</t>
  </si>
  <si>
    <t>84671M83K00</t>
  </si>
  <si>
    <t>W/s RR Dr Opening LH</t>
  </si>
  <si>
    <t xml:space="preserve">800CC </t>
  </si>
  <si>
    <t>84681M84450</t>
  </si>
  <si>
    <t>800CC BACK DOOR OPNG</t>
  </si>
  <si>
    <t>72340M84051</t>
  </si>
  <si>
    <t>800CC SEAL COMPT HOOD RR</t>
  </si>
  <si>
    <t>84671M84010</t>
  </si>
  <si>
    <t>800CC GLASS RUN REAR</t>
  </si>
  <si>
    <t>84623M84050</t>
  </si>
  <si>
    <t>BACK DOOR WINDOW SEAL</t>
  </si>
  <si>
    <t>84623M84450</t>
  </si>
  <si>
    <t>84641M84052</t>
  </si>
  <si>
    <t>800CC FRONT DOOR SEAL R</t>
  </si>
  <si>
    <t>84651M84052</t>
  </si>
  <si>
    <t>800CC FRONT DOOR SEAL L</t>
  </si>
  <si>
    <t>84661M84052</t>
  </si>
  <si>
    <t>800CC REAR DOOR SEAL R</t>
  </si>
  <si>
    <t>84671M84052</t>
  </si>
  <si>
    <t>800CC REAR DOOR SEAL L</t>
  </si>
  <si>
    <t>83661M84010</t>
  </si>
  <si>
    <t>800CC GLASS RUN FRONT</t>
  </si>
  <si>
    <t>84611M84050</t>
  </si>
  <si>
    <t>800 CC WINDSHIELD SEAL</t>
  </si>
  <si>
    <t>YE2</t>
  </si>
  <si>
    <t>84641M53E52</t>
  </si>
  <si>
    <t>WEATHERSTRIP-FRONT DOOR</t>
  </si>
  <si>
    <t>84651M53E52</t>
  </si>
  <si>
    <t>84661M53E53</t>
  </si>
  <si>
    <t>84671M53E53</t>
  </si>
  <si>
    <t>84623M70F10</t>
  </si>
  <si>
    <t>WEATHERSTRIP-BACK DOOR W</t>
  </si>
  <si>
    <t>75281M70F00</t>
  </si>
  <si>
    <t>SEAL COWL UPPER FLANGE-</t>
  </si>
  <si>
    <t>84641M50E52</t>
  </si>
  <si>
    <t>84651M50E52</t>
  </si>
  <si>
    <t>84681M70F12</t>
  </si>
  <si>
    <t>WEATHERSTRIP-BACK DOOR O</t>
  </si>
  <si>
    <t>GGN/MNR</t>
  </si>
  <si>
    <t>YL1/YCA/YN-4/YL-8/YN-4</t>
  </si>
  <si>
    <t>72362M63J00</t>
  </si>
  <si>
    <t>Toyota</t>
  </si>
  <si>
    <t>Bangalore</t>
  </si>
  <si>
    <t>800LL</t>
  </si>
  <si>
    <t>678810D05000</t>
  </si>
  <si>
    <t>Back Door 800LL</t>
  </si>
  <si>
    <t>533830D08000</t>
  </si>
  <si>
    <t>Seal Hood to cowl top</t>
  </si>
  <si>
    <t>533810D07000</t>
  </si>
  <si>
    <t>Reaiator Support</t>
  </si>
  <si>
    <t>681410D14000</t>
  </si>
  <si>
    <t xml:space="preserve">Glass run Fr </t>
  </si>
  <si>
    <t>681420D10100</t>
  </si>
  <si>
    <t>644610D06000</t>
  </si>
  <si>
    <t>W/s Luggage Comp.800LL</t>
  </si>
  <si>
    <t>681410K04000</t>
  </si>
  <si>
    <t>68142K04000</t>
  </si>
  <si>
    <t>681510K04000</t>
  </si>
  <si>
    <t>IMV</t>
  </si>
  <si>
    <t>681520K04000</t>
  </si>
  <si>
    <t>678610K04000</t>
  </si>
  <si>
    <t>Door Seal Front rh</t>
  </si>
  <si>
    <t>678620K04000</t>
  </si>
  <si>
    <t>Door Seal Front LH</t>
  </si>
  <si>
    <t>678710K04000</t>
  </si>
  <si>
    <t>Door Seal Rear LH</t>
  </si>
  <si>
    <t>678720K04000</t>
  </si>
  <si>
    <t>Door Seal Rear RH</t>
  </si>
  <si>
    <t>533830K05000</t>
  </si>
  <si>
    <t>Cow top</t>
  </si>
  <si>
    <t>Weatherstrip Front Door</t>
  </si>
  <si>
    <t>Run Rear Door Glass</t>
  </si>
  <si>
    <t>Weatherstrip Rear Door</t>
  </si>
  <si>
    <t xml:space="preserve">Customer Forecast - Sanand Plant </t>
  </si>
  <si>
    <t>Sanand</t>
  </si>
  <si>
    <t>TATA</t>
  </si>
  <si>
    <t>Tiago</t>
  </si>
  <si>
    <t>FR DOOR GLASS RUN LH</t>
  </si>
  <si>
    <t>FR DOOR GLASS RUN RH</t>
  </si>
  <si>
    <t>Tiago/Tigor</t>
  </si>
  <si>
    <t>RR DOOR GLASS RUN LH</t>
  </si>
  <si>
    <t>RR DOOR GLASS RUN RH</t>
  </si>
  <si>
    <t>RR DOOR PRIMARY SEAL -LH</t>
  </si>
  <si>
    <t>RR DOOR PRIMARY SEAL -RH</t>
  </si>
  <si>
    <t>Tigor</t>
  </si>
  <si>
    <t>Glass Run Rear LH</t>
  </si>
  <si>
    <t>Glass Run Rear RH</t>
  </si>
  <si>
    <t>Primary Body Seal RR LH</t>
  </si>
  <si>
    <t>Primary Body Seal RR RH</t>
  </si>
  <si>
    <t>TATA Limber Battery Case</t>
  </si>
  <si>
    <t>FCA</t>
  </si>
  <si>
    <t>Jeep Compass</t>
  </si>
  <si>
    <t>00533293680E</t>
  </si>
  <si>
    <t>Secondary seal FRT RH</t>
  </si>
  <si>
    <t>00533293720E</t>
  </si>
  <si>
    <t>Inner belt FRT RH</t>
  </si>
  <si>
    <t>00533293730E</t>
  </si>
  <si>
    <t>outer belt FRT RH</t>
  </si>
  <si>
    <t>00533293760E</t>
  </si>
  <si>
    <t>Secondary seal FRT LH</t>
  </si>
  <si>
    <t>00533293800E</t>
  </si>
  <si>
    <t>Inner belt FRT LH</t>
  </si>
  <si>
    <t>00533293810E</t>
  </si>
  <si>
    <t>outer belt FRT LH</t>
  </si>
  <si>
    <t>00533293840E</t>
  </si>
  <si>
    <t>Secondary seal RR RH</t>
  </si>
  <si>
    <t>00533293880E</t>
  </si>
  <si>
    <t>Inner belt RR RH</t>
  </si>
  <si>
    <t>00533293890E</t>
  </si>
  <si>
    <t>outer belt RR RH</t>
  </si>
  <si>
    <t>00533293910E</t>
  </si>
  <si>
    <t>Secondary seal RR LH</t>
  </si>
  <si>
    <t>00533293950E</t>
  </si>
  <si>
    <t>Inner belt RR LH</t>
  </si>
  <si>
    <t>00533293960E</t>
  </si>
  <si>
    <t>outer belt RR LH</t>
  </si>
  <si>
    <t>00533294040E</t>
  </si>
  <si>
    <t>Lift gate</t>
  </si>
  <si>
    <t>00533769970E</t>
  </si>
  <si>
    <t>Wheel house RH</t>
  </si>
  <si>
    <t>00533769980E</t>
  </si>
  <si>
    <t>Wheel house LH</t>
  </si>
  <si>
    <t>00534566160E</t>
  </si>
  <si>
    <t>Primary seal FRT</t>
  </si>
  <si>
    <t>00534566170E</t>
  </si>
  <si>
    <t>Primary seal RR</t>
  </si>
  <si>
    <t>00534865420E</t>
  </si>
  <si>
    <t>Glass run Black FRT LH</t>
  </si>
  <si>
    <t>00534865430E</t>
  </si>
  <si>
    <t>Glass run Black  FRT RH</t>
  </si>
  <si>
    <t>00534865440E</t>
  </si>
  <si>
    <t>Glass run Black RR LH</t>
  </si>
  <si>
    <t>00534865450E</t>
  </si>
  <si>
    <t>Glass run Black RR RH</t>
  </si>
  <si>
    <t>00534865460E</t>
  </si>
  <si>
    <t>Front  LH Door Flush Glass Bright</t>
  </si>
  <si>
    <t>00534865470E</t>
  </si>
  <si>
    <t>Front  RH Door Flush Glass Bright</t>
  </si>
  <si>
    <t>00534865480E</t>
  </si>
  <si>
    <t>Weather Strip Assy RR LH Bright</t>
  </si>
  <si>
    <t>00534865490E</t>
  </si>
  <si>
    <t>Weather Strip Assy RR RH Bright</t>
  </si>
  <si>
    <t>00534865500E</t>
  </si>
  <si>
    <t>Glass run Grey FRT LH</t>
  </si>
  <si>
    <t>00534865510E</t>
  </si>
  <si>
    <t>Glass run Grey FRT RH</t>
  </si>
  <si>
    <t>00534865520E</t>
  </si>
  <si>
    <t>Weather Strip Assy RR LH Grey</t>
  </si>
  <si>
    <t>00534865530E</t>
  </si>
  <si>
    <t>Weather Strip Assy RR RH Grey</t>
  </si>
  <si>
    <t>00534926480E</t>
  </si>
  <si>
    <t>Hood Seal New</t>
  </si>
  <si>
    <t>Jeep Meridian</t>
  </si>
  <si>
    <t>00501515350E</t>
  </si>
  <si>
    <t>00501522960E</t>
  </si>
  <si>
    <t>GLASS RUN RR LH</t>
  </si>
  <si>
    <t>00501522970E</t>
  </si>
  <si>
    <t>GLASS RUN RR RH</t>
  </si>
  <si>
    <t>00501524340E</t>
  </si>
  <si>
    <t>00501524350E</t>
  </si>
  <si>
    <t>00501613580E</t>
  </si>
  <si>
    <t>HOOD SEEL</t>
  </si>
  <si>
    <t>00501613610E</t>
  </si>
  <si>
    <t>00501613620E</t>
  </si>
  <si>
    <t>00501614020E</t>
  </si>
  <si>
    <t>00501614030E</t>
  </si>
  <si>
    <t>00501614040E</t>
  </si>
  <si>
    <t>00501614050E</t>
  </si>
  <si>
    <t>00520554500E</t>
  </si>
  <si>
    <t>INNER BELT FRT RH</t>
  </si>
  <si>
    <t>00520554510E</t>
  </si>
  <si>
    <t>INNER BELT FRT LH</t>
  </si>
  <si>
    <t>00534903510E</t>
  </si>
  <si>
    <t>INNER BELT RR RH</t>
  </si>
  <si>
    <t>00534903520E</t>
  </si>
  <si>
    <t>INNER BELT RR LH</t>
  </si>
  <si>
    <t>00534903530E</t>
  </si>
  <si>
    <t>OUTER BELT FRT RH</t>
  </si>
  <si>
    <t>00534903540E</t>
  </si>
  <si>
    <t>OUTER BELT FRT LH</t>
  </si>
  <si>
    <t>00534903550E</t>
  </si>
  <si>
    <t>OUTER BELT RR RH</t>
  </si>
  <si>
    <t>00534903560E</t>
  </si>
  <si>
    <t>OUTER BELT RR LH</t>
  </si>
  <si>
    <t>00534903570E</t>
  </si>
  <si>
    <t>GLASS RUN FRT RH</t>
  </si>
  <si>
    <t>00534903580E</t>
  </si>
  <si>
    <t>GLASS RUN FRT LH</t>
  </si>
  <si>
    <t>00534903610E</t>
  </si>
  <si>
    <t>00534903620E</t>
  </si>
  <si>
    <t>MGI</t>
  </si>
  <si>
    <t>Halol</t>
  </si>
  <si>
    <t>Hector</t>
  </si>
  <si>
    <t>WEATHERSTRIP ASM HOOD RR</t>
  </si>
  <si>
    <t>WEATHERSTRIP ASM FRT S D  DOOR SI</t>
  </si>
  <si>
    <t>WEATHERSTRIP ASM FRT S D  BODY SI</t>
  </si>
  <si>
    <t>WEATHERSTRIP ASM RR S D  DOOR SI</t>
  </si>
  <si>
    <t>WEATHERSTRIP ASM RR S D  BODY SI</t>
  </si>
  <si>
    <t>WEATHERSTRIP L GATE SEE GUIDE CONTACT BFO</t>
  </si>
  <si>
    <t>WEATHERSTRIP ASM FRT S D WDO</t>
  </si>
  <si>
    <t>WEATHERSTRIP ASM RR S D WDO</t>
  </si>
  <si>
    <t>SEALING STRIP ASM FRT S D WDO OTR SEE GUIDE CONTACT BFO</t>
  </si>
  <si>
    <t>SEALING STRIP ASM RR S D WDO OTR SEE GUIDE CONTACT BFO</t>
  </si>
  <si>
    <t>SEALING STRIP ASM FRT S D WDO INR</t>
  </si>
  <si>
    <t>SEALING STRIP ASM RR S D WDO INR</t>
  </si>
  <si>
    <t>MOLDING ASM RF CTR DRIP FRT  SEE GUIDE CONTACT BFO</t>
  </si>
  <si>
    <t xml:space="preserve">Customer Forecast - SBD Plant </t>
  </si>
  <si>
    <t>S.No</t>
  </si>
  <si>
    <t>SBD</t>
  </si>
  <si>
    <t>Tata</t>
  </si>
  <si>
    <t>Pant Nagar</t>
  </si>
  <si>
    <t>Tata Cub</t>
  </si>
  <si>
    <t>Glass Run Front LH</t>
  </si>
  <si>
    <t>Glass Run Front RH</t>
  </si>
  <si>
    <t>I.Belt Front LH</t>
  </si>
  <si>
    <t>I.Belt Front RH</t>
  </si>
  <si>
    <t>O.Belt Front LH</t>
  </si>
  <si>
    <t>O.Belt Front RH</t>
  </si>
  <si>
    <t>Panel Seal</t>
  </si>
  <si>
    <t>Rear Wind Shield</t>
  </si>
  <si>
    <t>Rear Wind Shield(Silican)</t>
  </si>
  <si>
    <t>Front Wind Shield</t>
  </si>
  <si>
    <t>Dust Seal FR LH</t>
  </si>
  <si>
    <t>Dust Seal FR RH</t>
  </si>
  <si>
    <t>Load body Seal</t>
  </si>
  <si>
    <t>Door Seal Soft Top</t>
  </si>
  <si>
    <t>Tail Gate   Soft Top</t>
  </si>
  <si>
    <t>Face Lift Wind Seal</t>
  </si>
  <si>
    <t>Face Lift Panel Seal</t>
  </si>
  <si>
    <t>Seal Leaf Screen Plenum Seal</t>
  </si>
  <si>
    <t>SIDE DOOR ASSY REAR (LH)</t>
  </si>
  <si>
    <t>SIDE DOOR ASSY REAR (RH)</t>
  </si>
  <si>
    <t>PRIMARY SEAL TAIL GATE</t>
  </si>
  <si>
    <t>Tata 1-TON</t>
  </si>
  <si>
    <t>Windshield Mould</t>
  </si>
  <si>
    <t>Dust Seal</t>
  </si>
  <si>
    <t>2818 8880 6303</t>
  </si>
  <si>
    <t>2818 7230 6318</t>
  </si>
  <si>
    <t>Front Door Secondary LH</t>
  </si>
  <si>
    <t>2818 7230 6319</t>
  </si>
  <si>
    <t>Front Door Secondary RH</t>
  </si>
  <si>
    <t>2818 6710 6302</t>
  </si>
  <si>
    <t>Windshield Support</t>
  </si>
  <si>
    <t>Ashok Leyland</t>
  </si>
  <si>
    <t>BOSS/ SLEEPER</t>
  </si>
  <si>
    <t>FM001250</t>
  </si>
  <si>
    <t>Wstrip A Front Door LH</t>
  </si>
  <si>
    <t>FM001350</t>
  </si>
  <si>
    <t>Wstrip A Front Door RH</t>
  </si>
  <si>
    <t>FM001450</t>
  </si>
  <si>
    <t>Wstrip Secondary LH</t>
  </si>
  <si>
    <t>FM001550</t>
  </si>
  <si>
    <t>Wstrip Secondary RH</t>
  </si>
  <si>
    <t>FM001450-1</t>
  </si>
  <si>
    <t>Wstrip Secondary 800 mm</t>
  </si>
  <si>
    <t>FM000450</t>
  </si>
  <si>
    <t>Glass Run Edge  LH NGICV</t>
  </si>
  <si>
    <t>FM000550</t>
  </si>
  <si>
    <t>Glass Run Edge  RH NGICV</t>
  </si>
  <si>
    <t>FM000650</t>
  </si>
  <si>
    <t>Glass Run Inner LH NGICV</t>
  </si>
  <si>
    <t>FM000750</t>
  </si>
  <si>
    <t>Glass Run Inner RH NGICV</t>
  </si>
  <si>
    <t>FM000850</t>
  </si>
  <si>
    <t>Glass Run Outer LH NGICV</t>
  </si>
  <si>
    <t>FM000950</t>
  </si>
  <si>
    <t>Glass Run Outer RH NGICV</t>
  </si>
  <si>
    <t>F6T01960</t>
  </si>
  <si>
    <t>Protactive profile NGICV</t>
  </si>
  <si>
    <t>F6T01360</t>
  </si>
  <si>
    <t>Flexible edge Protactor</t>
  </si>
  <si>
    <t>FM001050</t>
  </si>
  <si>
    <t>Door Fix Glass Finisher</t>
  </si>
  <si>
    <t>FM001150</t>
  </si>
  <si>
    <t>FM000350</t>
  </si>
  <si>
    <t>Rear Glass Moulding</t>
  </si>
  <si>
    <t>FM000250</t>
  </si>
  <si>
    <t>Windshield moulding</t>
  </si>
  <si>
    <t>FE900650</t>
  </si>
  <si>
    <t>Seal outer NGICV</t>
  </si>
  <si>
    <t>FE900750</t>
  </si>
  <si>
    <t>Seal inner NGICV</t>
  </si>
  <si>
    <t>FM001750</t>
  </si>
  <si>
    <t>Door Trim Seal NGICV</t>
  </si>
  <si>
    <t>FM001650</t>
  </si>
  <si>
    <t>Check window Seal NGICV</t>
  </si>
  <si>
    <t>F4L00350</t>
  </si>
  <si>
    <t>Cap NGICV</t>
  </si>
  <si>
    <t>FE802650</t>
  </si>
  <si>
    <t>PRIMARY SEAL QTR VENT</t>
  </si>
  <si>
    <t>X5C00458</t>
  </si>
  <si>
    <t>Secondary Seal</t>
  </si>
  <si>
    <t>FXR00158</t>
  </si>
  <si>
    <t>Quarter Butter Fly(Primary)</t>
  </si>
  <si>
    <t>PUNE</t>
  </si>
  <si>
    <t>LUCKNOW</t>
  </si>
  <si>
    <t>Dec</t>
  </si>
  <si>
    <t>Price</t>
  </si>
  <si>
    <t>Jan</t>
  </si>
  <si>
    <t>MSIL YOM</t>
  </si>
  <si>
    <t>Dharwad</t>
  </si>
  <si>
    <t>00534501640E</t>
  </si>
  <si>
    <t>CLIP RETENTION</t>
  </si>
  <si>
    <t>00534501650E</t>
  </si>
  <si>
    <t>WEATHERSTRIP AS</t>
  </si>
  <si>
    <t>After sales  -PY1B</t>
  </si>
  <si>
    <t>After sales  -HBC</t>
  </si>
  <si>
    <t>SEAL-COWL TOP C</t>
  </si>
  <si>
    <t>SEAL-RUBBER</t>
  </si>
  <si>
    <t>WEATHERSTRIP-SL</t>
  </si>
  <si>
    <t>WELT-BODY, FR RH DOOR</t>
  </si>
  <si>
    <t>STRIP-SEAL, TRUNK DOOR</t>
  </si>
  <si>
    <t>SEAL-RH QTR WDW</t>
  </si>
  <si>
    <t>SEAL-WELT BODY</t>
  </si>
  <si>
    <t>GLASS RUN RUBBE</t>
  </si>
  <si>
    <t>SEAL-QTR GLASS</t>
  </si>
  <si>
    <t>WELT-BODY, FR R</t>
  </si>
  <si>
    <t>WELT-BODY, FR L</t>
  </si>
  <si>
    <t>REAR SEAL ON BO</t>
  </si>
  <si>
    <t>After sales  - XBA MY-19</t>
  </si>
  <si>
    <t>SEAL-FR LH DOOR</t>
  </si>
  <si>
    <t>Dec'22</t>
  </si>
  <si>
    <t>Nov'22</t>
  </si>
  <si>
    <t>Oct'22</t>
  </si>
  <si>
    <t>Sep'22</t>
  </si>
  <si>
    <t>72151M73H00</t>
  </si>
  <si>
    <t>Jan'23</t>
  </si>
  <si>
    <t xml:space="preserve">Customer Forecast: India OEMs </t>
  </si>
  <si>
    <t xml:space="preserve">Customer </t>
  </si>
  <si>
    <t>Part</t>
  </si>
  <si>
    <t>Set Price</t>
  </si>
  <si>
    <t xml:space="preserve">TATA </t>
  </si>
  <si>
    <t>Kite-4</t>
  </si>
  <si>
    <t>Kite-5</t>
  </si>
  <si>
    <t>FIAT</t>
  </si>
  <si>
    <t>CN200 SR</t>
  </si>
  <si>
    <t>YJC</t>
  </si>
  <si>
    <t>EECO</t>
  </si>
  <si>
    <t>Gypsy</t>
  </si>
  <si>
    <t>YP8</t>
  </si>
  <si>
    <t>YE3 / alto 800</t>
  </si>
  <si>
    <t>YL1</t>
  </si>
  <si>
    <t>YCA</t>
  </si>
  <si>
    <t>Y9T</t>
  </si>
  <si>
    <t xml:space="preserve">YRA </t>
  </si>
  <si>
    <t>Y1K DS</t>
  </si>
  <si>
    <t>SUNNY(India)</t>
  </si>
  <si>
    <t>SUNNY(Egypt Export)</t>
  </si>
  <si>
    <t>Mahindra and Mahindra</t>
  </si>
  <si>
    <t>NAVISTAR</t>
  </si>
  <si>
    <t>U-321</t>
  </si>
  <si>
    <t>PB1D</t>
  </si>
  <si>
    <t>Hyundai</t>
  </si>
  <si>
    <t>Q5(Gravitas)</t>
  </si>
  <si>
    <t>Q5 Black</t>
  </si>
  <si>
    <t>X445</t>
  </si>
  <si>
    <t>Y1</t>
  </si>
  <si>
    <t>Xenon S/C</t>
  </si>
  <si>
    <t>World truck</t>
  </si>
  <si>
    <t>X104</t>
  </si>
  <si>
    <t>Sahibabad</t>
  </si>
  <si>
    <t>Tata -ace / Magic</t>
  </si>
  <si>
    <t>One ton</t>
  </si>
  <si>
    <t>Manesar</t>
  </si>
  <si>
    <t>YOM</t>
  </si>
  <si>
    <t>FCA-556</t>
  </si>
  <si>
    <t>FCA-5960</t>
  </si>
  <si>
    <t>Feb</t>
  </si>
  <si>
    <t>Customer Sch.for Sep.</t>
  </si>
  <si>
    <t>Customer Forecast - Chennai 2 plant -Sep'22</t>
  </si>
  <si>
    <t>Feb'23</t>
  </si>
  <si>
    <t>Jan'22</t>
  </si>
  <si>
    <t>X451</t>
  </si>
  <si>
    <t>Sep ICP</t>
  </si>
  <si>
    <t>Oct ICP</t>
  </si>
  <si>
    <t>Nov ICP</t>
  </si>
  <si>
    <t>SCORPIO Old</t>
  </si>
  <si>
    <t>Current ICP</t>
  </si>
  <si>
    <t>ICP M-1</t>
  </si>
  <si>
    <t>ICP M-2</t>
  </si>
  <si>
    <t>Amit</t>
  </si>
  <si>
    <t>Sept</t>
  </si>
  <si>
    <t>Aug</t>
  </si>
  <si>
    <t>July</t>
  </si>
  <si>
    <t>CR</t>
  </si>
  <si>
    <t>INR</t>
  </si>
  <si>
    <t>Kite-4 &amp; Kite-5</t>
  </si>
  <si>
    <t>84641M53T00</t>
  </si>
  <si>
    <t>84651M53T00</t>
  </si>
  <si>
    <t>84661M53T00</t>
  </si>
  <si>
    <t>84671M53T00</t>
  </si>
  <si>
    <t>83661M53T00</t>
  </si>
  <si>
    <t>83665M53T00</t>
  </si>
  <si>
    <t>83671M53T00</t>
  </si>
  <si>
    <t>83675M53T00</t>
  </si>
  <si>
    <t>83672M53T00</t>
  </si>
  <si>
    <t>MSIL YFG</t>
  </si>
  <si>
    <t>73061-76TM0-00</t>
  </si>
  <si>
    <t xml:space="preserve">  Hood Seal</t>
  </si>
  <si>
    <t>Validtity</t>
  </si>
  <si>
    <t>Q5 Bright</t>
  </si>
  <si>
    <t>Q5 Piano Black</t>
  </si>
  <si>
    <t>June</t>
  </si>
  <si>
    <t>May</t>
  </si>
  <si>
    <t>Set Price (INR)</t>
  </si>
  <si>
    <t>NISSAN</t>
  </si>
  <si>
    <t>HYUNDAI</t>
  </si>
  <si>
    <t>STHS</t>
  </si>
  <si>
    <t>FCA - 556</t>
  </si>
  <si>
    <t>FCA - 5960</t>
  </si>
  <si>
    <t>SSG</t>
  </si>
  <si>
    <t>CUB</t>
  </si>
  <si>
    <t>ONE TON</t>
  </si>
  <si>
    <t>ASHOK LEYLAND</t>
  </si>
  <si>
    <t>NGICV</t>
  </si>
  <si>
    <t xml:space="preserve">YL-1 </t>
  </si>
  <si>
    <t>Alto</t>
  </si>
  <si>
    <t>Model M</t>
  </si>
  <si>
    <t>Y9-T</t>
  </si>
  <si>
    <t>Omni</t>
  </si>
  <si>
    <t>800 CC</t>
  </si>
  <si>
    <t>YL 7</t>
  </si>
  <si>
    <t>GYPSY</t>
  </si>
  <si>
    <t>YE-2</t>
  </si>
  <si>
    <t>YG8(EECCO)</t>
  </si>
  <si>
    <t>YG8 (NAC)</t>
  </si>
  <si>
    <t>YE3</t>
  </si>
  <si>
    <t>NISSAN X02A-L02B</t>
  </si>
  <si>
    <t>BWL</t>
  </si>
  <si>
    <t>Q-5</t>
  </si>
  <si>
    <t>SAFARI</t>
  </si>
  <si>
    <t>Y-1</t>
  </si>
  <si>
    <t>Y-1K MUL</t>
  </si>
  <si>
    <t>X 451</t>
  </si>
  <si>
    <t>X 445</t>
  </si>
  <si>
    <t>X-104</t>
  </si>
  <si>
    <t>SPRINT</t>
  </si>
  <si>
    <t>SK216</t>
  </si>
  <si>
    <t>SK271</t>
  </si>
  <si>
    <t>WORLD TRUCK</t>
  </si>
  <si>
    <t>Y0M</t>
  </si>
  <si>
    <t>B515 export</t>
  </si>
  <si>
    <t>Total</t>
  </si>
  <si>
    <t>Sep FC</t>
  </si>
  <si>
    <t>Oct FC</t>
  </si>
  <si>
    <t>Nov FC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</si>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</sst>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[$-409]d\-mmm;@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Arial MT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name val="Arial MT"/>
      <family val="2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</font>
    <font>
      <sz val="11"/>
      <color indexed="5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Arial MT"/>
    </font>
    <font>
      <b/>
      <sz val="10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10"/>
      <name val="Arial MT"/>
      <family val="2"/>
    </font>
    <font>
      <sz val="9"/>
      <color indexed="56"/>
      <name val="Arial"/>
      <family val="2"/>
    </font>
    <font>
      <sz val="10"/>
      <color indexed="56"/>
      <name val="Arial"/>
      <family val="2"/>
    </font>
    <font>
      <sz val="10"/>
      <color indexed="30"/>
      <name val="Arial"/>
      <family val="2"/>
    </font>
    <font>
      <sz val="10"/>
      <color rgb="FF7030A0"/>
      <name val="Arial"/>
      <family val="2"/>
    </font>
    <font>
      <sz val="9"/>
      <color rgb="FF7030A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Arial Black"/>
      <family val="2"/>
    </font>
    <font>
      <b/>
      <sz val="10"/>
      <color rgb="FF000000"/>
      <name val="Helvetica"/>
    </font>
    <font>
      <sz val="9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indexed="8"/>
      <name val="Arial"/>
      <family val="2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2060"/>
      <name val="Calibri"/>
      <family val="2"/>
    </font>
    <font>
      <b/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5">
    <xf numFmtId="0" fontId="0" fillId="0" borderId="0"/>
    <xf numFmtId="0" fontId="1" fillId="8" borderId="8" applyNumberFormat="0" applyFont="0" applyAlignment="0" applyProtection="0"/>
    <xf numFmtId="0" fontId="4" fillId="0" borderId="0">
      <alignment vertical="top"/>
    </xf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22" fillId="0" borderId="0"/>
    <xf numFmtId="0" fontId="21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1" fillId="0" borderId="0"/>
    <xf numFmtId="0" fontId="21" fillId="0" borderId="0"/>
    <xf numFmtId="0" fontId="37" fillId="0" borderId="0"/>
  </cellStyleXfs>
  <cellXfs count="353">
    <xf numFmtId="0" fontId="0" fillId="0" borderId="0" xfId="0"/>
    <xf numFmtId="165" fontId="0" fillId="0" borderId="11" xfId="79" applyNumberFormat="1" applyFont="1" applyBorder="1" applyAlignment="1">
      <alignment horizontal="center"/>
    </xf>
    <xf numFmtId="165" fontId="0" fillId="0" borderId="10" xfId="79" applyNumberFormat="1" applyFont="1" applyBorder="1" applyAlignment="1">
      <alignment horizontal="center"/>
    </xf>
    <xf numFmtId="0" fontId="2" fillId="0" borderId="0" xfId="0" applyFont="1"/>
    <xf numFmtId="165" fontId="0" fillId="0" borderId="10" xfId="79" applyNumberFormat="1" applyFont="1" applyBorder="1" applyAlignment="1"/>
    <xf numFmtId="165" fontId="0" fillId="0" borderId="17" xfId="79" applyNumberFormat="1" applyFont="1" applyBorder="1" applyAlignment="1">
      <alignment horizontal="center"/>
    </xf>
    <xf numFmtId="165" fontId="0" fillId="0" borderId="12" xfId="79" applyNumberFormat="1" applyFont="1" applyBorder="1" applyAlignment="1">
      <alignment horizontal="center"/>
    </xf>
    <xf numFmtId="165" fontId="0" fillId="0" borderId="13" xfId="79" applyNumberFormat="1" applyFont="1" applyBorder="1" applyAlignment="1">
      <alignment horizontal="center"/>
    </xf>
    <xf numFmtId="165" fontId="2" fillId="0" borderId="0" xfId="79" applyNumberFormat="1" applyFont="1"/>
    <xf numFmtId="0" fontId="25" fillId="0" borderId="10" xfId="0" applyFont="1" applyBorder="1" applyAlignment="1">
      <alignment horizontal="left"/>
    </xf>
    <xf numFmtId="165" fontId="0" fillId="0" borderId="11" xfId="79" applyNumberFormat="1" applyFont="1" applyBorder="1" applyAlignment="1"/>
    <xf numFmtId="0" fontId="2" fillId="33" borderId="18" xfId="0" applyFont="1" applyFill="1" applyBorder="1" applyAlignment="1">
      <alignment horizontal="center" vertical="center" wrapText="1"/>
    </xf>
    <xf numFmtId="0" fontId="2" fillId="33" borderId="19" xfId="0" applyFont="1" applyFill="1" applyBorder="1" applyAlignment="1">
      <alignment horizontal="center" vertical="center" wrapText="1"/>
    </xf>
    <xf numFmtId="0" fontId="3" fillId="33" borderId="19" xfId="0" applyFont="1" applyFill="1" applyBorder="1" applyAlignment="1" applyProtection="1">
      <alignment horizontal="center" vertical="center" wrapText="1"/>
      <protection locked="0"/>
    </xf>
    <xf numFmtId="0" fontId="3" fillId="35" borderId="19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3" fillId="34" borderId="21" xfId="0" applyFont="1" applyFill="1" applyBorder="1" applyAlignment="1" applyProtection="1">
      <alignment horizontal="center" vertical="center" wrapText="1"/>
      <protection locked="0"/>
    </xf>
    <xf numFmtId="0" fontId="3" fillId="34" borderId="22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/>
    <xf numFmtId="0" fontId="3" fillId="0" borderId="20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left"/>
    </xf>
    <xf numFmtId="0" fontId="25" fillId="0" borderId="10" xfId="0" applyFont="1" applyBorder="1" applyAlignment="1" applyProtection="1">
      <alignment horizontal="left" vertical="center"/>
      <protection locked="0"/>
    </xf>
    <xf numFmtId="1" fontId="25" fillId="0" borderId="10" xfId="0" applyNumberFormat="1" applyFont="1" applyBorder="1" applyAlignment="1">
      <alignment horizontal="left" vertical="center"/>
    </xf>
    <xf numFmtId="165" fontId="0" fillId="0" borderId="23" xfId="79" applyNumberFormat="1" applyFont="1" applyBorder="1" applyAlignment="1"/>
    <xf numFmtId="0" fontId="0" fillId="0" borderId="0" xfId="0" applyAlignment="1">
      <alignment horizontal="right"/>
    </xf>
    <xf numFmtId="165" fontId="2" fillId="0" borderId="0" xfId="81" applyNumberFormat="1" applyFont="1"/>
    <xf numFmtId="0" fontId="0" fillId="0" borderId="0" xfId="0" applyAlignment="1">
      <alignment horizontal="center"/>
    </xf>
    <xf numFmtId="16" fontId="3" fillId="34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34" borderId="19" xfId="0" applyFont="1" applyFill="1" applyBorder="1" applyAlignment="1" applyProtection="1">
      <alignment horizontal="center" vertical="center" wrapText="1"/>
      <protection locked="0"/>
    </xf>
    <xf numFmtId="0" fontId="3" fillId="34" borderId="20" xfId="0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left"/>
    </xf>
    <xf numFmtId="0" fontId="25" fillId="0" borderId="23" xfId="0" applyFont="1" applyBorder="1" applyAlignment="1">
      <alignment horizontal="left"/>
    </xf>
    <xf numFmtId="0" fontId="25" fillId="0" borderId="23" xfId="0" applyFont="1" applyBorder="1" applyAlignment="1" applyProtection="1">
      <alignment horizontal="left" vertical="center"/>
      <protection locked="0"/>
    </xf>
    <xf numFmtId="1" fontId="21" fillId="0" borderId="23" xfId="2" applyNumberFormat="1" applyFont="1" applyBorder="1" applyAlignment="1">
      <alignment horizontal="center"/>
    </xf>
    <xf numFmtId="0" fontId="27" fillId="0" borderId="23" xfId="0" applyFont="1" applyBorder="1"/>
    <xf numFmtId="164" fontId="22" fillId="0" borderId="23" xfId="79" applyFont="1" applyFill="1" applyBorder="1" applyAlignment="1">
      <alignment horizontal="center"/>
    </xf>
    <xf numFmtId="0" fontId="1" fillId="37" borderId="23" xfId="80" applyFill="1" applyBorder="1" applyAlignment="1">
      <alignment horizontal="center"/>
    </xf>
    <xf numFmtId="165" fontId="0" fillId="0" borderId="24" xfId="79" applyNumberFormat="1" applyFont="1" applyBorder="1" applyAlignment="1"/>
    <xf numFmtId="1" fontId="21" fillId="0" borderId="10" xfId="2" applyNumberFormat="1" applyFont="1" applyBorder="1" applyAlignment="1">
      <alignment horizontal="center"/>
    </xf>
    <xf numFmtId="0" fontId="27" fillId="0" borderId="10" xfId="0" applyFont="1" applyBorder="1"/>
    <xf numFmtId="164" fontId="22" fillId="0" borderId="10" xfId="79" applyFont="1" applyFill="1" applyBorder="1" applyAlignment="1">
      <alignment horizontal="center"/>
    </xf>
    <xf numFmtId="0" fontId="1" fillId="37" borderId="10" xfId="80" applyFill="1" applyBorder="1" applyAlignment="1">
      <alignment horizontal="center"/>
    </xf>
    <xf numFmtId="165" fontId="0" fillId="0" borderId="13" xfId="79" applyNumberFormat="1" applyFont="1" applyBorder="1" applyAlignment="1"/>
    <xf numFmtId="0" fontId="3" fillId="35" borderId="25" xfId="0" applyFont="1" applyFill="1" applyBorder="1" applyAlignment="1" applyProtection="1">
      <alignment horizontal="center" vertical="center" wrapText="1"/>
      <protection locked="0"/>
    </xf>
    <xf numFmtId="165" fontId="0" fillId="0" borderId="26" xfId="79" applyNumberFormat="1" applyFont="1" applyBorder="1" applyAlignment="1">
      <alignment horizontal="center"/>
    </xf>
    <xf numFmtId="167" fontId="0" fillId="0" borderId="0" xfId="0" applyNumberFormat="1"/>
    <xf numFmtId="0" fontId="2" fillId="33" borderId="29" xfId="0" applyFont="1" applyFill="1" applyBorder="1" applyAlignment="1">
      <alignment horizontal="center" vertical="center" wrapText="1"/>
    </xf>
    <xf numFmtId="0" fontId="2" fillId="33" borderId="21" xfId="0" applyFont="1" applyFill="1" applyBorder="1" applyAlignment="1">
      <alignment horizontal="center" vertical="center" wrapText="1"/>
    </xf>
    <xf numFmtId="0" fontId="3" fillId="33" borderId="21" xfId="0" applyFont="1" applyFill="1" applyBorder="1" applyAlignment="1" applyProtection="1">
      <alignment horizontal="center" vertical="center" wrapText="1"/>
      <protection locked="0"/>
    </xf>
    <xf numFmtId="0" fontId="3" fillId="35" borderId="29" xfId="0" applyFont="1" applyFill="1" applyBorder="1" applyAlignment="1" applyProtection="1">
      <alignment horizontal="center" vertical="center" wrapText="1"/>
      <protection locked="0"/>
    </xf>
    <xf numFmtId="165" fontId="0" fillId="0" borderId="10" xfId="79" applyNumberFormat="1" applyFont="1" applyBorder="1"/>
    <xf numFmtId="0" fontId="3" fillId="33" borderId="22" xfId="0" applyFont="1" applyFill="1" applyBorder="1" applyAlignment="1" applyProtection="1">
      <alignment horizontal="center" vertical="center" wrapText="1"/>
      <protection locked="0"/>
    </xf>
    <xf numFmtId="0" fontId="2" fillId="33" borderId="10" xfId="0" applyFont="1" applyFill="1" applyBorder="1" applyAlignment="1">
      <alignment horizontal="center"/>
    </xf>
    <xf numFmtId="0" fontId="3" fillId="33" borderId="10" xfId="0" applyFont="1" applyFill="1" applyBorder="1" applyAlignment="1" applyProtection="1">
      <alignment horizontal="center" vertical="center" wrapText="1"/>
      <protection locked="0"/>
    </xf>
    <xf numFmtId="16" fontId="3" fillId="33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/>
    </xf>
    <xf numFmtId="39" fontId="0" fillId="0" borderId="30" xfId="79" applyNumberFormat="1" applyFont="1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left"/>
    </xf>
    <xf numFmtId="0" fontId="25" fillId="0" borderId="11" xfId="0" applyFont="1" applyBorder="1" applyAlignment="1" applyProtection="1">
      <alignment horizontal="left" vertical="center"/>
      <protection locked="0"/>
    </xf>
    <xf numFmtId="0" fontId="25" fillId="0" borderId="11" xfId="0" applyFont="1" applyBorder="1" applyAlignment="1">
      <alignment horizontal="left"/>
    </xf>
    <xf numFmtId="12" fontId="1" fillId="0" borderId="10" xfId="0" applyNumberFormat="1" applyFont="1" applyBorder="1" applyAlignment="1">
      <alignment horizontal="left"/>
    </xf>
    <xf numFmtId="164" fontId="22" fillId="0" borderId="31" xfId="79" applyFont="1" applyFill="1" applyBorder="1" applyAlignment="1">
      <alignment horizontal="center"/>
    </xf>
    <xf numFmtId="164" fontId="22" fillId="0" borderId="32" xfId="79" applyFont="1" applyFill="1" applyBorder="1" applyAlignment="1">
      <alignment horizontal="center"/>
    </xf>
    <xf numFmtId="0" fontId="25" fillId="0" borderId="10" xfId="44" applyFont="1" applyBorder="1" applyAlignment="1">
      <alignment horizontal="left"/>
    </xf>
    <xf numFmtId="17" fontId="0" fillId="0" borderId="0" xfId="0" applyNumberFormat="1"/>
    <xf numFmtId="0" fontId="26" fillId="33" borderId="20" xfId="0" applyFont="1" applyFill="1" applyBorder="1" applyAlignment="1" applyProtection="1">
      <alignment horizontal="right" vertical="center" wrapText="1"/>
      <protection locked="0"/>
    </xf>
    <xf numFmtId="1" fontId="25" fillId="0" borderId="11" xfId="0" applyNumberFormat="1" applyFont="1" applyBorder="1" applyAlignment="1">
      <alignment horizontal="left" vertical="center"/>
    </xf>
    <xf numFmtId="0" fontId="25" fillId="0" borderId="11" xfId="44" applyFont="1" applyBorder="1" applyAlignment="1">
      <alignment horizontal="left"/>
    </xf>
    <xf numFmtId="166" fontId="25" fillId="0" borderId="31" xfId="81" applyNumberFormat="1" applyFont="1" applyFill="1" applyBorder="1" applyAlignment="1">
      <alignment horizontal="right"/>
    </xf>
    <xf numFmtId="165" fontId="0" fillId="0" borderId="10" xfId="81" applyNumberFormat="1" applyFont="1" applyBorder="1" applyAlignment="1">
      <alignment horizontal="center"/>
    </xf>
    <xf numFmtId="0" fontId="28" fillId="0" borderId="0" xfId="0" applyFont="1"/>
    <xf numFmtId="165" fontId="1" fillId="0" borderId="10" xfId="79" applyNumberFormat="1" applyFont="1" applyFill="1" applyBorder="1"/>
    <xf numFmtId="0" fontId="3" fillId="0" borderId="10" xfId="0" applyFont="1" applyBorder="1" applyAlignment="1">
      <alignment horizontal="left"/>
    </xf>
    <xf numFmtId="0" fontId="2" fillId="37" borderId="10" xfId="0" applyFont="1" applyFill="1" applyBorder="1"/>
    <xf numFmtId="0" fontId="2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1" fontId="25" fillId="0" borderId="10" xfId="0" applyNumberFormat="1" applyFont="1" applyBorder="1" applyAlignment="1">
      <alignment horizontal="left"/>
    </xf>
    <xf numFmtId="165" fontId="31" fillId="0" borderId="10" xfId="79" applyNumberFormat="1" applyFont="1" applyBorder="1" applyAlignment="1">
      <alignment vertical="center"/>
    </xf>
    <xf numFmtId="1" fontId="32" fillId="0" borderId="10" xfId="0" applyNumberFormat="1" applyFont="1" applyBorder="1" applyAlignment="1">
      <alignment horizontal="left"/>
    </xf>
    <xf numFmtId="0" fontId="32" fillId="0" borderId="10" xfId="0" applyFont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39" borderId="10" xfId="0" applyFill="1" applyBorder="1" applyAlignment="1">
      <alignment horizontal="left"/>
    </xf>
    <xf numFmtId="1" fontId="25" fillId="0" borderId="10" xfId="45" applyNumberFormat="1" applyFont="1" applyBorder="1" applyAlignment="1">
      <alignment horizontal="left"/>
    </xf>
    <xf numFmtId="1" fontId="25" fillId="0" borderId="10" xfId="2" applyNumberFormat="1" applyFont="1" applyBorder="1" applyAlignment="1">
      <alignment horizontal="left"/>
    </xf>
    <xf numFmtId="165" fontId="20" fillId="0" borderId="10" xfId="79" applyNumberFormat="1" applyFont="1" applyBorder="1" applyAlignment="1">
      <alignment vertical="center"/>
    </xf>
    <xf numFmtId="1" fontId="25" fillId="0" borderId="10" xfId="82" applyNumberFormat="1" applyFont="1" applyBorder="1" applyAlignment="1">
      <alignment horizontal="left" vertical="center" wrapText="1"/>
    </xf>
    <xf numFmtId="165" fontId="0" fillId="0" borderId="10" xfId="79" applyNumberFormat="1" applyFont="1" applyBorder="1" applyAlignment="1">
      <alignment vertical="center"/>
    </xf>
    <xf numFmtId="0" fontId="25" fillId="0" borderId="10" xfId="0" applyFont="1" applyBorder="1" applyAlignment="1">
      <alignment horizontal="left" vertical="center"/>
    </xf>
    <xf numFmtId="0" fontId="25" fillId="39" borderId="10" xfId="0" applyFont="1" applyFill="1" applyBorder="1" applyAlignment="1">
      <alignment horizontal="left"/>
    </xf>
    <xf numFmtId="0" fontId="25" fillId="0" borderId="10" xfId="0" applyFont="1" applyBorder="1" applyAlignment="1">
      <alignment horizontal="left" vertical="center" wrapText="1"/>
    </xf>
    <xf numFmtId="0" fontId="25" fillId="0" borderId="10" xfId="45" applyFont="1" applyBorder="1" applyAlignment="1">
      <alignment horizontal="left" vertical="center"/>
    </xf>
    <xf numFmtId="164" fontId="22" fillId="39" borderId="32" xfId="79" applyFont="1" applyFill="1" applyBorder="1" applyAlignment="1">
      <alignment horizontal="center"/>
    </xf>
    <xf numFmtId="165" fontId="0" fillId="0" borderId="10" xfId="79" applyNumberFormat="1" applyFont="1" applyFill="1" applyBorder="1" applyAlignment="1"/>
    <xf numFmtId="0" fontId="25" fillId="0" borderId="10" xfId="83" applyFont="1" applyBorder="1" applyAlignment="1">
      <alignment horizontal="left" vertical="center"/>
    </xf>
    <xf numFmtId="165" fontId="31" fillId="0" borderId="10" xfId="79" applyNumberFormat="1" applyFont="1" applyFill="1" applyBorder="1" applyAlignment="1">
      <alignment vertical="center"/>
    </xf>
    <xf numFmtId="0" fontId="34" fillId="0" borderId="10" xfId="0" applyFont="1" applyBorder="1" applyAlignment="1" applyProtection="1">
      <alignment horizontal="left" vertical="center"/>
      <protection locked="0"/>
    </xf>
    <xf numFmtId="164" fontId="21" fillId="0" borderId="32" xfId="79" applyFont="1" applyFill="1" applyBorder="1" applyAlignment="1" applyProtection="1">
      <alignment horizontal="center" vertical="center" wrapText="1"/>
      <protection locked="0"/>
    </xf>
    <xf numFmtId="0" fontId="34" fillId="0" borderId="10" xfId="0" applyFont="1" applyBorder="1" applyAlignment="1">
      <alignment horizontal="left" vertical="center" wrapText="1"/>
    </xf>
    <xf numFmtId="164" fontId="1" fillId="0" borderId="32" xfId="79" applyFont="1" applyFill="1" applyBorder="1" applyAlignment="1">
      <alignment horizontal="center"/>
    </xf>
    <xf numFmtId="164" fontId="33" fillId="0" borderId="32" xfId="79" applyFont="1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164" fontId="0" fillId="0" borderId="32" xfId="79" applyFont="1" applyFill="1" applyBorder="1" applyAlignment="1">
      <alignment horizontal="center"/>
    </xf>
    <xf numFmtId="12" fontId="1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3" fillId="34" borderId="29" xfId="0" applyFont="1" applyFill="1" applyBorder="1" applyAlignment="1" applyProtection="1">
      <alignment horizontal="center" vertical="center" wrapText="1"/>
      <protection locked="0"/>
    </xf>
    <xf numFmtId="16" fontId="3" fillId="34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35" borderId="21" xfId="0" applyFont="1" applyFill="1" applyBorder="1" applyAlignment="1" applyProtection="1">
      <alignment horizontal="center" vertical="center" wrapText="1"/>
      <protection locked="0"/>
    </xf>
    <xf numFmtId="0" fontId="3" fillId="35" borderId="33" xfId="0" applyFont="1" applyFill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>
      <alignment horizontal="center" vertical="center"/>
    </xf>
    <xf numFmtId="165" fontId="1" fillId="0" borderId="10" xfId="79" applyNumberFormat="1" applyFont="1" applyFill="1" applyBorder="1" applyAlignment="1">
      <alignment horizontal="center"/>
    </xf>
    <xf numFmtId="165" fontId="0" fillId="0" borderId="10" xfId="79" applyNumberFormat="1" applyFont="1" applyFill="1" applyBorder="1" applyAlignment="1">
      <alignment horizontal="center"/>
    </xf>
    <xf numFmtId="165" fontId="0" fillId="0" borderId="10" xfId="79" applyNumberFormat="1" applyFont="1" applyFill="1" applyBorder="1" applyAlignment="1">
      <alignment horizontal="center" vertical="center"/>
    </xf>
    <xf numFmtId="165" fontId="29" fillId="0" borderId="10" xfId="79" applyNumberFormat="1" applyFont="1" applyBorder="1" applyAlignment="1">
      <alignment horizontal="center" vertical="center"/>
    </xf>
    <xf numFmtId="165" fontId="1" fillId="37" borderId="10" xfId="79" applyNumberFormat="1" applyFill="1" applyBorder="1" applyAlignment="1">
      <alignment horizontal="center"/>
    </xf>
    <xf numFmtId="165" fontId="29" fillId="0" borderId="10" xfId="79" applyNumberFormat="1" applyFont="1" applyBorder="1" applyAlignment="1">
      <alignment horizontal="right" vertical="center"/>
    </xf>
    <xf numFmtId="165" fontId="30" fillId="40" borderId="10" xfId="79" applyNumberFormat="1" applyFont="1" applyFill="1" applyBorder="1" applyAlignment="1">
      <alignment horizontal="right" vertical="center" wrapText="1"/>
    </xf>
    <xf numFmtId="165" fontId="1" fillId="37" borderId="10" xfId="79" applyNumberFormat="1" applyFill="1" applyBorder="1"/>
    <xf numFmtId="165" fontId="33" fillId="0" borderId="10" xfId="79" applyNumberFormat="1" applyFont="1" applyBorder="1" applyAlignment="1">
      <alignment horizontal="center" vertical="center"/>
    </xf>
    <xf numFmtId="164" fontId="35" fillId="0" borderId="10" xfId="79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36" fillId="0" borderId="10" xfId="0" applyFont="1" applyBorder="1"/>
    <xf numFmtId="1" fontId="36" fillId="0" borderId="10" xfId="84" applyNumberFormat="1" applyFont="1" applyBorder="1" applyAlignment="1">
      <alignment horizontal="left" vertical="center"/>
    </xf>
    <xf numFmtId="2" fontId="0" fillId="0" borderId="10" xfId="0" applyNumberFormat="1" applyBorder="1" applyAlignment="1">
      <alignment horizontal="center"/>
    </xf>
    <xf numFmtId="165" fontId="0" fillId="0" borderId="34" xfId="79" applyNumberFormat="1" applyFont="1" applyBorder="1" applyAlignment="1">
      <alignment horizontal="center"/>
    </xf>
    <xf numFmtId="0" fontId="25" fillId="0" borderId="10" xfId="0" applyFont="1" applyBorder="1"/>
    <xf numFmtId="0" fontId="38" fillId="0" borderId="10" xfId="0" applyFont="1" applyBorder="1"/>
    <xf numFmtId="165" fontId="0" fillId="0" borderId="10" xfId="79" applyNumberFormat="1" applyFont="1" applyFill="1" applyBorder="1" applyAlignment="1">
      <alignment horizontal="right" vertical="top"/>
    </xf>
    <xf numFmtId="0" fontId="21" fillId="0" borderId="10" xfId="0" applyFont="1" applyBorder="1"/>
    <xf numFmtId="165" fontId="0" fillId="0" borderId="26" xfId="79" applyNumberFormat="1" applyFont="1" applyBorder="1" applyAlignment="1"/>
    <xf numFmtId="2" fontId="0" fillId="0" borderId="10" xfId="0" applyNumberFormat="1" applyBorder="1" applyAlignment="1">
      <alignment horizontal="center" vertical="center"/>
    </xf>
    <xf numFmtId="165" fontId="0" fillId="0" borderId="10" xfId="79" applyNumberFormat="1" applyFont="1" applyFill="1" applyBorder="1" applyAlignment="1">
      <alignment vertical="center"/>
    </xf>
    <xf numFmtId="1" fontId="21" fillId="0" borderId="10" xfId="2" applyNumberFormat="1" applyFont="1" applyBorder="1" applyAlignment="1">
      <alignment horizontal="left"/>
    </xf>
    <xf numFmtId="1" fontId="21" fillId="0" borderId="10" xfId="2" applyNumberFormat="1" applyFont="1" applyBorder="1" applyAlignment="1"/>
    <xf numFmtId="0" fontId="0" fillId="0" borderId="28" xfId="0" applyBorder="1" applyAlignment="1">
      <alignment horizontal="left"/>
    </xf>
    <xf numFmtId="0" fontId="25" fillId="0" borderId="28" xfId="0" applyFont="1" applyBorder="1" applyAlignment="1">
      <alignment horizontal="left"/>
    </xf>
    <xf numFmtId="0" fontId="25" fillId="0" borderId="28" xfId="0" applyFont="1" applyBorder="1" applyAlignment="1" applyProtection="1">
      <alignment horizontal="left" vertical="center"/>
      <protection locked="0"/>
    </xf>
    <xf numFmtId="1" fontId="21" fillId="0" borderId="28" xfId="2" applyNumberFormat="1" applyFont="1" applyBorder="1" applyAlignment="1">
      <alignment horizontal="left"/>
    </xf>
    <xf numFmtId="1" fontId="21" fillId="0" borderId="28" xfId="2" applyNumberFormat="1" applyFont="1" applyBorder="1" applyAlignment="1"/>
    <xf numFmtId="0" fontId="27" fillId="0" borderId="28" xfId="0" applyFont="1" applyBorder="1"/>
    <xf numFmtId="164" fontId="22" fillId="0" borderId="28" xfId="79" applyFont="1" applyFill="1" applyBorder="1" applyAlignment="1">
      <alignment horizontal="center"/>
    </xf>
    <xf numFmtId="165" fontId="0" fillId="0" borderId="28" xfId="79" applyNumberFormat="1" applyFont="1" applyFill="1" applyBorder="1" applyAlignment="1">
      <alignment vertical="center"/>
    </xf>
    <xf numFmtId="165" fontId="31" fillId="0" borderId="28" xfId="79" applyNumberFormat="1" applyFont="1" applyBorder="1" applyAlignment="1">
      <alignment vertical="center"/>
    </xf>
    <xf numFmtId="165" fontId="0" fillId="0" borderId="27" xfId="79" applyNumberFormat="1" applyFont="1" applyBorder="1" applyAlignment="1"/>
    <xf numFmtId="165" fontId="0" fillId="0" borderId="35" xfId="79" applyNumberFormat="1" applyFont="1" applyBorder="1" applyAlignment="1"/>
    <xf numFmtId="165" fontId="0" fillId="0" borderId="36" xfId="79" applyNumberFormat="1" applyFont="1" applyBorder="1" applyAlignment="1">
      <alignment horizontal="center"/>
    </xf>
    <xf numFmtId="165" fontId="0" fillId="0" borderId="28" xfId="79" applyNumberFormat="1" applyFont="1" applyBorder="1" applyAlignment="1">
      <alignment horizontal="center"/>
    </xf>
    <xf numFmtId="0" fontId="0" fillId="0" borderId="13" xfId="0" applyBorder="1"/>
    <xf numFmtId="164" fontId="0" fillId="0" borderId="34" xfId="0" applyNumberFormat="1" applyBorder="1"/>
    <xf numFmtId="0" fontId="0" fillId="0" borderId="34" xfId="0" applyBorder="1"/>
    <xf numFmtId="17" fontId="3" fillId="34" borderId="10" xfId="0" applyNumberFormat="1" applyFont="1" applyFill="1" applyBorder="1" applyAlignment="1" applyProtection="1">
      <alignment horizontal="center" vertical="center" wrapText="1"/>
      <protection locked="0"/>
    </xf>
    <xf numFmtId="17" fontId="3" fillId="35" borderId="10" xfId="0" applyNumberFormat="1" applyFont="1" applyFill="1" applyBorder="1" applyAlignment="1" applyProtection="1">
      <alignment horizontal="center" vertical="center" wrapText="1"/>
      <protection locked="0"/>
    </xf>
    <xf numFmtId="165" fontId="1" fillId="0" borderId="10" xfId="81" applyNumberFormat="1" applyFont="1" applyFill="1" applyBorder="1" applyAlignment="1"/>
    <xf numFmtId="165" fontId="0" fillId="0" borderId="10" xfId="81" applyNumberFormat="1" applyFont="1" applyBorder="1" applyAlignment="1"/>
    <xf numFmtId="0" fontId="2" fillId="39" borderId="10" xfId="0" applyFont="1" applyFill="1" applyBorder="1"/>
    <xf numFmtId="165" fontId="1" fillId="39" borderId="10" xfId="79" applyNumberFormat="1" applyFont="1" applyFill="1" applyBorder="1"/>
    <xf numFmtId="0" fontId="3" fillId="39" borderId="10" xfId="0" applyFont="1" applyFill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165" fontId="1" fillId="0" borderId="10" xfId="79" applyNumberFormat="1" applyFont="1" applyFill="1" applyBorder="1" applyAlignment="1">
      <alignment vertical="center"/>
    </xf>
    <xf numFmtId="164" fontId="0" fillId="0" borderId="0" xfId="0" applyNumberFormat="1"/>
    <xf numFmtId="165" fontId="1" fillId="41" borderId="10" xfId="79" applyNumberFormat="1" applyFont="1" applyFill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/>
    <xf numFmtId="165" fontId="2" fillId="0" borderId="10" xfId="79" applyNumberFormat="1" applyFont="1" applyBorder="1"/>
    <xf numFmtId="0" fontId="2" fillId="38" borderId="11" xfId="0" applyFont="1" applyFill="1" applyBorder="1" applyAlignment="1">
      <alignment horizontal="center" vertical="center"/>
    </xf>
    <xf numFmtId="0" fontId="2" fillId="38" borderId="11" xfId="0" applyFont="1" applyFill="1" applyBorder="1"/>
    <xf numFmtId="0" fontId="2" fillId="38" borderId="11" xfId="0" applyFont="1" applyFill="1" applyBorder="1" applyAlignment="1">
      <alignment horizontal="center"/>
    </xf>
    <xf numFmtId="165" fontId="2" fillId="0" borderId="0" xfId="79" applyNumberFormat="1" applyFont="1" applyBorder="1"/>
    <xf numFmtId="0" fontId="19" fillId="0" borderId="0" xfId="0" applyFont="1"/>
    <xf numFmtId="165" fontId="19" fillId="0" borderId="0" xfId="79" applyNumberFormat="1" applyFont="1"/>
    <xf numFmtId="165" fontId="16" fillId="0" borderId="10" xfId="79" applyNumberFormat="1" applyFont="1" applyBorder="1"/>
    <xf numFmtId="165" fontId="19" fillId="0" borderId="10" xfId="79" applyNumberFormat="1" applyFont="1" applyBorder="1"/>
    <xf numFmtId="165" fontId="19" fillId="0" borderId="0" xfId="79" applyNumberFormat="1" applyFont="1" applyBorder="1"/>
    <xf numFmtId="0" fontId="16" fillId="38" borderId="11" xfId="0" applyFont="1" applyFill="1" applyBorder="1" applyAlignment="1">
      <alignment horizontal="center"/>
    </xf>
    <xf numFmtId="165" fontId="19" fillId="39" borderId="10" xfId="79" applyNumberFormat="1" applyFont="1" applyFill="1" applyBorder="1"/>
    <xf numFmtId="165" fontId="19" fillId="0" borderId="10" xfId="79" applyNumberFormat="1" applyFont="1" applyFill="1" applyBorder="1"/>
    <xf numFmtId="165" fontId="19" fillId="0" borderId="10" xfId="79" applyNumberFormat="1" applyFont="1" applyFill="1" applyBorder="1" applyAlignment="1">
      <alignment vertical="center"/>
    </xf>
    <xf numFmtId="0" fontId="19" fillId="0" borderId="10" xfId="0" applyFont="1" applyBorder="1"/>
    <xf numFmtId="0" fontId="16" fillId="0" borderId="0" xfId="0" applyFont="1"/>
    <xf numFmtId="165" fontId="16" fillId="0" borderId="0" xfId="79" applyNumberFormat="1" applyFont="1"/>
    <xf numFmtId="0" fontId="20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9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42" borderId="10" xfId="0" applyFont="1" applyFill="1" applyBorder="1" applyAlignment="1">
      <alignment horizontal="center"/>
    </xf>
    <xf numFmtId="0" fontId="16" fillId="42" borderId="10" xfId="0" applyFont="1" applyFill="1" applyBorder="1" applyAlignment="1">
      <alignment horizontal="center" vertical="center"/>
    </xf>
    <xf numFmtId="0" fontId="20" fillId="0" borderId="0" xfId="0" applyFont="1"/>
    <xf numFmtId="165" fontId="20" fillId="0" borderId="10" xfId="79" applyNumberFormat="1" applyFont="1" applyFill="1" applyBorder="1" applyAlignment="1">
      <alignment horizontal="center" vertical="center"/>
    </xf>
    <xf numFmtId="165" fontId="40" fillId="0" borderId="10" xfId="79" applyNumberFormat="1" applyFont="1" applyFill="1" applyBorder="1" applyAlignment="1">
      <alignment horizontal="center" vertical="center"/>
    </xf>
    <xf numFmtId="165" fontId="40" fillId="0" borderId="0" xfId="79" applyNumberFormat="1" applyFont="1" applyFill="1" applyBorder="1" applyAlignment="1">
      <alignment horizontal="center" vertical="center"/>
    </xf>
    <xf numFmtId="165" fontId="39" fillId="0" borderId="0" xfId="79" applyNumberFormat="1" applyFont="1" applyFill="1" applyBorder="1"/>
    <xf numFmtId="165" fontId="20" fillId="0" borderId="0" xfId="79" applyNumberFormat="1" applyFont="1" applyFill="1" applyBorder="1" applyAlignment="1">
      <alignment horizontal="center" vertical="center"/>
    </xf>
    <xf numFmtId="165" fontId="20" fillId="0" borderId="10" xfId="79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42" borderId="10" xfId="0" applyFont="1" applyFill="1" applyBorder="1" applyAlignment="1">
      <alignment wrapText="1"/>
    </xf>
    <xf numFmtId="165" fontId="20" fillId="0" borderId="10" xfId="79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5" fontId="20" fillId="0" borderId="0" xfId="79" applyNumberFormat="1" applyFont="1" applyFill="1" applyBorder="1" applyAlignment="1">
      <alignment horizontal="center"/>
    </xf>
    <xf numFmtId="165" fontId="40" fillId="0" borderId="37" xfId="79" applyNumberFormat="1" applyFont="1" applyFill="1" applyBorder="1" applyAlignment="1">
      <alignment horizontal="center" vertical="center"/>
    </xf>
    <xf numFmtId="165" fontId="41" fillId="39" borderId="10" xfId="79" applyNumberFormat="1" applyFont="1" applyFill="1" applyBorder="1"/>
    <xf numFmtId="165" fontId="41" fillId="39" borderId="10" xfId="79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  <protection locked="0"/>
    </xf>
    <xf numFmtId="1" fontId="42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/>
    </xf>
    <xf numFmtId="0" fontId="22" fillId="0" borderId="10" xfId="44" applyBorder="1" applyAlignment="1">
      <alignment horizontal="center"/>
    </xf>
    <xf numFmtId="165" fontId="1" fillId="0" borderId="10" xfId="79" applyNumberFormat="1" applyFont="1" applyFill="1" applyBorder="1" applyAlignment="1"/>
    <xf numFmtId="165" fontId="0" fillId="0" borderId="30" xfId="79" applyNumberFormat="1" applyFont="1" applyBorder="1" applyAlignment="1">
      <alignment horizontal="center"/>
    </xf>
    <xf numFmtId="0" fontId="21" fillId="0" borderId="10" xfId="44" applyFont="1" applyBorder="1" applyAlignment="1">
      <alignment horizontal="center"/>
    </xf>
    <xf numFmtId="0" fontId="43" fillId="0" borderId="10" xfId="44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1" fontId="44" fillId="0" borderId="10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1" fontId="46" fillId="0" borderId="10" xfId="0" applyNumberFormat="1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1" fontId="47" fillId="0" borderId="10" xfId="0" applyNumberFormat="1" applyFont="1" applyBorder="1" applyAlignment="1">
      <alignment horizontal="center"/>
    </xf>
    <xf numFmtId="1" fontId="48" fillId="0" borderId="10" xfId="0" applyNumberFormat="1" applyFont="1" applyBorder="1" applyAlignment="1">
      <alignment horizontal="center"/>
    </xf>
    <xf numFmtId="0" fontId="47" fillId="0" borderId="10" xfId="0" applyFont="1" applyBorder="1" applyAlignment="1">
      <alignment horizontal="center"/>
    </xf>
    <xf numFmtId="1" fontId="21" fillId="0" borderId="10" xfId="45" applyNumberFormat="1" applyBorder="1" applyAlignment="1">
      <alignment horizontal="center"/>
    </xf>
    <xf numFmtId="0" fontId="49" fillId="0" borderId="10" xfId="0" applyFont="1" applyBorder="1" applyAlignment="1">
      <alignment horizontal="center"/>
    </xf>
    <xf numFmtId="1" fontId="42" fillId="0" borderId="10" xfId="2" applyNumberFormat="1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1" fontId="21" fillId="0" borderId="10" xfId="82" applyNumberForma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/>
    </xf>
    <xf numFmtId="0" fontId="51" fillId="0" borderId="10" xfId="0" applyFont="1" applyBorder="1" applyAlignment="1">
      <alignment horizontal="center" vertical="center" wrapText="1"/>
    </xf>
    <xf numFmtId="0" fontId="52" fillId="0" borderId="10" xfId="45" applyFont="1" applyBorder="1" applyAlignment="1">
      <alignment horizontal="center" vertical="center"/>
    </xf>
    <xf numFmtId="0" fontId="52" fillId="0" borderId="10" xfId="83" applyFont="1" applyBorder="1" applyAlignment="1">
      <alignment horizontal="center" vertical="center"/>
    </xf>
    <xf numFmtId="0" fontId="53" fillId="0" borderId="10" xfId="0" applyFont="1" applyBorder="1" applyAlignment="1" applyProtection="1">
      <alignment horizontal="center" vertical="center"/>
      <protection locked="0"/>
    </xf>
    <xf numFmtId="0" fontId="29" fillId="0" borderId="10" xfId="0" applyFont="1" applyBorder="1" applyAlignment="1" applyProtection="1">
      <alignment horizontal="center" vertical="center"/>
      <protection locked="0"/>
    </xf>
    <xf numFmtId="0" fontId="54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/>
    </xf>
    <xf numFmtId="165" fontId="1" fillId="0" borderId="10" xfId="79" applyNumberFormat="1" applyFont="1" applyBorder="1" applyAlignment="1"/>
    <xf numFmtId="1" fontId="33" fillId="0" borderId="10" xfId="0" applyNumberFormat="1" applyFont="1" applyBorder="1" applyAlignment="1">
      <alignment horizontal="center"/>
    </xf>
    <xf numFmtId="0" fontId="55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/>
    </xf>
    <xf numFmtId="165" fontId="41" fillId="39" borderId="10" xfId="79" applyNumberFormat="1" applyFont="1" applyFill="1" applyBorder="1" applyAlignment="1">
      <alignment vertical="center"/>
    </xf>
    <xf numFmtId="0" fontId="57" fillId="0" borderId="0" xfId="0" applyFont="1"/>
    <xf numFmtId="16" fontId="3" fillId="41" borderId="10" xfId="0" applyNumberFormat="1" applyFont="1" applyFill="1" applyBorder="1" applyAlignment="1" applyProtection="1">
      <alignment horizontal="center" vertical="center" wrapText="1"/>
      <protection locked="0"/>
    </xf>
    <xf numFmtId="165" fontId="1" fillId="41" borderId="10" xfId="79" applyNumberFormat="1" applyFont="1" applyFill="1" applyBorder="1" applyAlignment="1"/>
    <xf numFmtId="165" fontId="1" fillId="39" borderId="10" xfId="79" applyNumberFormat="1" applyFont="1" applyFill="1" applyBorder="1" applyAlignment="1"/>
    <xf numFmtId="39" fontId="2" fillId="0" borderId="0" xfId="0" applyNumberFormat="1" applyFont="1"/>
    <xf numFmtId="0" fontId="16" fillId="42" borderId="11" xfId="0" applyFont="1" applyFill="1" applyBorder="1" applyAlignment="1">
      <alignment horizontal="center" vertical="center"/>
    </xf>
    <xf numFmtId="165" fontId="60" fillId="0" borderId="0" xfId="79" applyNumberFormat="1" applyFont="1" applyAlignment="1">
      <alignment horizontal="center" vertical="center"/>
    </xf>
    <xf numFmtId="165" fontId="61" fillId="42" borderId="18" xfId="79" applyNumberFormat="1" applyFont="1" applyFill="1" applyBorder="1" applyAlignment="1">
      <alignment horizontal="center" vertical="center"/>
    </xf>
    <xf numFmtId="165" fontId="61" fillId="42" borderId="19" xfId="79" applyNumberFormat="1" applyFont="1" applyFill="1" applyBorder="1" applyAlignment="1">
      <alignment horizontal="center" vertical="center"/>
    </xf>
    <xf numFmtId="165" fontId="61" fillId="42" borderId="19" xfId="79" applyNumberFormat="1" applyFont="1" applyFill="1" applyBorder="1" applyAlignment="1">
      <alignment horizontal="center" vertical="center" wrapText="1"/>
    </xf>
    <xf numFmtId="165" fontId="61" fillId="42" borderId="25" xfId="79" applyNumberFormat="1" applyFont="1" applyFill="1" applyBorder="1" applyAlignment="1">
      <alignment horizontal="center" vertical="center" wrapText="1"/>
    </xf>
    <xf numFmtId="165" fontId="60" fillId="0" borderId="17" xfId="79" applyNumberFormat="1" applyFont="1" applyBorder="1" applyAlignment="1">
      <alignment horizontal="left" vertical="center"/>
    </xf>
    <xf numFmtId="165" fontId="60" fillId="0" borderId="11" xfId="79" applyNumberFormat="1" applyFont="1" applyBorder="1" applyAlignment="1">
      <alignment horizontal="left" vertical="center"/>
    </xf>
    <xf numFmtId="165" fontId="60" fillId="0" borderId="11" xfId="79" applyNumberFormat="1" applyFont="1" applyBorder="1" applyAlignment="1">
      <alignment horizontal="center" vertical="center"/>
    </xf>
    <xf numFmtId="165" fontId="60" fillId="39" borderId="11" xfId="79" applyNumberFormat="1" applyFont="1" applyFill="1" applyBorder="1" applyAlignment="1">
      <alignment horizontal="center" vertical="center"/>
    </xf>
    <xf numFmtId="165" fontId="60" fillId="39" borderId="26" xfId="79" applyNumberFormat="1" applyFont="1" applyFill="1" applyBorder="1" applyAlignment="1">
      <alignment horizontal="center" vertical="center"/>
    </xf>
    <xf numFmtId="165" fontId="60" fillId="0" borderId="12" xfId="79" applyNumberFormat="1" applyFont="1" applyBorder="1" applyAlignment="1">
      <alignment horizontal="left" vertical="center"/>
    </xf>
    <xf numFmtId="165" fontId="60" fillId="0" borderId="10" xfId="79" applyNumberFormat="1" applyFont="1" applyBorder="1" applyAlignment="1">
      <alignment horizontal="left" vertical="center"/>
    </xf>
    <xf numFmtId="165" fontId="60" fillId="0" borderId="10" xfId="79" applyNumberFormat="1" applyFont="1" applyBorder="1" applyAlignment="1">
      <alignment horizontal="center" vertical="center"/>
    </xf>
    <xf numFmtId="165" fontId="60" fillId="39" borderId="10" xfId="79" applyNumberFormat="1" applyFont="1" applyFill="1" applyBorder="1" applyAlignment="1">
      <alignment horizontal="center" vertical="center"/>
    </xf>
    <xf numFmtId="165" fontId="60" fillId="39" borderId="13" xfId="79" applyNumberFormat="1" applyFont="1" applyFill="1" applyBorder="1" applyAlignment="1">
      <alignment horizontal="center" vertical="center"/>
    </xf>
    <xf numFmtId="165" fontId="62" fillId="0" borderId="10" xfId="79" applyNumberFormat="1" applyFont="1" applyBorder="1" applyAlignment="1">
      <alignment horizontal="center" vertical="center"/>
    </xf>
    <xf numFmtId="165" fontId="62" fillId="39" borderId="10" xfId="79" applyNumberFormat="1" applyFont="1" applyFill="1" applyBorder="1" applyAlignment="1">
      <alignment horizontal="center" vertical="center"/>
    </xf>
    <xf numFmtId="165" fontId="62" fillId="39" borderId="13" xfId="79" applyNumberFormat="1" applyFont="1" applyFill="1" applyBorder="1" applyAlignment="1">
      <alignment horizontal="center" vertical="center"/>
    </xf>
    <xf numFmtId="165" fontId="60" fillId="0" borderId="38" xfId="79" applyNumberFormat="1" applyFont="1" applyBorder="1" applyAlignment="1">
      <alignment horizontal="left" vertical="center"/>
    </xf>
    <xf numFmtId="165" fontId="60" fillId="0" borderId="28" xfId="79" applyNumberFormat="1" applyFont="1" applyBorder="1" applyAlignment="1">
      <alignment horizontal="left" vertical="center"/>
    </xf>
    <xf numFmtId="165" fontId="60" fillId="0" borderId="28" xfId="79" applyNumberFormat="1" applyFont="1" applyBorder="1" applyAlignment="1">
      <alignment horizontal="center" vertical="center"/>
    </xf>
    <xf numFmtId="165" fontId="60" fillId="39" borderId="28" xfId="79" applyNumberFormat="1" applyFont="1" applyFill="1" applyBorder="1" applyAlignment="1">
      <alignment horizontal="center" vertical="center"/>
    </xf>
    <xf numFmtId="165" fontId="60" fillId="39" borderId="39" xfId="79" applyNumberFormat="1" applyFont="1" applyFill="1" applyBorder="1" applyAlignment="1">
      <alignment horizontal="center" vertical="center"/>
    </xf>
    <xf numFmtId="165" fontId="60" fillId="0" borderId="40" xfId="79" applyNumberFormat="1" applyFont="1" applyBorder="1" applyAlignment="1">
      <alignment horizontal="left" vertical="center"/>
    </xf>
    <xf numFmtId="165" fontId="60" fillId="0" borderId="23" xfId="79" applyNumberFormat="1" applyFont="1" applyBorder="1" applyAlignment="1">
      <alignment horizontal="left" vertical="center"/>
    </xf>
    <xf numFmtId="165" fontId="60" fillId="0" borderId="23" xfId="79" applyNumberFormat="1" applyFont="1" applyBorder="1" applyAlignment="1">
      <alignment horizontal="center" vertical="center"/>
    </xf>
    <xf numFmtId="165" fontId="60" fillId="39" borderId="23" xfId="79" applyNumberFormat="1" applyFont="1" applyFill="1" applyBorder="1" applyAlignment="1">
      <alignment horizontal="center" vertical="center"/>
    </xf>
    <xf numFmtId="165" fontId="60" fillId="39" borderId="24" xfId="79" applyNumberFormat="1" applyFont="1" applyFill="1" applyBorder="1" applyAlignment="1">
      <alignment horizontal="center" vertical="center"/>
    </xf>
    <xf numFmtId="165" fontId="60" fillId="0" borderId="41" xfId="79" applyNumberFormat="1" applyFont="1" applyBorder="1" applyAlignment="1">
      <alignment horizontal="left" vertical="center"/>
    </xf>
    <xf numFmtId="165" fontId="60" fillId="0" borderId="42" xfId="79" applyNumberFormat="1" applyFont="1" applyBorder="1" applyAlignment="1">
      <alignment horizontal="left" vertical="center"/>
    </xf>
    <xf numFmtId="165" fontId="60" fillId="0" borderId="42" xfId="79" applyNumberFormat="1" applyFont="1" applyBorder="1" applyAlignment="1">
      <alignment horizontal="center" vertical="center"/>
    </xf>
    <xf numFmtId="165" fontId="60" fillId="39" borderId="42" xfId="79" applyNumberFormat="1" applyFont="1" applyFill="1" applyBorder="1" applyAlignment="1">
      <alignment horizontal="center" vertical="center"/>
    </xf>
    <xf numFmtId="165" fontId="60" fillId="39" borderId="43" xfId="79" applyNumberFormat="1" applyFont="1" applyFill="1" applyBorder="1" applyAlignment="1">
      <alignment horizontal="center" vertical="center"/>
    </xf>
    <xf numFmtId="165" fontId="60" fillId="0" borderId="42" xfId="79" applyNumberFormat="1" applyFont="1" applyBorder="1" applyAlignment="1">
      <alignment horizontal="center" vertical="center" wrapText="1"/>
    </xf>
    <xf numFmtId="165" fontId="60" fillId="0" borderId="10" xfId="79" applyNumberFormat="1" applyFont="1" applyBorder="1" applyAlignment="1">
      <alignment horizontal="center" vertical="center" wrapText="1"/>
    </xf>
    <xf numFmtId="165" fontId="60" fillId="0" borderId="44" xfId="79" applyNumberFormat="1" applyFont="1" applyBorder="1" applyAlignment="1">
      <alignment horizontal="left" vertical="center"/>
    </xf>
    <xf numFmtId="165" fontId="60" fillId="0" borderId="27" xfId="79" applyNumberFormat="1" applyFont="1" applyBorder="1" applyAlignment="1">
      <alignment horizontal="left" vertical="center"/>
    </xf>
    <xf numFmtId="165" fontId="60" fillId="0" borderId="27" xfId="79" applyNumberFormat="1" applyFont="1" applyBorder="1" applyAlignment="1">
      <alignment horizontal="center" vertical="center"/>
    </xf>
    <xf numFmtId="165" fontId="60" fillId="39" borderId="27" xfId="79" applyNumberFormat="1" applyFont="1" applyFill="1" applyBorder="1" applyAlignment="1">
      <alignment horizontal="center" vertical="center"/>
    </xf>
    <xf numFmtId="165" fontId="60" fillId="39" borderId="35" xfId="79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left" wrapText="1"/>
    </xf>
    <xf numFmtId="0" fontId="65" fillId="0" borderId="0" xfId="0" applyFont="1" applyAlignment="1">
      <alignment horizontal="left" vertical="center" wrapText="1"/>
    </xf>
    <xf numFmtId="0" fontId="65" fillId="0" borderId="0" xfId="0" applyFont="1" applyAlignment="1">
      <alignment horizontal="left" wrapText="1"/>
    </xf>
    <xf numFmtId="0" fontId="64" fillId="0" borderId="0" xfId="0" applyFont="1" applyAlignment="1">
      <alignment horizontal="left" vertical="center"/>
    </xf>
    <xf numFmtId="0" fontId="16" fillId="44" borderId="10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65" fontId="20" fillId="0" borderId="34" xfId="79" applyNumberFormat="1" applyFont="1" applyFill="1" applyBorder="1" applyAlignment="1">
      <alignment horizontal="center" vertical="center"/>
    </xf>
    <xf numFmtId="165" fontId="40" fillId="0" borderId="10" xfId="79" applyNumberFormat="1" applyFont="1" applyFill="1" applyBorder="1" applyAlignment="1"/>
    <xf numFmtId="0" fontId="63" fillId="0" borderId="0" xfId="0" applyFont="1"/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wrapText="1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165" fontId="64" fillId="0" borderId="0" xfId="79" applyNumberFormat="1" applyFont="1" applyFill="1" applyBorder="1" applyAlignment="1">
      <alignment horizontal="center" vertical="center"/>
    </xf>
    <xf numFmtId="165" fontId="67" fillId="0" borderId="10" xfId="79" applyNumberFormat="1" applyFont="1" applyFill="1" applyBorder="1"/>
    <xf numFmtId="0" fontId="64" fillId="45" borderId="34" xfId="0" applyFont="1" applyFill="1" applyBorder="1" applyAlignment="1">
      <alignment horizontal="left" vertical="center"/>
    </xf>
    <xf numFmtId="0" fontId="64" fillId="45" borderId="10" xfId="0" applyFont="1" applyFill="1" applyBorder="1" applyAlignment="1">
      <alignment horizontal="left" vertical="center" wrapText="1"/>
    </xf>
    <xf numFmtId="0" fontId="64" fillId="45" borderId="10" xfId="0" applyFont="1" applyFill="1" applyBorder="1" applyAlignment="1">
      <alignment horizontal="left" wrapText="1"/>
    </xf>
    <xf numFmtId="0" fontId="64" fillId="45" borderId="32" xfId="0" applyFont="1" applyFill="1" applyBorder="1" applyAlignment="1">
      <alignment horizontal="left"/>
    </xf>
    <xf numFmtId="0" fontId="64" fillId="45" borderId="46" xfId="0" applyFont="1" applyFill="1" applyBorder="1" applyAlignment="1">
      <alignment horizontal="left" wrapText="1"/>
    </xf>
    <xf numFmtId="0" fontId="64" fillId="45" borderId="34" xfId="0" applyFont="1" applyFill="1" applyBorder="1" applyAlignment="1">
      <alignment horizontal="left" vertical="center" wrapText="1"/>
    </xf>
    <xf numFmtId="0" fontId="65" fillId="45" borderId="10" xfId="0" applyFont="1" applyFill="1" applyBorder="1" applyAlignment="1">
      <alignment horizontal="left" wrapText="1"/>
    </xf>
    <xf numFmtId="0" fontId="65" fillId="45" borderId="34" xfId="0" applyFont="1" applyFill="1" applyBorder="1" applyAlignment="1">
      <alignment horizontal="left" vertical="center"/>
    </xf>
    <xf numFmtId="0" fontId="65" fillId="45" borderId="34" xfId="0" applyFont="1" applyFill="1" applyBorder="1" applyAlignment="1">
      <alignment horizontal="left" vertical="center" wrapText="1"/>
    </xf>
    <xf numFmtId="0" fontId="65" fillId="45" borderId="46" xfId="0" applyFont="1" applyFill="1" applyBorder="1" applyAlignment="1">
      <alignment horizontal="left" wrapText="1"/>
    </xf>
    <xf numFmtId="0" fontId="64" fillId="45" borderId="32" xfId="0" applyFont="1" applyFill="1" applyBorder="1" applyAlignment="1">
      <alignment horizontal="left" vertical="center"/>
    </xf>
    <xf numFmtId="0" fontId="64" fillId="45" borderId="10" xfId="0" applyFont="1" applyFill="1" applyBorder="1" applyAlignment="1">
      <alignment horizontal="left" vertical="center"/>
    </xf>
    <xf numFmtId="0" fontId="66" fillId="45" borderId="10" xfId="0" applyFont="1" applyFill="1" applyBorder="1" applyAlignment="1">
      <alignment horizontal="left" vertical="center" wrapText="1"/>
    </xf>
    <xf numFmtId="0" fontId="65" fillId="45" borderId="10" xfId="0" applyFont="1" applyFill="1" applyBorder="1" applyAlignment="1">
      <alignment horizontal="left" vertical="center" wrapText="1"/>
    </xf>
    <xf numFmtId="0" fontId="2" fillId="45" borderId="32" xfId="0" applyFont="1" applyFill="1" applyBorder="1"/>
    <xf numFmtId="0" fontId="0" fillId="45" borderId="46" xfId="0" applyFill="1" applyBorder="1" applyAlignment="1">
      <alignment wrapText="1"/>
    </xf>
    <xf numFmtId="165" fontId="16" fillId="44" borderId="10" xfId="79" applyNumberFormat="1" applyFont="1" applyFill="1" applyBorder="1" applyAlignment="1">
      <alignment horizontal="center" vertical="center"/>
    </xf>
    <xf numFmtId="165" fontId="16" fillId="42" borderId="10" xfId="79" applyNumberFormat="1" applyFont="1" applyFill="1" applyBorder="1" applyAlignment="1">
      <alignment horizontal="center"/>
    </xf>
    <xf numFmtId="165" fontId="20" fillId="0" borderId="0" xfId="79" applyNumberFormat="1" applyFont="1" applyFill="1" applyBorder="1"/>
    <xf numFmtId="165" fontId="20" fillId="0" borderId="28" xfId="79" applyNumberFormat="1" applyFont="1" applyFill="1" applyBorder="1" applyAlignment="1">
      <alignment horizontal="center" vertical="center"/>
    </xf>
    <xf numFmtId="165" fontId="20" fillId="0" borderId="11" xfId="79" applyNumberFormat="1" applyFont="1" applyFill="1" applyBorder="1" applyAlignment="1">
      <alignment horizontal="center" vertical="center"/>
    </xf>
    <xf numFmtId="0" fontId="2" fillId="43" borderId="28" xfId="0" applyFont="1" applyFill="1" applyBorder="1" applyAlignment="1">
      <alignment horizontal="center" vertical="center" textRotation="90"/>
    </xf>
    <xf numFmtId="0" fontId="2" fillId="43" borderId="27" xfId="0" applyFont="1" applyFill="1" applyBorder="1" applyAlignment="1">
      <alignment horizontal="center" vertical="center" textRotation="90"/>
    </xf>
    <xf numFmtId="0" fontId="2" fillId="43" borderId="11" xfId="0" applyFont="1" applyFill="1" applyBorder="1" applyAlignment="1">
      <alignment horizontal="center" vertical="center" textRotation="90"/>
    </xf>
    <xf numFmtId="0" fontId="2" fillId="45" borderId="28" xfId="0" applyFont="1" applyFill="1" applyBorder="1" applyAlignment="1">
      <alignment horizontal="center" vertical="center" textRotation="90"/>
    </xf>
    <xf numFmtId="0" fontId="2" fillId="45" borderId="27" xfId="0" applyFont="1" applyFill="1" applyBorder="1" applyAlignment="1">
      <alignment horizontal="center" vertical="center" textRotation="90"/>
    </xf>
    <xf numFmtId="0" fontId="2" fillId="45" borderId="11" xfId="0" applyFont="1" applyFill="1" applyBorder="1" applyAlignment="1">
      <alignment horizontal="center" vertical="center" textRotation="90"/>
    </xf>
    <xf numFmtId="0" fontId="2" fillId="45" borderId="45" xfId="0" applyFont="1" applyFill="1" applyBorder="1" applyAlignment="1">
      <alignment horizontal="center" vertical="center" textRotation="90"/>
    </xf>
    <xf numFmtId="0" fontId="2" fillId="45" borderId="0" xfId="0" applyFont="1" applyFill="1" applyAlignment="1">
      <alignment horizontal="center" vertical="center" textRotation="90"/>
    </xf>
    <xf numFmtId="0" fontId="24" fillId="36" borderId="14" xfId="0" applyFont="1" applyFill="1" applyBorder="1" applyAlignment="1">
      <alignment horizontal="center"/>
    </xf>
    <xf numFmtId="0" fontId="24" fillId="36" borderId="15" xfId="0" applyFont="1" applyFill="1" applyBorder="1" applyAlignment="1">
      <alignment horizontal="center"/>
    </xf>
    <xf numFmtId="0" fontId="24" fillId="36" borderId="16" xfId="0" applyFont="1" applyFill="1" applyBorder="1" applyAlignment="1">
      <alignment horizontal="center"/>
    </xf>
    <xf numFmtId="165" fontId="24" fillId="36" borderId="14" xfId="79" applyNumberFormat="1" applyFont="1" applyFill="1" applyBorder="1" applyAlignment="1">
      <alignment horizontal="center"/>
    </xf>
    <xf numFmtId="165" fontId="24" fillId="36" borderId="15" xfId="79" applyNumberFormat="1" applyFont="1" applyFill="1" applyBorder="1" applyAlignment="1">
      <alignment horizontal="center"/>
    </xf>
    <xf numFmtId="165" fontId="24" fillId="36" borderId="16" xfId="79" applyNumberFormat="1" applyFont="1" applyFill="1" applyBorder="1" applyAlignment="1">
      <alignment horizontal="center"/>
    </xf>
    <xf numFmtId="0" fontId="24" fillId="36" borderId="10" xfId="0" applyFont="1" applyFill="1" applyBorder="1" applyAlignment="1">
      <alignment horizontal="center"/>
    </xf>
    <xf numFmtId="165" fontId="24" fillId="36" borderId="10" xfId="81" applyNumberFormat="1" applyFont="1" applyFill="1" applyBorder="1" applyAlignment="1">
      <alignment horizontal="center"/>
    </xf>
    <xf numFmtId="165" fontId="1" fillId="39" borderId="28" xfId="79" applyNumberFormat="1" applyFont="1" applyFill="1" applyBorder="1" applyAlignment="1">
      <alignment horizontal="center" vertical="center" wrapText="1"/>
    </xf>
    <xf numFmtId="165" fontId="1" fillId="39" borderId="11" xfId="79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39" borderId="10" xfId="0" applyFont="1" applyFill="1" applyBorder="1" applyAlignment="1">
      <alignment horizontal="center" vertical="center" textRotation="90"/>
    </xf>
    <xf numFmtId="165" fontId="19" fillId="39" borderId="28" xfId="79" applyNumberFormat="1" applyFont="1" applyFill="1" applyBorder="1" applyAlignment="1">
      <alignment horizontal="center" vertical="center" wrapText="1"/>
    </xf>
    <xf numFmtId="165" fontId="19" fillId="39" borderId="11" xfId="79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5" fontId="1" fillId="39" borderId="28" xfId="79" applyNumberFormat="1" applyFont="1" applyFill="1" applyBorder="1" applyAlignment="1">
      <alignment horizontal="center" vertical="center"/>
    </xf>
    <xf numFmtId="165" fontId="1" fillId="39" borderId="11" xfId="79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85">
    <cellStyle name="20% - Accent1" xfId="61" builtinId="30" customBuiltin="1"/>
    <cellStyle name="20% - Accent1 2" xfId="20" xr:uid="{00000000-0005-0000-0000-000000000000}"/>
    <cellStyle name="20% - Accent2" xfId="64" builtinId="34" customBuiltin="1"/>
    <cellStyle name="20% - Accent2 2" xfId="24" xr:uid="{00000000-0005-0000-0000-000001000000}"/>
    <cellStyle name="20% - Accent3" xfId="67" builtinId="38" customBuiltin="1"/>
    <cellStyle name="20% - Accent3 2" xfId="28" xr:uid="{00000000-0005-0000-0000-000002000000}"/>
    <cellStyle name="20% - Accent4" xfId="70" builtinId="42" customBuiltin="1"/>
    <cellStyle name="20% - Accent4 2" xfId="32" xr:uid="{00000000-0005-0000-0000-000003000000}"/>
    <cellStyle name="20% - Accent4 2 2" xfId="78" xr:uid="{13FCC3AC-8250-4E9D-9879-E7466A4717C4}"/>
    <cellStyle name="20% - Accent5" xfId="73" builtinId="46" customBuiltin="1"/>
    <cellStyle name="20% - Accent5 2" xfId="36" xr:uid="{00000000-0005-0000-0000-000004000000}"/>
    <cellStyle name="20% - Accent6" xfId="76" builtinId="50" customBuiltin="1"/>
    <cellStyle name="20% - Accent6 2" xfId="40" xr:uid="{00000000-0005-0000-0000-000005000000}"/>
    <cellStyle name="40% - Accent1" xfId="62" builtinId="31" customBuiltin="1"/>
    <cellStyle name="40% - Accent1 2" xfId="21" xr:uid="{00000000-0005-0000-0000-000006000000}"/>
    <cellStyle name="40% - Accent2" xfId="65" builtinId="35" customBuiltin="1"/>
    <cellStyle name="40% - Accent2 2" xfId="25" xr:uid="{00000000-0005-0000-0000-000007000000}"/>
    <cellStyle name="40% - Accent3" xfId="68" builtinId="39" customBuiltin="1"/>
    <cellStyle name="40% - Accent3 2" xfId="29" xr:uid="{00000000-0005-0000-0000-000008000000}"/>
    <cellStyle name="40% - Accent4" xfId="71" builtinId="43" customBuiltin="1"/>
    <cellStyle name="40% - Accent4 2" xfId="33" xr:uid="{00000000-0005-0000-0000-000009000000}"/>
    <cellStyle name="40% - Accent5" xfId="74" builtinId="47" customBuiltin="1"/>
    <cellStyle name="40% - Accent5 2" xfId="37" xr:uid="{00000000-0005-0000-0000-00000A000000}"/>
    <cellStyle name="40% - Accent6" xfId="77" builtinId="51" customBuiltin="1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" xfId="60" builtinId="29" customBuiltin="1"/>
    <cellStyle name="Accent1 2" xfId="19" xr:uid="{00000000-0005-0000-0000-000012000000}"/>
    <cellStyle name="Accent2" xfId="63" builtinId="33" customBuiltin="1"/>
    <cellStyle name="Accent2 2" xfId="23" xr:uid="{00000000-0005-0000-0000-000013000000}"/>
    <cellStyle name="Accent3" xfId="66" builtinId="37" customBuiltin="1"/>
    <cellStyle name="Accent3 2" xfId="27" xr:uid="{00000000-0005-0000-0000-000014000000}"/>
    <cellStyle name="Accent4" xfId="69" builtinId="41" customBuiltin="1"/>
    <cellStyle name="Accent4 2" xfId="31" xr:uid="{00000000-0005-0000-0000-000015000000}"/>
    <cellStyle name="Accent5" xfId="72" builtinId="45" customBuiltin="1"/>
    <cellStyle name="Accent5 2" xfId="35" xr:uid="{00000000-0005-0000-0000-000016000000}"/>
    <cellStyle name="Accent6" xfId="75" builtinId="49" customBuiltin="1"/>
    <cellStyle name="Accent6 2" xfId="39" xr:uid="{00000000-0005-0000-0000-000017000000}"/>
    <cellStyle name="Bad" xfId="51" builtinId="27" customBuiltin="1"/>
    <cellStyle name="Bad 2" xfId="9" xr:uid="{00000000-0005-0000-0000-000018000000}"/>
    <cellStyle name="Calculation" xfId="54" builtinId="22" customBuiltin="1"/>
    <cellStyle name="Calculation 2" xfId="13" xr:uid="{00000000-0005-0000-0000-000019000000}"/>
    <cellStyle name="Check Cell" xfId="56" builtinId="23" customBuiltin="1"/>
    <cellStyle name="Check Cell 2" xfId="15" xr:uid="{00000000-0005-0000-0000-00001A000000}"/>
    <cellStyle name="Comma" xfId="79" builtinId="3"/>
    <cellStyle name="Comma 2" xfId="81" xr:uid="{B2279C79-E109-40BC-A0F4-3C79133C87A6}"/>
    <cellStyle name="Explanatory Text" xfId="58" builtinId="53" customBuiltin="1"/>
    <cellStyle name="Explanatory Text 2" xfId="17" xr:uid="{00000000-0005-0000-0000-00001C000000}"/>
    <cellStyle name="Good" xfId="50" builtinId="26" customBuiltin="1"/>
    <cellStyle name="Good 2" xfId="8" xr:uid="{00000000-0005-0000-0000-00001D000000}"/>
    <cellStyle name="Heading 1" xfId="46" builtinId="16" customBuiltin="1"/>
    <cellStyle name="Heading 1 2" xfId="4" xr:uid="{00000000-0005-0000-0000-00001E000000}"/>
    <cellStyle name="Heading 2" xfId="47" builtinId="17" customBuiltin="1"/>
    <cellStyle name="Heading 2 2" xfId="5" xr:uid="{00000000-0005-0000-0000-00001F000000}"/>
    <cellStyle name="Heading 3" xfId="48" builtinId="18" customBuiltin="1"/>
    <cellStyle name="Heading 3 2" xfId="6" xr:uid="{00000000-0005-0000-0000-000020000000}"/>
    <cellStyle name="Heading 4" xfId="49" builtinId="19" customBuiltin="1"/>
    <cellStyle name="Heading 4 2" xfId="7" xr:uid="{00000000-0005-0000-0000-000021000000}"/>
    <cellStyle name="Input" xfId="52" builtinId="20" customBuiltin="1"/>
    <cellStyle name="Input 2" xfId="11" xr:uid="{00000000-0005-0000-0000-000022000000}"/>
    <cellStyle name="Linked Cell" xfId="55" builtinId="24" customBuiltin="1"/>
    <cellStyle name="Linked Cell 2" xfId="14" xr:uid="{00000000-0005-0000-0000-000023000000}"/>
    <cellStyle name="Neutral 2" xfId="10" xr:uid="{00000000-0005-0000-0000-000024000000}"/>
    <cellStyle name="Normal" xfId="0" builtinId="0"/>
    <cellStyle name="Normal 2" xfId="43" xr:uid="{00000000-0005-0000-0000-000026000000}"/>
    <cellStyle name="Normal 2 2" xfId="80" xr:uid="{6CE298A8-5CCC-4B9C-9752-6F92DFED9610}"/>
    <cellStyle name="Normal 2 2 4" xfId="45" xr:uid="{51B4EAA6-25ED-404B-9A60-BA7641B8D835}"/>
    <cellStyle name="Normal_Copy of ITS Sep 09 new" xfId="82" xr:uid="{66544555-FE6A-467E-9EFB-5B571C3CE711}"/>
    <cellStyle name="Normal_M&amp;M GM  planning Jan09 (New Norms)" xfId="83" xr:uid="{5550A207-6272-444D-B789-DCBDDEB4F97C}"/>
    <cellStyle name="Normal_Sheet1" xfId="84" xr:uid="{2116BD91-BAB7-48DB-86F4-FF3F30D7FE03}"/>
    <cellStyle name="Normal_Sheet2" xfId="44" xr:uid="{8BE3E08A-3D32-480E-B242-ECFCBA8D02CA}"/>
    <cellStyle name="Note" xfId="1" builtinId="10" customBuiltin="1"/>
    <cellStyle name="Output" xfId="53" builtinId="21" customBuiltin="1"/>
    <cellStyle name="Output 2" xfId="12" xr:uid="{00000000-0005-0000-0000-000028000000}"/>
    <cellStyle name="Style 1" xfId="2" xr:uid="{00000000-0005-0000-0000-000029000000}"/>
    <cellStyle name="Title 2" xfId="3" xr:uid="{00000000-0005-0000-0000-00002A000000}"/>
    <cellStyle name="Total" xfId="59" builtinId="25" customBuiltin="1"/>
    <cellStyle name="Total 2" xfId="18" xr:uid="{00000000-0005-0000-0000-00002B000000}"/>
    <cellStyle name="Warning Text" xfId="57" builtinId="11" customBuiltin="1"/>
    <cellStyle name="Warning Text 2" xfId="16" xr:uid="{00000000-0005-0000-0000-00002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0"/>
              <a:t>Sanand Summary -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Consolidated!$F$4:$N$4</c:f>
              <c:strCache>
                <c:ptCount val="9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 ICP</c:v>
                </c:pt>
                <c:pt idx="5">
                  <c:v>Sep FC</c:v>
                </c:pt>
                <c:pt idx="6">
                  <c:v>Oct ICP</c:v>
                </c:pt>
                <c:pt idx="7">
                  <c:v>Oct FC</c:v>
                </c:pt>
                <c:pt idx="8">
                  <c:v>Nov ICP</c:v>
                </c:pt>
              </c:strCache>
            </c:strRef>
          </c:cat>
          <c:val>
            <c:numRef>
              <c:f>Consolidated!$F$9:$N$9</c:f>
              <c:numCache>
                <c:formatCode>_(* #,##0_);_(* \(#,##0\);_(* "-"??_);_(@_)</c:formatCode>
                <c:ptCount val="9"/>
                <c:pt idx="0">
                  <c:v>12163</c:v>
                </c:pt>
                <c:pt idx="1">
                  <c:v>14317</c:v>
                </c:pt>
                <c:pt idx="2">
                  <c:v>15622</c:v>
                </c:pt>
                <c:pt idx="3">
                  <c:v>0</c:v>
                </c:pt>
                <c:pt idx="4">
                  <c:v>16500</c:v>
                </c:pt>
                <c:pt idx="5">
                  <c:v>17668</c:v>
                </c:pt>
                <c:pt idx="6">
                  <c:v>16500</c:v>
                </c:pt>
                <c:pt idx="7">
                  <c:v>18868</c:v>
                </c:pt>
                <c:pt idx="8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9-4BE7-A3C1-E62F29A64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390735"/>
        <c:axId val="607388239"/>
      </c:barChart>
      <c:catAx>
        <c:axId val="6073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88239"/>
        <c:crosses val="autoZero"/>
        <c:auto val="1"/>
        <c:lblAlgn val="ctr"/>
        <c:lblOffset val="100"/>
        <c:noMultiLvlLbl val="0"/>
      </c:catAx>
      <c:valAx>
        <c:axId val="6073882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0"/>
              <a:t>Manesar Summary -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Manesar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Consolidated!$F$4:$N$4</c:f>
              <c:strCache>
                <c:ptCount val="9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 ICP</c:v>
                </c:pt>
                <c:pt idx="5">
                  <c:v>Sep FC</c:v>
                </c:pt>
                <c:pt idx="6">
                  <c:v>Oct ICP</c:v>
                </c:pt>
                <c:pt idx="7">
                  <c:v>Oct FC</c:v>
                </c:pt>
                <c:pt idx="8">
                  <c:v>Nov ICP</c:v>
                </c:pt>
              </c:strCache>
            </c:strRef>
          </c:cat>
          <c:val>
            <c:numRef>
              <c:f>Consolidated!$F$29:$N$29</c:f>
              <c:numCache>
                <c:formatCode>_(* #,##0_);_(* \(#,##0\);_(* "-"??_);_(@_)</c:formatCode>
                <c:ptCount val="9"/>
                <c:pt idx="0">
                  <c:v>106100</c:v>
                </c:pt>
                <c:pt idx="1">
                  <c:v>88036</c:v>
                </c:pt>
                <c:pt idx="2">
                  <c:v>106542</c:v>
                </c:pt>
                <c:pt idx="3">
                  <c:v>0</c:v>
                </c:pt>
                <c:pt idx="4">
                  <c:v>103320</c:v>
                </c:pt>
                <c:pt idx="5">
                  <c:v>106245</c:v>
                </c:pt>
                <c:pt idx="6">
                  <c:v>90650</c:v>
                </c:pt>
                <c:pt idx="7">
                  <c:v>90667</c:v>
                </c:pt>
                <c:pt idx="8">
                  <c:v>101671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3-4476-8B69-5CBC16B6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390735"/>
        <c:axId val="607388239"/>
      </c:barChart>
      <c:catAx>
        <c:axId val="6073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88239"/>
        <c:crosses val="autoZero"/>
        <c:auto val="1"/>
        <c:lblAlgn val="ctr"/>
        <c:lblOffset val="100"/>
        <c:noMultiLvlLbl val="0"/>
      </c:catAx>
      <c:valAx>
        <c:axId val="6073882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0"/>
              <a:t>Chennai Summary -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Chennai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Consolidated!$F$4:$N$4</c:f>
              <c:strCache>
                <c:ptCount val="9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 ICP</c:v>
                </c:pt>
                <c:pt idx="5">
                  <c:v>Sep FC</c:v>
                </c:pt>
                <c:pt idx="6">
                  <c:v>Oct ICP</c:v>
                </c:pt>
                <c:pt idx="7">
                  <c:v>Oct FC</c:v>
                </c:pt>
                <c:pt idx="8">
                  <c:v>Nov ICP</c:v>
                </c:pt>
              </c:strCache>
            </c:strRef>
          </c:cat>
          <c:val>
            <c:numRef>
              <c:f>Consolidated!$F$38:$N$38</c:f>
              <c:numCache>
                <c:formatCode>_(* #,##0_);_(* \(#,##0\);_(* "-"??_);_(@_)</c:formatCode>
                <c:ptCount val="9"/>
                <c:pt idx="0">
                  <c:v>27755</c:v>
                </c:pt>
                <c:pt idx="1">
                  <c:v>33442</c:v>
                </c:pt>
                <c:pt idx="2">
                  <c:v>39577</c:v>
                </c:pt>
                <c:pt idx="3">
                  <c:v>0</c:v>
                </c:pt>
                <c:pt idx="4">
                  <c:v>36701</c:v>
                </c:pt>
                <c:pt idx="5">
                  <c:v>39300</c:v>
                </c:pt>
                <c:pt idx="6">
                  <c:v>31357</c:v>
                </c:pt>
                <c:pt idx="7">
                  <c:v>31268</c:v>
                </c:pt>
                <c:pt idx="8">
                  <c:v>41212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E13-BD60-D69091651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390735"/>
        <c:axId val="607388239"/>
      </c:barChart>
      <c:catAx>
        <c:axId val="6073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88239"/>
        <c:crosses val="autoZero"/>
        <c:auto val="1"/>
        <c:lblAlgn val="ctr"/>
        <c:lblOffset val="100"/>
        <c:noMultiLvlLbl val="0"/>
      </c:catAx>
      <c:valAx>
        <c:axId val="6073882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0"/>
              <a:t>Bawal Summary -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Bawal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Consolidated!$F$4:$N$4</c:f>
              <c:strCache>
                <c:ptCount val="9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 ICP</c:v>
                </c:pt>
                <c:pt idx="5">
                  <c:v>Sep FC</c:v>
                </c:pt>
                <c:pt idx="6">
                  <c:v>Oct ICP</c:v>
                </c:pt>
                <c:pt idx="7">
                  <c:v>Oct FC</c:v>
                </c:pt>
                <c:pt idx="8">
                  <c:v>Nov ICP</c:v>
                </c:pt>
              </c:strCache>
            </c:strRef>
          </c:cat>
          <c:val>
            <c:numRef>
              <c:f>Consolidated!$F$50:$N$50</c:f>
              <c:numCache>
                <c:formatCode>_(* #,##0_);_(* \(#,##0\);_(* "-"??_);_(@_)</c:formatCode>
                <c:ptCount val="9"/>
                <c:pt idx="0">
                  <c:v>48656</c:v>
                </c:pt>
                <c:pt idx="1">
                  <c:v>53427</c:v>
                </c:pt>
                <c:pt idx="2">
                  <c:v>48763</c:v>
                </c:pt>
                <c:pt idx="3">
                  <c:v>0</c:v>
                </c:pt>
                <c:pt idx="4">
                  <c:v>50500</c:v>
                </c:pt>
                <c:pt idx="5">
                  <c:v>56707</c:v>
                </c:pt>
                <c:pt idx="6">
                  <c:v>54100</c:v>
                </c:pt>
                <c:pt idx="7">
                  <c:v>66086</c:v>
                </c:pt>
                <c:pt idx="8">
                  <c:v>46853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9-48A7-9D76-2655B40D1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390735"/>
        <c:axId val="607388239"/>
      </c:barChart>
      <c:catAx>
        <c:axId val="6073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88239"/>
        <c:crosses val="autoZero"/>
        <c:auto val="1"/>
        <c:lblAlgn val="ctr"/>
        <c:lblOffset val="100"/>
        <c:noMultiLvlLbl val="0"/>
      </c:catAx>
      <c:valAx>
        <c:axId val="6073882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0"/>
              <a:t>Sahibababd Summary -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0485671196226204"/>
          <c:y val="0.17435623958675342"/>
          <c:w val="0.86372303804924266"/>
          <c:h val="0.69019648230156239"/>
        </c:manualLayout>
      </c:layout>
      <c:barChart>
        <c:barDir val="col"/>
        <c:grouping val="clustered"/>
        <c:varyColors val="0"/>
        <c:ser>
          <c:idx val="0"/>
          <c:order val="0"/>
          <c:tx>
            <c:v>Sahibabad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Consolidated!$F$55:$N$55</c:f>
              <c:numCache>
                <c:formatCode>_(* #,##0_);_(* \(#,##0\);_(* "-"??_);_(@_)</c:formatCode>
                <c:ptCount val="9"/>
                <c:pt idx="0">
                  <c:v>10097</c:v>
                </c:pt>
                <c:pt idx="1">
                  <c:v>10295</c:v>
                </c:pt>
                <c:pt idx="2">
                  <c:v>10698</c:v>
                </c:pt>
                <c:pt idx="3">
                  <c:v>0</c:v>
                </c:pt>
                <c:pt idx="4">
                  <c:v>11750</c:v>
                </c:pt>
                <c:pt idx="5">
                  <c:v>13890</c:v>
                </c:pt>
                <c:pt idx="6">
                  <c:v>12050</c:v>
                </c:pt>
                <c:pt idx="7">
                  <c:v>13650</c:v>
                </c:pt>
                <c:pt idx="8">
                  <c:v>11850</c:v>
                </c:pt>
              </c:numCache>
            </c:numRef>
          </c:cat>
          <c:val>
            <c:numRef>
              <c:f>Consolidated!$F$50:$N$50</c:f>
              <c:numCache>
                <c:formatCode>_(* #,##0_);_(* \(#,##0\);_(* "-"??_);_(@_)</c:formatCode>
                <c:ptCount val="9"/>
                <c:pt idx="0">
                  <c:v>48656</c:v>
                </c:pt>
                <c:pt idx="1">
                  <c:v>53427</c:v>
                </c:pt>
                <c:pt idx="2">
                  <c:v>48763</c:v>
                </c:pt>
                <c:pt idx="3">
                  <c:v>0</c:v>
                </c:pt>
                <c:pt idx="4">
                  <c:v>50500</c:v>
                </c:pt>
                <c:pt idx="5">
                  <c:v>56707</c:v>
                </c:pt>
                <c:pt idx="6">
                  <c:v>54100</c:v>
                </c:pt>
                <c:pt idx="7">
                  <c:v>66086</c:v>
                </c:pt>
                <c:pt idx="8">
                  <c:v>46853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F-4012-809D-9373EDE6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390735"/>
        <c:axId val="607388239"/>
      </c:barChart>
      <c:catAx>
        <c:axId val="607390735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88239"/>
        <c:crosses val="autoZero"/>
        <c:auto val="1"/>
        <c:lblAlgn val="ctr"/>
        <c:lblOffset val="100"/>
        <c:noMultiLvlLbl val="0"/>
      </c:catAx>
      <c:valAx>
        <c:axId val="6073882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3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101600</xdr:rowOff>
    </xdr:from>
    <xdr:to>
      <xdr:col>9</xdr:col>
      <xdr:colOff>81643</xdr:colOff>
      <xdr:row>3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658580-2FBC-351B-E4D0-A9625D885057}"/>
            </a:ext>
          </a:extLst>
        </xdr:cNvPr>
        <xdr:cNvSpPr/>
      </xdr:nvSpPr>
      <xdr:spPr>
        <a:xfrm>
          <a:off x="177800" y="283029"/>
          <a:ext cx="5373914" cy="4390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/>
            <a:t>Quantity - In sets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0</xdr:col>
      <xdr:colOff>152399</xdr:colOff>
      <xdr:row>4</xdr:row>
      <xdr:rowOff>139700</xdr:rowOff>
    </xdr:from>
    <xdr:to>
      <xdr:col>9</xdr:col>
      <xdr:colOff>331611</xdr:colOff>
      <xdr:row>14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51739-9014-4890-9A4B-F8B9E6EFE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165099</xdr:colOff>
      <xdr:row>14</xdr:row>
      <xdr:rowOff>152400</xdr:rowOff>
    </xdr:from>
    <xdr:to>
      <xdr:col>9</xdr:col>
      <xdr:colOff>169332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FE8D28-8C34-4BA2-B9A7-F12D66673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126999</xdr:colOff>
      <xdr:row>25</xdr:row>
      <xdr:rowOff>56445</xdr:rowOff>
    </xdr:from>
    <xdr:to>
      <xdr:col>9</xdr:col>
      <xdr:colOff>77610</xdr:colOff>
      <xdr:row>35</xdr:row>
      <xdr:rowOff>18345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A5AD03-6A29-4B7D-BEAB-E65EC14D2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275167</xdr:colOff>
      <xdr:row>36</xdr:row>
      <xdr:rowOff>7055</xdr:rowOff>
    </xdr:from>
    <xdr:to>
      <xdr:col>9</xdr:col>
      <xdr:colOff>42333</xdr:colOff>
      <xdr:row>45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7595C3-8D9B-4BB9-A17D-55618B3AD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227792</xdr:colOff>
      <xdr:row>46</xdr:row>
      <xdr:rowOff>146152</xdr:rowOff>
    </xdr:from>
    <xdr:to>
      <xdr:col>8</xdr:col>
      <xdr:colOff>539244</xdr:colOff>
      <xdr:row>57</xdr:row>
      <xdr:rowOff>89707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B8A745-AA9F-40C9-854E-614C467B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Documents\FNK-Ueno\J11B%3f%3f%3f\X11B%3f%3f\828T\%3f%3f%3f%3f%3f%3f%3f%3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3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_Finance\FY2003%20Monthly\5_Jan.03\Bridge\0131%20Oppama%20U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Documents\FNK-Ueno\J11B&#27966;&#29983;&#36554;\X11B&#27966;&#29983;\828T\&#65402;&#65405;&#65412;&#65411;&#65392;&#65420;&#65438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RESIO\&#19968;&#26178;&#20445;&#23384;\&#26032;&#36554;\&#21407;&#20385;&#27083;&#24819;\NIR\&#27083;&#24819;\NR&#65434;&#65404;&#6539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3-U30&#65423;&#65394;&#65413;&#65392;&#35211;&#31309;&#12418;&#12426;\000114&#20381;&#389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hishek\production%20m&amp;m\June%20-%2010\DOCUME~1\ADMINI~1\LOCALS~1\Temp\Jun'04%20Quality%20Revi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5.2.20\File_Server\SRM\Common\01.%20Org\01.%20SRM%20Meetings\Minutes%20of%20Meeting_SRM_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3\BV1_2\&#20491;&#20154;&#12501;&#12457;&#12523;&#12480;&#12540;\MM&#12523;&#12494;&#12540;\TestB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~1\09146\LOCALS~1\Temp\C.Lotus.Notes.Data\RESIO\&#19968;&#26178;&#20445;&#23384;\&#26032;&#36554;\&#21407;&#20385;&#27083;&#24819;\NIR\&#27083;&#24819;\NR&#65434;&#65404;&#653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Workspace\Programs\Aeolus\Costing-Aeolus-0112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MIFS1\VOL1\coe%20programs\Existing%20program\Sycamore\FINAL%20STAGE\Sycamore-PL2000-STAGE-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MIFS1\VOL1\GM360\GMT360IEdrive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nts%20and%20Settings\Administrator\My%20Documents\ITOFILE\GM\MID2QUOT\Faye's\MSOFFICE\EXCEL\WORK\240031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MT-250\WIL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wvir1\Departments\Users\User\AppData\Local\Microsoft\Windows\Temporary%20Internet%20Files\Content.Outlook\1A95KRLW\PAYENTER%20CHART\PAYNTER_CHART_FOR_AL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-hwf-qad\d\Documents%20and%20Settings\scarlisl\Local%20Settings\Temporary%20Internet%20Files\OLK17\Supplier%20Launch%20Scorecard%20-%20D219%2012-1-03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c\keyop\Opel\Delta\Specials%20Seating\01%20DELTA%20A3300%20ASTRA\Seat%20Engineering%20Book\B%20O%20M\RS\40_20_40\BOM_actual\021028_3300_bom_rs_40_20_40_0080_KFG+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Finance%20Team\docs\FY%201997\PRODGM9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&#65394;&#65437;&#65420;&#65384;&#65414;&#65411;&#65384;&#38306;&#20418;\&#20849;&#36890;&#65420;&#65383;&#65394;&#65433;\&#26448;&#26009;&#20351;&#29992;&#37327;&#65288;&#21407;&#32025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orary%20Internet%20Files\WHQFI7WZ\&#65323;&#65321;&#65332;&#37096;&#30058;&#19968;&#35239;\&#38761;KIT\354\&#26448;&#26009;&#20351;&#29992;&#37327;&#65288;&#21407;&#32025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ue%20Diligence\Dongfeng%20Guangzhou\BusinessPlan-GuangzhouJV-Aeolus-02062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-hwf-qad\d\STA_web\prch_sta_man\doc\Supplier%20Launch%20Scorecard%20-%20VPO%20Version%20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P&amp;S%20NEA\Procurement\Tracking%20List\NEA%20Export%20Actitvity%20Report\07%20TRACKING%20LIST\NEA%20Export%20Activity%20Report(20070820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nsesi\BMW%20-%20E60%20&amp;%20E90%20(DP%20%20Seats)\TEMP\JPQuantum-TM2_priority2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Bridge\20030320%20P06%20Oppama%20Bridg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_Finance\FY2004%20Monthly\P01_Oct.03\20031107%20Receive\20031104%20P01%20Volume%20Analysis%20(Sales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WINDOWS\Temporary%20Internet%20Files\Content.IE5\RFKN6P3A\MUSTANG%20BSAQ%20(8-2003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4200.pd3.ford.com\ford\VC3\DEW98\A_UPDATE\APQPSTAT\HIQRA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MX-350\0825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WINDOWS\Temporary%20Internet%20Files\Content.IE5\RFKN6P3A\MUSTANG%20BSAQ%20(5-2003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&#65353;354&#21271;&#31859;S30-T16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Documents%20and%20Settings\dfuhrman\My%20Documents\ecb\reports\ALL_F6_EARLYCLAIMs_Report_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&#12381;&#12398;&#20182;\&#28879;&#23665;\&#20849;&#36890;&#65420;&#65383;&#65394;&#65433;\199&#38306;&#20418;&#36039;&#26009;\&#28879;&#23665;\&#20849;&#36890;&#65420;&#65383;&#65394;&#65433;\199&#38306;&#20418;&#36039;&#26009;\&#26448;&#26009;&#20351;&#29992;&#37327;&#65288;&#21407;&#32025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RESIO\&#19968;&#26178;&#20445;&#23384;\&#26032;&#36554;\&#21407;&#20385;&#27083;&#24819;\NIR\&#27083;&#24819;\NR&#65434;&#65404;&#6539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0849;&#36890;&#65420;&#65383;&#65394;&#65433;\&#26448;&#26009;&#20351;&#29992;&#37327;&#65288;&#21407;&#32025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199&#19968;&#33324;&#36664;&#20986;&#24037;&#22580;&#25163;&#37197;\&#20849;&#36890;&#65420;&#65383;&#65394;&#65433;\&#65313;&#65299;&#65299;\142&#24037;&#22580;&#25163;&#37197;\142&#24037;&#22580;&#25163;&#37197;&#19968;&#33324;&#36664;&#20986;\&#26448;&#26009;&#20351;&#29992;&#37327;&#65288;&#21407;&#32025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nts%20and%20Settings\09146\My%20Documents\HC_SUV_July2004\PPL_FY05\PPL_FY05-07_CAPEX_FF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ﾊﾟｲﾌﾟ"/>
      <sheetName val="他材料費"/>
      <sheetName val="冷延鋼板"/>
      <sheetName val="熱延鋼板"/>
      <sheetName val="ﾊﾟｲﾌﾟ|_x0013_?_x0013_?"/>
      <sheetName val="冷延鋼板 EAT_0410"/>
      <sheetName val="熱延鋼板 ?_x0013_?_x0013_?u?u"/>
      <sheetName val="①評価項目_メーカー"/>
      <sheetName val="Job header"/>
      <sheetName val="SCH ꒈ_x0012__ O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BOM"/>
      <sheetName val="MRSTE"/>
      <sheetName val="CALIFMAGNO"/>
      <sheetName val="Toolings"/>
      <sheetName val="Overhead"/>
      <sheetName val="packaging &amp; transport"/>
      <sheetName val="Dev cost"/>
      <sheetName val="launch"/>
      <sheetName val="input_product_rooflt Fi"/>
      <sheetName val="問題課題(pattern 3)"/>
      <sheetName val="Summary Value Analysis"/>
      <sheetName val="Process type"/>
      <sheetName val="総括"/>
      <sheetName val="HYO"/>
      <sheetName val="☆書き込み禁止"/>
      <sheetName val="Sheet1"/>
      <sheetName val="型上げ"/>
      <sheetName val="要旨一覧表"/>
      <sheetName val="Report (2)"/>
      <sheetName val="00-1"/>
      <sheetName val="MATERIALS"/>
      <sheetName val="????"/>
      <sheetName val="?????"/>
      <sheetName val="R FJS CAR (old)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ES4"/>
      <sheetName val="NWEA1180"/>
      <sheetName val="272構想書分変動 ME"/>
      <sheetName val="DATA-1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 Quotation"/>
      <sheetName val="#REF"/>
      <sheetName val="表紙(Sen)"/>
      <sheetName val="JT3.0견적-구1"/>
      <sheetName val="N719(NC)"/>
      <sheetName val="품의서"/>
      <sheetName val="List2-1_ModelCode-Local"/>
      <sheetName val="??"/>
      <sheetName val="条件表"/>
      <sheetName val="P IP"/>
      <sheetName val="A_IP(Total)"/>
      <sheetName val="A_CS(Total)"/>
      <sheetName val="Q"/>
      <sheetName val="Q IP"/>
      <sheetName val="模具检具清单"/>
      <sheetName val="Financial Data"/>
      <sheetName val="Quality Data"/>
      <sheetName val="?d?l?? (full-SUV)"/>
      <sheetName val="WJ素材費"/>
      <sheetName val="Env"/>
      <sheetName val="MessageList"/>
      <sheetName val="Color"/>
      <sheetName val="ReportData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ＶＡ"/>
      <sheetName val="sum seat (3V44X)(1,4,5)"/>
      <sheetName val="Engineering Budget"/>
      <sheetName val="PL"/>
      <sheetName val="Manpower "/>
      <sheetName val="CE"/>
      <sheetName val="FA Schedule"/>
      <sheetName val="1283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MM利益・原価企画方針書ｶｸ１"/>
      <sheetName val="Piece Cost"/>
      <sheetName val="Tool Cost"/>
      <sheetName val="05-2"/>
      <sheetName val="原単位表"/>
      <sheetName val="DATA_DELIVERY"/>
      <sheetName val="DATA_HEAD"/>
      <sheetName val="MASTER"/>
      <sheetName val="生産総枠"/>
      <sheetName val="meisyou"/>
      <sheetName val="車体構成"/>
      <sheetName val="厚木工場"/>
      <sheetName val="Datasheet"/>
      <sheetName val="____"/>
      <sheetName val="_____"/>
      <sheetName val="_d_l__ (full-SUV)"/>
      <sheetName val="Sum_Data"/>
      <sheetName val="ＰＬ"/>
      <sheetName val="LISTAS VALIDACION"/>
      <sheetName val="BOM - Engineering"/>
      <sheetName val="__"/>
      <sheetName val="Desglose_de_Cotizac1"/>
      <sheetName val="Cuotas_JD_15_abr_031"/>
      <sheetName val="IMPORT_EXPENSES1"/>
      <sheetName val="COSTOS_C101"/>
      <sheetName val="Protector_Chipping1"/>
      <sheetName val="Guard_Splash1"/>
      <sheetName val="Prt_Fdr1"/>
      <sheetName val="cover_Fr_Under_opc_11"/>
      <sheetName val="cover_Fr_Under_FR1"/>
      <sheetName val="Closing_RR_Bmpr1"/>
      <sheetName val="cover_Cowl_Top1"/>
      <sheetName val="packaging_&amp;_transport"/>
      <sheetName val="Dev_cost"/>
      <sheetName val="SCH_ꒈ_x005f_x0012__x005f_x001c__O"/>
      <sheetName val="SCH_ꒈ_x005f_x0012__x005f_x000d__O"/>
      <sheetName val="SCH_ꒈ_x005f_x0012__x005f_x000a__O"/>
      <sheetName val="熱延鋼板_?_x005f_x0013_?_x005f_x0013_?u?u"/>
      <sheetName val="SCH_ꒈ_x005f_x0012___O"/>
      <sheetName val="熱延鋼板___x005f_x0013___x005f_x0013__u_u"/>
      <sheetName val="272構想書分変動_ME"/>
      <sheetName val="Menu"/>
      <sheetName val="Econ"/>
      <sheetName val="Mat"/>
      <sheetName val="Machine"/>
      <sheetName val="ｺｰﾄﾞ表"/>
      <sheetName val="094_APP別"/>
      <sheetName val="Grille Q3P Organe"/>
      <sheetName val="244豪州一般ZD301生試"/>
      <sheetName val="SM-SA(180K)"/>
      <sheetName val="試作DPロット日程"/>
      <sheetName val="●受注累計"/>
      <sheetName val="square1"/>
      <sheetName val="Titel"/>
      <sheetName val="Hyp"/>
      <sheetName val="構想書原紙"/>
      <sheetName val="Business Plan"/>
      <sheetName val="Croisements (Ai - Ej - Mk) X85"/>
      <sheetName val="LESCI J77"/>
      <sheetName val="ＣＡＭＹ　ＭⅢ"/>
      <sheetName val="事務所引越見積書"/>
      <sheetName val="チーム案2英語"/>
      <sheetName val="Summary"/>
      <sheetName val="List FunctionGroups"/>
      <sheetName val="작성양식"/>
      <sheetName val="CALENDAR'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</sheetNames>
    <sheetDataSet>
      <sheetData sheetId="0">
        <row r="4">
          <cell r="D4" t="str">
            <v>４月</v>
          </cell>
          <cell r="E4" t="str">
            <v>５月</v>
          </cell>
          <cell r="F4" t="str">
            <v>６月</v>
          </cell>
          <cell r="G4" t="str">
            <v>７月</v>
          </cell>
        </row>
        <row r="15">
          <cell r="D15">
            <v>75.298301592049725</v>
          </cell>
          <cell r="E15">
            <v>59.860598605986063</v>
          </cell>
          <cell r="F15">
            <v>52.466270578041836</v>
          </cell>
          <cell r="G15">
            <v>69.757341403272804</v>
          </cell>
        </row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  <row r="19">
          <cell r="D19">
            <v>30.41180576328647</v>
          </cell>
          <cell r="E19">
            <v>18.939035544201598</v>
          </cell>
          <cell r="F19">
            <v>40.722861740314393</v>
          </cell>
          <cell r="G19">
            <v>15.565456175745348</v>
          </cell>
        </row>
        <row r="20">
          <cell r="D20">
            <v>55.971017382922859</v>
          </cell>
          <cell r="E20">
            <v>55.287475951682595</v>
          </cell>
          <cell r="F20">
            <v>55.127491026117099</v>
          </cell>
          <cell r="G20">
            <v>49.064111185832772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"/>
      <sheetName val="?????"/>
    </sheetNames>
    <sheetDataSet>
      <sheetData sheetId="0" refreshError="1">
        <row r="1">
          <cell r="A1" t="str">
            <v>??</v>
          </cell>
          <cell r="B1" t="str">
            <v>????</v>
          </cell>
          <cell r="C1" t="str">
            <v>???????</v>
          </cell>
        </row>
        <row r="2">
          <cell r="A2" t="str">
            <v>HOT</v>
          </cell>
          <cell r="B2">
            <v>357</v>
          </cell>
          <cell r="C2" t="str">
            <v>??</v>
          </cell>
        </row>
        <row r="3">
          <cell r="A3" t="str">
            <v>HR</v>
          </cell>
          <cell r="B3">
            <v>367</v>
          </cell>
          <cell r="C3">
            <v>0.9</v>
          </cell>
          <cell r="D3" t="str">
            <v>??</v>
          </cell>
          <cell r="G3">
            <v>1</v>
          </cell>
        </row>
        <row r="4">
          <cell r="A4" t="str">
            <v>???</v>
          </cell>
          <cell r="B4">
            <v>10</v>
          </cell>
          <cell r="C4">
            <v>0.9</v>
          </cell>
          <cell r="D4" t="str">
            <v>??</v>
          </cell>
          <cell r="E4">
            <v>1.6</v>
          </cell>
          <cell r="F4" t="str">
            <v>??</v>
          </cell>
          <cell r="G4">
            <v>0</v>
          </cell>
        </row>
        <row r="5">
          <cell r="A5" t="str">
            <v>??????</v>
          </cell>
          <cell r="B5">
            <v>4.59</v>
          </cell>
          <cell r="C5">
            <v>1.6</v>
          </cell>
          <cell r="D5" t="str">
            <v>?</v>
          </cell>
          <cell r="E5">
            <v>2.2999999999999998</v>
          </cell>
          <cell r="F5" t="str">
            <v>??</v>
          </cell>
          <cell r="G5">
            <v>1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T???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?????</v>
          </cell>
          <cell r="B16">
            <v>1</v>
          </cell>
        </row>
        <row r="17">
          <cell r="A17" t="str">
            <v>??????</v>
          </cell>
          <cell r="B17">
            <v>1.5</v>
          </cell>
        </row>
      </sheetData>
      <sheetData sheetId="1" refreshError="1">
        <row r="1">
          <cell r="A1" t="str">
            <v>??</v>
          </cell>
          <cell r="B1" t="str">
            <v>??????</v>
          </cell>
          <cell r="C1" t="str">
            <v>???????</v>
          </cell>
          <cell r="H1" t="str">
            <v>??????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??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?</v>
          </cell>
          <cell r="E3">
            <v>1.2</v>
          </cell>
          <cell r="F3" t="str">
            <v>??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?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  <row r="19">
          <cell r="D19">
            <v>30.41180576328647</v>
          </cell>
          <cell r="E19">
            <v>18.939035544201598</v>
          </cell>
          <cell r="F19">
            <v>40.722861740314393</v>
          </cell>
          <cell r="G19">
            <v>15.565456175745348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N719(NC)"/>
      <sheetName val="Titel"/>
      <sheetName val="Hyp"/>
      <sheetName val="PP_Letter_389N"/>
      <sheetName val="構成情報シート"/>
      <sheetName val="Resin_Felt_Parts"/>
      <sheetName val="Flat_Part"/>
      <sheetName val="Headliner"/>
      <sheetName val="MASTER"/>
      <sheetName val="Europe_PU-1"/>
      <sheetName val="Inpanel"/>
      <sheetName val="Interior_Trim"/>
      <sheetName val="Consolidated"/>
      <sheetName val="Supp_List"/>
      <sheetName val="Sheet1"/>
      <sheetName val="ﾊﾟｲﾌﾟ"/>
      <sheetName val="他材料費"/>
      <sheetName val="冷延鋼板"/>
      <sheetName val="熱延鋼板"/>
      <sheetName val="Material Input Status"/>
      <sheetName val="①評価項目_メーカー"/>
      <sheetName val="Labor"/>
      <sheetName val="Kalk_PKO"/>
      <sheetName val="SCH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HUNIT"/>
      <sheetName val="Sheet2"/>
      <sheetName val="添付１"/>
      <sheetName val="Seatbelt Guides"/>
      <sheetName val="Stowage Tray"/>
      <sheetName val="Constant"/>
      <sheetName val="WACC"/>
      <sheetName val="生涯利益計画ｼｰﾄ"/>
      <sheetName val="神奈川生産部"/>
      <sheetName val="Vehicle Parts List"/>
      <sheetName val="RIEPILOGO"/>
      <sheetName val="RFQI"/>
      <sheetName val="99年度原単位"/>
      <sheetName val="１１月"/>
      <sheetName val="３発デ－タ"/>
      <sheetName val="BOM_TOP"/>
      <sheetName val="Material_Input_Status"/>
      <sheetName val="Vehicle_Parts_List"/>
      <sheetName val="推移データ"/>
      <sheetName val="工数集計"/>
      <sheetName val="094_APP別"/>
      <sheetName val="K440 can wake-up logic"/>
      <sheetName val="NCAB"/>
      <sheetName val="Table"/>
      <sheetName val="３月ＫＤ"/>
      <sheetName val="TGT"/>
      <sheetName val="A"/>
      <sheetName val="Apr"/>
      <sheetName val="XV0個人"/>
      <sheetName val="ASSUMPTIONS"/>
      <sheetName val="Assumption"/>
      <sheetName val="暂作价清单"/>
      <sheetName val="Stock Price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Roll Out - Limit"/>
      <sheetName val="Import"/>
      <sheetName val="Europe PU-1"/>
      <sheetName val="事務所引越見積書"/>
      <sheetName val="48810真.xls"/>
      <sheetName val="車会集約"/>
      <sheetName val="全仕向地"/>
      <sheetName val="PROFIL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full (2)"/>
      <sheetName val="TCA"/>
      <sheetName val="fkp"/>
      <sheetName val="材料使用量原紙"/>
      <sheetName val="Ideas Entered"/>
      <sheetName val="総合B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TKBN_TKBNA"/>
      <sheetName val="表紙Ｐ２"/>
      <sheetName val="SUM14ZC1"/>
      <sheetName val="JOB_FO"/>
      <sheetName val="00-1"/>
      <sheetName val="HYO"/>
      <sheetName val="ALPL"/>
      <sheetName val="89"/>
      <sheetName val="square1"/>
      <sheetName val="Build Sheets"/>
      <sheetName val="d&amp;F"/>
      <sheetName val="ETRS"/>
      <sheetName val="MATRIZ POR AREA"/>
      <sheetName val="段ﾎﾞｰﾙ箱図番･荷姿ｺｰﾄﾞ"/>
      <sheetName val="CASHFLOW"/>
      <sheetName val="Sales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SSETS"/>
      <sheetName val="Ref IMM Sizes"/>
      <sheetName val="PLANTS"/>
      <sheetName val="Prog INFO"/>
      <sheetName val="Sq Area INPUT"/>
      <sheetName val="LPIM BLK CALC"/>
      <sheetName val="条件表"/>
      <sheetName val="IAC Quote Processes"/>
      <sheetName val="Neuteileinfo"/>
      <sheetName val="CFLOW"/>
      <sheetName val="A-100전제"/>
      <sheetName val="차체 품안표"/>
      <sheetName val="CUSTOMER (DETAIL)"/>
      <sheetName val="132下実施期GAP"/>
      <sheetName val="BOM系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部品精度"/>
      <sheetName val="ｼｽﾃﾑ設定"/>
      <sheetName val="依頼書　Ｐ１"/>
      <sheetName val="Plan Sheet"/>
      <sheetName val="After Sales Supplier #'s"/>
      <sheetName val="FY99 Volume"/>
      <sheetName val="Tbom-tot"/>
      <sheetName val="Tables"/>
      <sheetName val="ECN-Mold Progress"/>
      <sheetName val="挿入リスト"/>
      <sheetName val="Sep"/>
      <sheetName val="TT (13)"/>
      <sheetName val="AS-A"/>
      <sheetName val="T4-C_CAB"/>
      <sheetName val="New DYNA"/>
      <sheetName val="Forecast"/>
      <sheetName val="生産計画"/>
      <sheetName val="Kapitaleinsatz_&amp;_Umsatz"/>
      <sheetName val="Herstellkosten_(Referenz)"/>
      <sheetName val="Working_Capital"/>
      <sheetName val="K440_can_wake-up_logic"/>
      <sheetName val="tZR_39區分(案)0226"/>
      <sheetName val="集計結果"/>
      <sheetName val="Stamping Tool building Hrs"/>
      <sheetName val="Stamping Burden"/>
      <sheetName val="Parameters"/>
      <sheetName val="391.各"/>
      <sheetName val="原単位表"/>
      <sheetName val="一般"/>
      <sheetName val="管理"/>
      <sheetName val="管理職"/>
      <sheetName val="cover_org"/>
      <sheetName val="原価表"/>
      <sheetName val="基礎ﾃﾞｰﾀ"/>
      <sheetName val="Table Master"/>
      <sheetName val="COST"/>
      <sheetName val="基本（編集禁止）"/>
      <sheetName val="ｺﾝﾄ構想再審査"/>
      <sheetName val="作業中"/>
      <sheetName val="효율계획(당월)"/>
      <sheetName val="전체실적"/>
      <sheetName val="改进计划"/>
      <sheetName val="尾门板总成 "/>
      <sheetName val="Tooling breakdown"/>
      <sheetName val="月度報告書"/>
      <sheetName val="EPW 0630"/>
      <sheetName val="FB sepa S2"/>
      <sheetName val="計算結果"/>
      <sheetName val="車体構成"/>
      <sheetName val="ＴＡ２"/>
      <sheetName val="ﾊﾞﾗﾝｽｼｰﾄ"/>
      <sheetName val="年度予算申請"/>
      <sheetName val="問題課題(pattern 3)"/>
      <sheetName val="Iss-unp"/>
      <sheetName val="Iss-wo"/>
      <sheetName val="Rct-unp"/>
      <sheetName val="JCAE Sale Price"/>
      <sheetName val="R FJS CAR (old)"/>
      <sheetName val="Exploded"/>
      <sheetName val="Exploded End Items"/>
      <sheetName val="Parameters SSR"/>
      <sheetName val="Param"/>
      <sheetName val="Just for calculation"/>
      <sheetName val="01重点管理ｴﾘｱ"/>
      <sheetName val="集計ﾘｽﾄ"/>
      <sheetName val="Package.Presentation"/>
      <sheetName val="W-현원가"/>
      <sheetName val="ptpcost1"/>
      <sheetName val="?????"/>
      <sheetName val="????"/>
      <sheetName val="DV Release"/>
      <sheetName val="Croisements (Ai - Ej - Mk) X85"/>
      <sheetName val="Report Key"/>
      <sheetName val="Portfolio"/>
      <sheetName val="Gates"/>
      <sheetName val="Original ED&amp;D summary"/>
      <sheetName val="Total Income Statement"/>
      <sheetName val="Price J60E6"/>
      <sheetName val="Precios"/>
      <sheetName val="JT3.0견적-구1"/>
      <sheetName val="Summary"/>
      <sheetName val="Laser Weld"/>
      <sheetName val="LOTUS"/>
      <sheetName val="VAC_BLK_CALC_"/>
      <sheetName val="Blank_AQR_(old)"/>
      <sheetName val="CAP_PLAN"/>
      <sheetName val="PKG_&amp;_FRT"/>
      <sheetName val="PROCESS_INFO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"/>
      <sheetName val="Stowage_Tray"/>
      <sheetName val="Stock_Price"/>
      <sheetName val="K440_can_wake-up_logic1"/>
      <sheetName val="full_(2)"/>
      <sheetName val="Ideas_Entered"/>
      <sheetName val="MPL_技連"/>
      <sheetName val="342E_BLOCK"/>
      <sheetName val="PRICE_STRAT_FOR_3F"/>
      <sheetName val="J_or_E"/>
      <sheetName val="Build_Sheets"/>
      <sheetName val="MATRIZ_POR_AREA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진행_DATA_(2)"/>
      <sheetName val="Vol_&amp;_Assumpt"/>
      <sheetName val="Ref_IMM_Sizes"/>
      <sheetName val="Prog_INFO"/>
      <sheetName val="Roll_Out_-_Limit"/>
      <sheetName val="Sq_Area_INPUT"/>
      <sheetName val="LPIM_BLK_CALC"/>
      <sheetName val="IAC_Quote_Processes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Process_Summary"/>
      <sheetName val="Plan_Sheet"/>
      <sheetName val="After_Sales_Supplier_#'s"/>
      <sheetName val="FY99_Volume"/>
      <sheetName val="ECN-Mold_Progress"/>
      <sheetName val="TT_(13)"/>
      <sheetName val="New_DYNA"/>
      <sheetName val="Stamping_Tool_building_Hrs"/>
      <sheetName val="Stamping_Burden"/>
      <sheetName val="391_各"/>
      <sheetName val="Table_Master"/>
      <sheetName val="차체_품안표"/>
      <sheetName val="CUSTOMER_(DETAIL)"/>
      <sheetName val="尾门板总成_"/>
      <sheetName val="Tooling_breakdown"/>
      <sheetName val="EPW_0630"/>
      <sheetName val="FB_sepa_S2"/>
      <sheetName val="問題課題(pattern_3)"/>
      <sheetName val="JCAE_Sale_Price"/>
      <sheetName val="R_FJS_CAR_(old)"/>
      <sheetName val="Exploded_End_Items"/>
      <sheetName val="Parameters_SSR"/>
      <sheetName val="検索条件メイク"/>
      <sheetName val="Volume___Assumptions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#REF!"/>
      <sheetName val="Input Sheet"/>
      <sheetName val="FIN5"/>
      <sheetName val="VTooling"/>
      <sheetName val="BOM"/>
      <sheetName val="Business Plan"/>
      <sheetName val="Purchasing"/>
      <sheetName val="MOTGc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組立費算出シート"/>
      <sheetName val="LCD(SEG)回路組立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Read me first"/>
      <sheetName val="DETA1121ｋｋｋ"/>
      <sheetName val="07実績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进口工装"/>
      <sheetName val="投资"/>
      <sheetName val="mster"/>
      <sheetName val="日程管理表"/>
      <sheetName val="财务计算"/>
      <sheetName val="gds"/>
      <sheetName val="計算ｼｰﾄ"/>
      <sheetName val="B-code"/>
      <sheetName val="E TOPICS"/>
      <sheetName val="Change"/>
      <sheetName val="PREMISAS"/>
      <sheetName val="指数比較"/>
      <sheetName val="Budget"/>
      <sheetName val="Analyst"/>
      <sheetName val="Inputs and Data"/>
      <sheetName val="DEP"/>
      <sheetName val="Degreasing"/>
      <sheetName val="Primer"/>
      <sheetName val="Sandblasting"/>
      <sheetName val="cycle time reduction"/>
      <sheetName val="Base Info"/>
      <sheetName val="Features"/>
      <sheetName val="Feuil1"/>
      <sheetName val="会社情報"/>
      <sheetName val="日程"/>
      <sheetName val="進め方"/>
      <sheetName val="XX98CALB"/>
      <sheetName val="RES"/>
      <sheetName val="DD96.1.18"/>
      <sheetName val="Parameter"/>
      <sheetName val="VARIÁVEIS"/>
      <sheetName val="Reference "/>
      <sheetName val="ﾊﾀﾀﾞ内示"/>
      <sheetName val="702.515.881t"/>
      <sheetName val="資材納入日程表"/>
      <sheetName val="WIRE"/>
      <sheetName val="list"/>
      <sheetName val="Ford"/>
      <sheetName val="TSM6709G"/>
      <sheetName val="WEIGHT"/>
      <sheetName val="MRSTE"/>
      <sheetName val="元データー"/>
      <sheetName val="Data 0101"/>
      <sheetName val="配布版"/>
      <sheetName val="Antivol D2"/>
      <sheetName val=" DATA"/>
      <sheetName val="resume"/>
      <sheetName val="IPL"/>
      <sheetName val="表5-2 地区別CO2排出実績"/>
      <sheetName val="???"/>
      <sheetName val="Materials"/>
      <sheetName val="Price"/>
      <sheetName val="３ドア"/>
      <sheetName val="VIM Data"/>
      <sheetName val="PRIX 2009"/>
      <sheetName val="U3J12"/>
      <sheetName val="Interior Trim"/>
      <sheetName val="部品ﾘｽﾄ"/>
      <sheetName val="ﾀﾘﾌ"/>
      <sheetName val="実績"/>
      <sheetName val="INDEX"/>
      <sheetName val="OPER. SPECS"/>
      <sheetName val="RAW MATERIAL"/>
      <sheetName val="6호기"/>
      <sheetName val="入力表"/>
      <sheetName val="工程別見積り"/>
      <sheetName val="金型サイズ"/>
      <sheetName val="工程別見積り (SP)"/>
      <sheetName val="Std_parts"/>
      <sheetName val="型上げ"/>
      <sheetName val="中実"/>
      <sheetName val="cc 0214 2300"/>
      <sheetName val="LOAD HOURS"/>
      <sheetName val="342A Block"/>
      <sheetName val="部品情報"/>
      <sheetName val="コード表"/>
      <sheetName val="Ideal Cost"/>
      <sheetName val="値マスタ"/>
      <sheetName val="#ofclose"/>
      <sheetName val="Seatbelt_Guides1"/>
      <sheetName val="Stowage_Tray1"/>
      <sheetName val="J_or_E1"/>
      <sheetName val="MATRIZ_POR_AREA1"/>
      <sheetName val="Croisements_(Ai_-_Ej_-_Mk)_X85"/>
      <sheetName val="JT3_0견적-구1"/>
      <sheetName val="Inputs_and_Data"/>
      <sheetName val="Report_Key"/>
      <sheetName val="Original_ED&amp;D_summary"/>
      <sheetName val="Total_Income_Statement"/>
      <sheetName val="Price_J60E6"/>
      <sheetName val="FORM"/>
      <sheetName val="Fert.ablauf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CBD Kolben"/>
      <sheetName val="見積依頼部品一覧"/>
      <sheetName val="電線早見表"/>
      <sheetName val="MB51_MB1A"/>
      <sheetName val="Statistik"/>
      <sheetName val="1-2-1"/>
      <sheetName val="投資利益率計算"/>
      <sheetName val="capacité"/>
      <sheetName val="Sheet5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Coating"/>
      <sheetName val="Material Tables"/>
      <sheetName val="Weld Tool"/>
      <sheetName val="BOM Input"/>
      <sheetName val="Parts List"/>
      <sheetName val="Standards"/>
      <sheetName val="PRESENTATION"/>
      <sheetName val="Workdays"/>
      <sheetName val="ALL PARTS PRICE LIST"/>
      <sheetName val="VA"/>
      <sheetName val="H2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GG S&amp;O List"/>
      <sheetName val="Operating Plan Changes"/>
      <sheetName val="카메라"/>
      <sheetName val="Pre-concept AX0"/>
      <sheetName val="IVP und Afa"/>
      <sheetName val="645a 9-18 PTO 4.3"/>
      <sheetName val="Rules"/>
      <sheetName val="Cover"/>
      <sheetName val="PARAMETRES"/>
      <sheetName val="フォーム1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DEPTEXP"/>
      <sheetName val="201consfdymar"/>
      <sheetName val="SM-13仕様一覧"/>
      <sheetName val="Base"/>
      <sheetName val="Calendar"/>
      <sheetName val="GRN Report 0706- 0307"/>
      <sheetName val="생산"/>
      <sheetName val="Eng"/>
      <sheetName val="参考"/>
      <sheetName val="グラフ"/>
      <sheetName val="Internal"/>
      <sheetName val="Ideas_Entered1"/>
      <sheetName val="PRICE_STRAT_FOR_3F1"/>
      <sheetName val="Plan_Sheet1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Burden 2800"/>
      <sheetName val="Calculations_Parameters"/>
      <sheetName val="MENU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ｉ１１９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Validations"/>
      <sheetName val="신규DEP"/>
      <sheetName val="보고서"/>
      <sheetName val="_____"/>
      <sheetName val="____"/>
      <sheetName val="QOS Graph"/>
      <sheetName val="p2-1"/>
      <sheetName val="Reference"/>
      <sheetName val="AC"/>
      <sheetName val="CC"/>
      <sheetName val="Balance Sheet"/>
      <sheetName val="Fixed Assets"/>
      <sheetName val="MOTOc_x005f_x0000_?_x005f_x0000_?ご?_x005f_x0012_?"/>
      <sheetName val="Offshoring MODEL"/>
      <sheetName val="Sheet4"/>
      <sheetName val="Multiple Choice Data"/>
      <sheetName val="Sub-commodity List"/>
      <sheetName val="생산전망"/>
      <sheetName val="주행"/>
      <sheetName val="현금경비중역"/>
      <sheetName val="협조전"/>
      <sheetName val="SUMSCHED"/>
      <sheetName val="付款单"/>
      <sheetName val="Program Effort matrix"/>
      <sheetName val="Data Source"/>
      <sheetName val="Data Validation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Manufacturing"/>
      <sheetName val="Bid_Sheet"/>
      <sheetName val="Lookup"/>
      <sheetName val="Flächen"/>
      <sheetName val="Maschinen"/>
      <sheetName val="wip-Dec."/>
      <sheetName val="New Prices"/>
      <sheetName val="소유주(원)"/>
      <sheetName val="#Positionsdetails"/>
      <sheetName val="5 UPS Data"/>
      <sheetName val="415T原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ssue destination"/>
      <sheetName val="InternalExternal"/>
      <sheetName val="OCCURRENCE_FACTOR"/>
      <sheetName val="Sheet 0"/>
      <sheetName val="Dictionary"/>
      <sheetName val="Sheet 4 VTL"/>
      <sheetName val="Ｊ３９Ａワースト"/>
      <sheetName val="Definitions"/>
      <sheetName val="PARA74"/>
      <sheetName val="フォーム１"/>
      <sheetName val="SQL"/>
      <sheetName val="Format info"/>
      <sheetName val="表紙"/>
      <sheetName val="MOTOR"/>
      <sheetName val="構想書原紙"/>
      <sheetName val="Dashboard"/>
      <sheetName val="Sheet3"/>
      <sheetName val="ML"/>
      <sheetName val="094W原紙 "/>
      <sheetName val="06年度計画"/>
      <sheetName val="Process means"/>
      <sheetName val="Fixture List"/>
      <sheetName val="Sheet6 (3)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収入(億円)"/>
      <sheetName val="part list C5"/>
      <sheetName val="153W"/>
      <sheetName val="140N Part Local (SE)"/>
      <sheetName val="採否比較金額"/>
      <sheetName val="評価比較件数"/>
      <sheetName val="Key Function in Master FMEA"/>
      <sheetName val="X11EglobalV5"/>
      <sheetName val="①"/>
      <sheetName val="INTRO"/>
      <sheetName val="Makro1"/>
      <sheetName val="11"/>
      <sheetName val="costes internos"/>
      <sheetName val="Projects"/>
      <sheetName val="General Data"/>
      <sheetName val="LCL GENT0.4444,1.8JPN"/>
      <sheetName val="FR管理工程図"/>
      <sheetName val="___"/>
      <sheetName val="Entity"/>
      <sheetName val="H1"/>
      <sheetName val="exp"/>
      <sheetName val="FU"/>
      <sheetName val="Std-RawMat"/>
      <sheetName val="Std-Process"/>
      <sheetName val="Synthèse"/>
      <sheetName val="mix"/>
      <sheetName val="Volumes"/>
      <sheetName val="Sales by Customer"/>
      <sheetName val="Chart Data Formulas"/>
      <sheetName val="Forração PP DE"/>
      <sheetName val="工数比較２"/>
      <sheetName val="i30型まとめ"/>
      <sheetName val="FW_STEXCEL"/>
      <sheetName val="計算DATA"/>
      <sheetName val="HL extract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0604購入先別手配データ"/>
      <sheetName val="MAYANK"/>
      <sheetName val="_MISSION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ECB"/>
      <sheetName val="TASK"/>
      <sheetName val="原価ｾﾝﾀ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CRITERIA5"/>
      <sheetName val="inver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342A_Block"/>
      <sheetName val="Ideal_Cost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UNIT"/>
      <sheetName val="国"/>
      <sheetName val="海"/>
      <sheetName val="Data Table"/>
      <sheetName val="4. Project Plan"/>
      <sheetName val="SLRC"/>
      <sheetName val="オリジナル"/>
      <sheetName val="生産総枠"/>
      <sheetName val="Ear-391"/>
      <sheetName val="Machine"/>
      <sheetName val="083"/>
      <sheetName val="設計通知"/>
      <sheetName val="Variables"/>
      <sheetName val="H16-2設備管理渡辺殿拠出資料1"/>
      <sheetName val="Datenbasis"/>
      <sheetName val="Full list 020425"/>
      <sheetName val="MT_EL-PARTS-LIST"/>
      <sheetName val="上申資料1_2"/>
      <sheetName val="配布"/>
      <sheetName val="上申資料1"/>
      <sheetName val="設備能力"/>
      <sheetName val="見積取纏め表"/>
      <sheetName val="590P追加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Übersicht"/>
      <sheetName val="BURDEN"/>
      <sheetName val="SELL"/>
      <sheetName val="R&amp;D"/>
      <sheetName val="概要"/>
      <sheetName val="01.3.28現在"/>
      <sheetName val="原単位表00"/>
      <sheetName val="Données transversales pays"/>
      <sheetName val="Initialisation"/>
      <sheetName val="C214 9306#25"/>
      <sheetName val="PCQIS Warrty data"/>
      <sheetName val="Table1"/>
      <sheetName val="Plan4"/>
      <sheetName val="1"/>
      <sheetName val="A3C Data"/>
      <sheetName val="勤務ｼﾌﾄﾍﾞｰｽ表 下期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Incr Inv Tool"/>
      <sheetName val="JUL"/>
      <sheetName val="FX"/>
      <sheetName val="Budget base"/>
      <sheetName val="ﾋﾟﾆｵﾝｾﾝｻ1万"/>
      <sheetName val="ＴＰ"/>
      <sheetName val="contents (English)"/>
      <sheetName val="51L2"/>
      <sheetName val="Address"/>
      <sheetName val="機種別実績"/>
      <sheetName val="設変通知書 (E)"/>
      <sheetName val="ﾒｲﾝﾒﾆｭｰ"/>
      <sheetName val="ValidationPoulie"/>
      <sheetName val="Histogram"/>
      <sheetName val="Rev #1 &amp; #2"/>
      <sheetName val="AM 6M 94"/>
      <sheetName val="ｺｽﾄ比較 (総括)"/>
      <sheetName val="item"/>
      <sheetName val="Costs"/>
      <sheetName val="Volume Hypothesis"/>
      <sheetName val="Costing Wave 2 STT"/>
      <sheetName val="Buy"/>
      <sheetName val="BoM (Wave 2)"/>
      <sheetName val="INDICATEURS"/>
      <sheetName val="SUIVI"/>
      <sheetName val="TSA"/>
      <sheetName val="GAMME99"/>
      <sheetName val="Cap'l Input"/>
      <sheetName val="PN LIST (2)"/>
      <sheetName val="APPENDIX_1"/>
      <sheetName val="General"/>
      <sheetName val="PN LIST P33B"/>
      <sheetName val="価格一覧表"/>
      <sheetName val="試作DPロット日程"/>
      <sheetName val="[48810真.xl_x0000__x0000_Glcest"/>
      <sheetName val="[48810真.xls_x0000__x0000__x0000__x0000_"/>
      <sheetName val=""/>
      <sheetName val="_48810真.xl"/>
      <sheetName val="_48810真.xls"/>
      <sheetName val="賃率総括"/>
      <sheetName val="Sheet1 (2)"/>
      <sheetName val="损益表（按单位)01"/>
      <sheetName val="分析(前年)"/>
      <sheetName val="重工償却"/>
      <sheetName val="KVO圖面開示可要收估不決定廠商"/>
      <sheetName val="・・・・"/>
      <sheetName val="・延鋼・"/>
      <sheetName val="熱延鋼・"/>
      <sheetName val="TMMI SEQUOIA 2011"/>
      <sheetName val="選択リスト"/>
      <sheetName val="Issues log"/>
      <sheetName val="一般職評価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価格マスタ"/>
      <sheetName val="部品名称"/>
      <sheetName val="常備・重量"/>
      <sheetName val="company"/>
      <sheetName val="印刷"/>
      <sheetName val="N-T"/>
      <sheetName val="name"/>
      <sheetName val="PSA T7"/>
      <sheetName val="MOTOc__ご_____ご________"/>
      <sheetName val="奖金ok"/>
      <sheetName val="all_OPS2005"/>
      <sheetName val="Invoice Aging"/>
      <sheetName val="Open AP"/>
      <sheetName val="００･ＤＥ Ｍ６２"/>
      <sheetName val="MOTOc__ご_____ご______"/>
      <sheetName val="MOTOc__ご____&gt;ご________"/>
      <sheetName val="入力規制"/>
      <sheetName val="Functions"/>
      <sheetName val="PTR台손익"/>
      <sheetName val="熱効率変化計算"/>
      <sheetName val="needs"/>
      <sheetName val="140 loabor"/>
      <sheetName val="SM-SA(180K)"/>
      <sheetName val="KR282ﾚｼﾞﾝ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償却前提"/>
      <sheetName val="隠し"/>
      <sheetName val="415T戟L"/>
      <sheetName val="WIBLE"/>
      <sheetName val="screw"/>
      <sheetName val="ソフト性能比較_詳細"/>
      <sheetName val="索赔（按车型）A4"/>
      <sheetName val="销售收入A4"/>
      <sheetName val="TABLO-3"/>
      <sheetName val="DAILYPACE"/>
      <sheetName val="Result"/>
      <sheetName val="_00N_Off_Tool_Outlook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TONGKE-HT"/>
      <sheetName val="TEMP"/>
      <sheetName val="MOTOc__ご____&gt;ご______"/>
      <sheetName val="Sheet1 (7)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加工ZV"/>
      <sheetName val="04下常備データ"/>
      <sheetName val="設備Pe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FBC86-07"/>
      <sheetName val="DATA SHEET"/>
      <sheetName val="10-21_23個_金曜日　"/>
      <sheetName val="Point 2"/>
      <sheetName val="(7. FR &amp; RR axle mass)"/>
      <sheetName val="set date"/>
      <sheetName val="8-3"/>
      <sheetName val="5"/>
      <sheetName val="MONTHLY"/>
      <sheetName val="GMX 002"/>
      <sheetName val="Log_Parameters"/>
      <sheetName val="Config&amp;Parm"/>
      <sheetName val="Functional Milest #3 Checklist"/>
      <sheetName val="SupplierInf"/>
      <sheetName val="4CB-STD"/>
      <sheetName val="Input of fleet retail vol. "/>
      <sheetName val="PAKAGE4362"/>
      <sheetName val="작성양식"/>
      <sheetName val="표지"/>
      <sheetName val="Env"/>
      <sheetName val="Vorgaben Lüneburg"/>
      <sheetName val="major"/>
      <sheetName val="M1master"/>
      <sheetName val="二.POSITION.XLS"/>
      <sheetName val="CAMERA"/>
      <sheetName val="Search Conditions"/>
      <sheetName val="参数表"/>
      <sheetName val="??"/>
      <sheetName val="3RD(10)△4"/>
      <sheetName val="WJ素材費"/>
      <sheetName val="Cross Charge Forecast"/>
      <sheetName val="X11C Parts List"/>
      <sheetName val="SCS III"/>
      <sheetName val="Synthesis"/>
      <sheetName val="115円ﾍﾞｰｽ"/>
      <sheetName val="Langues"/>
      <sheetName val="BOM Compile"/>
      <sheetName val="Lookups"/>
      <sheetName val="2-row_Opt_table"/>
      <sheetName val="HKKalk280100 modifiziert"/>
      <sheetName val="Codes - NNA - 04.27.01 logic"/>
      <sheetName val="T30ﾗｼﾞｸﾞﾘ"/>
      <sheetName val="UP1"/>
      <sheetName val="UP3"/>
      <sheetName val="Kautex 4WD St.IV P&amp;D"/>
      <sheetName val="Sachs FL WHL"/>
      <sheetName val="List2-1_ModelCode-Local"/>
      <sheetName val="Basis"/>
      <sheetName val="展開用Δ7"/>
      <sheetName val="PSKF"/>
      <sheetName val="#ofclose .xl"/>
      <sheetName val="売単価"/>
      <sheetName val="Calcul"/>
      <sheetName val="HEV Price Walk"/>
      <sheetName val="QOS RPPM"/>
      <sheetName val="APPLICATION"/>
      <sheetName val="Sales Forecast 9th APRIL 04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 refreshError="1"/>
      <sheetData sheetId="14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pcos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冷延鋼板 EAT_0410"/>
      <sheetName val="熱延鋼板 ?_x0013_?_x0013_?u?u"/>
      <sheetName val="ﾊﾟｲﾌﾟ|_x0013_?_x0013_?"/>
      <sheetName val="他材料費_x0000_?_x0013_?_x0013_?u?u"/>
    </sheetNames>
    <sheetDataSet>
      <sheetData sheetId="0" refreshError="1">
        <row r="1">
          <cell r="A1" t="str">
            <v>ベース価格</v>
          </cell>
          <cell r="C1" t="str">
            <v>板厚ｴｷｽﾄﾗ</v>
          </cell>
        </row>
        <row r="2">
          <cell r="A2" t="str">
            <v>材質</v>
          </cell>
          <cell r="B2" t="str">
            <v>ﾍﾞｰｽ価格</v>
          </cell>
          <cell r="C2" t="str">
            <v>板厚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</v>
          </cell>
          <cell r="E4">
            <v>1.6</v>
          </cell>
          <cell r="F4" t="str">
            <v>以下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</v>
          </cell>
          <cell r="E5">
            <v>2.2999999999999998</v>
          </cell>
          <cell r="F5" t="str">
            <v>以下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1" refreshError="1">
        <row r="1">
          <cell r="A1" t="str">
            <v>ベース価格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</sheetData>
      <sheetData sheetId="2" refreshError="1">
        <row r="1">
          <cell r="A1" t="str">
            <v>材質</v>
          </cell>
          <cell r="B1" t="str">
            <v>ﾍﾞｰｽ価格</v>
          </cell>
          <cell r="C1" t="str">
            <v>板厚ｴｷｽﾄﾗ</v>
          </cell>
          <cell r="H1" t="str">
            <v>径ｴｷｽﾄﾗ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以下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</v>
          </cell>
          <cell r="E3">
            <v>1.2</v>
          </cell>
          <cell r="F3" t="str">
            <v>以下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3" refreshError="1">
        <row r="1">
          <cell r="A1" t="str">
            <v>材質</v>
          </cell>
          <cell r="B1" t="str">
            <v>材料建値</v>
          </cell>
        </row>
        <row r="2">
          <cell r="A2" t="str">
            <v>HOT</v>
          </cell>
          <cell r="B2">
            <v>357</v>
          </cell>
        </row>
        <row r="3">
          <cell r="A3" t="str">
            <v>HR</v>
          </cell>
          <cell r="B3">
            <v>367</v>
          </cell>
        </row>
        <row r="4">
          <cell r="A4" t="str">
            <v>離型剤</v>
          </cell>
          <cell r="B4">
            <v>10</v>
          </cell>
        </row>
        <row r="5">
          <cell r="A5" t="str">
            <v>ｽｸﾗｯﾌﾟ</v>
          </cell>
          <cell r="B5">
            <v>4.59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Tﾅｯﾄ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ｸﾘｯﾌﾟ</v>
          </cell>
          <cell r="B16">
            <v>1</v>
          </cell>
        </row>
        <row r="17">
          <cell r="A17" t="str">
            <v>枠ｸﾘｯﾌﾟ</v>
          </cell>
          <cell r="B17">
            <v>1.5</v>
          </cell>
        </row>
      </sheetData>
      <sheetData sheetId="4" refreshError="1">
        <row r="1">
          <cell r="A1" t="str">
            <v>ベース価格_x0000__x0000__x0000__x0000__x0000_</v>
          </cell>
          <cell r="C1" t="str">
            <v>板厚ｴｷｽﾄﾗ_x0000__x0000_</v>
          </cell>
        </row>
        <row r="2">
          <cell r="A2" t="str">
            <v>材質_x0000__x0000_</v>
          </cell>
          <cell r="B2" t="str">
            <v>ﾍﾞｰｽ価格_x0000__x0000_</v>
          </cell>
          <cell r="C2" t="str">
            <v>板厚_x0000__x0000_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未満_x0000__x0000_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以上_x0000__x0000_</v>
          </cell>
          <cell r="E4">
            <v>1.6</v>
          </cell>
          <cell r="F4" t="str">
            <v>以下_x0000__x0000_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超_x0000_</v>
          </cell>
          <cell r="E5">
            <v>2.2999999999999998</v>
          </cell>
          <cell r="F5" t="str">
            <v>以下_x0000__x0000_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5" refreshError="1">
        <row r="1">
          <cell r="A1" t="str">
            <v>ベース価格_x0000__x0000__x0000__x0000__x0000_</v>
          </cell>
        </row>
        <row r="2">
          <cell r="A2" t="str">
            <v>材質_x0000__x0000_</v>
          </cell>
          <cell r="B2" t="str">
            <v>ﾍﾞｰｽ価格_x0000__x0000_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</sheetData>
      <sheetData sheetId="6" refreshError="1">
        <row r="1">
          <cell r="A1" t="str">
            <v>材質_x0000__x0000_</v>
          </cell>
          <cell r="B1" t="str">
            <v>ﾍﾞｰｽ価格_x0000__x0000_</v>
          </cell>
          <cell r="C1" t="str">
            <v>板厚ｴｷｽﾄﾗ_x0000__x0000_</v>
          </cell>
          <cell r="H1" t="str">
            <v>径ｴｷｽﾄﾗ_x0000_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以下_x0000__x0000_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超_x0000_</v>
          </cell>
          <cell r="E3">
            <v>1.2</v>
          </cell>
          <cell r="F3" t="str">
            <v>以下_x0000__x0000_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超_x0000_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</sheetNames>
    <sheetDataSet>
      <sheetData sheetId="0">
        <row r="15">
          <cell r="D15">
            <v>75.298301592049725</v>
          </cell>
          <cell r="E15">
            <v>59.860598605986063</v>
          </cell>
          <cell r="F15">
            <v>52.466270578041836</v>
          </cell>
          <cell r="G15">
            <v>69.757341403272804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報告書"/>
      <sheetName val="工数差表"/>
      <sheetName val="CD-NO一覧"/>
      <sheetName val="ＣⅡ"/>
      <sheetName val="ﾄﾘﾑｶﾊﾞｰ使用量一覧表"/>
      <sheetName val="裁断MT"/>
      <sheetName val="算出一覧Ｃ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Ten Dies"/>
      <sheetName val="dIE TRIALS"/>
      <sheetName val="mEGNATRON STUDY"/>
      <sheetName val="Screw Size"/>
      <sheetName val="DE Scalling Schedule"/>
      <sheetName val=" extrusion review"/>
      <sheetName val=" Defects"/>
      <sheetName val="Telco"/>
      <sheetName val="Maruti"/>
      <sheetName val="M&amp;M"/>
      <sheetName val="HONDA"/>
      <sheetName val="Toyota"/>
      <sheetName val="Sheet1"/>
      <sheetName val="Customer Visit Feedback on Qual"/>
      <sheetName val="Minutes action points"/>
      <sheetName val="MIX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 Agenda"/>
      <sheetName val="02. Attendance"/>
      <sheetName val="03. Protocol"/>
    </sheetNames>
    <sheetDataSet>
      <sheetData sheetId="0" refreshError="1"/>
      <sheetData sheetId="1">
        <row r="14">
          <cell r="C14" t="str">
            <v>Bento, Eduardo - SRM</v>
          </cell>
        </row>
        <row r="15">
          <cell r="C15" t="str">
            <v>Werle, Dieter - SRM</v>
          </cell>
        </row>
        <row r="16">
          <cell r="C16" t="str">
            <v>Patil, Prashant - SRM</v>
          </cell>
        </row>
        <row r="17">
          <cell r="C17" t="str">
            <v>Balachandran, Nishath - SRM</v>
          </cell>
        </row>
        <row r="18">
          <cell r="C18" t="str">
            <v>Patil, Dinkar - SRM</v>
          </cell>
        </row>
        <row r="19">
          <cell r="C19" t="str">
            <v>Patil, Preetish - SRM</v>
          </cell>
        </row>
        <row r="20">
          <cell r="C20" t="str">
            <v>Saravanan, Janakiraman - SRM</v>
          </cell>
        </row>
        <row r="21">
          <cell r="C21" t="str">
            <v>Patil, Manoj - SRM</v>
          </cell>
        </row>
        <row r="22">
          <cell r="C22" t="str">
            <v>Joseph, Jijo - SRM</v>
          </cell>
        </row>
        <row r="23">
          <cell r="C23" t="str">
            <v>Dundappa, Paramaj - SRM</v>
          </cell>
        </row>
        <row r="24">
          <cell r="C24" t="str">
            <v>Kandage, Vijay - SRM</v>
          </cell>
        </row>
        <row r="26">
          <cell r="C26" t="str">
            <v>Chandraratne, Tim - SRM</v>
          </cell>
        </row>
        <row r="27">
          <cell r="C27" t="str">
            <v>Agasar, Mahesh - SRM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</sheetNames>
    <definedNames>
      <definedName name="BM_XRateEdit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Seat-JIT"/>
      <sheetName val="Seat-JIT-LTA"/>
      <sheetName val="Trim"/>
      <sheetName val="Foam"/>
      <sheetName val="Rate-JIT"/>
      <sheetName val="Material"/>
      <sheetName val="Foam (2)"/>
    </sheetNames>
    <sheetDataSet>
      <sheetData sheetId="0" refreshError="1">
        <row r="4">
          <cell r="B4" t="str">
            <v>Aeolus 风神</v>
          </cell>
        </row>
        <row r="6">
          <cell r="B6" t="str">
            <v>Aeolus III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 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or"/>
      <sheetName val="validation 1"/>
      <sheetName val="N719(NC)"/>
      <sheetName val="Datelookup"/>
      <sheetName val="CI 6P with orig Chart 1 format"/>
      <sheetName val="Commercial Issues"/>
      <sheetName val="Labor"/>
      <sheetName val="Salary"/>
      <sheetName val="SWB Validation Worksheet"/>
      <sheetName val="設計通知"/>
      <sheetName val="SOW"/>
      <sheetName val="①評価項目_メーカー"/>
      <sheetName val="BOM Compile"/>
      <sheetName val="Data"/>
      <sheetName val="FY04-06 Spend"/>
      <sheetName val="Header"/>
      <sheetName val="USD"/>
      <sheetName val="Worksheet"/>
      <sheetName val="FOB현황"/>
      <sheetName val="Cover"/>
      <sheetName val="Summary 1"/>
      <sheetName val="DEN"/>
      <sheetName val="input"/>
      <sheetName val="Exch"/>
      <sheetName val="기안"/>
      <sheetName val="Index"/>
      <sheetName val="volume &amp; rate"/>
      <sheetName val="CASH FLOW"/>
      <sheetName val="Träger upper LH"/>
      <sheetName val="Original ED&amp;D summary"/>
      <sheetName val="validation_1"/>
      <sheetName val="CI_6P_with_orig_Chart_1_format"/>
      <sheetName val="Commercial_Issues"/>
      <sheetName val="SWB_Validation_Worksheet"/>
      <sheetName val="Sheet1"/>
      <sheetName val="Param"/>
      <sheetName val="Anual Detail"/>
      <sheetName val="材料使用量原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AT"/>
      <sheetName val="DIFFCASE"/>
      <sheetName val="FORD"/>
      <sheetName val="ALN"/>
      <sheetName val="GM"/>
      <sheetName val="HALDEX"/>
      <sheetName val="HONDA"/>
      <sheetName val="ILJIN"/>
      <sheetName val="MAHENDRA"/>
      <sheetName val="MARUTHI"/>
      <sheetName val="RENAULT NISSAN"/>
      <sheetName val="VOLKSWAGEN"/>
      <sheetName val="TOYOTA"/>
      <sheetName val="VOL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pager"/>
      <sheetName val="Input Sheet"/>
      <sheetName val="PSW Elements"/>
      <sheetName val="AIMS Worksheet"/>
      <sheetName val="FCPA Worksheet"/>
      <sheetName val="Analysi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_40_20_40"/>
      <sheetName val="Chart"/>
      <sheetName val="KM"/>
      <sheetName val="Hinweise"/>
    </sheetNames>
    <sheetDataSet>
      <sheetData sheetId="0" refreshError="1">
        <row r="2">
          <cell r="A2" t="str">
            <v>Pos</v>
          </cell>
          <cell r="B2" t="str">
            <v>Level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 t="str">
            <v>Beschreibung</v>
          </cell>
          <cell r="M2" t="str">
            <v>Part No</v>
          </cell>
          <cell r="N2" t="str">
            <v>JC-Level</v>
          </cell>
          <cell r="O2" t="str">
            <v>OEM Part No.</v>
          </cell>
          <cell r="P2" t="str">
            <v>OEM Part Rev.</v>
          </cell>
          <cell r="Q2" t="str">
            <v>Stk</v>
          </cell>
          <cell r="R2" t="str">
            <v>stk_var</v>
          </cell>
          <cell r="S2" t="str">
            <v>deep</v>
          </cell>
          <cell r="T2" t="str">
            <v>COP</v>
          </cell>
          <cell r="U2" t="str">
            <v>KFG</v>
          </cell>
          <cell r="V2" t="str">
            <v>KFG</v>
          </cell>
          <cell r="W2" t="str">
            <v>JC Drawing Number</v>
          </cell>
          <cell r="X2" t="str">
            <v>JC Drawing Level</v>
          </cell>
          <cell r="Y2" t="str">
            <v>OEM Drawing Number</v>
          </cell>
          <cell r="Z2" t="str">
            <v>OEM Drawing Level</v>
          </cell>
          <cell r="AA2" t="str">
            <v>Project</v>
          </cell>
          <cell r="AB2" t="str">
            <v>Status</v>
          </cell>
          <cell r="AC2" t="str">
            <v>IR</v>
          </cell>
          <cell r="AD2" t="str">
            <v>CA (Release)</v>
          </cell>
          <cell r="AE2" t="str">
            <v>Release Date</v>
          </cell>
          <cell r="AF2" t="str">
            <v>Weight</v>
          </cell>
          <cell r="AG2" t="str">
            <v>Material</v>
          </cell>
          <cell r="AH2" t="str">
            <v>Colour Type</v>
          </cell>
          <cell r="AI2" t="str">
            <v>Colour Code</v>
          </cell>
          <cell r="AJ2" t="str">
            <v>D-Part</v>
          </cell>
          <cell r="AK2" t="str">
            <v>E-Part</v>
          </cell>
          <cell r="AL2" t="str">
            <v>Supplier</v>
          </cell>
          <cell r="AM2" t="str">
            <v>Supplier Part Number</v>
          </cell>
          <cell r="AN2" t="str">
            <v>Supplier Code</v>
          </cell>
          <cell r="AO2" t="str">
            <v>UPC</v>
          </cell>
          <cell r="AP2" t="str">
            <v>FNA</v>
          </cell>
          <cell r="AQ2" t="str">
            <v>KIT-No</v>
          </cell>
          <cell r="AR2" t="str">
            <v>RH/LH</v>
          </cell>
          <cell r="AS2" t="str">
            <v>JIT - Level
BO/GE</v>
          </cell>
          <cell r="AT2" t="str">
            <v>Verantwortung</v>
          </cell>
          <cell r="AU2" t="str">
            <v>-COP
-DIN
-New
-Norm(GM)</v>
          </cell>
          <cell r="AW2" t="str">
            <v>-Metal
-Plastic
-Schaum
-Trim</v>
          </cell>
          <cell r="AX2" t="str">
            <v>-ASM
-PART</v>
          </cell>
          <cell r="AY2" t="str">
            <v>OEM Part No. OLD</v>
          </cell>
          <cell r="AZ2" t="str">
            <v>OEM Drawing No OLD</v>
          </cell>
          <cell r="BA2" t="str">
            <v>Bemerkung</v>
          </cell>
          <cell r="BB2" t="str">
            <v>NAME (Link)</v>
          </cell>
        </row>
        <row r="3">
          <cell r="A3">
            <v>1</v>
          </cell>
          <cell r="B3">
            <v>1</v>
          </cell>
          <cell r="C3" t="str">
            <v>ASM R/SEAT 40/20/40</v>
          </cell>
          <cell r="M3" t="str">
            <v>291318</v>
          </cell>
          <cell r="N3" t="str">
            <v>B</v>
          </cell>
          <cell r="O3" t="str">
            <v>ACA47936</v>
          </cell>
          <cell r="Q3">
            <v>1</v>
          </cell>
          <cell r="R3">
            <v>1</v>
          </cell>
          <cell r="S3">
            <v>9</v>
          </cell>
          <cell r="T3" t="str">
            <v>NO</v>
          </cell>
          <cell r="W3" t="str">
            <v>291318</v>
          </cell>
          <cell r="X3" t="str">
            <v>B</v>
          </cell>
          <cell r="Y3" t="str">
            <v>ACA47936</v>
          </cell>
          <cell r="AA3" t="str">
            <v>GM_A3300</v>
          </cell>
          <cell r="AB3" t="str">
            <v>R</v>
          </cell>
          <cell r="AD3">
            <v>120694</v>
          </cell>
          <cell r="AE3">
            <v>37492</v>
          </cell>
          <cell r="AF3">
            <v>26.693580000000004</v>
          </cell>
          <cell r="AG3">
            <v>26.693580000000004</v>
          </cell>
          <cell r="AH3"/>
          <cell r="AJ3"/>
          <cell r="AL3" t="str">
            <v>-</v>
          </cell>
          <cell r="AR3" t="str">
            <v>-</v>
          </cell>
          <cell r="AS3" t="str">
            <v>-</v>
          </cell>
          <cell r="AT3" t="str">
            <v>40/20/40</v>
          </cell>
          <cell r="AU3" t="str">
            <v>NEW</v>
          </cell>
          <cell r="AV3" t="str">
            <v>-</v>
          </cell>
          <cell r="AW3" t="str">
            <v>-</v>
          </cell>
          <cell r="AX3" t="str">
            <v>A</v>
          </cell>
          <cell r="AY3" t="str">
            <v>-</v>
          </cell>
          <cell r="AZ3" t="str">
            <v>-</v>
          </cell>
          <cell r="BB3" t="str">
            <v>ASM R/SEAT 40/20/40</v>
          </cell>
        </row>
        <row r="4">
          <cell r="A4">
            <v>2</v>
          </cell>
          <cell r="B4">
            <v>2</v>
          </cell>
          <cell r="D4" t="str">
            <v>PANEL ASM-R/SEAT BK CUSH - LEHNE Z-HIRUECK</v>
          </cell>
          <cell r="L4" t="str">
            <v xml:space="preserve"> </v>
          </cell>
          <cell r="M4" t="str">
            <v>291319</v>
          </cell>
          <cell r="N4" t="str">
            <v>E</v>
          </cell>
          <cell r="O4" t="str">
            <v>ACA95904</v>
          </cell>
          <cell r="Q4">
            <v>1</v>
          </cell>
          <cell r="R4">
            <v>1</v>
          </cell>
          <cell r="S4">
            <v>9</v>
          </cell>
          <cell r="T4" t="str">
            <v>NO</v>
          </cell>
          <cell r="W4" t="str">
            <v>291319</v>
          </cell>
          <cell r="X4" t="str">
            <v>E</v>
          </cell>
          <cell r="Y4" t="str">
            <v>ACA95904</v>
          </cell>
          <cell r="AA4" t="str">
            <v>GM_A3300</v>
          </cell>
          <cell r="AB4" t="str">
            <v>R</v>
          </cell>
          <cell r="AD4">
            <v>119291</v>
          </cell>
          <cell r="AE4">
            <v>37492</v>
          </cell>
          <cell r="AF4">
            <v>9.463000000000001</v>
          </cell>
          <cell r="AG4" t="str">
            <v>N/A</v>
          </cell>
          <cell r="AH4"/>
          <cell r="AJ4"/>
          <cell r="AL4" t="str">
            <v>-</v>
          </cell>
          <cell r="AO4" t="str">
            <v>1C8J</v>
          </cell>
          <cell r="AP4" t="str">
            <v>0330A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40/20/40</v>
          </cell>
          <cell r="AU4" t="str">
            <v>NEW</v>
          </cell>
          <cell r="AV4" t="str">
            <v>-</v>
          </cell>
          <cell r="AW4" t="str">
            <v>-</v>
          </cell>
          <cell r="AX4" t="str">
            <v>A</v>
          </cell>
          <cell r="AY4" t="str">
            <v>AHH04962</v>
          </cell>
          <cell r="AZ4" t="str">
            <v>AHH04962</v>
          </cell>
          <cell r="BB4" t="str">
            <v>PANEL ASM-R/SEAT BK CUSH - LEHNE Z-HIRUECK</v>
          </cell>
        </row>
        <row r="5">
          <cell r="A5">
            <v>3</v>
          </cell>
          <cell r="B5">
            <v>3</v>
          </cell>
          <cell r="C5" t="str">
            <v>1</v>
          </cell>
          <cell r="E5" t="str">
            <v>PANEL ASM-R/SEAT BK CUSH - LEHNE Z-HIRUECK</v>
          </cell>
          <cell r="L5" t="str">
            <v>Auslieferungszustand LAHN (KFG)</v>
          </cell>
          <cell r="M5" t="str">
            <v>345005</v>
          </cell>
          <cell r="N5" t="str">
            <v>A</v>
          </cell>
          <cell r="O5" t="str">
            <v>13148134</v>
          </cell>
          <cell r="Q5">
            <v>1</v>
          </cell>
          <cell r="R5">
            <v>1</v>
          </cell>
          <cell r="S5">
            <v>9</v>
          </cell>
          <cell r="T5" t="str">
            <v>NO</v>
          </cell>
          <cell r="U5">
            <v>3</v>
          </cell>
          <cell r="V5" t="str">
            <v>063</v>
          </cell>
          <cell r="W5" t="str">
            <v>345005</v>
          </cell>
          <cell r="X5" t="str">
            <v>A</v>
          </cell>
          <cell r="Y5" t="str">
            <v>13148134</v>
          </cell>
          <cell r="AA5" t="str">
            <v>GM_A3300</v>
          </cell>
          <cell r="AB5" t="str">
            <v>C</v>
          </cell>
          <cell r="AD5">
            <v>126143</v>
          </cell>
          <cell r="AF5">
            <v>5.3159999999999998</v>
          </cell>
          <cell r="AG5" t="str">
            <v>N/A</v>
          </cell>
          <cell r="AL5" t="str">
            <v>-</v>
          </cell>
          <cell r="AO5" t="str">
            <v>1C8J</v>
          </cell>
          <cell r="AP5" t="str">
            <v>0330A</v>
          </cell>
          <cell r="AQ5">
            <v>13116918</v>
          </cell>
          <cell r="AR5" t="str">
            <v>-</v>
          </cell>
          <cell r="AS5" t="str">
            <v>JC</v>
          </cell>
          <cell r="AT5" t="str">
            <v>40/20/40</v>
          </cell>
          <cell r="AU5" t="str">
            <v>NEW</v>
          </cell>
          <cell r="AV5" t="str">
            <v>-</v>
          </cell>
          <cell r="AW5" t="str">
            <v>-</v>
          </cell>
          <cell r="AX5" t="str">
            <v>A</v>
          </cell>
          <cell r="AY5" t="str">
            <v>-</v>
          </cell>
          <cell r="AZ5" t="str">
            <v>-</v>
          </cell>
          <cell r="BB5" t="str">
            <v>PANEL ASM-R/SEAT BK CUSH - LEHNE Z-HIRUECK</v>
          </cell>
        </row>
        <row r="6">
          <cell r="A6">
            <v>4</v>
          </cell>
          <cell r="B6">
            <v>4</v>
          </cell>
          <cell r="C6" t="str">
            <v>2</v>
          </cell>
          <cell r="F6" t="str">
            <v>PANEL ASM-R/SEAT BK CUSH - LEHNE Z-HIRUECK</v>
          </cell>
          <cell r="L6" t="str">
            <v xml:space="preserve"> </v>
          </cell>
          <cell r="M6" t="str">
            <v>291320</v>
          </cell>
          <cell r="N6" t="str">
            <v>F</v>
          </cell>
          <cell r="O6" t="str">
            <v>13146982</v>
          </cell>
          <cell r="Q6">
            <v>1</v>
          </cell>
          <cell r="R6">
            <v>1</v>
          </cell>
          <cell r="S6">
            <v>9</v>
          </cell>
          <cell r="T6" t="str">
            <v>NO</v>
          </cell>
          <cell r="U6" t="str">
            <v>1</v>
          </cell>
          <cell r="V6" t="str">
            <v>063</v>
          </cell>
          <cell r="W6" t="str">
            <v>291320</v>
          </cell>
          <cell r="X6" t="str">
            <v>F</v>
          </cell>
          <cell r="Y6" t="str">
            <v>ACA54349</v>
          </cell>
          <cell r="Z6" t="str">
            <v>NO-DWG</v>
          </cell>
          <cell r="AA6" t="str">
            <v>GM_A3300</v>
          </cell>
          <cell r="AB6" t="str">
            <v>C</v>
          </cell>
          <cell r="AD6">
            <v>126884</v>
          </cell>
          <cell r="AF6">
            <v>4.3629999999999995</v>
          </cell>
          <cell r="AG6" t="str">
            <v>N/A</v>
          </cell>
          <cell r="AH6"/>
          <cell r="AJ6"/>
          <cell r="AL6" t="str">
            <v>-</v>
          </cell>
          <cell r="AO6" t="str">
            <v>1C8J</v>
          </cell>
          <cell r="AP6" t="str">
            <v>0330A</v>
          </cell>
          <cell r="AQ6">
            <v>13116918</v>
          </cell>
          <cell r="AR6" t="str">
            <v>-</v>
          </cell>
          <cell r="AS6" t="str">
            <v>-</v>
          </cell>
          <cell r="AT6" t="str">
            <v>40/20/40</v>
          </cell>
          <cell r="AU6" t="str">
            <v>NEW</v>
          </cell>
          <cell r="AV6" t="str">
            <v>-</v>
          </cell>
          <cell r="AW6" t="str">
            <v>M</v>
          </cell>
          <cell r="AX6" t="str">
            <v>A</v>
          </cell>
          <cell r="AY6" t="str">
            <v>ACA54349</v>
          </cell>
          <cell r="AZ6" t="str">
            <v>-</v>
          </cell>
          <cell r="BB6" t="str">
            <v>PANEL ASM-R/SEAT BK CUSH - LEHNE Z-HIRUECK</v>
          </cell>
        </row>
        <row r="7">
          <cell r="A7">
            <v>5</v>
          </cell>
          <cell r="B7">
            <v>5</v>
          </cell>
          <cell r="G7" t="str">
            <v>PANEL ASM-R/SEAT BK CUSH - LEHNE Z-HIRUECK</v>
          </cell>
          <cell r="L7" t="str">
            <v xml:space="preserve"> </v>
          </cell>
          <cell r="M7" t="str">
            <v>291321</v>
          </cell>
          <cell r="N7" t="str">
            <v>F</v>
          </cell>
          <cell r="O7" t="str">
            <v>13154328</v>
          </cell>
          <cell r="Q7">
            <v>1</v>
          </cell>
          <cell r="R7">
            <v>1</v>
          </cell>
          <cell r="S7">
            <v>9</v>
          </cell>
          <cell r="T7" t="str">
            <v>NO</v>
          </cell>
          <cell r="U7">
            <v>1</v>
          </cell>
          <cell r="V7" t="str">
            <v>063</v>
          </cell>
          <cell r="W7" t="str">
            <v>291321</v>
          </cell>
          <cell r="X7" t="str">
            <v>F</v>
          </cell>
          <cell r="Y7" t="str">
            <v>ACA53826</v>
          </cell>
          <cell r="Z7" t="str">
            <v>NO-DWG</v>
          </cell>
          <cell r="AA7" t="str">
            <v>GM_A3300</v>
          </cell>
          <cell r="AB7" t="str">
            <v>C</v>
          </cell>
          <cell r="AD7">
            <v>126884</v>
          </cell>
          <cell r="AF7">
            <v>2.6859999999999999</v>
          </cell>
          <cell r="AG7" t="str">
            <v>N/A</v>
          </cell>
          <cell r="AH7"/>
          <cell r="AJ7"/>
          <cell r="AK7"/>
          <cell r="AL7" t="str">
            <v>-</v>
          </cell>
          <cell r="AO7" t="str">
            <v>1C8J</v>
          </cell>
          <cell r="AP7" t="str">
            <v>0330A</v>
          </cell>
          <cell r="AQ7">
            <v>13116918</v>
          </cell>
          <cell r="AR7" t="str">
            <v>-</v>
          </cell>
          <cell r="AS7" t="str">
            <v>-</v>
          </cell>
          <cell r="AT7" t="str">
            <v>40/20/40</v>
          </cell>
          <cell r="AU7" t="str">
            <v>NEW</v>
          </cell>
          <cell r="AV7" t="str">
            <v>-</v>
          </cell>
          <cell r="AW7" t="str">
            <v>M</v>
          </cell>
          <cell r="AX7" t="str">
            <v>A</v>
          </cell>
          <cell r="AY7" t="str">
            <v>ACA53826</v>
          </cell>
          <cell r="AZ7" t="str">
            <v>-</v>
          </cell>
          <cell r="BB7" t="str">
            <v>PANEL ASM-R/SEAT BK CUSH - LEHNE Z-HIRUECK</v>
          </cell>
        </row>
        <row r="8">
          <cell r="A8">
            <v>6</v>
          </cell>
          <cell r="B8">
            <v>6</v>
          </cell>
          <cell r="H8" t="str">
            <v>PANEL-R/SEAT BK CUSH - LEHNE-HIRUECK</v>
          </cell>
          <cell r="L8" t="str">
            <v>Lehne 40%-RH</v>
          </cell>
          <cell r="M8" t="str">
            <v>291322</v>
          </cell>
          <cell r="N8" t="str">
            <v>I</v>
          </cell>
          <cell r="O8" t="str">
            <v>13154329</v>
          </cell>
          <cell r="Q8">
            <v>1</v>
          </cell>
          <cell r="R8">
            <v>1</v>
          </cell>
          <cell r="S8">
            <v>9</v>
          </cell>
          <cell r="T8" t="str">
            <v>NO</v>
          </cell>
          <cell r="U8">
            <v>1</v>
          </cell>
          <cell r="V8" t="str">
            <v>063</v>
          </cell>
          <cell r="W8" t="str">
            <v>291322</v>
          </cell>
          <cell r="X8" t="str">
            <v>I</v>
          </cell>
          <cell r="Y8" t="str">
            <v>ACA58622</v>
          </cell>
          <cell r="Z8" t="str">
            <v>NO-DWG</v>
          </cell>
          <cell r="AA8" t="str">
            <v>GM_A3300</v>
          </cell>
          <cell r="AB8" t="str">
            <v>C</v>
          </cell>
          <cell r="AD8">
            <v>126884</v>
          </cell>
          <cell r="AF8">
            <v>1.81</v>
          </cell>
          <cell r="AG8" t="str">
            <v>ZSTE 260-0.8</v>
          </cell>
          <cell r="AH8"/>
          <cell r="AJ8"/>
          <cell r="AL8" t="str">
            <v>-</v>
          </cell>
          <cell r="AO8" t="str">
            <v>1C8J</v>
          </cell>
          <cell r="AP8" t="str">
            <v>0330B</v>
          </cell>
          <cell r="AQ8">
            <v>13116918</v>
          </cell>
          <cell r="AR8" t="str">
            <v>-</v>
          </cell>
          <cell r="AS8" t="str">
            <v>-</v>
          </cell>
          <cell r="AT8" t="str">
            <v>40/20/40</v>
          </cell>
          <cell r="AU8" t="str">
            <v>NEW</v>
          </cell>
          <cell r="AV8" t="str">
            <v>-</v>
          </cell>
          <cell r="AW8" t="str">
            <v>M</v>
          </cell>
          <cell r="AX8" t="str">
            <v>P</v>
          </cell>
          <cell r="AY8" t="str">
            <v>ACA58622</v>
          </cell>
          <cell r="AZ8" t="str">
            <v>-</v>
          </cell>
          <cell r="BB8" t="str">
            <v>PANEL-R/SEAT BK CUSH - LEHNE-HIRUECK</v>
          </cell>
        </row>
        <row r="9">
          <cell r="A9">
            <v>7</v>
          </cell>
          <cell r="B9">
            <v>6</v>
          </cell>
          <cell r="H9" t="str">
            <v>REINFORCEMENT ASM-R/SEAT BK CUSH  PNL INR - VERSTAERKUNG Z-HIRUECK LEHNE IN</v>
          </cell>
          <cell r="L9" t="str">
            <v xml:space="preserve"> </v>
          </cell>
          <cell r="M9" t="str">
            <v>308924</v>
          </cell>
          <cell r="N9" t="str">
            <v>D</v>
          </cell>
          <cell r="O9" t="str">
            <v>13154330</v>
          </cell>
          <cell r="Q9">
            <v>1</v>
          </cell>
          <cell r="R9">
            <v>1</v>
          </cell>
          <cell r="S9">
            <v>9</v>
          </cell>
          <cell r="T9" t="str">
            <v>NO</v>
          </cell>
          <cell r="U9">
            <v>1</v>
          </cell>
          <cell r="V9" t="str">
            <v>063</v>
          </cell>
          <cell r="W9" t="str">
            <v>308924</v>
          </cell>
          <cell r="X9" t="str">
            <v>D</v>
          </cell>
          <cell r="Y9" t="str">
            <v>ACA95421</v>
          </cell>
          <cell r="Z9" t="str">
            <v>NO-DWG</v>
          </cell>
          <cell r="AA9" t="str">
            <v>GM_A3300</v>
          </cell>
          <cell r="AB9" t="str">
            <v>C</v>
          </cell>
          <cell r="AD9">
            <v>126884</v>
          </cell>
          <cell r="AF9">
            <v>0.40600000000000003</v>
          </cell>
          <cell r="AG9" t="str">
            <v>N/A</v>
          </cell>
          <cell r="AL9" t="str">
            <v>-</v>
          </cell>
          <cell r="AO9" t="str">
            <v>1C8J</v>
          </cell>
          <cell r="AP9" t="str">
            <v>0339A</v>
          </cell>
          <cell r="AQ9">
            <v>13116918</v>
          </cell>
          <cell r="AR9" t="str">
            <v>-</v>
          </cell>
          <cell r="AS9" t="str">
            <v>-</v>
          </cell>
          <cell r="AT9" t="str">
            <v>40/20/40</v>
          </cell>
          <cell r="AU9" t="str">
            <v>NEW</v>
          </cell>
          <cell r="AV9" t="str">
            <v>-</v>
          </cell>
          <cell r="AW9" t="str">
            <v>M</v>
          </cell>
          <cell r="AX9" t="str">
            <v>A</v>
          </cell>
          <cell r="AY9" t="str">
            <v>ACA95421</v>
          </cell>
          <cell r="AZ9" t="str">
            <v>-</v>
          </cell>
          <cell r="BB9" t="str">
            <v>REINFORCEMENT ASM-R/SEAT BK CUSH  PNL INR - VERSTAERKUNG Z-HIRUECK LEHNE IN</v>
          </cell>
        </row>
        <row r="10">
          <cell r="A10">
            <v>8</v>
          </cell>
          <cell r="B10">
            <v>7</v>
          </cell>
          <cell r="I10" t="str">
            <v>REINFORCEMENT-R/SEAT BK CUSH  PNL INR - VERSTAERKUNG-HIRUECK LEHNE IN</v>
          </cell>
          <cell r="L10" t="str">
            <v>Verstärkung</v>
          </cell>
          <cell r="M10" t="str">
            <v>291326</v>
          </cell>
          <cell r="N10" t="str">
            <v>F</v>
          </cell>
          <cell r="O10" t="str">
            <v>13154331</v>
          </cell>
          <cell r="Q10">
            <v>1</v>
          </cell>
          <cell r="R10">
            <v>1</v>
          </cell>
          <cell r="S10">
            <v>9</v>
          </cell>
          <cell r="T10" t="str">
            <v>NO</v>
          </cell>
          <cell r="U10">
            <v>1</v>
          </cell>
          <cell r="V10" t="str">
            <v>063</v>
          </cell>
          <cell r="W10" t="str">
            <v>291326</v>
          </cell>
          <cell r="X10" t="str">
            <v>F</v>
          </cell>
          <cell r="Y10" t="str">
            <v>ACA68205</v>
          </cell>
          <cell r="Z10" t="str">
            <v>NO-DWG</v>
          </cell>
          <cell r="AA10" t="str">
            <v>GM_A3300</v>
          </cell>
          <cell r="AB10" t="str">
            <v>C</v>
          </cell>
          <cell r="AD10">
            <v>126884</v>
          </cell>
          <cell r="AF10">
            <v>0.39</v>
          </cell>
          <cell r="AG10" t="str">
            <v>QSTE 420-2.0</v>
          </cell>
          <cell r="AH10"/>
          <cell r="AJ10"/>
          <cell r="AK10"/>
          <cell r="AL10" t="str">
            <v>-</v>
          </cell>
          <cell r="AO10" t="str">
            <v>1C8J</v>
          </cell>
          <cell r="AP10" t="str">
            <v>0339B</v>
          </cell>
          <cell r="AQ10">
            <v>13116918</v>
          </cell>
          <cell r="AR10" t="str">
            <v>-</v>
          </cell>
          <cell r="AS10" t="str">
            <v>-</v>
          </cell>
          <cell r="AT10" t="str">
            <v>40/20/40</v>
          </cell>
          <cell r="AU10" t="str">
            <v>NEW</v>
          </cell>
          <cell r="AV10" t="str">
            <v>-</v>
          </cell>
          <cell r="AW10" t="str">
            <v>M</v>
          </cell>
          <cell r="AX10" t="str">
            <v>P</v>
          </cell>
          <cell r="AY10" t="str">
            <v>ACA68205</v>
          </cell>
          <cell r="AZ10" t="str">
            <v>-</v>
          </cell>
          <cell r="BB10" t="str">
            <v>REINFORCEMENT-R/SEAT BK CUSH  PNL INR - VERSTAERKUNG-HIRUECK LEHNE IN</v>
          </cell>
        </row>
        <row r="11">
          <cell r="A11">
            <v>9</v>
          </cell>
          <cell r="B11">
            <v>7</v>
          </cell>
          <cell r="I11" t="str">
            <v>NUT-R/SEAT BK CUSH HGE - MUTTER-HIRUECK SCHARN</v>
          </cell>
          <cell r="L11" t="str">
            <v>Schweissmutter M8 (Verstärkung)</v>
          </cell>
          <cell r="M11" t="str">
            <v>108856</v>
          </cell>
          <cell r="N11" t="str">
            <v>001</v>
          </cell>
          <cell r="O11" t="str">
            <v>11072842</v>
          </cell>
          <cell r="Q11">
            <v>2</v>
          </cell>
          <cell r="R11">
            <v>1</v>
          </cell>
          <cell r="S11">
            <v>9</v>
          </cell>
          <cell r="T11" t="str">
            <v>NO</v>
          </cell>
          <cell r="U11">
            <v>0</v>
          </cell>
          <cell r="V11" t="str">
            <v>-</v>
          </cell>
          <cell r="X11" t="str">
            <v>001</v>
          </cell>
          <cell r="Y11" t="str">
            <v>11072840</v>
          </cell>
          <cell r="AA11" t="str">
            <v>GM_A3300</v>
          </cell>
          <cell r="AB11" t="str">
            <v>C</v>
          </cell>
          <cell r="AD11">
            <v>126884</v>
          </cell>
          <cell r="AF11">
            <v>8.0000000000000002E-3</v>
          </cell>
          <cell r="AG11" t="str">
            <v>QS 818100</v>
          </cell>
          <cell r="AL11" t="str">
            <v>-</v>
          </cell>
          <cell r="AO11" t="str">
            <v>1C8L</v>
          </cell>
          <cell r="AP11" t="str">
            <v>0180H</v>
          </cell>
          <cell r="AQ11">
            <v>13116918</v>
          </cell>
          <cell r="AR11" t="str">
            <v>-</v>
          </cell>
          <cell r="AS11" t="str">
            <v>-</v>
          </cell>
          <cell r="AT11" t="str">
            <v>40/20/40</v>
          </cell>
          <cell r="AU11" t="str">
            <v>DIN</v>
          </cell>
          <cell r="AW11" t="str">
            <v>M</v>
          </cell>
          <cell r="AX11" t="str">
            <v>P</v>
          </cell>
          <cell r="AY11" t="str">
            <v>-</v>
          </cell>
          <cell r="AZ11" t="str">
            <v>-</v>
          </cell>
          <cell r="BB11" t="str">
            <v>NUT-R/SEAT BK CUSH HGE - MUTTER-HIRUECK SCHARN</v>
          </cell>
        </row>
        <row r="12">
          <cell r="A12">
            <v>10</v>
          </cell>
          <cell r="B12">
            <v>6</v>
          </cell>
          <cell r="H12" t="str">
            <v>REINFORCEMENT-R/SEAT BK CUSH  LAT - VERSTAERKUNG-HIRUECK VERRIEG</v>
          </cell>
          <cell r="L12" t="str">
            <v>Verstärkung für Schloss</v>
          </cell>
          <cell r="M12" t="str">
            <v>298751</v>
          </cell>
          <cell r="N12" t="str">
            <v>G</v>
          </cell>
          <cell r="O12" t="str">
            <v>13154333</v>
          </cell>
          <cell r="Q12">
            <v>1</v>
          </cell>
          <cell r="R12">
            <v>1</v>
          </cell>
          <cell r="S12">
            <v>9</v>
          </cell>
          <cell r="T12" t="str">
            <v>NO</v>
          </cell>
          <cell r="U12" t="str">
            <v>1</v>
          </cell>
          <cell r="V12" t="str">
            <v>063</v>
          </cell>
          <cell r="W12">
            <v>298749</v>
          </cell>
          <cell r="X12" t="str">
            <v>G</v>
          </cell>
          <cell r="Y12" t="str">
            <v>13154332</v>
          </cell>
          <cell r="Z12" t="str">
            <v>NO-DWG</v>
          </cell>
          <cell r="AA12" t="str">
            <v>GM_A3300</v>
          </cell>
          <cell r="AB12" t="str">
            <v>C</v>
          </cell>
          <cell r="AD12">
            <v>126884</v>
          </cell>
          <cell r="AF12">
            <v>0.47</v>
          </cell>
          <cell r="AG12" t="str">
            <v>QSTE 420-1.5</v>
          </cell>
          <cell r="AH12"/>
          <cell r="AJ12"/>
          <cell r="AL12" t="str">
            <v>-</v>
          </cell>
          <cell r="AO12" t="str">
            <v>1C8L</v>
          </cell>
          <cell r="AP12" t="str">
            <v>0204B</v>
          </cell>
          <cell r="AQ12">
            <v>13116918</v>
          </cell>
          <cell r="AR12" t="str">
            <v>RH</v>
          </cell>
          <cell r="AS12" t="str">
            <v>-</v>
          </cell>
          <cell r="AT12" t="str">
            <v>40/20/40</v>
          </cell>
          <cell r="AU12" t="str">
            <v>NEW</v>
          </cell>
          <cell r="AV12" t="str">
            <v>-</v>
          </cell>
          <cell r="AW12" t="str">
            <v>M</v>
          </cell>
          <cell r="AX12" t="str">
            <v>P</v>
          </cell>
          <cell r="AY12" t="str">
            <v>ACA59460</v>
          </cell>
          <cell r="AZ12" t="str">
            <v>ACA59462</v>
          </cell>
          <cell r="BB12" t="str">
            <v>REINFORCEMENT-R/SEAT BK CUSH  LAT - VERSTAERKUNG-HIRUECK VERRIEG</v>
          </cell>
        </row>
        <row r="13">
          <cell r="A13">
            <v>11</v>
          </cell>
          <cell r="B13">
            <v>5</v>
          </cell>
          <cell r="G13" t="str">
            <v>REINFORCEMENT ASM-R/SEAT BK CUSH PNL - VERSTAERKUNG Z-HIRUECK LEHNE</v>
          </cell>
          <cell r="L13" t="str">
            <v xml:space="preserve"> </v>
          </cell>
          <cell r="M13" t="str">
            <v>300026</v>
          </cell>
          <cell r="N13" t="str">
            <v>F</v>
          </cell>
          <cell r="O13" t="str">
            <v>13154334</v>
          </cell>
          <cell r="Q13">
            <v>1</v>
          </cell>
          <cell r="R13">
            <v>1</v>
          </cell>
          <cell r="S13">
            <v>9</v>
          </cell>
          <cell r="T13" t="str">
            <v>NO</v>
          </cell>
          <cell r="U13">
            <v>1</v>
          </cell>
          <cell r="V13" t="str">
            <v>063</v>
          </cell>
          <cell r="W13" t="str">
            <v>300026</v>
          </cell>
          <cell r="X13" t="str">
            <v>F</v>
          </cell>
          <cell r="Y13" t="str">
            <v>ACA54348</v>
          </cell>
          <cell r="Z13" t="str">
            <v>NO-DWG</v>
          </cell>
          <cell r="AA13" t="str">
            <v>GM_A3300</v>
          </cell>
          <cell r="AB13" t="str">
            <v>C</v>
          </cell>
          <cell r="AD13">
            <v>126884</v>
          </cell>
          <cell r="AF13">
            <v>1.677</v>
          </cell>
          <cell r="AG13" t="str">
            <v>N/A</v>
          </cell>
          <cell r="AL13" t="str">
            <v>-</v>
          </cell>
          <cell r="AO13" t="str">
            <v>1C8J</v>
          </cell>
          <cell r="AP13" t="str">
            <v>0331A</v>
          </cell>
          <cell r="AQ13">
            <v>13116918</v>
          </cell>
          <cell r="AR13" t="str">
            <v>-</v>
          </cell>
          <cell r="AS13" t="str">
            <v>-</v>
          </cell>
          <cell r="AT13" t="str">
            <v>40/20/40</v>
          </cell>
          <cell r="AU13" t="str">
            <v>NEW</v>
          </cell>
          <cell r="AV13" t="str">
            <v>-</v>
          </cell>
          <cell r="AW13" t="str">
            <v>M</v>
          </cell>
          <cell r="AX13" t="str">
            <v>A</v>
          </cell>
          <cell r="AY13" t="str">
            <v>ACA54348</v>
          </cell>
          <cell r="AZ13" t="str">
            <v>-</v>
          </cell>
          <cell r="BB13" t="str">
            <v>REINFORCEMENT ASM-R/SEAT BK CUSH PNL - VERSTAERKUNG Z-HIRUECK LEHNE</v>
          </cell>
        </row>
        <row r="14">
          <cell r="A14">
            <v>12</v>
          </cell>
          <cell r="B14">
            <v>6</v>
          </cell>
          <cell r="H14" t="str">
            <v>REINFORCEMENT-R/SEAT BK CUSH  PNL - VERSTAERKUNG-HIRUECK LEHNE</v>
          </cell>
          <cell r="L14" t="str">
            <v>Topfblech 40%-RH</v>
          </cell>
          <cell r="M14" t="str">
            <v>291324</v>
          </cell>
          <cell r="N14" t="str">
            <v>J</v>
          </cell>
          <cell r="O14" t="str">
            <v>13154343</v>
          </cell>
          <cell r="P14" t="str">
            <v>19122001</v>
          </cell>
          <cell r="Q14">
            <v>1</v>
          </cell>
          <cell r="R14">
            <v>1</v>
          </cell>
          <cell r="S14">
            <v>9</v>
          </cell>
          <cell r="T14" t="str">
            <v>NO</v>
          </cell>
          <cell r="U14">
            <v>1</v>
          </cell>
          <cell r="V14" t="str">
            <v>063</v>
          </cell>
          <cell r="W14" t="str">
            <v>291324</v>
          </cell>
          <cell r="X14" t="str">
            <v>J</v>
          </cell>
          <cell r="Y14" t="str">
            <v>ACA48069</v>
          </cell>
          <cell r="Z14" t="str">
            <v>NO-DWG</v>
          </cell>
          <cell r="AA14" t="str">
            <v>GM_A3300</v>
          </cell>
          <cell r="AB14" t="str">
            <v>C</v>
          </cell>
          <cell r="AD14">
            <v>126884</v>
          </cell>
          <cell r="AF14">
            <v>1.44</v>
          </cell>
          <cell r="AG14" t="str">
            <v>ZSTE 260-0.8</v>
          </cell>
          <cell r="AH14"/>
          <cell r="AJ14"/>
          <cell r="AK14"/>
          <cell r="AL14" t="str">
            <v>-</v>
          </cell>
          <cell r="AO14" t="str">
            <v>1C8J</v>
          </cell>
          <cell r="AP14" t="str">
            <v>0331B</v>
          </cell>
          <cell r="AQ14">
            <v>13116918</v>
          </cell>
          <cell r="AR14" t="str">
            <v>-</v>
          </cell>
          <cell r="AS14" t="str">
            <v>-</v>
          </cell>
          <cell r="AT14" t="str">
            <v>40/20/40</v>
          </cell>
          <cell r="AU14" t="str">
            <v>NEW</v>
          </cell>
          <cell r="AV14" t="str">
            <v>-</v>
          </cell>
          <cell r="AW14" t="str">
            <v>M</v>
          </cell>
          <cell r="AX14" t="str">
            <v>P</v>
          </cell>
          <cell r="AY14" t="str">
            <v>ACA48069</v>
          </cell>
          <cell r="AZ14" t="str">
            <v>-</v>
          </cell>
          <cell r="BB14" t="str">
            <v>REINFORCEMENT-R/SEAT BK CUSH  PNL - VERSTAERKUNG-HIRUECK LEHNE</v>
          </cell>
        </row>
        <row r="15">
          <cell r="A15">
            <v>13</v>
          </cell>
          <cell r="B15" t="str">
            <v>6</v>
          </cell>
          <cell r="H15" t="str">
            <v>BRACKET-R/SEAT H/RST GDE - HALTER-HISITZ KOPFSTUE FUEHR</v>
          </cell>
          <cell r="L15" t="str">
            <v>Kopfstützenverstärkung (Z-Blech)</v>
          </cell>
          <cell r="M15" t="str">
            <v>306620</v>
          </cell>
          <cell r="N15" t="str">
            <v>E</v>
          </cell>
          <cell r="O15" t="str">
            <v>13154344</v>
          </cell>
          <cell r="P15" t="str">
            <v>19122001</v>
          </cell>
          <cell r="Q15">
            <v>1</v>
          </cell>
          <cell r="R15">
            <v>1</v>
          </cell>
          <cell r="S15">
            <v>9</v>
          </cell>
          <cell r="T15" t="str">
            <v>NO</v>
          </cell>
          <cell r="U15">
            <v>1</v>
          </cell>
          <cell r="V15" t="str">
            <v>063</v>
          </cell>
          <cell r="W15" t="str">
            <v>306620</v>
          </cell>
          <cell r="X15" t="str">
            <v>E</v>
          </cell>
          <cell r="Y15" t="str">
            <v>ACA87647</v>
          </cell>
          <cell r="Z15" t="str">
            <v>NO-DWG</v>
          </cell>
          <cell r="AA15" t="str">
            <v>GM_A3300</v>
          </cell>
          <cell r="AB15" t="str">
            <v>C</v>
          </cell>
          <cell r="AD15">
            <v>126884</v>
          </cell>
          <cell r="AF15">
            <v>0.12</v>
          </cell>
          <cell r="AG15" t="str">
            <v>ZSTE 260-0.8</v>
          </cell>
          <cell r="AL15" t="str">
            <v>-</v>
          </cell>
          <cell r="AO15" t="str">
            <v>1C8L</v>
          </cell>
          <cell r="AP15" t="str">
            <v>0189M</v>
          </cell>
          <cell r="AQ15">
            <v>13116918</v>
          </cell>
          <cell r="AR15" t="str">
            <v>-</v>
          </cell>
          <cell r="AS15" t="str">
            <v>-</v>
          </cell>
          <cell r="AT15" t="str">
            <v>40/20/40</v>
          </cell>
          <cell r="AU15" t="str">
            <v>NEW</v>
          </cell>
          <cell r="AV15" t="str">
            <v>-</v>
          </cell>
          <cell r="AW15" t="str">
            <v>M</v>
          </cell>
          <cell r="AX15" t="str">
            <v>P</v>
          </cell>
          <cell r="AY15" t="str">
            <v>ACA87647</v>
          </cell>
          <cell r="AZ15" t="str">
            <v>-</v>
          </cell>
          <cell r="BA15" t="str">
            <v>Wird auch von SRS verwendet.</v>
          </cell>
          <cell r="BB15" t="str">
            <v>BRACKET-R/SEAT H/RST GDE - HALTER-HISITZ KOPFSTUE FUEHR</v>
          </cell>
        </row>
        <row r="16">
          <cell r="A16">
            <v>14</v>
          </cell>
          <cell r="B16" t="str">
            <v>6</v>
          </cell>
          <cell r="H16" t="str">
            <v>SUPPORT ASM-R/SEAT BK CUSH OTR PIV - STUETZE Z-HIRUECK AU DREHPKT</v>
          </cell>
          <cell r="L16" t="str">
            <v>Pivot ASM</v>
          </cell>
          <cell r="M16" t="str">
            <v>291330</v>
          </cell>
          <cell r="N16" t="str">
            <v>E</v>
          </cell>
          <cell r="O16" t="str">
            <v>13154345</v>
          </cell>
          <cell r="Q16">
            <v>1</v>
          </cell>
          <cell r="R16">
            <v>1</v>
          </cell>
          <cell r="S16">
            <v>9</v>
          </cell>
          <cell r="T16" t="str">
            <v>NO</v>
          </cell>
          <cell r="U16">
            <v>1</v>
          </cell>
          <cell r="V16" t="str">
            <v>063</v>
          </cell>
          <cell r="W16" t="str">
            <v>291330</v>
          </cell>
          <cell r="X16" t="str">
            <v>E</v>
          </cell>
          <cell r="Y16" t="str">
            <v>ACA71388</v>
          </cell>
          <cell r="Z16" t="str">
            <v>NO-DWG</v>
          </cell>
          <cell r="AA16" t="str">
            <v>GM_A3300</v>
          </cell>
          <cell r="AB16" t="str">
            <v>C</v>
          </cell>
          <cell r="AD16">
            <v>126884</v>
          </cell>
          <cell r="AF16">
            <v>0.11700000000000001</v>
          </cell>
          <cell r="AG16" t="str">
            <v>N/A</v>
          </cell>
          <cell r="AH16"/>
          <cell r="AJ16"/>
          <cell r="AL16" t="str">
            <v>ISINEX</v>
          </cell>
          <cell r="AO16" t="str">
            <v>1C8L</v>
          </cell>
          <cell r="AP16" t="str">
            <v>0187A</v>
          </cell>
          <cell r="AQ16">
            <v>13116918</v>
          </cell>
          <cell r="AR16" t="str">
            <v>-</v>
          </cell>
          <cell r="AS16" t="str">
            <v>-</v>
          </cell>
          <cell r="AT16" t="str">
            <v>40/20/40</v>
          </cell>
          <cell r="AU16" t="str">
            <v>NEW</v>
          </cell>
          <cell r="AV16" t="str">
            <v>-</v>
          </cell>
          <cell r="AW16" t="str">
            <v>M</v>
          </cell>
          <cell r="AX16" t="str">
            <v>A</v>
          </cell>
          <cell r="AY16" t="str">
            <v>ACA71388</v>
          </cell>
          <cell r="AZ16" t="str">
            <v>-</v>
          </cell>
          <cell r="BB16" t="str">
            <v>SUPPORT ASM-R/SEAT BK CUSH OTR PIV - STUETZE Z-HIRUECK AU DREHPKT</v>
          </cell>
        </row>
        <row r="17">
          <cell r="A17">
            <v>15</v>
          </cell>
          <cell r="B17" t="str">
            <v>7</v>
          </cell>
          <cell r="I17" t="str">
            <v>SUPPORT-R/SEAT BK CUSH OTR PIV - STUETZE-HIRUECK AU DREHPKT</v>
          </cell>
          <cell r="L17" t="str">
            <v>Bolzen</v>
          </cell>
          <cell r="M17" t="str">
            <v>291331</v>
          </cell>
          <cell r="N17" t="str">
            <v>E</v>
          </cell>
          <cell r="O17" t="str">
            <v>13154346</v>
          </cell>
          <cell r="Q17">
            <v>1</v>
          </cell>
          <cell r="R17">
            <v>1</v>
          </cell>
          <cell r="S17">
            <v>9</v>
          </cell>
          <cell r="T17" t="str">
            <v>NO</v>
          </cell>
          <cell r="U17">
            <v>1</v>
          </cell>
          <cell r="V17" t="str">
            <v>063</v>
          </cell>
          <cell r="W17" t="str">
            <v>291331</v>
          </cell>
          <cell r="X17" t="str">
            <v>E</v>
          </cell>
          <cell r="Y17" t="str">
            <v>ACA59467</v>
          </cell>
          <cell r="Z17" t="str">
            <v>NO-DWG</v>
          </cell>
          <cell r="AA17" t="str">
            <v>GM_A3300</v>
          </cell>
          <cell r="AB17" t="str">
            <v>C</v>
          </cell>
          <cell r="AD17">
            <v>126884</v>
          </cell>
          <cell r="AF17">
            <v>0.09</v>
          </cell>
          <cell r="AG17" t="str">
            <v>QS 1015 AK-D25</v>
          </cell>
          <cell r="AH17"/>
          <cell r="AJ17"/>
          <cell r="AL17" t="str">
            <v>ISINEX</v>
          </cell>
          <cell r="AO17" t="str">
            <v>1C8L</v>
          </cell>
          <cell r="AP17" t="str">
            <v>0187B</v>
          </cell>
          <cell r="AQ17">
            <v>13116918</v>
          </cell>
          <cell r="AR17" t="str">
            <v>-</v>
          </cell>
          <cell r="AS17" t="str">
            <v>-</v>
          </cell>
          <cell r="AT17" t="str">
            <v>40/20/40</v>
          </cell>
          <cell r="AU17" t="str">
            <v>NEW</v>
          </cell>
          <cell r="AV17" t="str">
            <v>-</v>
          </cell>
          <cell r="AW17" t="str">
            <v>M</v>
          </cell>
          <cell r="AX17" t="str">
            <v>P</v>
          </cell>
          <cell r="AY17" t="str">
            <v>ACA59467</v>
          </cell>
          <cell r="AZ17" t="str">
            <v>-</v>
          </cell>
          <cell r="BB17" t="str">
            <v>SUPPORT-R/SEAT BK CUSH OTR PIV - STUETZE-HIRUECK AU DREHPKT</v>
          </cell>
        </row>
        <row r="18">
          <cell r="A18">
            <v>16</v>
          </cell>
          <cell r="B18">
            <v>7</v>
          </cell>
          <cell r="I18" t="str">
            <v>SPRING-R/SEAT BK CUSH OTR PIV BOLT - FEDER-HIRUECK AU DREHPKT SCHR</v>
          </cell>
          <cell r="L18" t="str">
            <v>Druckfeder</v>
          </cell>
          <cell r="M18" t="str">
            <v>287447</v>
          </cell>
          <cell r="N18" t="str">
            <v>A</v>
          </cell>
          <cell r="O18" t="str">
            <v>90587903</v>
          </cell>
          <cell r="P18" t="str">
            <v>12071999</v>
          </cell>
          <cell r="Q18">
            <v>1</v>
          </cell>
          <cell r="R18">
            <v>1</v>
          </cell>
          <cell r="S18">
            <v>9</v>
          </cell>
          <cell r="T18" t="str">
            <v>NO</v>
          </cell>
          <cell r="U18" t="str">
            <v>0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90023018</v>
          </cell>
          <cell r="Z18" t="str">
            <v>12071999</v>
          </cell>
          <cell r="AA18" t="str">
            <v>GM_A3300</v>
          </cell>
          <cell r="AB18" t="str">
            <v>R</v>
          </cell>
          <cell r="AD18">
            <v>114929</v>
          </cell>
          <cell r="AE18">
            <v>37284</v>
          </cell>
          <cell r="AF18">
            <v>7.0000000000000001E-3</v>
          </cell>
          <cell r="AG18" t="str">
            <v>DIN 17223-C</v>
          </cell>
          <cell r="AH18"/>
          <cell r="AJ18"/>
          <cell r="AK18"/>
          <cell r="AL18" t="str">
            <v>-</v>
          </cell>
          <cell r="AO18" t="str">
            <v>1C8L</v>
          </cell>
          <cell r="AP18" t="str">
            <v>0187P</v>
          </cell>
          <cell r="AQ18">
            <v>13116918</v>
          </cell>
          <cell r="AR18" t="str">
            <v>-</v>
          </cell>
          <cell r="AS18" t="str">
            <v>-</v>
          </cell>
          <cell r="AT18" t="str">
            <v>60/40</v>
          </cell>
          <cell r="AU18" t="str">
            <v>DIN</v>
          </cell>
          <cell r="AW18" t="str">
            <v>M</v>
          </cell>
          <cell r="AX18" t="str">
            <v>P</v>
          </cell>
          <cell r="AY18" t="str">
            <v>-</v>
          </cell>
          <cell r="AZ18" t="str">
            <v>-</v>
          </cell>
          <cell r="BA18" t="str">
            <v>alte Feder (ABE35376) von 60/40 ist zu kurz</v>
          </cell>
          <cell r="BB18" t="str">
            <v>SPRING-R/SEAT BK CUSH OTR PIV BOLT - FEDER-HIRUECK AU DREHPKT SCHR</v>
          </cell>
        </row>
        <row r="19">
          <cell r="A19">
            <v>17</v>
          </cell>
          <cell r="B19" t="str">
            <v>7</v>
          </cell>
          <cell r="I19" t="str">
            <v>BUSHING-R/SEAT BK CUSH OTR PIV BOLT - BUCHSE-HIRUECK AU DREHPKT SCHR</v>
          </cell>
          <cell r="L19" t="str">
            <v>Buchse</v>
          </cell>
          <cell r="M19" t="str">
            <v>287448</v>
          </cell>
          <cell r="N19" t="str">
            <v>A</v>
          </cell>
          <cell r="O19" t="str">
            <v>9175120</v>
          </cell>
          <cell r="Q19">
            <v>1</v>
          </cell>
          <cell r="R19">
            <v>1</v>
          </cell>
          <cell r="S19">
            <v>9</v>
          </cell>
          <cell r="T19" t="str">
            <v>NO</v>
          </cell>
          <cell r="U19" t="str">
            <v>0</v>
          </cell>
          <cell r="V19" t="str">
            <v>-</v>
          </cell>
          <cell r="W19" t="str">
            <v>287448</v>
          </cell>
          <cell r="X19" t="str">
            <v>A</v>
          </cell>
          <cell r="Y19" t="str">
            <v>9175120</v>
          </cell>
          <cell r="AA19" t="str">
            <v>GM_A3300</v>
          </cell>
          <cell r="AB19" t="str">
            <v>R</v>
          </cell>
          <cell r="AD19">
            <v>120775</v>
          </cell>
          <cell r="AE19">
            <v>37446</v>
          </cell>
          <cell r="AF19">
            <v>1.4999999999999999E-2</v>
          </cell>
          <cell r="AG19" t="str">
            <v>DIN 1654-4 22 B2</v>
          </cell>
          <cell r="AH19"/>
          <cell r="AJ19"/>
          <cell r="AK19"/>
          <cell r="AL19" t="str">
            <v>-</v>
          </cell>
          <cell r="AO19" t="str">
            <v>1C8L</v>
          </cell>
          <cell r="AP19" t="str">
            <v>0187R</v>
          </cell>
          <cell r="AQ19">
            <v>13116918</v>
          </cell>
          <cell r="AR19" t="str">
            <v>-</v>
          </cell>
          <cell r="AS19" t="str">
            <v>-</v>
          </cell>
          <cell r="AT19" t="str">
            <v>60/40</v>
          </cell>
          <cell r="AU19" t="str">
            <v>COP</v>
          </cell>
          <cell r="AW19" t="str">
            <v>M</v>
          </cell>
          <cell r="AX19" t="str">
            <v>P</v>
          </cell>
          <cell r="AY19" t="str">
            <v>-</v>
          </cell>
          <cell r="AZ19" t="str">
            <v>-</v>
          </cell>
          <cell r="BA19" t="str">
            <v>ausgetauscht für 291334</v>
          </cell>
          <cell r="BB19" t="str">
            <v>BUSHING-R/SEAT BK CUSH OTR PIV BOLT - BUCHSE-HIRUECK AU DREHPKT SCHR</v>
          </cell>
        </row>
        <row r="20">
          <cell r="A20">
            <v>18</v>
          </cell>
          <cell r="B20" t="str">
            <v>7</v>
          </cell>
          <cell r="I20" t="str">
            <v>WASHER-R/SEAT BK CUSH OTR PIV SUPT - UNTERLEGSCHEIBE-HIRUECK AU DREHPKT STUE</v>
          </cell>
          <cell r="L20" t="str">
            <v>Zahnscheibe</v>
          </cell>
          <cell r="M20" t="str">
            <v>316063</v>
          </cell>
          <cell r="N20" t="str">
            <v>B</v>
          </cell>
          <cell r="O20" t="str">
            <v>13154347</v>
          </cell>
          <cell r="Q20">
            <v>1</v>
          </cell>
          <cell r="R20">
            <v>1</v>
          </cell>
          <cell r="S20">
            <v>9</v>
          </cell>
          <cell r="T20" t="str">
            <v>NO</v>
          </cell>
          <cell r="U20">
            <v>1</v>
          </cell>
          <cell r="V20" t="str">
            <v>063</v>
          </cell>
          <cell r="W20" t="str">
            <v>316063</v>
          </cell>
          <cell r="X20" t="str">
            <v>B</v>
          </cell>
          <cell r="Y20" t="str">
            <v>ACB47868</v>
          </cell>
          <cell r="Z20" t="str">
            <v>NO-DWG</v>
          </cell>
          <cell r="AA20" t="str">
            <v>GM_A3300</v>
          </cell>
          <cell r="AB20" t="str">
            <v>C</v>
          </cell>
          <cell r="AD20">
            <v>126884</v>
          </cell>
          <cell r="AF20">
            <v>1E-3</v>
          </cell>
          <cell r="AG20" t="str">
            <v>QS 1070 BO-0.25</v>
          </cell>
          <cell r="AH20"/>
          <cell r="AJ20"/>
          <cell r="AK20"/>
          <cell r="AL20" t="str">
            <v>-</v>
          </cell>
          <cell r="AO20" t="str">
            <v>1C8L</v>
          </cell>
          <cell r="AP20" t="str">
            <v>0187D</v>
          </cell>
          <cell r="AQ20">
            <v>13116918</v>
          </cell>
          <cell r="AR20" t="str">
            <v>-</v>
          </cell>
          <cell r="AS20" t="str">
            <v>-</v>
          </cell>
          <cell r="AT20" t="str">
            <v>40/20/40</v>
          </cell>
          <cell r="AU20" t="str">
            <v>NEW</v>
          </cell>
          <cell r="AV20" t="str">
            <v>-</v>
          </cell>
          <cell r="AW20" t="str">
            <v>M</v>
          </cell>
          <cell r="AX20" t="str">
            <v>P</v>
          </cell>
          <cell r="AY20" t="str">
            <v>ACB47868</v>
          </cell>
          <cell r="AZ20" t="str">
            <v>-</v>
          </cell>
          <cell r="BA20" t="str">
            <v>alte Zahnscheibe 291336</v>
          </cell>
          <cell r="BB20" t="str">
            <v>WASHER-R/SEAT BK CUSH OTR PIV SUPT - UNTERLEGSCHEIBE-HIRUECK AU DREHPKT STUE</v>
          </cell>
        </row>
        <row r="21">
          <cell r="A21">
            <v>19</v>
          </cell>
          <cell r="B21" t="str">
            <v>7</v>
          </cell>
          <cell r="I21" t="str">
            <v>SEAT-R/SEAT BK CUSH OTR PIV BOLT SPR - SITZ-HIRUECK AU DREHPKT SCHR FEDER</v>
          </cell>
          <cell r="L21" t="str">
            <v>Kunststoffhülse</v>
          </cell>
          <cell r="M21" t="str">
            <v>287445</v>
          </cell>
          <cell r="N21" t="str">
            <v>A</v>
          </cell>
          <cell r="O21" t="str">
            <v>09131132</v>
          </cell>
          <cell r="Q21">
            <v>2</v>
          </cell>
          <cell r="R21">
            <v>1</v>
          </cell>
          <cell r="S21">
            <v>9</v>
          </cell>
          <cell r="T21" t="str">
            <v>NO</v>
          </cell>
          <cell r="U21" t="str">
            <v>0</v>
          </cell>
          <cell r="V21" t="str">
            <v>-</v>
          </cell>
          <cell r="W21" t="str">
            <v>287445</v>
          </cell>
          <cell r="X21" t="str">
            <v>A</v>
          </cell>
          <cell r="Y21" t="str">
            <v>09131132</v>
          </cell>
          <cell r="AA21" t="str">
            <v>GM_A3300</v>
          </cell>
          <cell r="AB21" t="str">
            <v>R</v>
          </cell>
          <cell r="AD21">
            <v>120775</v>
          </cell>
          <cell r="AE21">
            <v>37446</v>
          </cell>
          <cell r="AF21">
            <v>2E-3</v>
          </cell>
          <cell r="AG21" t="str">
            <v>QK 002911</v>
          </cell>
          <cell r="AL21" t="str">
            <v>-</v>
          </cell>
          <cell r="AO21" t="str">
            <v>1C8L</v>
          </cell>
          <cell r="AP21" t="str">
            <v>0187Q</v>
          </cell>
          <cell r="AQ21">
            <v>13116918</v>
          </cell>
          <cell r="AR21" t="str">
            <v>-</v>
          </cell>
          <cell r="AS21" t="str">
            <v>-</v>
          </cell>
          <cell r="AT21" t="str">
            <v>60/40</v>
          </cell>
          <cell r="AU21" t="str">
            <v>COP</v>
          </cell>
          <cell r="AV21" t="str">
            <v>60/40</v>
          </cell>
          <cell r="AW21" t="str">
            <v>P</v>
          </cell>
          <cell r="AX21" t="str">
            <v>P</v>
          </cell>
          <cell r="AY21" t="str">
            <v>-</v>
          </cell>
          <cell r="AZ21" t="str">
            <v>-</v>
          </cell>
          <cell r="BB21" t="str">
            <v>SEAT-R/SEAT BK CUSH OTR PIV BOLT SPR - SITZ-HIRUECK AU DREHPKT SCHR FEDER</v>
          </cell>
        </row>
        <row r="22">
          <cell r="A22">
            <v>20</v>
          </cell>
          <cell r="B22">
            <v>4</v>
          </cell>
          <cell r="C22" t="str">
            <v>2</v>
          </cell>
          <cell r="F22" t="str">
            <v>HINGE ASM-R/SEAT BK CUSH - SCHARNIER Z-HIRUECK</v>
          </cell>
          <cell r="L22" t="str">
            <v xml:space="preserve">  </v>
          </cell>
          <cell r="M22" t="str">
            <v>287470</v>
          </cell>
          <cell r="N22" t="str">
            <v>000</v>
          </cell>
          <cell r="O22" t="str">
            <v>90562675</v>
          </cell>
          <cell r="Q22">
            <v>1</v>
          </cell>
          <cell r="R22">
            <v>1</v>
          </cell>
          <cell r="S22">
            <v>9</v>
          </cell>
          <cell r="T22" t="str">
            <v>YES</v>
          </cell>
          <cell r="U22">
            <v>0</v>
          </cell>
          <cell r="V22" t="str">
            <v>-</v>
          </cell>
          <cell r="W22" t="str">
            <v>299461</v>
          </cell>
          <cell r="X22" t="str">
            <v>000</v>
          </cell>
          <cell r="Y22" t="str">
            <v>13117428</v>
          </cell>
          <cell r="Z22" t="str">
            <v>NO-DWG</v>
          </cell>
          <cell r="AA22" t="str">
            <v>OPEL-T-PROJEKTE</v>
          </cell>
          <cell r="AB22" t="str">
            <v>R</v>
          </cell>
          <cell r="AD22">
            <v>118850</v>
          </cell>
          <cell r="AE22">
            <v>37427</v>
          </cell>
          <cell r="AF22">
            <v>0.505</v>
          </cell>
          <cell r="AG22" t="str">
            <v>N/A</v>
          </cell>
          <cell r="AL22" t="str">
            <v>-</v>
          </cell>
          <cell r="AO22" t="str">
            <v>1C8L</v>
          </cell>
          <cell r="AP22" t="str">
            <v>0180A</v>
          </cell>
          <cell r="AQ22">
            <v>13116918</v>
          </cell>
          <cell r="AR22" t="str">
            <v>RH</v>
          </cell>
          <cell r="AS22" t="str">
            <v>-</v>
          </cell>
          <cell r="AT22" t="str">
            <v>60/40</v>
          </cell>
          <cell r="AU22" t="str">
            <v>COP</v>
          </cell>
          <cell r="AV22" t="str">
            <v>OPEL-T-PROJEKTE</v>
          </cell>
          <cell r="AW22" t="str">
            <v>M</v>
          </cell>
          <cell r="AX22" t="str">
            <v>A</v>
          </cell>
          <cell r="AY22" t="str">
            <v>-</v>
          </cell>
          <cell r="AZ22" t="str">
            <v>-</v>
          </cell>
          <cell r="BB22" t="str">
            <v>HINGE ASM-R/SEAT BK CUSH - SCHARNIER Z-HIRUECK</v>
          </cell>
        </row>
        <row r="23">
          <cell r="A23">
            <v>21</v>
          </cell>
          <cell r="B23">
            <v>5</v>
          </cell>
          <cell r="G23" t="str">
            <v>HINGE-R/SEAT BK CUSH - SCHARNIER-HIRUECK</v>
          </cell>
          <cell r="L23" t="str">
            <v>Schwert</v>
          </cell>
          <cell r="M23" t="str">
            <v>287471</v>
          </cell>
          <cell r="N23" t="str">
            <v>000</v>
          </cell>
          <cell r="O23" t="str">
            <v>90588689</v>
          </cell>
          <cell r="Q23">
            <v>1</v>
          </cell>
          <cell r="R23">
            <v>1</v>
          </cell>
          <cell r="S23">
            <v>9</v>
          </cell>
          <cell r="T23" t="str">
            <v>YES</v>
          </cell>
          <cell r="U23">
            <v>0</v>
          </cell>
          <cell r="V23" t="str">
            <v>-</v>
          </cell>
          <cell r="W23" t="str">
            <v>299461</v>
          </cell>
          <cell r="X23" t="str">
            <v>000</v>
          </cell>
          <cell r="Y23" t="str">
            <v>13117428</v>
          </cell>
          <cell r="Z23" t="str">
            <v>NO-DWG</v>
          </cell>
          <cell r="AA23" t="str">
            <v>OPEL-T-PROJEKTE</v>
          </cell>
          <cell r="AB23" t="str">
            <v>R</v>
          </cell>
          <cell r="AD23">
            <v>118850</v>
          </cell>
          <cell r="AE23">
            <v>37427</v>
          </cell>
          <cell r="AF23">
            <v>0.40500000000000003</v>
          </cell>
          <cell r="AG23" t="str">
            <v>ZSTE 340 TO SEW093 OPTIONAL EN10149-2-S 355MC</v>
          </cell>
          <cell r="AH23" t="str">
            <v xml:space="preserve"> </v>
          </cell>
          <cell r="AL23" t="str">
            <v xml:space="preserve"> </v>
          </cell>
          <cell r="AO23" t="str">
            <v>1C8L</v>
          </cell>
          <cell r="AP23" t="str">
            <v>0180B</v>
          </cell>
          <cell r="AQ23">
            <v>13116918</v>
          </cell>
          <cell r="AR23" t="str">
            <v>RH</v>
          </cell>
          <cell r="AS23" t="str">
            <v>-</v>
          </cell>
          <cell r="AT23" t="str">
            <v>60/40</v>
          </cell>
          <cell r="AU23" t="str">
            <v>COP</v>
          </cell>
          <cell r="AV23" t="str">
            <v>T3000</v>
          </cell>
          <cell r="AW23" t="str">
            <v>M</v>
          </cell>
          <cell r="AX23" t="str">
            <v>P</v>
          </cell>
          <cell r="AY23" t="str">
            <v>-</v>
          </cell>
          <cell r="AZ23" t="str">
            <v>-</v>
          </cell>
          <cell r="BB23" t="str">
            <v>HINGE-R/SEAT BK CUSH - SCHARNIER-HIRUECK</v>
          </cell>
        </row>
        <row r="24">
          <cell r="A24">
            <v>22</v>
          </cell>
          <cell r="B24">
            <v>5</v>
          </cell>
          <cell r="G24" t="str">
            <v>BUSHING-R/SEAT BK CUSH HGE - BUCHSE-HIRUECK SCHARN</v>
          </cell>
          <cell r="L24" t="str">
            <v>Buchse</v>
          </cell>
          <cell r="M24" t="str">
            <v>287472</v>
          </cell>
          <cell r="N24" t="str">
            <v>A</v>
          </cell>
          <cell r="O24" t="str">
            <v>90503902</v>
          </cell>
          <cell r="Q24">
            <v>1</v>
          </cell>
          <cell r="R24">
            <v>1</v>
          </cell>
          <cell r="S24">
            <v>9</v>
          </cell>
          <cell r="T24" t="str">
            <v>YES</v>
          </cell>
          <cell r="U24">
            <v>0</v>
          </cell>
          <cell r="V24" t="str">
            <v>-</v>
          </cell>
          <cell r="W24" t="str">
            <v>287472</v>
          </cell>
          <cell r="X24" t="str">
            <v>A</v>
          </cell>
          <cell r="Y24" t="str">
            <v>90503902</v>
          </cell>
          <cell r="AA24" t="str">
            <v>OPEL-T-PROJEKTE</v>
          </cell>
          <cell r="AB24" t="str">
            <v>R</v>
          </cell>
          <cell r="AD24">
            <v>114929</v>
          </cell>
          <cell r="AE24">
            <v>37284</v>
          </cell>
          <cell r="AF24">
            <v>7.0000000000000007E-2</v>
          </cell>
          <cell r="AG24" t="str">
            <v>QST 32-3 DIN 1654</v>
          </cell>
          <cell r="AL24" t="str">
            <v>-</v>
          </cell>
          <cell r="AO24" t="str">
            <v>1C8L</v>
          </cell>
          <cell r="AP24" t="str">
            <v>0180J</v>
          </cell>
          <cell r="AQ24">
            <v>13116918</v>
          </cell>
          <cell r="AR24" t="str">
            <v>-</v>
          </cell>
          <cell r="AS24" t="str">
            <v>-</v>
          </cell>
          <cell r="AT24" t="str">
            <v>60/40</v>
          </cell>
          <cell r="AU24" t="str">
            <v>COP</v>
          </cell>
          <cell r="AV24" t="str">
            <v>T3000</v>
          </cell>
          <cell r="AW24" t="str">
            <v>M</v>
          </cell>
          <cell r="AX24" t="str">
            <v>P</v>
          </cell>
          <cell r="AY24" t="str">
            <v>-</v>
          </cell>
          <cell r="AZ24" t="str">
            <v>-</v>
          </cell>
          <cell r="BB24" t="str">
            <v>BUSHING-R/SEAT BK CUSH HGE - BUCHSE-HIRUECK SCHARN</v>
          </cell>
        </row>
        <row r="25">
          <cell r="A25">
            <v>23</v>
          </cell>
          <cell r="B25">
            <v>5</v>
          </cell>
          <cell r="G25" t="str">
            <v>NUT-R/SEAT BK CUSH HGE - MUTTER-HIRUECK SCHARN</v>
          </cell>
          <cell r="L25" t="str">
            <v>Schweissmutter M14 x 1.5 (Schwert)</v>
          </cell>
          <cell r="M25" t="str">
            <v>287473</v>
          </cell>
          <cell r="N25" t="str">
            <v>A</v>
          </cell>
          <cell r="O25" t="str">
            <v>11090841</v>
          </cell>
          <cell r="P25" t="str">
            <v>12031997</v>
          </cell>
          <cell r="Q25">
            <v>1</v>
          </cell>
          <cell r="R25">
            <v>1</v>
          </cell>
          <cell r="S25">
            <v>9</v>
          </cell>
          <cell r="T25" t="str">
            <v>YES</v>
          </cell>
          <cell r="U25">
            <v>0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11090840</v>
          </cell>
          <cell r="Z25" t="str">
            <v>12031997</v>
          </cell>
          <cell r="AA25" t="str">
            <v>OPEL-T-PROJEKTE</v>
          </cell>
          <cell r="AB25" t="str">
            <v>R</v>
          </cell>
          <cell r="AD25">
            <v>114929</v>
          </cell>
          <cell r="AE25">
            <v>37284</v>
          </cell>
          <cell r="AF25">
            <v>0.03</v>
          </cell>
          <cell r="AG25" t="str">
            <v>8 DIN 267 - T4</v>
          </cell>
          <cell r="AL25" t="str">
            <v>-</v>
          </cell>
          <cell r="AO25" t="str">
            <v>1C8L</v>
          </cell>
          <cell r="AP25" t="str">
            <v>0180H</v>
          </cell>
          <cell r="AQ25">
            <v>13116918</v>
          </cell>
          <cell r="AR25" t="str">
            <v>-</v>
          </cell>
          <cell r="AS25" t="str">
            <v>-</v>
          </cell>
          <cell r="AT25" t="str">
            <v>60/40</v>
          </cell>
          <cell r="AU25" t="str">
            <v>DIN</v>
          </cell>
          <cell r="AW25" t="str">
            <v>M</v>
          </cell>
          <cell r="AX25" t="str">
            <v>P</v>
          </cell>
          <cell r="AY25" t="str">
            <v>-</v>
          </cell>
          <cell r="AZ25" t="str">
            <v>-</v>
          </cell>
          <cell r="BB25" t="str">
            <v>NUT-R/SEAT BK CUSH HGE - MUTTER-HIRUECK SCHARN</v>
          </cell>
        </row>
        <row r="26">
          <cell r="A26">
            <v>24</v>
          </cell>
          <cell r="B26">
            <v>4</v>
          </cell>
          <cell r="C26" t="str">
            <v>2</v>
          </cell>
          <cell r="F26" t="str">
            <v>BOLT/SCREW-R/SEAT BK CUSH HGE - SCHRAUBE-HIRUECK SCHARN</v>
          </cell>
          <cell r="L26" t="str">
            <v>Senkschraube M8 x 22 (Schwert)</v>
          </cell>
          <cell r="M26" t="str">
            <v>254432</v>
          </cell>
          <cell r="N26" t="str">
            <v>000</v>
          </cell>
          <cell r="O26" t="str">
            <v>24460210</v>
          </cell>
          <cell r="P26" t="str">
            <v>16022001</v>
          </cell>
          <cell r="Q26">
            <v>2</v>
          </cell>
          <cell r="R26">
            <v>1</v>
          </cell>
          <cell r="S26">
            <v>9</v>
          </cell>
          <cell r="T26" t="str">
            <v>YES</v>
          </cell>
          <cell r="U26">
            <v>0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24460210</v>
          </cell>
          <cell r="Z26" t="str">
            <v>16022001</v>
          </cell>
          <cell r="AA26" t="str">
            <v>OPEL-T-PROJEKTE</v>
          </cell>
          <cell r="AB26" t="str">
            <v>R</v>
          </cell>
          <cell r="AD26">
            <v>114929</v>
          </cell>
          <cell r="AE26">
            <v>37284</v>
          </cell>
          <cell r="AF26">
            <v>8.9999999999999993E-3</v>
          </cell>
          <cell r="AG26" t="str">
            <v>DIN 1654-19MnB4</v>
          </cell>
          <cell r="AL26" t="str">
            <v>-</v>
          </cell>
          <cell r="AO26" t="str">
            <v>1C8L</v>
          </cell>
          <cell r="AP26" t="str">
            <v>0180C</v>
          </cell>
          <cell r="AQ26">
            <v>13116918</v>
          </cell>
          <cell r="AR26" t="str">
            <v>-</v>
          </cell>
          <cell r="AS26" t="str">
            <v>-</v>
          </cell>
          <cell r="AT26" t="str">
            <v>60/40</v>
          </cell>
          <cell r="AU26" t="str">
            <v>DIN</v>
          </cell>
          <cell r="AW26" t="str">
            <v>M</v>
          </cell>
          <cell r="AX26" t="str">
            <v>P</v>
          </cell>
          <cell r="AY26" t="str">
            <v>-</v>
          </cell>
          <cell r="AZ26" t="str">
            <v>-</v>
          </cell>
          <cell r="BB26" t="str">
            <v>BOLT/SCREW-R/SEAT BK CUSH HGE - SCHRAUBE-HIRUECK SCHARN</v>
          </cell>
        </row>
        <row r="27">
          <cell r="A27">
            <v>25</v>
          </cell>
          <cell r="B27">
            <v>4</v>
          </cell>
          <cell r="C27" t="str">
            <v>2</v>
          </cell>
          <cell r="F27" t="str">
            <v>LATCH ASM-R/SEAT BK CUSH - VERRIEGELUNG Z-HIRUECK</v>
          </cell>
          <cell r="L27" t="str">
            <v>Schloss 40% (KIT)</v>
          </cell>
          <cell r="M27" t="str">
            <v>317353</v>
          </cell>
          <cell r="N27" t="str">
            <v>A</v>
          </cell>
          <cell r="O27" t="str">
            <v>13154325</v>
          </cell>
          <cell r="Q27">
            <v>1</v>
          </cell>
          <cell r="R27">
            <v>1</v>
          </cell>
          <cell r="S27">
            <v>9</v>
          </cell>
          <cell r="T27" t="str">
            <v>NO</v>
          </cell>
          <cell r="U27">
            <v>3</v>
          </cell>
          <cell r="V27" t="str">
            <v>522</v>
          </cell>
          <cell r="W27" t="str">
            <v>317353</v>
          </cell>
          <cell r="X27" t="str">
            <v>A</v>
          </cell>
          <cell r="Y27" t="str">
            <v>13154325</v>
          </cell>
          <cell r="Z27" t="str">
            <v>NO-DWG</v>
          </cell>
          <cell r="AA27" t="str">
            <v>GM_A3300</v>
          </cell>
          <cell r="AB27" t="str">
            <v>R</v>
          </cell>
          <cell r="AD27">
            <v>119291</v>
          </cell>
          <cell r="AE27">
            <v>37492</v>
          </cell>
          <cell r="AF27">
            <v>0.4</v>
          </cell>
          <cell r="AG27" t="str">
            <v>N/A</v>
          </cell>
          <cell r="AH27"/>
          <cell r="AJ27"/>
          <cell r="AK27"/>
          <cell r="AL27" t="str">
            <v>WITTE</v>
          </cell>
          <cell r="AN27">
            <v>30208</v>
          </cell>
          <cell r="AO27" t="str">
            <v>1C8L</v>
          </cell>
          <cell r="AP27" t="str">
            <v>0200A</v>
          </cell>
          <cell r="AQ27">
            <v>13116918</v>
          </cell>
          <cell r="AR27" t="str">
            <v>RH</v>
          </cell>
          <cell r="AS27" t="str">
            <v>-</v>
          </cell>
          <cell r="AT27" t="str">
            <v>60/40</v>
          </cell>
          <cell r="AU27" t="str">
            <v>COP</v>
          </cell>
          <cell r="AV27" t="str">
            <v>60/40</v>
          </cell>
          <cell r="AW27" t="str">
            <v>-</v>
          </cell>
          <cell r="AX27" t="str">
            <v>A</v>
          </cell>
          <cell r="AY27" t="str">
            <v>ACB51953</v>
          </cell>
          <cell r="AZ27" t="str">
            <v>ACB51953</v>
          </cell>
          <cell r="BB27" t="str">
            <v>LATCH ASM-R/SEAT BK CUSH - VERRIEGELUNG Z-HIRUECK</v>
          </cell>
        </row>
        <row r="28">
          <cell r="A28">
            <v>26</v>
          </cell>
          <cell r="B28">
            <v>4</v>
          </cell>
          <cell r="C28" t="str">
            <v>2</v>
          </cell>
          <cell r="F28" t="str">
            <v>RIVET-R/SEAT BK CUSH LAT CBL - NIET-HIRUECK VERRIEG BOWDENZUG</v>
          </cell>
          <cell r="L28" t="str">
            <v>Niet zur Schlossbefestigung</v>
          </cell>
          <cell r="M28" t="str">
            <v>120313</v>
          </cell>
          <cell r="N28" t="str">
            <v>001</v>
          </cell>
          <cell r="O28" t="str">
            <v>13154326</v>
          </cell>
          <cell r="Q28">
            <v>4</v>
          </cell>
          <cell r="R28">
            <v>1</v>
          </cell>
          <cell r="S28">
            <v>9</v>
          </cell>
          <cell r="T28" t="str">
            <v>YES</v>
          </cell>
          <cell r="U28">
            <v>0</v>
          </cell>
          <cell r="V28" t="str">
            <v>-</v>
          </cell>
          <cell r="W28" t="str">
            <v>120313</v>
          </cell>
          <cell r="X28" t="str">
            <v>001</v>
          </cell>
          <cell r="Y28" t="str">
            <v>-</v>
          </cell>
          <cell r="AA28" t="str">
            <v>CW 170-EUROPE</v>
          </cell>
          <cell r="AB28" t="str">
            <v>C</v>
          </cell>
          <cell r="AD28">
            <v>126143</v>
          </cell>
          <cell r="AF28">
            <v>7.4999999999999997E-3</v>
          </cell>
          <cell r="AH28"/>
          <cell r="AJ28"/>
          <cell r="AL28" t="str">
            <v>GESIPA</v>
          </cell>
          <cell r="AM28" t="str">
            <v>PTY 0146</v>
          </cell>
          <cell r="AO28" t="str">
            <v>1C8L</v>
          </cell>
          <cell r="AP28" t="str">
            <v>0212G</v>
          </cell>
          <cell r="AQ28">
            <v>13116918</v>
          </cell>
          <cell r="AR28" t="str">
            <v>-</v>
          </cell>
          <cell r="AS28" t="str">
            <v>-</v>
          </cell>
          <cell r="AT28" t="str">
            <v>60/40</v>
          </cell>
          <cell r="AU28" t="str">
            <v>DIN</v>
          </cell>
          <cell r="AW28" t="str">
            <v>M</v>
          </cell>
          <cell r="AX28" t="str">
            <v>P</v>
          </cell>
          <cell r="AY28" t="str">
            <v>-</v>
          </cell>
          <cell r="AZ28" t="str">
            <v>-</v>
          </cell>
          <cell r="BA28" t="str">
            <v>wurde für 287475 ersetzt</v>
          </cell>
          <cell r="BB28" t="str">
            <v>RIVET-R/SEAT BK CUSH LAT CBL - NIET-HIRUECK VERRIEG BOWDENZUG</v>
          </cell>
        </row>
        <row r="29">
          <cell r="A29">
            <v>27</v>
          </cell>
          <cell r="B29">
            <v>3</v>
          </cell>
          <cell r="C29" t="str">
            <v>1</v>
          </cell>
          <cell r="E29" t="str">
            <v>BOLT/SCREW-R/SEAT BK CUSH CTR PIV SUPT - SCHRAUBE-HIRUECK MIT DREHPKT STUE</v>
          </cell>
          <cell r="L29" t="str">
            <v>Schraube-Spezial M14</v>
          </cell>
          <cell r="M29" t="str">
            <v>232172</v>
          </cell>
          <cell r="N29" t="str">
            <v>000</v>
          </cell>
          <cell r="O29" t="str">
            <v>90590012</v>
          </cell>
          <cell r="P29" t="str">
            <v>15022000</v>
          </cell>
          <cell r="Q29">
            <v>1</v>
          </cell>
          <cell r="R29">
            <v>1</v>
          </cell>
          <cell r="S29">
            <v>9</v>
          </cell>
          <cell r="T29" t="str">
            <v>YES</v>
          </cell>
          <cell r="U29">
            <v>0</v>
          </cell>
          <cell r="V29" t="str">
            <v>-</v>
          </cell>
          <cell r="W29" t="str">
            <v>232172</v>
          </cell>
          <cell r="X29" t="str">
            <v>000</v>
          </cell>
          <cell r="Y29" t="str">
            <v>90590012</v>
          </cell>
          <cell r="AA29" t="str">
            <v>OPEL-T-PROJEKTE</v>
          </cell>
          <cell r="AB29" t="str">
            <v>R</v>
          </cell>
          <cell r="AD29">
            <v>113565</v>
          </cell>
          <cell r="AE29">
            <v>37266</v>
          </cell>
          <cell r="AF29">
            <v>4.2999999999999997E-2</v>
          </cell>
          <cell r="AG29" t="str">
            <v>GMW-ST-F-8.8</v>
          </cell>
          <cell r="AH29"/>
          <cell r="AJ29"/>
          <cell r="AL29" t="str">
            <v>-</v>
          </cell>
          <cell r="AO29" t="str">
            <v>1C8L</v>
          </cell>
          <cell r="AP29" t="str">
            <v>0186C</v>
          </cell>
          <cell r="AQ29">
            <v>13116918</v>
          </cell>
          <cell r="AR29" t="str">
            <v>-</v>
          </cell>
          <cell r="AS29" t="str">
            <v>JC</v>
          </cell>
          <cell r="AT29" t="str">
            <v>60/40</v>
          </cell>
          <cell r="AU29" t="str">
            <v>DIN</v>
          </cell>
          <cell r="AW29" t="str">
            <v>M</v>
          </cell>
          <cell r="AX29" t="str">
            <v>P</v>
          </cell>
          <cell r="AY29" t="str">
            <v>-</v>
          </cell>
          <cell r="AZ29" t="str">
            <v>-</v>
          </cell>
          <cell r="BB29" t="str">
            <v>BOLT/SCREW-R/SEAT BK CUSH CTR PIV SUPT - SCHRAUBE-HIRUECK MIT DREHPKT STUE</v>
          </cell>
        </row>
        <row r="30">
          <cell r="A30">
            <v>28</v>
          </cell>
          <cell r="B30" t="str">
            <v>3</v>
          </cell>
          <cell r="C30" t="str">
            <v>1</v>
          </cell>
          <cell r="E30" t="str">
            <v>SUPPORT ASM-R/SEAT BK CUSH CTR PIV - STUETZE Z-HIRUECK MIT DREHPKT</v>
          </cell>
          <cell r="L30" t="str">
            <v xml:space="preserve"> </v>
          </cell>
          <cell r="M30" t="str">
            <v>291663</v>
          </cell>
          <cell r="N30" t="str">
            <v>D</v>
          </cell>
          <cell r="O30" t="str">
            <v>13131909</v>
          </cell>
          <cell r="P30" t="str">
            <v>02042002</v>
          </cell>
          <cell r="Q30">
            <v>1</v>
          </cell>
          <cell r="R30">
            <v>1</v>
          </cell>
          <cell r="S30">
            <v>9</v>
          </cell>
          <cell r="T30" t="str">
            <v>NO</v>
          </cell>
          <cell r="U30" t="str">
            <v>0</v>
          </cell>
          <cell r="V30" t="str">
            <v>-</v>
          </cell>
          <cell r="W30" t="str">
            <v>291663</v>
          </cell>
          <cell r="X30" t="str">
            <v>D</v>
          </cell>
          <cell r="Y30" t="str">
            <v>13131909</v>
          </cell>
          <cell r="Z30" t="str">
            <v>NO-DWG</v>
          </cell>
          <cell r="AA30" t="str">
            <v>GM_A3300</v>
          </cell>
          <cell r="AB30" t="str">
            <v>R</v>
          </cell>
          <cell r="AD30">
            <v>119562</v>
          </cell>
          <cell r="AE30">
            <v>37491</v>
          </cell>
          <cell r="AF30">
            <v>0.49299999999999999</v>
          </cell>
          <cell r="AG30" t="str">
            <v>N/A</v>
          </cell>
          <cell r="AH30"/>
          <cell r="AJ30"/>
          <cell r="AK30"/>
          <cell r="AL30" t="str">
            <v>ISINEX</v>
          </cell>
          <cell r="AO30" t="str">
            <v>1C8L</v>
          </cell>
          <cell r="AP30" t="str">
            <v>0186A</v>
          </cell>
          <cell r="AQ30">
            <v>13116918</v>
          </cell>
          <cell r="AR30" t="str">
            <v>RH</v>
          </cell>
          <cell r="AS30" t="str">
            <v>JC</v>
          </cell>
          <cell r="AT30" t="str">
            <v>60/40</v>
          </cell>
          <cell r="AU30" t="str">
            <v>COP</v>
          </cell>
          <cell r="AV30" t="str">
            <v>60/40</v>
          </cell>
          <cell r="AW30" t="str">
            <v>M</v>
          </cell>
          <cell r="AX30" t="str">
            <v>A</v>
          </cell>
          <cell r="AY30" t="str">
            <v>ACA80940</v>
          </cell>
          <cell r="AZ30" t="str">
            <v>ACA80940</v>
          </cell>
          <cell r="BB30" t="str">
            <v>SUPPORT ASM-R/SEAT BK CUSH CTR PIV - STUETZE Z-HIRUECK MIT DREHPKT</v>
          </cell>
        </row>
        <row r="31">
          <cell r="A31">
            <v>29</v>
          </cell>
          <cell r="B31" t="str">
            <v>4</v>
          </cell>
          <cell r="F31" t="str">
            <v>SUPPORT-R/SEAT BK CUSH CTR PIV - STUETZE-HIRUECK MIT DREHPKT</v>
          </cell>
          <cell r="L31" t="str">
            <v>Lagerstütze</v>
          </cell>
          <cell r="M31" t="str">
            <v>302323</v>
          </cell>
          <cell r="N31" t="str">
            <v>B</v>
          </cell>
          <cell r="O31" t="str">
            <v>13131911</v>
          </cell>
          <cell r="P31" t="str">
            <v>11062002</v>
          </cell>
          <cell r="Q31">
            <v>1</v>
          </cell>
          <cell r="R31">
            <v>1</v>
          </cell>
          <cell r="S31">
            <v>9</v>
          </cell>
          <cell r="T31" t="str">
            <v>NO</v>
          </cell>
          <cell r="U31" t="str">
            <v>-</v>
          </cell>
          <cell r="V31" t="str">
            <v>-</v>
          </cell>
          <cell r="W31" t="str">
            <v>302324</v>
          </cell>
          <cell r="X31" t="str">
            <v>B</v>
          </cell>
          <cell r="Y31" t="str">
            <v>13150504</v>
          </cell>
          <cell r="Z31" t="str">
            <v>NO-DWG</v>
          </cell>
          <cell r="AA31" t="str">
            <v>GM_A3300</v>
          </cell>
          <cell r="AB31" t="str">
            <v>R</v>
          </cell>
          <cell r="AD31">
            <v>119562</v>
          </cell>
          <cell r="AE31">
            <v>37491</v>
          </cell>
          <cell r="AF31">
            <v>0.45300000000000001</v>
          </cell>
          <cell r="AG31" t="str">
            <v>QSTE 420-3.2</v>
          </cell>
          <cell r="AH31"/>
          <cell r="AJ31"/>
          <cell r="AK31"/>
          <cell r="AL31" t="str">
            <v>ISINEX</v>
          </cell>
          <cell r="AO31" t="str">
            <v>1C8L</v>
          </cell>
          <cell r="AP31" t="str">
            <v>0186B</v>
          </cell>
          <cell r="AQ31">
            <v>13116918</v>
          </cell>
          <cell r="AR31" t="str">
            <v>RH</v>
          </cell>
          <cell r="AS31" t="str">
            <v>-</v>
          </cell>
          <cell r="AT31" t="str">
            <v>60/40</v>
          </cell>
          <cell r="AU31" t="str">
            <v>COP</v>
          </cell>
          <cell r="AV31" t="str">
            <v>60/40</v>
          </cell>
          <cell r="AW31" t="str">
            <v>M</v>
          </cell>
          <cell r="AX31" t="str">
            <v>P</v>
          </cell>
          <cell r="AY31" t="str">
            <v>ACA80761</v>
          </cell>
          <cell r="AZ31" t="str">
            <v>ACA80759</v>
          </cell>
          <cell r="BB31" t="str">
            <v>SUPPORT-R/SEAT BK CUSH CTR PIV - STUETZE-HIRUECK MIT DREHPKT</v>
          </cell>
        </row>
        <row r="32">
          <cell r="A32">
            <v>30</v>
          </cell>
          <cell r="B32" t="str">
            <v>4</v>
          </cell>
          <cell r="F32" t="str">
            <v>BRACKET-CHILD ST - HALTER-KINDSITZ</v>
          </cell>
          <cell r="L32" t="str">
            <v>Isofix</v>
          </cell>
          <cell r="M32" t="str">
            <v>291602</v>
          </cell>
          <cell r="N32" t="str">
            <v>B</v>
          </cell>
          <cell r="O32" t="str">
            <v>13119152</v>
          </cell>
          <cell r="Q32">
            <v>1</v>
          </cell>
          <cell r="R32">
            <v>1</v>
          </cell>
          <cell r="S32">
            <v>9</v>
          </cell>
          <cell r="T32" t="str">
            <v>NO</v>
          </cell>
          <cell r="U32" t="str">
            <v>-</v>
          </cell>
          <cell r="V32" t="str">
            <v>-</v>
          </cell>
          <cell r="W32" t="str">
            <v>291563</v>
          </cell>
          <cell r="X32" t="str">
            <v>B</v>
          </cell>
          <cell r="Y32" t="str">
            <v>13119150</v>
          </cell>
          <cell r="Z32" t="str">
            <v>NO-DWG</v>
          </cell>
          <cell r="AA32" t="str">
            <v>GM_A3300</v>
          </cell>
          <cell r="AB32" t="str">
            <v>R</v>
          </cell>
          <cell r="AD32">
            <v>115590</v>
          </cell>
          <cell r="AE32">
            <v>37364</v>
          </cell>
          <cell r="AF32">
            <v>0.04</v>
          </cell>
          <cell r="AG32" t="str">
            <v>QS 1010 DK</v>
          </cell>
          <cell r="AH32"/>
          <cell r="AJ32"/>
          <cell r="AL32" t="str">
            <v>ISINEX</v>
          </cell>
          <cell r="AO32" t="str">
            <v>1C8J</v>
          </cell>
          <cell r="AP32" t="str">
            <v>0010M</v>
          </cell>
          <cell r="AQ32">
            <v>13116918</v>
          </cell>
          <cell r="AR32" t="str">
            <v>RH</v>
          </cell>
          <cell r="AS32" t="str">
            <v>-</v>
          </cell>
          <cell r="AT32" t="str">
            <v>60/40</v>
          </cell>
          <cell r="AU32" t="str">
            <v>COP</v>
          </cell>
          <cell r="AV32" t="str">
            <v>60/40</v>
          </cell>
          <cell r="AW32" t="str">
            <v>M</v>
          </cell>
          <cell r="AX32" t="str">
            <v>P</v>
          </cell>
          <cell r="AY32" t="str">
            <v>-</v>
          </cell>
          <cell r="AZ32" t="str">
            <v>-</v>
          </cell>
          <cell r="BB32" t="str">
            <v>BRACKET-CHILD ST - HALTER-KINDSITZ</v>
          </cell>
        </row>
        <row r="33">
          <cell r="A33">
            <v>31</v>
          </cell>
          <cell r="B33" t="str">
            <v>3</v>
          </cell>
          <cell r="C33" t="str">
            <v>1</v>
          </cell>
          <cell r="E33" t="str">
            <v>PAD ASM-R/SEAT BK CUSH - AUFLAGE Z-HIRUECK</v>
          </cell>
          <cell r="L33" t="str">
            <v>Schaum mit Draht / Lehne 40% RH</v>
          </cell>
          <cell r="M33" t="str">
            <v>326916</v>
          </cell>
          <cell r="N33" t="str">
            <v>A</v>
          </cell>
          <cell r="O33" t="str">
            <v>13125261</v>
          </cell>
          <cell r="P33" t="str">
            <v>20022002</v>
          </cell>
          <cell r="Q33">
            <v>1</v>
          </cell>
          <cell r="R33">
            <v>1</v>
          </cell>
          <cell r="S33">
            <v>9</v>
          </cell>
          <cell r="T33" t="str">
            <v>NO</v>
          </cell>
          <cell r="U33">
            <v>3</v>
          </cell>
          <cell r="V33" t="str">
            <v>063</v>
          </cell>
          <cell r="W33" t="str">
            <v>326916</v>
          </cell>
          <cell r="X33" t="str">
            <v>A</v>
          </cell>
          <cell r="Y33" t="str">
            <v>13125261</v>
          </cell>
          <cell r="Z33" t="str">
            <v>NO-DWG</v>
          </cell>
          <cell r="AA33" t="str">
            <v>GM_A3300</v>
          </cell>
          <cell r="AB33" t="str">
            <v>R</v>
          </cell>
          <cell r="AD33">
            <v>121622</v>
          </cell>
          <cell r="AE33">
            <v>37492</v>
          </cell>
          <cell r="AF33">
            <v>2</v>
          </cell>
          <cell r="AG33" t="str">
            <v>N/A</v>
          </cell>
          <cell r="AO33" t="str">
            <v>1C8J</v>
          </cell>
          <cell r="AP33" t="str">
            <v>0311A</v>
          </cell>
          <cell r="AQ33">
            <v>13116913</v>
          </cell>
          <cell r="AR33" t="str">
            <v>-</v>
          </cell>
          <cell r="AS33" t="str">
            <v>JC</v>
          </cell>
          <cell r="AT33" t="str">
            <v>40/20/40</v>
          </cell>
          <cell r="AU33" t="str">
            <v>NEW</v>
          </cell>
          <cell r="AV33" t="str">
            <v>-</v>
          </cell>
          <cell r="AW33" t="str">
            <v>S</v>
          </cell>
          <cell r="AX33" t="str">
            <v>A</v>
          </cell>
          <cell r="AY33" t="str">
            <v>ACB68910</v>
          </cell>
          <cell r="AZ33" t="str">
            <v>ACB68910</v>
          </cell>
          <cell r="BB33" t="str">
            <v>PAD ASM-R/SEAT BK CUSH - AUFLAGE Z-HIRUECK</v>
          </cell>
        </row>
        <row r="34">
          <cell r="A34">
            <v>32</v>
          </cell>
          <cell r="B34" t="str">
            <v>3</v>
          </cell>
          <cell r="C34" t="str">
            <v>1</v>
          </cell>
          <cell r="E34" t="str">
            <v>RING-R/SEAT BK CUSH CVR HOG - RINGKLAMMER-HIRUECK BEZUG</v>
          </cell>
          <cell r="L34" t="str">
            <v>Ringklammer</v>
          </cell>
          <cell r="M34" t="str">
            <v>134904</v>
          </cell>
          <cell r="N34" t="str">
            <v>A</v>
          </cell>
          <cell r="O34" t="str">
            <v>6616858</v>
          </cell>
          <cell r="Q34">
            <v>8</v>
          </cell>
          <cell r="R34">
            <v>1</v>
          </cell>
          <cell r="S34">
            <v>9</v>
          </cell>
          <cell r="T34" t="str">
            <v>YES</v>
          </cell>
          <cell r="U34">
            <v>0</v>
          </cell>
          <cell r="V34" t="str">
            <v>-</v>
          </cell>
          <cell r="W34" t="str">
            <v>134913</v>
          </cell>
          <cell r="X34" t="str">
            <v>A</v>
          </cell>
          <cell r="Y34" t="str">
            <v>6699181</v>
          </cell>
          <cell r="Z34" t="str">
            <v>NO-DWG</v>
          </cell>
          <cell r="AA34" t="str">
            <v>GM_LIGHTW_SEAT</v>
          </cell>
          <cell r="AB34" t="str">
            <v>C</v>
          </cell>
          <cell r="AF34">
            <v>1E-3</v>
          </cell>
          <cell r="AG34" t="str">
            <v>QS 1010 DK GMW F-102</v>
          </cell>
          <cell r="AO34" t="str">
            <v>1C8M</v>
          </cell>
          <cell r="AP34" t="str">
            <v>0300G</v>
          </cell>
          <cell r="AQ34" t="str">
            <v>TRIM</v>
          </cell>
          <cell r="AR34" t="str">
            <v>-</v>
          </cell>
          <cell r="AS34" t="str">
            <v>JC</v>
          </cell>
          <cell r="AT34" t="str">
            <v>60/40</v>
          </cell>
          <cell r="AU34" t="str">
            <v>COP</v>
          </cell>
          <cell r="AV34" t="str">
            <v>GM_LIGHTW_SEAT</v>
          </cell>
          <cell r="AW34" t="str">
            <v>M</v>
          </cell>
          <cell r="AX34" t="str">
            <v>P</v>
          </cell>
          <cell r="AY34" t="str">
            <v>-</v>
          </cell>
          <cell r="AZ34" t="str">
            <v>-</v>
          </cell>
          <cell r="BA34" t="str">
            <v>wird ausgetauscht</v>
          </cell>
          <cell r="BB34" t="str">
            <v>RING-R/SEAT BK CUSH CVR HOG - RINGKLAMMER-HIRUECK BEZUG</v>
          </cell>
        </row>
        <row r="35">
          <cell r="A35">
            <v>33</v>
          </cell>
          <cell r="B35" t="str">
            <v>3</v>
          </cell>
          <cell r="C35" t="str">
            <v>1</v>
          </cell>
          <cell r="E35" t="str">
            <v>COVER-R/SEAT BK CUSH - BEZUG HIRUECK</v>
          </cell>
          <cell r="L35" t="str">
            <v>Bezug</v>
          </cell>
          <cell r="M35" t="str">
            <v>291347</v>
          </cell>
          <cell r="N35" t="str">
            <v>A</v>
          </cell>
          <cell r="Q35">
            <v>1</v>
          </cell>
          <cell r="R35">
            <v>1</v>
          </cell>
          <cell r="S35">
            <v>9</v>
          </cell>
          <cell r="T35" t="str">
            <v>NO</v>
          </cell>
          <cell r="U35">
            <v>0</v>
          </cell>
          <cell r="V35" t="str">
            <v>-</v>
          </cell>
          <cell r="W35" t="str">
            <v>291347</v>
          </cell>
          <cell r="X35" t="str">
            <v>A</v>
          </cell>
          <cell r="AA35" t="str">
            <v>GM_A3300</v>
          </cell>
          <cell r="AB35" t="str">
            <v>C</v>
          </cell>
          <cell r="AD35" t="str">
            <v>-</v>
          </cell>
          <cell r="AF35">
            <v>0.65</v>
          </cell>
          <cell r="AG35" t="str">
            <v>N/A</v>
          </cell>
          <cell r="AH35"/>
          <cell r="AJ35"/>
          <cell r="AO35" t="str">
            <v>1C8M</v>
          </cell>
          <cell r="AP35" t="str">
            <v>0300A</v>
          </cell>
          <cell r="AQ35" t="str">
            <v>TRIM</v>
          </cell>
          <cell r="AR35" t="str">
            <v>-</v>
          </cell>
          <cell r="AS35" t="str">
            <v>JC</v>
          </cell>
          <cell r="AT35" t="str">
            <v>40/20/40</v>
          </cell>
          <cell r="AU35" t="str">
            <v>NEW</v>
          </cell>
          <cell r="AV35" t="str">
            <v>-</v>
          </cell>
          <cell r="AW35" t="str">
            <v>T</v>
          </cell>
          <cell r="AX35" t="str">
            <v>P</v>
          </cell>
          <cell r="AY35" t="str">
            <v>-</v>
          </cell>
          <cell r="AZ35" t="str">
            <v>-</v>
          </cell>
          <cell r="BB35" t="str">
            <v>COVER-R/SEAT BK CUSH - BEZUG HIRUECK</v>
          </cell>
        </row>
        <row r="36">
          <cell r="A36">
            <v>34</v>
          </cell>
          <cell r="B36">
            <v>3</v>
          </cell>
          <cell r="C36" t="str">
            <v>1</v>
          </cell>
          <cell r="E36" t="str">
            <v>CARPET-R/SEAT BK CUSH - TEPPICH-HIRUECK</v>
          </cell>
          <cell r="L36" t="str">
            <v>Teppich</v>
          </cell>
          <cell r="M36" t="str">
            <v>291352</v>
          </cell>
          <cell r="N36" t="str">
            <v>E</v>
          </cell>
          <cell r="O36" t="str">
            <v>13154338</v>
          </cell>
          <cell r="Q36">
            <v>1</v>
          </cell>
          <cell r="R36">
            <v>1</v>
          </cell>
          <cell r="S36">
            <v>9</v>
          </cell>
          <cell r="T36" t="str">
            <v>NO</v>
          </cell>
          <cell r="U36" t="str">
            <v>3</v>
          </cell>
          <cell r="W36" t="str">
            <v>291352</v>
          </cell>
          <cell r="X36" t="str">
            <v>E</v>
          </cell>
          <cell r="Y36" t="str">
            <v>13154338</v>
          </cell>
          <cell r="Z36" t="str">
            <v>NO-DWG</v>
          </cell>
          <cell r="AA36" t="str">
            <v>GM_A3300</v>
          </cell>
          <cell r="AB36" t="str">
            <v>C</v>
          </cell>
          <cell r="AD36">
            <v>126884</v>
          </cell>
          <cell r="AF36">
            <v>0.21</v>
          </cell>
          <cell r="AG36" t="str">
            <v>TM 225000-4.5</v>
          </cell>
          <cell r="AH36"/>
          <cell r="AJ36"/>
          <cell r="AL36" t="str">
            <v>-</v>
          </cell>
          <cell r="AO36" t="str">
            <v>1C8M</v>
          </cell>
          <cell r="AP36" t="str">
            <v>0350B</v>
          </cell>
          <cell r="AQ36" t="str">
            <v>TRIM</v>
          </cell>
          <cell r="AR36" t="str">
            <v>-</v>
          </cell>
          <cell r="AS36" t="str">
            <v>JC</v>
          </cell>
          <cell r="AT36" t="str">
            <v>40/20/40</v>
          </cell>
          <cell r="AU36" t="str">
            <v>NEW</v>
          </cell>
          <cell r="AV36" t="str">
            <v>-</v>
          </cell>
          <cell r="AW36" t="str">
            <v>T</v>
          </cell>
          <cell r="AX36" t="str">
            <v>P</v>
          </cell>
          <cell r="AY36" t="str">
            <v>ACA54347</v>
          </cell>
          <cell r="AZ36" t="str">
            <v>ACA54347</v>
          </cell>
          <cell r="BB36" t="str">
            <v>CARPET-R/SEAT BK CUSH - TEPPICH-HIRUECK</v>
          </cell>
        </row>
        <row r="37">
          <cell r="A37">
            <v>35</v>
          </cell>
          <cell r="B37">
            <v>3</v>
          </cell>
          <cell r="C37" t="str">
            <v>1</v>
          </cell>
          <cell r="E37" t="str">
            <v>RETAINER-R/SEAT BK CUSH CPT (PUSH IN) - BEFESTIGUNG-HIRUECK TEPP (EINDR)</v>
          </cell>
          <cell r="L37" t="str">
            <v>Teppichbefestigung</v>
          </cell>
          <cell r="M37" t="str">
            <v>287455</v>
          </cell>
          <cell r="N37" t="str">
            <v>000</v>
          </cell>
          <cell r="O37" t="str">
            <v>09132999</v>
          </cell>
          <cell r="Q37">
            <v>13</v>
          </cell>
          <cell r="R37" t="str">
            <v>1</v>
          </cell>
          <cell r="S37">
            <v>9</v>
          </cell>
          <cell r="T37" t="str">
            <v>NO</v>
          </cell>
          <cell r="U37">
            <v>0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8978727</v>
          </cell>
          <cell r="AA37" t="str">
            <v>GM_A3300</v>
          </cell>
          <cell r="AB37" t="str">
            <v>C</v>
          </cell>
          <cell r="AD37">
            <v>129686</v>
          </cell>
          <cell r="AF37">
            <v>2E-3</v>
          </cell>
          <cell r="AG37" t="str">
            <v>QK 004 941</v>
          </cell>
          <cell r="AH37"/>
          <cell r="AJ37"/>
          <cell r="AL37" t="str">
            <v>-</v>
          </cell>
          <cell r="AO37" t="str">
            <v>1C8M</v>
          </cell>
          <cell r="AP37" t="str">
            <v>0352B</v>
          </cell>
          <cell r="AQ37" t="str">
            <v>TRIM</v>
          </cell>
          <cell r="AR37" t="str">
            <v>-</v>
          </cell>
          <cell r="AS37" t="str">
            <v>JC</v>
          </cell>
          <cell r="AT37" t="str">
            <v>60/40</v>
          </cell>
          <cell r="AU37" t="str">
            <v>COP</v>
          </cell>
          <cell r="AV37" t="str">
            <v>60/40</v>
          </cell>
          <cell r="AW37" t="str">
            <v>P</v>
          </cell>
          <cell r="AX37" t="str">
            <v>P</v>
          </cell>
          <cell r="AY37" t="str">
            <v>8941978</v>
          </cell>
          <cell r="AZ37" t="str">
            <v>-</v>
          </cell>
          <cell r="BB37" t="str">
            <v>RETAINER-R/SEAT BK CUSH CPT (PUSH IN) - BEFESTIGUNG-HIRUECK TEPP (EINDR)</v>
          </cell>
        </row>
        <row r="38">
          <cell r="A38">
            <v>36</v>
          </cell>
          <cell r="B38" t="str">
            <v>3</v>
          </cell>
          <cell r="C38" t="str">
            <v>1</v>
          </cell>
          <cell r="E38" t="str">
            <v>BEZEL ASM-R/SEAT BK CUSH LAT REL KNOB - EINFASSUNG Z-HIRUECK VERRIEG ENTRIEG KNOPF</v>
          </cell>
          <cell r="L38" t="str">
            <v>Pushbutton</v>
          </cell>
          <cell r="M38" t="str">
            <v>130855</v>
          </cell>
          <cell r="N38" t="str">
            <v>000</v>
          </cell>
          <cell r="O38" t="str">
            <v>90507521</v>
          </cell>
          <cell r="Q38">
            <v>1</v>
          </cell>
          <cell r="R38">
            <v>1</v>
          </cell>
          <cell r="S38">
            <v>9</v>
          </cell>
          <cell r="T38" t="str">
            <v>YES</v>
          </cell>
          <cell r="U38">
            <v>0</v>
          </cell>
          <cell r="V38" t="str">
            <v>-</v>
          </cell>
          <cell r="W38" t="str">
            <v>303414</v>
          </cell>
          <cell r="X38" t="str">
            <v>000</v>
          </cell>
          <cell r="Y38" t="str">
            <v>90507520</v>
          </cell>
          <cell r="Z38" t="str">
            <v>NO-DWG</v>
          </cell>
          <cell r="AA38" t="str">
            <v>T0600/3RD_ROW</v>
          </cell>
          <cell r="AB38" t="str">
            <v>R</v>
          </cell>
          <cell r="AD38">
            <v>118850</v>
          </cell>
          <cell r="AE38">
            <v>37427</v>
          </cell>
          <cell r="AF38">
            <v>0.02</v>
          </cell>
          <cell r="AG38" t="str">
            <v>QK 002911</v>
          </cell>
          <cell r="AH38"/>
          <cell r="AJ38"/>
          <cell r="AL38" t="str">
            <v>KARL MAIER</v>
          </cell>
          <cell r="AO38" t="str">
            <v>1C8N</v>
          </cell>
          <cell r="AP38" t="str">
            <v>0548A</v>
          </cell>
          <cell r="AQ38">
            <v>13156898</v>
          </cell>
          <cell r="AR38" t="str">
            <v>-</v>
          </cell>
          <cell r="AS38" t="str">
            <v>JC</v>
          </cell>
          <cell r="AT38" t="str">
            <v>60/40</v>
          </cell>
          <cell r="AU38" t="str">
            <v>COP</v>
          </cell>
          <cell r="AV38" t="str">
            <v>T0600/3RD_ROW</v>
          </cell>
          <cell r="AW38" t="str">
            <v>P</v>
          </cell>
          <cell r="AX38" t="str">
            <v>A</v>
          </cell>
          <cell r="AY38" t="str">
            <v>-</v>
          </cell>
          <cell r="AZ38" t="str">
            <v>-</v>
          </cell>
          <cell r="BB38" t="str">
            <v>BEZEL ASM-R/SEAT BK CUSH LAT REL KNOB - EINFASSUNG Z-HIRUECK VERRIEG ENTRIEG KNOPF</v>
          </cell>
        </row>
        <row r="39">
          <cell r="A39">
            <v>37</v>
          </cell>
          <cell r="B39">
            <v>3</v>
          </cell>
          <cell r="C39" t="str">
            <v>1</v>
          </cell>
          <cell r="E39" t="str">
            <v>GUIDE ASM-R/SEAT H/RST - FUEHRUNG Z-HISITZ KOPFSTUE</v>
          </cell>
          <cell r="L39" t="str">
            <v>Kopfstützenhülsen Kopfstützen</v>
          </cell>
          <cell r="M39" t="str">
            <v>237595</v>
          </cell>
          <cell r="N39" t="str">
            <v>000</v>
          </cell>
          <cell r="O39" t="str">
            <v>24409008</v>
          </cell>
          <cell r="Q39">
            <v>2</v>
          </cell>
          <cell r="R39">
            <v>1</v>
          </cell>
          <cell r="S39">
            <v>9</v>
          </cell>
          <cell r="T39" t="str">
            <v>YES</v>
          </cell>
          <cell r="U39">
            <v>0</v>
          </cell>
          <cell r="V39" t="str">
            <v>-</v>
          </cell>
          <cell r="W39" t="str">
            <v>237595</v>
          </cell>
          <cell r="X39" t="str">
            <v>000</v>
          </cell>
          <cell r="Y39" t="str">
            <v>24409008</v>
          </cell>
          <cell r="Z39" t="str">
            <v>NO-DWG</v>
          </cell>
          <cell r="AA39" t="str">
            <v>CORSA_MONOCAB</v>
          </cell>
          <cell r="AB39" t="str">
            <v>R</v>
          </cell>
          <cell r="AD39">
            <v>114929</v>
          </cell>
          <cell r="AE39">
            <v>37284</v>
          </cell>
          <cell r="AF39">
            <v>2.7E-2</v>
          </cell>
          <cell r="AG39" t="str">
            <v>PA6/GF30</v>
          </cell>
          <cell r="AH39"/>
          <cell r="AJ39"/>
          <cell r="AL39" t="str">
            <v>AKT</v>
          </cell>
          <cell r="AO39" t="str">
            <v>1C8L</v>
          </cell>
          <cell r="AP39" t="str">
            <v>0189A</v>
          </cell>
          <cell r="AQ39">
            <v>13153286</v>
          </cell>
          <cell r="AR39" t="str">
            <v>-</v>
          </cell>
          <cell r="AS39" t="str">
            <v>JC</v>
          </cell>
          <cell r="AT39" t="str">
            <v>60/40</v>
          </cell>
          <cell r="AU39" t="str">
            <v>COP</v>
          </cell>
          <cell r="AV39" t="str">
            <v>CORSA_MONOCAB</v>
          </cell>
          <cell r="AW39" t="str">
            <v>P</v>
          </cell>
          <cell r="AX39" t="str">
            <v>A</v>
          </cell>
          <cell r="AY39" t="str">
            <v>-</v>
          </cell>
          <cell r="AZ39" t="str">
            <v>-</v>
          </cell>
          <cell r="BB39" t="str">
            <v>GUIDE ASM-R/SEAT H/RST - FUEHRUNG Z-HISITZ KOPFSTUE</v>
          </cell>
        </row>
        <row r="40">
          <cell r="A40">
            <v>38</v>
          </cell>
          <cell r="B40">
            <v>3</v>
          </cell>
          <cell r="C40" t="str">
            <v>1</v>
          </cell>
          <cell r="E40" t="str">
            <v>RESTRAINT ASM-R/SEAT HD - KOPFSTUETZE Z-HISITZ</v>
          </cell>
          <cell r="L40" t="str">
            <v>Kopfstütze ASM</v>
          </cell>
          <cell r="M40" t="str">
            <v>287449</v>
          </cell>
          <cell r="N40" t="str">
            <v>A</v>
          </cell>
          <cell r="O40" t="str">
            <v>13115144</v>
          </cell>
          <cell r="Q40">
            <v>1</v>
          </cell>
          <cell r="R40">
            <v>1</v>
          </cell>
          <cell r="S40">
            <v>9</v>
          </cell>
          <cell r="T40" t="str">
            <v>NO</v>
          </cell>
          <cell r="U40">
            <v>3</v>
          </cell>
          <cell r="V40" t="str">
            <v>462</v>
          </cell>
          <cell r="W40" t="str">
            <v>287449</v>
          </cell>
          <cell r="X40" t="str">
            <v>A</v>
          </cell>
          <cell r="Y40" t="str">
            <v>13115144</v>
          </cell>
          <cell r="AA40" t="str">
            <v>GM_A3300</v>
          </cell>
          <cell r="AB40" t="str">
            <v>R</v>
          </cell>
          <cell r="AD40">
            <v>113585</v>
          </cell>
          <cell r="AE40">
            <v>37266</v>
          </cell>
          <cell r="AF40">
            <v>0.65</v>
          </cell>
          <cell r="AG40" t="str">
            <v>N/A</v>
          </cell>
          <cell r="AH40"/>
          <cell r="AJ40"/>
          <cell r="AL40" t="str">
            <v>INSITU</v>
          </cell>
          <cell r="AO40" t="str">
            <v>1C8J</v>
          </cell>
          <cell r="AP40" t="str">
            <v>0150A</v>
          </cell>
          <cell r="AQ40">
            <v>13153286</v>
          </cell>
          <cell r="AR40" t="str">
            <v>-</v>
          </cell>
          <cell r="AS40" t="str">
            <v>JC</v>
          </cell>
          <cell r="AT40" t="str">
            <v>60/40</v>
          </cell>
          <cell r="AU40" t="str">
            <v>COP</v>
          </cell>
          <cell r="AV40" t="str">
            <v>60/40</v>
          </cell>
          <cell r="AW40" t="str">
            <v>-</v>
          </cell>
          <cell r="AX40" t="str">
            <v>A</v>
          </cell>
          <cell r="AY40" t="str">
            <v>ACA59470</v>
          </cell>
          <cell r="AZ40" t="str">
            <v>ACA59470</v>
          </cell>
          <cell r="BB40" t="str">
            <v>RESTRAINT ASM-R/SEAT HD - KOPFSTUETZE Z-HISITZ</v>
          </cell>
        </row>
        <row r="41">
          <cell r="A41">
            <v>39</v>
          </cell>
          <cell r="B41">
            <v>4</v>
          </cell>
          <cell r="F41" t="str">
            <v>PAD-R/SEAT H/RST - AUFLAGE-HISITZ KOPFSTUE</v>
          </cell>
          <cell r="L41" t="str">
            <v>Schaum Kopfstütze</v>
          </cell>
          <cell r="M41" t="str">
            <v>289589</v>
          </cell>
          <cell r="N41" t="str">
            <v>B</v>
          </cell>
          <cell r="O41" t="str">
            <v>ACA59469</v>
          </cell>
          <cell r="Q41">
            <v>1</v>
          </cell>
          <cell r="R41">
            <v>1</v>
          </cell>
          <cell r="S41">
            <v>9</v>
          </cell>
          <cell r="T41" t="str">
            <v>YES</v>
          </cell>
          <cell r="U41">
            <v>0</v>
          </cell>
          <cell r="V41" t="str">
            <v>-</v>
          </cell>
          <cell r="W41" t="str">
            <v>287449</v>
          </cell>
          <cell r="X41" t="str">
            <v>B</v>
          </cell>
          <cell r="Y41" t="str">
            <v>ACA59470</v>
          </cell>
          <cell r="AA41" t="str">
            <v>STSSMPA101060450</v>
          </cell>
          <cell r="AB41" t="str">
            <v>R</v>
          </cell>
          <cell r="AD41">
            <v>113565</v>
          </cell>
          <cell r="AE41">
            <v>37266</v>
          </cell>
          <cell r="AF41" t="str">
            <v>-</v>
          </cell>
          <cell r="AG41" t="str">
            <v>TM 604800</v>
          </cell>
          <cell r="AH41"/>
          <cell r="AJ41"/>
          <cell r="AL41" t="str">
            <v>INSITU</v>
          </cell>
          <cell r="AO41" t="str">
            <v>1C8J</v>
          </cell>
          <cell r="AP41" t="str">
            <v>0155B</v>
          </cell>
          <cell r="AQ41">
            <v>13153286</v>
          </cell>
          <cell r="AR41" t="str">
            <v>-</v>
          </cell>
          <cell r="AS41" t="str">
            <v>-</v>
          </cell>
          <cell r="AT41" t="str">
            <v>60/40</v>
          </cell>
          <cell r="AU41" t="str">
            <v>COP</v>
          </cell>
          <cell r="AV41" t="str">
            <v>60/40</v>
          </cell>
          <cell r="AW41" t="str">
            <v>S</v>
          </cell>
          <cell r="AX41" t="str">
            <v>P</v>
          </cell>
          <cell r="AY41" t="str">
            <v>-</v>
          </cell>
          <cell r="AZ41" t="str">
            <v>-</v>
          </cell>
          <cell r="BB41" t="str">
            <v>PAD-R/SEAT H/RST - AUFLAGE-HISITZ KOPFSTUE</v>
          </cell>
        </row>
        <row r="42">
          <cell r="A42">
            <v>40</v>
          </cell>
          <cell r="B42" t="str">
            <v>4</v>
          </cell>
          <cell r="C42" t="str">
            <v>2</v>
          </cell>
          <cell r="F42" t="str">
            <v>ROD-R/SEAT H/RST ADJ - RASTSTANGE-HISITZ KOPFSTUE</v>
          </cell>
          <cell r="L42" t="str">
            <v>Raststange</v>
          </cell>
          <cell r="M42" t="str">
            <v>222586</v>
          </cell>
          <cell r="N42" t="str">
            <v>A</v>
          </cell>
          <cell r="O42" t="str">
            <v>09152740</v>
          </cell>
          <cell r="Q42">
            <v>2</v>
          </cell>
          <cell r="R42">
            <v>1</v>
          </cell>
          <cell r="S42">
            <v>9</v>
          </cell>
          <cell r="T42" t="str">
            <v>YES</v>
          </cell>
          <cell r="U42">
            <v>0</v>
          </cell>
          <cell r="V42" t="str">
            <v>-</v>
          </cell>
          <cell r="W42" t="str">
            <v>222586</v>
          </cell>
          <cell r="X42" t="str">
            <v>A</v>
          </cell>
          <cell r="Y42" t="str">
            <v>ACA59470</v>
          </cell>
          <cell r="AA42" t="str">
            <v>CORSA_MONOCAB</v>
          </cell>
          <cell r="AB42" t="str">
            <v>R</v>
          </cell>
          <cell r="AD42">
            <v>113565</v>
          </cell>
          <cell r="AE42">
            <v>37266</v>
          </cell>
          <cell r="AF42" t="str">
            <v>-</v>
          </cell>
          <cell r="AG42" t="str">
            <v>QS 1010 DK</v>
          </cell>
          <cell r="AH42"/>
          <cell r="AJ42"/>
          <cell r="AL42" t="str">
            <v>INSITU</v>
          </cell>
          <cell r="AO42" t="str">
            <v>1C8L</v>
          </cell>
          <cell r="AP42" t="str">
            <v>0189Q</v>
          </cell>
          <cell r="AQ42">
            <v>13153286</v>
          </cell>
          <cell r="AR42" t="str">
            <v>-</v>
          </cell>
          <cell r="AS42" t="str">
            <v>-</v>
          </cell>
          <cell r="AT42" t="str">
            <v>60/40</v>
          </cell>
          <cell r="AU42" t="str">
            <v>COP</v>
          </cell>
          <cell r="AV42" t="str">
            <v>CORSA_MONOCAB</v>
          </cell>
          <cell r="AW42" t="str">
            <v>M</v>
          </cell>
          <cell r="AX42" t="str">
            <v>P</v>
          </cell>
          <cell r="AY42" t="str">
            <v>-</v>
          </cell>
          <cell r="AZ42" t="str">
            <v>-</v>
          </cell>
          <cell r="BB42" t="str">
            <v>ROD-R/SEAT H/RST ADJ - RASTSTANGE-HISITZ KOPFSTUE</v>
          </cell>
        </row>
        <row r="43">
          <cell r="A43">
            <v>41</v>
          </cell>
          <cell r="B43">
            <v>4</v>
          </cell>
          <cell r="C43" t="str">
            <v>2</v>
          </cell>
          <cell r="F43" t="str">
            <v>REINFORCEMENT ASM-R/SEAT HD - VERSTAERKUNG Z-HISITZ KOPFSTUE</v>
          </cell>
          <cell r="L43" t="str">
            <v xml:space="preserve"> </v>
          </cell>
          <cell r="M43" t="str">
            <v>289590</v>
          </cell>
          <cell r="N43" t="str">
            <v>B</v>
          </cell>
          <cell r="O43" t="str">
            <v>ACA59471</v>
          </cell>
          <cell r="Q43">
            <v>1</v>
          </cell>
          <cell r="R43">
            <v>1</v>
          </cell>
          <cell r="S43">
            <v>9</v>
          </cell>
          <cell r="T43" t="str">
            <v>YES</v>
          </cell>
          <cell r="U43">
            <v>0</v>
          </cell>
          <cell r="V43" t="str">
            <v>-</v>
          </cell>
          <cell r="W43" t="str">
            <v>287449</v>
          </cell>
          <cell r="X43" t="str">
            <v>B</v>
          </cell>
          <cell r="Y43" t="str">
            <v>ACA59470</v>
          </cell>
          <cell r="AA43" t="str">
            <v>GM_A3370</v>
          </cell>
          <cell r="AB43" t="str">
            <v>R</v>
          </cell>
          <cell r="AD43">
            <v>113565</v>
          </cell>
          <cell r="AE43">
            <v>37266</v>
          </cell>
          <cell r="AF43" t="str">
            <v>-</v>
          </cell>
          <cell r="AG43" t="str">
            <v>N/A</v>
          </cell>
          <cell r="AH43"/>
          <cell r="AJ43"/>
          <cell r="AL43" t="str">
            <v>INSITU</v>
          </cell>
          <cell r="AO43" t="str">
            <v>1C8J</v>
          </cell>
          <cell r="AP43" t="str">
            <v>0167B</v>
          </cell>
          <cell r="AQ43">
            <v>13153286</v>
          </cell>
          <cell r="AR43" t="str">
            <v>-</v>
          </cell>
          <cell r="AS43" t="str">
            <v>-</v>
          </cell>
          <cell r="AT43" t="str">
            <v>60/40</v>
          </cell>
          <cell r="AU43" t="str">
            <v>COP</v>
          </cell>
          <cell r="AV43" t="str">
            <v>60/40</v>
          </cell>
          <cell r="AW43" t="str">
            <v>-</v>
          </cell>
          <cell r="AX43" t="str">
            <v>A</v>
          </cell>
          <cell r="AY43" t="str">
            <v>-</v>
          </cell>
          <cell r="AZ43" t="str">
            <v>-</v>
          </cell>
          <cell r="BB43" t="str">
            <v>REINFORCEMENT ASM-R/SEAT HD - VERSTAERKUNG Z-HISITZ KOPFSTUE</v>
          </cell>
        </row>
        <row r="44">
          <cell r="A44">
            <v>42</v>
          </cell>
          <cell r="B44">
            <v>4</v>
          </cell>
          <cell r="F44" t="str">
            <v>COVER-R/SEAT H/RST - BEZUG-HISITZ KOPFSTUE</v>
          </cell>
          <cell r="L44" t="str">
            <v>Bezug</v>
          </cell>
          <cell r="M44" t="str">
            <v>291366</v>
          </cell>
          <cell r="N44" t="str">
            <v>A</v>
          </cell>
          <cell r="Q44">
            <v>1</v>
          </cell>
          <cell r="R44">
            <v>1</v>
          </cell>
          <cell r="S44">
            <v>9</v>
          </cell>
          <cell r="T44" t="str">
            <v>NO</v>
          </cell>
          <cell r="U44">
            <v>0</v>
          </cell>
          <cell r="V44" t="str">
            <v>-</v>
          </cell>
          <cell r="W44" t="str">
            <v>291366</v>
          </cell>
          <cell r="X44" t="str">
            <v>A</v>
          </cell>
          <cell r="Y44" t="str">
            <v>-</v>
          </cell>
          <cell r="AA44" t="str">
            <v>GM_A3300</v>
          </cell>
          <cell r="AB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N/A</v>
          </cell>
          <cell r="AH44"/>
          <cell r="AJ44"/>
          <cell r="AL44" t="str">
            <v>INSITU</v>
          </cell>
          <cell r="AO44" t="str">
            <v>1C8M</v>
          </cell>
          <cell r="AP44" t="str">
            <v>0600B</v>
          </cell>
          <cell r="AQ44" t="str">
            <v>TRIM</v>
          </cell>
          <cell r="AR44" t="str">
            <v>-</v>
          </cell>
          <cell r="AS44" t="str">
            <v>-</v>
          </cell>
          <cell r="AT44" t="str">
            <v>60/40</v>
          </cell>
          <cell r="AU44" t="str">
            <v>COP</v>
          </cell>
          <cell r="AV44" t="str">
            <v>60/40</v>
          </cell>
          <cell r="AW44" t="str">
            <v>T</v>
          </cell>
          <cell r="AX44" t="str">
            <v>P</v>
          </cell>
          <cell r="AY44" t="str">
            <v>-</v>
          </cell>
          <cell r="AZ44" t="str">
            <v>-</v>
          </cell>
          <cell r="BB44" t="str">
            <v>COVER-R/SEAT H/RST - BEZUG-HISITZ KOPFSTUE</v>
          </cell>
        </row>
        <row r="45">
          <cell r="A45">
            <v>43</v>
          </cell>
          <cell r="B45">
            <v>2</v>
          </cell>
          <cell r="D45" t="str">
            <v>PANEL ASM-R/SEAT BK CUSH CTR - LEHNE Z-HIRUECK MIT</v>
          </cell>
          <cell r="L45" t="str">
            <v xml:space="preserve"> </v>
          </cell>
          <cell r="M45" t="str">
            <v>291369</v>
          </cell>
          <cell r="N45" t="str">
            <v>H</v>
          </cell>
          <cell r="O45" t="str">
            <v>ACA96519</v>
          </cell>
          <cell r="Q45">
            <v>1</v>
          </cell>
          <cell r="R45">
            <v>1</v>
          </cell>
          <cell r="S45">
            <v>9</v>
          </cell>
          <cell r="T45" t="str">
            <v>NO</v>
          </cell>
          <cell r="U45" t="str">
            <v>-</v>
          </cell>
          <cell r="V45" t="str">
            <v>-</v>
          </cell>
          <cell r="W45" t="str">
            <v>291369</v>
          </cell>
          <cell r="X45" t="str">
            <v>H</v>
          </cell>
          <cell r="Y45" t="str">
            <v>ACA96519</v>
          </cell>
          <cell r="AA45" t="str">
            <v>GM_A3300</v>
          </cell>
          <cell r="AB45" t="str">
            <v>C</v>
          </cell>
          <cell r="AF45">
            <v>6.0770000000000008</v>
          </cell>
          <cell r="AG45" t="str">
            <v>N/A</v>
          </cell>
          <cell r="AH45"/>
          <cell r="AJ45"/>
          <cell r="AL45" t="str">
            <v>-</v>
          </cell>
          <cell r="AO45" t="str">
            <v>1C8J</v>
          </cell>
          <cell r="AP45" t="str">
            <v>0374A</v>
          </cell>
          <cell r="AQ45" t="str">
            <v>-</v>
          </cell>
          <cell r="AR45" t="str">
            <v>-</v>
          </cell>
          <cell r="AS45" t="str">
            <v>JC</v>
          </cell>
          <cell r="AT45" t="str">
            <v>40/20/40</v>
          </cell>
          <cell r="AU45" t="str">
            <v>NEW</v>
          </cell>
          <cell r="AV45" t="str">
            <v>-</v>
          </cell>
          <cell r="AW45" t="str">
            <v>-</v>
          </cell>
          <cell r="AX45" t="str">
            <v>A</v>
          </cell>
          <cell r="AY45" t="str">
            <v>-</v>
          </cell>
          <cell r="AZ45" t="str">
            <v>-</v>
          </cell>
          <cell r="BB45" t="str">
            <v>PANEL ASM-R/SEAT BK CUSH CTR - LEHNE Z-HIRUECK MIT</v>
          </cell>
        </row>
        <row r="46">
          <cell r="A46">
            <v>44</v>
          </cell>
          <cell r="B46">
            <v>3</v>
          </cell>
          <cell r="C46" t="str">
            <v>1</v>
          </cell>
          <cell r="E46" t="str">
            <v>PANEL ASM-R/SEAT BK CUSH CTR - LEHNE Z-HIRUECK MIT</v>
          </cell>
          <cell r="L46" t="str">
            <v>Auslieferungszustand LAHN (KFG)</v>
          </cell>
          <cell r="M46" t="str">
            <v>291370</v>
          </cell>
          <cell r="N46" t="str">
            <v>F</v>
          </cell>
          <cell r="O46" t="str">
            <v>13146984</v>
          </cell>
          <cell r="Q46">
            <v>1</v>
          </cell>
          <cell r="R46">
            <v>1</v>
          </cell>
          <cell r="S46">
            <v>9</v>
          </cell>
          <cell r="T46" t="str">
            <v>NO</v>
          </cell>
          <cell r="U46" t="str">
            <v>1</v>
          </cell>
          <cell r="V46" t="str">
            <v>063</v>
          </cell>
          <cell r="W46" t="str">
            <v>291370</v>
          </cell>
          <cell r="X46" t="str">
            <v>F</v>
          </cell>
          <cell r="Y46" t="str">
            <v>ACA62855</v>
          </cell>
          <cell r="Z46" t="str">
            <v>NO-DWG</v>
          </cell>
          <cell r="AA46" t="str">
            <v>GM_A3300</v>
          </cell>
          <cell r="AB46" t="str">
            <v>C</v>
          </cell>
          <cell r="AD46">
            <v>126884</v>
          </cell>
          <cell r="AF46">
            <v>3.3760000000000003</v>
          </cell>
          <cell r="AG46" t="str">
            <v>N/A</v>
          </cell>
          <cell r="AH46"/>
          <cell r="AJ46"/>
          <cell r="AL46" t="str">
            <v>-</v>
          </cell>
          <cell r="AO46" t="str">
            <v>1C8J</v>
          </cell>
          <cell r="AP46" t="str">
            <v>0374A</v>
          </cell>
          <cell r="AQ46">
            <v>13116918</v>
          </cell>
          <cell r="AR46" t="str">
            <v>-</v>
          </cell>
          <cell r="AS46" t="str">
            <v>-</v>
          </cell>
          <cell r="AT46" t="str">
            <v>40/20/40</v>
          </cell>
          <cell r="AU46" t="str">
            <v>NEW</v>
          </cell>
          <cell r="AV46" t="str">
            <v>-</v>
          </cell>
          <cell r="AW46" t="str">
            <v>M</v>
          </cell>
          <cell r="AX46" t="str">
            <v>A</v>
          </cell>
          <cell r="AY46" t="str">
            <v>ACA62855</v>
          </cell>
          <cell r="AZ46" t="str">
            <v>-</v>
          </cell>
          <cell r="BB46" t="str">
            <v>PANEL ASM-R/SEAT BK CUSH CTR - LEHNE Z-HIRUECK MIT</v>
          </cell>
        </row>
        <row r="47">
          <cell r="A47">
            <v>45</v>
          </cell>
          <cell r="B47" t="str">
            <v>4</v>
          </cell>
          <cell r="F47" t="str">
            <v>PANEL ASM-R/SEAT BK CUSH CTR - LEHNE Z-HIRUECK MIT</v>
          </cell>
          <cell r="L47" t="str">
            <v xml:space="preserve"> </v>
          </cell>
          <cell r="M47" t="str">
            <v>291371</v>
          </cell>
          <cell r="N47" t="str">
            <v>F</v>
          </cell>
          <cell r="O47" t="str">
            <v>13154348</v>
          </cell>
          <cell r="Q47">
            <v>1</v>
          </cell>
          <cell r="R47">
            <v>1</v>
          </cell>
          <cell r="S47">
            <v>9</v>
          </cell>
          <cell r="T47" t="str">
            <v>NO</v>
          </cell>
          <cell r="U47">
            <v>1</v>
          </cell>
          <cell r="V47" t="str">
            <v>063</v>
          </cell>
          <cell r="W47" t="str">
            <v>291371</v>
          </cell>
          <cell r="X47" t="str">
            <v>F</v>
          </cell>
          <cell r="Y47" t="str">
            <v>ACA54355</v>
          </cell>
          <cell r="Z47" t="str">
            <v>NO-DWG</v>
          </cell>
          <cell r="AA47" t="str">
            <v>GM_A3300</v>
          </cell>
          <cell r="AB47" t="str">
            <v>C</v>
          </cell>
          <cell r="AD47">
            <v>126884</v>
          </cell>
          <cell r="AF47">
            <v>1.486</v>
          </cell>
          <cell r="AG47" t="str">
            <v>N/A</v>
          </cell>
          <cell r="AH47"/>
          <cell r="AJ47"/>
          <cell r="AL47" t="str">
            <v>-</v>
          </cell>
          <cell r="AO47" t="str">
            <v>1C8J</v>
          </cell>
          <cell r="AP47" t="str">
            <v>0374A</v>
          </cell>
          <cell r="AQ47">
            <v>13116918</v>
          </cell>
          <cell r="AR47" t="str">
            <v>-</v>
          </cell>
          <cell r="AS47" t="str">
            <v>-</v>
          </cell>
          <cell r="AT47" t="str">
            <v>40/20/40</v>
          </cell>
          <cell r="AU47" t="str">
            <v>NEW</v>
          </cell>
          <cell r="AV47" t="str">
            <v>-</v>
          </cell>
          <cell r="AW47" t="str">
            <v>M</v>
          </cell>
          <cell r="AX47" t="str">
            <v>A</v>
          </cell>
          <cell r="AY47" t="str">
            <v>ACA54355</v>
          </cell>
          <cell r="AZ47" t="str">
            <v>-</v>
          </cell>
          <cell r="BB47" t="str">
            <v>PANEL ASM-R/SEAT BK CUSH CTR - LEHNE Z-HIRUECK MIT</v>
          </cell>
        </row>
        <row r="48">
          <cell r="A48">
            <v>46</v>
          </cell>
          <cell r="B48" t="str">
            <v>5</v>
          </cell>
          <cell r="G48" t="str">
            <v>PANEL-R/SEAT BK CUSH CTR - LEHNE-HIRUECK MIT</v>
          </cell>
          <cell r="L48" t="str">
            <v>Lehne 20%</v>
          </cell>
          <cell r="M48" t="str">
            <v>291372</v>
          </cell>
          <cell r="N48" t="str">
            <v>J</v>
          </cell>
          <cell r="O48" t="str">
            <v>13154349</v>
          </cell>
          <cell r="Q48">
            <v>1</v>
          </cell>
          <cell r="R48">
            <v>1</v>
          </cell>
          <cell r="S48">
            <v>9</v>
          </cell>
          <cell r="T48" t="str">
            <v>NO</v>
          </cell>
          <cell r="U48">
            <v>1</v>
          </cell>
          <cell r="V48" t="str">
            <v>063</v>
          </cell>
          <cell r="W48" t="str">
            <v>291372</v>
          </cell>
          <cell r="X48" t="str">
            <v>J</v>
          </cell>
          <cell r="Y48" t="str">
            <v>ACA48918</v>
          </cell>
          <cell r="Z48" t="str">
            <v>NO-DWG</v>
          </cell>
          <cell r="AA48" t="str">
            <v>GM_A3300</v>
          </cell>
          <cell r="AB48" t="str">
            <v>C</v>
          </cell>
          <cell r="AD48">
            <v>126884</v>
          </cell>
          <cell r="AF48">
            <v>1.25</v>
          </cell>
          <cell r="AG48" t="str">
            <v>ZSTE 260-0.8</v>
          </cell>
          <cell r="AH48"/>
          <cell r="AJ48"/>
          <cell r="AK48"/>
          <cell r="AL48" t="str">
            <v>-</v>
          </cell>
          <cell r="AO48" t="str">
            <v>1C8J</v>
          </cell>
          <cell r="AP48" t="str">
            <v>0374B</v>
          </cell>
          <cell r="AQ48">
            <v>13116918</v>
          </cell>
          <cell r="AR48" t="str">
            <v>-</v>
          </cell>
          <cell r="AS48" t="str">
            <v>-</v>
          </cell>
          <cell r="AT48" t="str">
            <v>40/20/40</v>
          </cell>
          <cell r="AU48" t="str">
            <v>NEW</v>
          </cell>
          <cell r="AV48" t="str">
            <v>-</v>
          </cell>
          <cell r="AW48" t="str">
            <v>M</v>
          </cell>
          <cell r="AX48" t="str">
            <v>P</v>
          </cell>
          <cell r="AY48" t="str">
            <v>ACA48918</v>
          </cell>
          <cell r="AZ48" t="str">
            <v>-</v>
          </cell>
          <cell r="BB48" t="str">
            <v>PANEL-R/SEAT BK CUSH CTR - LEHNE-HIRUECK MIT</v>
          </cell>
        </row>
        <row r="49">
          <cell r="A49">
            <v>47</v>
          </cell>
          <cell r="B49">
            <v>5</v>
          </cell>
          <cell r="G49" t="str">
            <v>REINFORCEMENT ASM-R/SEAT BK CUSH  LAT - VERSTAERKUNG Z-HIRUECK VERRIEG</v>
          </cell>
          <cell r="L49" t="str">
            <v>Schlossblech ASM 20%</v>
          </cell>
          <cell r="M49" t="str">
            <v>348928</v>
          </cell>
          <cell r="N49" t="str">
            <v>A</v>
          </cell>
          <cell r="O49" t="str">
            <v>13156897</v>
          </cell>
          <cell r="Q49">
            <v>1</v>
          </cell>
          <cell r="R49">
            <v>1</v>
          </cell>
          <cell r="S49">
            <v>9</v>
          </cell>
          <cell r="T49" t="str">
            <v>NO</v>
          </cell>
          <cell r="U49">
            <v>1</v>
          </cell>
          <cell r="V49" t="str">
            <v>063</v>
          </cell>
          <cell r="W49" t="str">
            <v>348928</v>
          </cell>
          <cell r="X49" t="str">
            <v>A</v>
          </cell>
          <cell r="Y49" t="str">
            <v>13156897</v>
          </cell>
          <cell r="AA49" t="str">
            <v>GM_A3300</v>
          </cell>
          <cell r="AB49" t="str">
            <v>C</v>
          </cell>
          <cell r="AD49">
            <v>126884</v>
          </cell>
          <cell r="AF49">
            <v>0.23599999999999999</v>
          </cell>
          <cell r="AG49" t="str">
            <v>QSTE 420-2.0</v>
          </cell>
          <cell r="AH49"/>
          <cell r="AJ49"/>
          <cell r="AK49"/>
          <cell r="AL49" t="str">
            <v>-</v>
          </cell>
          <cell r="AO49" t="str">
            <v>1C8L</v>
          </cell>
          <cell r="AP49" t="str">
            <v>0204A</v>
          </cell>
          <cell r="AQ49">
            <v>13116918</v>
          </cell>
          <cell r="AR49" t="str">
            <v>-</v>
          </cell>
          <cell r="AS49" t="str">
            <v>-</v>
          </cell>
          <cell r="AT49" t="str">
            <v>40/20/40</v>
          </cell>
          <cell r="AU49" t="str">
            <v>NEW</v>
          </cell>
          <cell r="AV49" t="str">
            <v>-</v>
          </cell>
          <cell r="AW49" t="str">
            <v>M</v>
          </cell>
          <cell r="AX49" t="str">
            <v>A</v>
          </cell>
          <cell r="AY49" t="str">
            <v>ACA48922</v>
          </cell>
          <cell r="AZ49" t="str">
            <v>-</v>
          </cell>
          <cell r="BB49" t="str">
            <v>REINFORCEMENT ASM-R/SEAT BK CUSH  LAT - VERSTAERKUNG Z-HIRUECK VERRIEG</v>
          </cell>
        </row>
        <row r="50">
          <cell r="A50">
            <v>48</v>
          </cell>
          <cell r="B50">
            <v>6</v>
          </cell>
          <cell r="H50" t="str">
            <v>REINFORCEMENT-R/SEAT BK CUSH  LAT - VERSTAERKUNG-HIRUECK VERRIEG</v>
          </cell>
          <cell r="L50" t="str">
            <v>Schlossblech 20%</v>
          </cell>
          <cell r="M50" t="str">
            <v>291377</v>
          </cell>
          <cell r="N50" t="str">
            <v>J</v>
          </cell>
          <cell r="O50" t="str">
            <v>13154350</v>
          </cell>
          <cell r="Q50">
            <v>1</v>
          </cell>
          <cell r="R50">
            <v>1</v>
          </cell>
          <cell r="S50">
            <v>9</v>
          </cell>
          <cell r="T50" t="str">
            <v>NO</v>
          </cell>
          <cell r="U50">
            <v>1</v>
          </cell>
          <cell r="V50" t="str">
            <v>063</v>
          </cell>
          <cell r="W50" t="str">
            <v>291377</v>
          </cell>
          <cell r="X50" t="str">
            <v>J</v>
          </cell>
          <cell r="Y50" t="str">
            <v>ACA48922</v>
          </cell>
          <cell r="Z50" t="str">
            <v>NO-DWG</v>
          </cell>
          <cell r="AA50" t="str">
            <v>GM_A3300</v>
          </cell>
          <cell r="AB50" t="str">
            <v>C</v>
          </cell>
          <cell r="AD50">
            <v>126884</v>
          </cell>
          <cell r="AF50">
            <v>0.22</v>
          </cell>
          <cell r="AG50" t="str">
            <v>QSTE 420-2.0</v>
          </cell>
          <cell r="AL50" t="str">
            <v>-</v>
          </cell>
          <cell r="AO50" t="str">
            <v>1C8L</v>
          </cell>
          <cell r="AP50" t="str">
            <v>0204B</v>
          </cell>
          <cell r="AQ50">
            <v>13116918</v>
          </cell>
          <cell r="AR50" t="str">
            <v>-</v>
          </cell>
          <cell r="AS50" t="str">
            <v>-</v>
          </cell>
          <cell r="AT50" t="str">
            <v>40/20/40</v>
          </cell>
          <cell r="AU50" t="str">
            <v>NEW</v>
          </cell>
          <cell r="AV50" t="str">
            <v>-</v>
          </cell>
          <cell r="AW50" t="str">
            <v>M</v>
          </cell>
          <cell r="AX50" t="str">
            <v>P</v>
          </cell>
          <cell r="AY50" t="str">
            <v>ACA48922</v>
          </cell>
          <cell r="AZ50" t="str">
            <v>-</v>
          </cell>
          <cell r="BA50" t="str">
            <v>QSTE 420-2.0</v>
          </cell>
          <cell r="BB50" t="str">
            <v>REINFORCEMENT-R/SEAT BK CUSH  LAT - VERSTAERKUNG-HIRUECK VERRIEG</v>
          </cell>
        </row>
        <row r="51">
          <cell r="A51">
            <v>49</v>
          </cell>
          <cell r="B51">
            <v>6</v>
          </cell>
          <cell r="H51" t="str">
            <v>NUT-R/SEAT BK CUSH HGE - MUTTER-HIRUECK SCHARN</v>
          </cell>
          <cell r="L51" t="str">
            <v>Schweissmutter M8 (Schlossblech)</v>
          </cell>
          <cell r="M51" t="str">
            <v>108856</v>
          </cell>
          <cell r="N51" t="str">
            <v>001</v>
          </cell>
          <cell r="O51" t="str">
            <v>11072842</v>
          </cell>
          <cell r="Q51">
            <v>2</v>
          </cell>
          <cell r="R51">
            <v>1</v>
          </cell>
          <cell r="S51">
            <v>9</v>
          </cell>
          <cell r="T51" t="str">
            <v>NO</v>
          </cell>
          <cell r="U51">
            <v>0</v>
          </cell>
          <cell r="V51" t="str">
            <v>-</v>
          </cell>
          <cell r="X51" t="str">
            <v>001</v>
          </cell>
          <cell r="Y51" t="str">
            <v>11072840</v>
          </cell>
          <cell r="AA51" t="str">
            <v>GM_A3300</v>
          </cell>
          <cell r="AB51" t="str">
            <v>C</v>
          </cell>
          <cell r="AD51">
            <v>126884</v>
          </cell>
          <cell r="AF51">
            <v>8.0000000000000002E-3</v>
          </cell>
          <cell r="AG51" t="str">
            <v>QS 818100</v>
          </cell>
          <cell r="AL51" t="str">
            <v>-</v>
          </cell>
          <cell r="AO51" t="str">
            <v>1C8L</v>
          </cell>
          <cell r="AP51" t="str">
            <v>0180H</v>
          </cell>
          <cell r="AQ51">
            <v>13116918</v>
          </cell>
          <cell r="AR51" t="str">
            <v>-</v>
          </cell>
          <cell r="AS51" t="str">
            <v>-</v>
          </cell>
          <cell r="AT51" t="str">
            <v>40/20/40</v>
          </cell>
          <cell r="AU51" t="str">
            <v>DIN</v>
          </cell>
          <cell r="AW51" t="str">
            <v>M</v>
          </cell>
          <cell r="AX51" t="str">
            <v>P</v>
          </cell>
          <cell r="AY51" t="str">
            <v>-</v>
          </cell>
          <cell r="AZ51" t="str">
            <v>-</v>
          </cell>
          <cell r="BB51" t="str">
            <v>NUT-R/SEAT BK CUSH HGE - MUTTER-HIRUECK SCHARN</v>
          </cell>
        </row>
        <row r="52">
          <cell r="A52">
            <v>50</v>
          </cell>
          <cell r="B52">
            <v>4</v>
          </cell>
          <cell r="F52" t="str">
            <v>REINFORCEMENT-R/SEAT BK CUSH  PNL - VERSTAERKUNG-HIRUECK LEHNE</v>
          </cell>
          <cell r="L52" t="str">
            <v>Topfblech 20%</v>
          </cell>
          <cell r="M52" t="str">
            <v>291373</v>
          </cell>
          <cell r="N52" t="str">
            <v>K</v>
          </cell>
          <cell r="O52" t="str">
            <v>13154351</v>
          </cell>
          <cell r="Q52">
            <v>1</v>
          </cell>
          <cell r="R52">
            <v>1</v>
          </cell>
          <cell r="S52">
            <v>9</v>
          </cell>
          <cell r="T52" t="str">
            <v>NO</v>
          </cell>
          <cell r="U52">
            <v>1</v>
          </cell>
          <cell r="V52" t="str">
            <v>063</v>
          </cell>
          <cell r="W52" t="str">
            <v>291373</v>
          </cell>
          <cell r="X52" t="str">
            <v>K</v>
          </cell>
          <cell r="Y52" t="str">
            <v>ACA48919</v>
          </cell>
          <cell r="Z52" t="str">
            <v>NO-DWG</v>
          </cell>
          <cell r="AA52" t="str">
            <v>GM_A3300</v>
          </cell>
          <cell r="AB52" t="str">
            <v>C</v>
          </cell>
          <cell r="AD52">
            <v>126884</v>
          </cell>
          <cell r="AF52">
            <v>1.36</v>
          </cell>
          <cell r="AG52" t="str">
            <v>ZSTE 260-0.8</v>
          </cell>
          <cell r="AH52"/>
          <cell r="AJ52"/>
          <cell r="AK52"/>
          <cell r="AL52" t="str">
            <v>-</v>
          </cell>
          <cell r="AO52" t="str">
            <v>1C8J</v>
          </cell>
          <cell r="AP52" t="str">
            <v>0331B</v>
          </cell>
          <cell r="AQ52">
            <v>13116918</v>
          </cell>
          <cell r="AR52" t="str">
            <v>-</v>
          </cell>
          <cell r="AS52" t="str">
            <v>-</v>
          </cell>
          <cell r="AT52" t="str">
            <v>40/20/40</v>
          </cell>
          <cell r="AU52" t="str">
            <v>NEW</v>
          </cell>
          <cell r="AV52" t="str">
            <v>-</v>
          </cell>
          <cell r="AW52" t="str">
            <v>M</v>
          </cell>
          <cell r="AX52" t="str">
            <v>P</v>
          </cell>
          <cell r="AY52" t="str">
            <v>ACA48919</v>
          </cell>
          <cell r="AZ52" t="str">
            <v>-</v>
          </cell>
          <cell r="BB52" t="str">
            <v>REINFORCEMENT-R/SEAT BK CUSH  PNL - VERSTAERKUNG-HIRUECK LEHNE</v>
          </cell>
        </row>
        <row r="53">
          <cell r="A53">
            <v>51</v>
          </cell>
          <cell r="B53">
            <v>4</v>
          </cell>
          <cell r="F53" t="str">
            <v xml:space="preserve">HINGE ASM-R/SEAT BK CUSH CTR  PNL - SCHARNIER Z-HIRUECK MIT LEHNE </v>
          </cell>
          <cell r="L53" t="str">
            <v>Scharnier (Rohr-ASM)</v>
          </cell>
          <cell r="M53" t="str">
            <v>299659</v>
          </cell>
          <cell r="N53" t="str">
            <v>E</v>
          </cell>
          <cell r="O53" t="str">
            <v>13154352</v>
          </cell>
          <cell r="Q53">
            <v>1</v>
          </cell>
          <cell r="R53" t="str">
            <v>1</v>
          </cell>
          <cell r="S53">
            <v>9</v>
          </cell>
          <cell r="T53" t="str">
            <v>NO</v>
          </cell>
          <cell r="U53">
            <v>1</v>
          </cell>
          <cell r="V53" t="str">
            <v>063</v>
          </cell>
          <cell r="W53" t="str">
            <v>299659</v>
          </cell>
          <cell r="X53" t="str">
            <v>E</v>
          </cell>
          <cell r="Y53" t="str">
            <v>ACA54319</v>
          </cell>
          <cell r="Z53" t="str">
            <v>NO-DWG</v>
          </cell>
          <cell r="AA53" t="str">
            <v>GM_A3300</v>
          </cell>
          <cell r="AB53" t="str">
            <v>C</v>
          </cell>
          <cell r="AD53">
            <v>126884</v>
          </cell>
          <cell r="AF53">
            <v>0.53</v>
          </cell>
          <cell r="AG53" t="str">
            <v>N/A</v>
          </cell>
          <cell r="AL53" t="str">
            <v>-</v>
          </cell>
          <cell r="AO53" t="str">
            <v>1C8L</v>
          </cell>
          <cell r="AP53" t="str">
            <v>0176A</v>
          </cell>
          <cell r="AQ53">
            <v>13116918</v>
          </cell>
          <cell r="AR53" t="str">
            <v>-</v>
          </cell>
          <cell r="AS53" t="str">
            <v>-</v>
          </cell>
          <cell r="AT53" t="str">
            <v>40/20/40</v>
          </cell>
          <cell r="AU53" t="str">
            <v>NEW</v>
          </cell>
          <cell r="AV53" t="str">
            <v>-</v>
          </cell>
          <cell r="AW53" t="str">
            <v>M</v>
          </cell>
          <cell r="AX53" t="str">
            <v>A</v>
          </cell>
          <cell r="AY53" t="str">
            <v>ACA54319</v>
          </cell>
          <cell r="AZ53" t="str">
            <v>-</v>
          </cell>
          <cell r="BB53" t="str">
            <v xml:space="preserve">HINGE ASM-R/SEAT BK CUSH CTR  PNL - SCHARNIER Z-HIRUECK MIT LEHNE </v>
          </cell>
        </row>
        <row r="54">
          <cell r="A54">
            <v>52</v>
          </cell>
          <cell r="B54">
            <v>5</v>
          </cell>
          <cell r="G54" t="str">
            <v>HINGE-R/SEAT BK CUSH CTR  PNL - SCHARNIER-HIRUECK MIT LEHNE</v>
          </cell>
          <cell r="L54" t="str">
            <v>Rohr</v>
          </cell>
          <cell r="M54" t="str">
            <v>291374</v>
          </cell>
          <cell r="N54" t="str">
            <v>E</v>
          </cell>
          <cell r="O54" t="str">
            <v>13154353</v>
          </cell>
          <cell r="Q54">
            <v>1</v>
          </cell>
          <cell r="R54">
            <v>1</v>
          </cell>
          <cell r="S54">
            <v>9</v>
          </cell>
          <cell r="T54" t="str">
            <v>NO</v>
          </cell>
          <cell r="U54">
            <v>1</v>
          </cell>
          <cell r="V54" t="str">
            <v>063</v>
          </cell>
          <cell r="W54" t="str">
            <v>299659</v>
          </cell>
          <cell r="X54" t="str">
            <v>E</v>
          </cell>
          <cell r="Y54" t="str">
            <v>ACA54319</v>
          </cell>
          <cell r="Z54" t="str">
            <v>NO-DWG</v>
          </cell>
          <cell r="AA54" t="str">
            <v>GM_A3300</v>
          </cell>
          <cell r="AB54" t="str">
            <v>C</v>
          </cell>
          <cell r="AD54">
            <v>126884</v>
          </cell>
          <cell r="AF54">
            <v>0.47</v>
          </cell>
          <cell r="AG54" t="str">
            <v>RST52-3 30-2.0</v>
          </cell>
          <cell r="AL54" t="str">
            <v>-</v>
          </cell>
          <cell r="AO54" t="str">
            <v>1C8L</v>
          </cell>
          <cell r="AP54" t="str">
            <v>0176B</v>
          </cell>
          <cell r="AQ54">
            <v>13116918</v>
          </cell>
          <cell r="AR54" t="str">
            <v>-</v>
          </cell>
          <cell r="AS54" t="str">
            <v>-</v>
          </cell>
          <cell r="AT54" t="str">
            <v>40/20/40</v>
          </cell>
          <cell r="AU54" t="str">
            <v>NEW</v>
          </cell>
          <cell r="AV54" t="str">
            <v>-</v>
          </cell>
          <cell r="AW54" t="str">
            <v>M</v>
          </cell>
          <cell r="AX54" t="str">
            <v>P</v>
          </cell>
          <cell r="AY54" t="str">
            <v>ACA48920</v>
          </cell>
          <cell r="AZ54" t="str">
            <v>-</v>
          </cell>
          <cell r="BA54" t="str">
            <v>Ohne dwg (s.299659)</v>
          </cell>
          <cell r="BB54" t="str">
            <v>HINGE-R/SEAT BK CUSH CTR  PNL - SCHARNIER-HIRUECK MIT LEHNE</v>
          </cell>
        </row>
        <row r="55">
          <cell r="A55">
            <v>53</v>
          </cell>
          <cell r="B55">
            <v>5</v>
          </cell>
          <cell r="G55" t="str">
            <v>NUT-R/SEAT BK CUSH CTR PNL HGE - MUTTER-HIRUECK MIT LEHNE SCHARN</v>
          </cell>
          <cell r="L55" t="str">
            <v>Mutter</v>
          </cell>
          <cell r="M55" t="str">
            <v>299658</v>
          </cell>
          <cell r="N55" t="str">
            <v>E</v>
          </cell>
          <cell r="O55" t="str">
            <v>13154354</v>
          </cell>
          <cell r="Q55">
            <v>2</v>
          </cell>
          <cell r="R55" t="str">
            <v>1</v>
          </cell>
          <cell r="S55">
            <v>9</v>
          </cell>
          <cell r="T55" t="str">
            <v>NO</v>
          </cell>
          <cell r="U55">
            <v>1</v>
          </cell>
          <cell r="V55" t="str">
            <v>063</v>
          </cell>
          <cell r="W55" t="str">
            <v>299658</v>
          </cell>
          <cell r="X55" t="str">
            <v>E</v>
          </cell>
          <cell r="Y55" t="str">
            <v>ACA54315</v>
          </cell>
          <cell r="Z55" t="str">
            <v>NO-DWG</v>
          </cell>
          <cell r="AA55" t="str">
            <v>GM_A3300</v>
          </cell>
          <cell r="AB55" t="str">
            <v>C</v>
          </cell>
          <cell r="AD55">
            <v>126884</v>
          </cell>
          <cell r="AF55">
            <v>0.03</v>
          </cell>
          <cell r="AG55" t="str">
            <v>QS 1015 AK-D30</v>
          </cell>
          <cell r="AL55" t="str">
            <v>-</v>
          </cell>
          <cell r="AO55" t="str">
            <v>1C8L</v>
          </cell>
          <cell r="AP55" t="str">
            <v>0176E</v>
          </cell>
          <cell r="AQ55">
            <v>13116918</v>
          </cell>
          <cell r="AR55" t="str">
            <v>-</v>
          </cell>
          <cell r="AS55" t="str">
            <v>-</v>
          </cell>
          <cell r="AT55" t="str">
            <v>40/20/40</v>
          </cell>
          <cell r="AU55" t="str">
            <v>NEW</v>
          </cell>
          <cell r="AV55" t="str">
            <v>-</v>
          </cell>
          <cell r="AW55" t="str">
            <v>M</v>
          </cell>
          <cell r="AX55" t="str">
            <v>P</v>
          </cell>
          <cell r="AY55" t="str">
            <v>ACA54315</v>
          </cell>
          <cell r="AZ55" t="str">
            <v>-</v>
          </cell>
          <cell r="BB55" t="str">
            <v>NUT-R/SEAT BK CUSH CTR PNL HGE - MUTTER-HIRUECK MIT LEHNE SCHARN</v>
          </cell>
        </row>
        <row r="56">
          <cell r="A56">
            <v>54</v>
          </cell>
          <cell r="B56">
            <v>3</v>
          </cell>
          <cell r="C56" t="str">
            <v>1</v>
          </cell>
          <cell r="E56" t="str">
            <v>LATCH ASM-R/SEAT BK CTR CUSH - VERRIEGELUNG Z-HIRUECK MIT</v>
          </cell>
          <cell r="L56" t="str">
            <v>Schloss 20% (Kit) BMW</v>
          </cell>
          <cell r="M56" t="str">
            <v>317369</v>
          </cell>
          <cell r="N56" t="str">
            <v>B</v>
          </cell>
          <cell r="O56" t="str">
            <v>13154335</v>
          </cell>
          <cell r="Q56">
            <v>1</v>
          </cell>
          <cell r="R56">
            <v>1</v>
          </cell>
          <cell r="S56">
            <v>9</v>
          </cell>
          <cell r="T56" t="str">
            <v>NO</v>
          </cell>
          <cell r="U56">
            <v>3</v>
          </cell>
          <cell r="V56" t="str">
            <v>522</v>
          </cell>
          <cell r="W56" t="str">
            <v>317369</v>
          </cell>
          <cell r="X56" t="str">
            <v>B</v>
          </cell>
          <cell r="Y56" t="str">
            <v>13154335</v>
          </cell>
          <cell r="AA56" t="str">
            <v>GM_A3300</v>
          </cell>
          <cell r="AB56" t="str">
            <v>R</v>
          </cell>
          <cell r="AD56">
            <v>122499</v>
          </cell>
          <cell r="AE56">
            <v>37546</v>
          </cell>
          <cell r="AF56">
            <v>0.2</v>
          </cell>
          <cell r="AG56" t="str">
            <v>N/A</v>
          </cell>
          <cell r="AH56"/>
          <cell r="AJ56"/>
          <cell r="AK56"/>
          <cell r="AL56" t="str">
            <v>WITTE</v>
          </cell>
          <cell r="AN56">
            <v>30208</v>
          </cell>
          <cell r="AO56" t="str">
            <v>1C8L</v>
          </cell>
          <cell r="AP56" t="str">
            <v>8225A</v>
          </cell>
          <cell r="AQ56">
            <v>13156898</v>
          </cell>
          <cell r="AR56" t="str">
            <v>-</v>
          </cell>
          <cell r="AS56" t="str">
            <v>JC</v>
          </cell>
          <cell r="AT56" t="str">
            <v>40/20/40</v>
          </cell>
          <cell r="AU56" t="str">
            <v>NEW</v>
          </cell>
          <cell r="AV56" t="str">
            <v>-</v>
          </cell>
          <cell r="AW56" t="str">
            <v>-</v>
          </cell>
          <cell r="AX56" t="str">
            <v>A</v>
          </cell>
          <cell r="AY56" t="str">
            <v>ACB51956</v>
          </cell>
          <cell r="AZ56" t="str">
            <v>ACB51956</v>
          </cell>
          <cell r="BA56" t="str">
            <v>VOLVO-Schloss inkl. Bowdenzug, Schrauben, Verriegelung</v>
          </cell>
          <cell r="BB56" t="str">
            <v>LATCH ASM-R/SEAT BK CTR CUSH - VERRIEGELUNG Z-HIRUECK MIT</v>
          </cell>
        </row>
        <row r="57">
          <cell r="A57">
            <v>55</v>
          </cell>
          <cell r="B57">
            <v>3</v>
          </cell>
          <cell r="C57" t="str">
            <v>1</v>
          </cell>
          <cell r="E57" t="str">
            <v>BOLT/SCREW-R/SEAT BK CTR CUSH LAT - SCHRAUBE-HIRUECK MIT VERRIEG</v>
          </cell>
          <cell r="L57" t="str">
            <v>Senkschraube M8 x 30 (20%-Schloss)</v>
          </cell>
          <cell r="M57" t="str">
            <v>171237</v>
          </cell>
          <cell r="N57" t="str">
            <v>001</v>
          </cell>
          <cell r="O57" t="str">
            <v>09175077</v>
          </cell>
          <cell r="Q57">
            <v>2</v>
          </cell>
          <cell r="R57" t="str">
            <v>1</v>
          </cell>
          <cell r="S57">
            <v>9</v>
          </cell>
          <cell r="T57" t="str">
            <v>YES</v>
          </cell>
          <cell r="U57">
            <v>0</v>
          </cell>
          <cell r="V57" t="str">
            <v>-</v>
          </cell>
          <cell r="W57" t="str">
            <v>171237</v>
          </cell>
          <cell r="X57" t="str">
            <v>001</v>
          </cell>
          <cell r="Y57" t="str">
            <v>09175077</v>
          </cell>
          <cell r="AA57" t="str">
            <v>T0600/3RD_ROW</v>
          </cell>
          <cell r="AB57" t="str">
            <v>C</v>
          </cell>
          <cell r="AD57">
            <v>126143</v>
          </cell>
          <cell r="AF57">
            <v>0.01</v>
          </cell>
          <cell r="AG57" t="str">
            <v>8.8 ON 2900</v>
          </cell>
          <cell r="AL57" t="str">
            <v>-</v>
          </cell>
          <cell r="AO57" t="str">
            <v>1C8L</v>
          </cell>
          <cell r="AP57" t="str">
            <v>8225C</v>
          </cell>
          <cell r="AQ57">
            <v>13156898</v>
          </cell>
          <cell r="AR57" t="str">
            <v>-</v>
          </cell>
          <cell r="AS57" t="str">
            <v>JC</v>
          </cell>
          <cell r="AT57" t="str">
            <v>40/20/40</v>
          </cell>
          <cell r="AU57" t="str">
            <v>DIN</v>
          </cell>
          <cell r="AW57" t="str">
            <v>M</v>
          </cell>
          <cell r="AX57" t="str">
            <v>P</v>
          </cell>
          <cell r="AY57" t="str">
            <v>-</v>
          </cell>
          <cell r="AZ57" t="str">
            <v>-</v>
          </cell>
          <cell r="BA57" t="str">
            <v>vorher mit DA124325 die prt-Nr. 254432</v>
          </cell>
          <cell r="BB57" t="str">
            <v>BOLT/SCREW-R/SEAT BK CTR CUSH LAT - SCHRAUBE-HIRUECK MIT VERRIEG</v>
          </cell>
        </row>
        <row r="58">
          <cell r="A58">
            <v>56</v>
          </cell>
          <cell r="B58" t="str">
            <v>3</v>
          </cell>
          <cell r="C58" t="str">
            <v>1</v>
          </cell>
          <cell r="E58" t="str">
            <v>SUPPORT ASM-R/SEAT BK CUSH CTR PIV - STUETZE Z-HIRUECK MIT DREHPKT</v>
          </cell>
          <cell r="L58" t="str">
            <v xml:space="preserve"> </v>
          </cell>
          <cell r="M58" t="str">
            <v>302331</v>
          </cell>
          <cell r="N58" t="str">
            <v>A</v>
          </cell>
          <cell r="O58" t="str">
            <v>13131908</v>
          </cell>
          <cell r="Q58">
            <v>1</v>
          </cell>
          <cell r="R58" t="str">
            <v>1</v>
          </cell>
          <cell r="S58">
            <v>9</v>
          </cell>
          <cell r="T58" t="str">
            <v>NO</v>
          </cell>
          <cell r="U58" t="str">
            <v>0</v>
          </cell>
          <cell r="V58" t="str">
            <v>-</v>
          </cell>
          <cell r="W58" t="str">
            <v>302331</v>
          </cell>
          <cell r="X58" t="str">
            <v>B</v>
          </cell>
          <cell r="Y58" t="str">
            <v>13131908</v>
          </cell>
          <cell r="Z58" t="str">
            <v>NO-DWG</v>
          </cell>
          <cell r="AA58" t="str">
            <v>GM_A3300</v>
          </cell>
          <cell r="AB58" t="str">
            <v>C</v>
          </cell>
          <cell r="AD58">
            <v>119562</v>
          </cell>
          <cell r="AF58">
            <v>0.46900000000000003</v>
          </cell>
          <cell r="AG58" t="str">
            <v>N/A</v>
          </cell>
          <cell r="AL58" t="str">
            <v>ISINEX</v>
          </cell>
          <cell r="AO58" t="str">
            <v>1C8L</v>
          </cell>
          <cell r="AP58" t="str">
            <v>0186A</v>
          </cell>
          <cell r="AQ58">
            <v>13116918</v>
          </cell>
          <cell r="AR58" t="str">
            <v>-</v>
          </cell>
          <cell r="AS58" t="str">
            <v>JC</v>
          </cell>
          <cell r="AT58" t="str">
            <v>60/40</v>
          </cell>
          <cell r="AU58" t="str">
            <v>COP</v>
          </cell>
          <cell r="AV58" t="str">
            <v>60/40</v>
          </cell>
          <cell r="AW58" t="str">
            <v>M</v>
          </cell>
          <cell r="AX58" t="str">
            <v>A</v>
          </cell>
          <cell r="AY58" t="str">
            <v>ACA80956</v>
          </cell>
          <cell r="AZ58" t="str">
            <v>ACA80956</v>
          </cell>
          <cell r="BB58" t="str">
            <v>SUPPORT ASM-R/SEAT BK CUSH CTR PIV - STUETZE Z-HIRUECK MIT DREHPKT</v>
          </cell>
        </row>
        <row r="59">
          <cell r="A59">
            <v>57</v>
          </cell>
          <cell r="B59" t="str">
            <v>4</v>
          </cell>
          <cell r="F59" t="str">
            <v>SUPPORT-R/SEAT BK CUSH CTR PIV - STUETZE-HIRUECK MIT DREHPKT</v>
          </cell>
          <cell r="L59" t="str">
            <v>Lagerstütze</v>
          </cell>
          <cell r="M59" t="str">
            <v>302322</v>
          </cell>
          <cell r="N59" t="str">
            <v>B</v>
          </cell>
          <cell r="O59" t="str">
            <v>13131910</v>
          </cell>
          <cell r="P59" t="str">
            <v>11062002</v>
          </cell>
          <cell r="Q59">
            <v>1</v>
          </cell>
          <cell r="R59" t="str">
            <v>1</v>
          </cell>
          <cell r="S59">
            <v>9</v>
          </cell>
          <cell r="T59" t="str">
            <v>NO</v>
          </cell>
          <cell r="U59" t="str">
            <v>-</v>
          </cell>
          <cell r="W59" t="str">
            <v>302324</v>
          </cell>
          <cell r="X59" t="str">
            <v>B</v>
          </cell>
          <cell r="Y59" t="str">
            <v>13150504</v>
          </cell>
          <cell r="Z59" t="str">
            <v>NO-DWG</v>
          </cell>
          <cell r="AA59" t="str">
            <v>GM_A3300</v>
          </cell>
          <cell r="AB59" t="str">
            <v>R</v>
          </cell>
          <cell r="AD59">
            <v>119562</v>
          </cell>
          <cell r="AE59">
            <v>37491</v>
          </cell>
          <cell r="AF59">
            <v>0.45300000000000001</v>
          </cell>
          <cell r="AG59" t="str">
            <v>QSTE 420-3.2</v>
          </cell>
          <cell r="AL59" t="str">
            <v>ISINEX</v>
          </cell>
          <cell r="AO59" t="str">
            <v>1C8L</v>
          </cell>
          <cell r="AP59" t="str">
            <v>0186B</v>
          </cell>
          <cell r="AQ59">
            <v>13116918</v>
          </cell>
          <cell r="AR59" t="str">
            <v>LH</v>
          </cell>
          <cell r="AS59" t="str">
            <v>-</v>
          </cell>
          <cell r="AT59" t="str">
            <v>60/40</v>
          </cell>
          <cell r="AU59" t="str">
            <v>COP</v>
          </cell>
          <cell r="AV59" t="str">
            <v>60/40</v>
          </cell>
          <cell r="AW59" t="str">
            <v>M</v>
          </cell>
          <cell r="AX59" t="str">
            <v>P</v>
          </cell>
          <cell r="AY59" t="str">
            <v>ACA80760</v>
          </cell>
          <cell r="AZ59" t="str">
            <v>ACA80759</v>
          </cell>
          <cell r="BB59" t="str">
            <v>SUPPORT-R/SEAT BK CUSH CTR PIV - STUETZE-HIRUECK MIT DREHPKT</v>
          </cell>
        </row>
        <row r="60">
          <cell r="A60">
            <v>58</v>
          </cell>
          <cell r="B60" t="str">
            <v>4</v>
          </cell>
          <cell r="F60" t="str">
            <v>NUT-R/SEAT BK CUSH CTR PIV SUPT - MUTTER-HIRUECK MIT DREHPKT STUE</v>
          </cell>
          <cell r="L60" t="str">
            <v>Schweissmutter M8 (Hinge)</v>
          </cell>
          <cell r="M60" t="str">
            <v>287441</v>
          </cell>
          <cell r="N60" t="str">
            <v>A</v>
          </cell>
          <cell r="O60" t="str">
            <v>11036686</v>
          </cell>
          <cell r="P60" t="str">
            <v>03031997</v>
          </cell>
          <cell r="Q60">
            <v>2</v>
          </cell>
          <cell r="R60">
            <v>1</v>
          </cell>
          <cell r="S60">
            <v>9</v>
          </cell>
          <cell r="T60" t="str">
            <v>NO</v>
          </cell>
          <cell r="U60" t="str">
            <v>-</v>
          </cell>
          <cell r="W60" t="str">
            <v>301346</v>
          </cell>
          <cell r="X60" t="str">
            <v>A</v>
          </cell>
          <cell r="Y60" t="str">
            <v>11036680</v>
          </cell>
          <cell r="Z60" t="str">
            <v>03031997</v>
          </cell>
          <cell r="AA60" t="str">
            <v>GM_A3300</v>
          </cell>
          <cell r="AB60" t="str">
            <v>R</v>
          </cell>
          <cell r="AD60">
            <v>114929</v>
          </cell>
          <cell r="AE60">
            <v>37284</v>
          </cell>
          <cell r="AF60">
            <v>8.0000000000000002E-3</v>
          </cell>
          <cell r="AG60" t="str">
            <v>QS 818100</v>
          </cell>
          <cell r="AH60"/>
          <cell r="AJ60"/>
          <cell r="AL60" t="str">
            <v>-</v>
          </cell>
          <cell r="AO60" t="str">
            <v>1C8L</v>
          </cell>
          <cell r="AP60" t="str">
            <v>0186E</v>
          </cell>
          <cell r="AQ60">
            <v>13116918</v>
          </cell>
          <cell r="AR60" t="str">
            <v>-</v>
          </cell>
          <cell r="AS60" t="str">
            <v>-</v>
          </cell>
          <cell r="AT60" t="str">
            <v>60/40</v>
          </cell>
          <cell r="AU60" t="str">
            <v>DIN</v>
          </cell>
          <cell r="AW60" t="str">
            <v>M</v>
          </cell>
          <cell r="AX60" t="str">
            <v>P</v>
          </cell>
          <cell r="AY60" t="str">
            <v>-</v>
          </cell>
          <cell r="AZ60" t="str">
            <v>-</v>
          </cell>
          <cell r="BB60" t="str">
            <v>NUT-R/SEAT BK CUSH CTR PIV SUPT - MUTTER-HIRUECK MIT DREHPKT STUE</v>
          </cell>
        </row>
        <row r="61">
          <cell r="A61">
            <v>59</v>
          </cell>
          <cell r="B61" t="str">
            <v>3</v>
          </cell>
          <cell r="C61" t="str">
            <v>1</v>
          </cell>
          <cell r="E61" t="str">
            <v>SUPPORT-R/SEAT BK CUSH CTR PIV - STUETZE-HIRUECK MIT DREHPKT</v>
          </cell>
          <cell r="L61" t="str">
            <v>Lagerstütze</v>
          </cell>
          <cell r="M61" t="str">
            <v>343175</v>
          </cell>
          <cell r="N61" t="str">
            <v>A</v>
          </cell>
          <cell r="O61" t="str">
            <v>13153262</v>
          </cell>
          <cell r="Q61">
            <v>1</v>
          </cell>
          <cell r="R61">
            <v>1</v>
          </cell>
          <cell r="S61">
            <v>9</v>
          </cell>
          <cell r="T61" t="str">
            <v>NO</v>
          </cell>
          <cell r="U61" t="str">
            <v>-</v>
          </cell>
          <cell r="W61" t="str">
            <v>302324</v>
          </cell>
          <cell r="X61" t="str">
            <v>A</v>
          </cell>
          <cell r="Y61" t="str">
            <v>13150504</v>
          </cell>
          <cell r="Z61" t="str">
            <v>NO-DWG</v>
          </cell>
          <cell r="AA61" t="str">
            <v>GM_A3300</v>
          </cell>
          <cell r="AB61" t="str">
            <v>C</v>
          </cell>
          <cell r="AD61">
            <v>125183</v>
          </cell>
          <cell r="AF61">
            <v>0.45300000000000001</v>
          </cell>
          <cell r="AG61" t="str">
            <v>QSTE 420-3.2</v>
          </cell>
          <cell r="AH61"/>
          <cell r="AJ61"/>
          <cell r="AK61"/>
          <cell r="AL61" t="str">
            <v>ISINEX</v>
          </cell>
          <cell r="AO61" t="str">
            <v>1C8L</v>
          </cell>
          <cell r="AP61" t="str">
            <v>0186B</v>
          </cell>
          <cell r="AQ61">
            <v>13116918</v>
          </cell>
          <cell r="AR61" t="str">
            <v>RH</v>
          </cell>
          <cell r="AS61" t="str">
            <v>JC</v>
          </cell>
          <cell r="AT61" t="str">
            <v>60/40</v>
          </cell>
          <cell r="AU61" t="str">
            <v>COP</v>
          </cell>
          <cell r="AV61" t="str">
            <v>60/40</v>
          </cell>
          <cell r="AW61" t="str">
            <v>M</v>
          </cell>
          <cell r="AX61" t="str">
            <v>P</v>
          </cell>
          <cell r="AY61" t="str">
            <v>ACA80761</v>
          </cell>
          <cell r="AZ61" t="str">
            <v>ACA80759</v>
          </cell>
          <cell r="BB61" t="str">
            <v>SUPPORT-R/SEAT BK CUSH CTR PIV - STUETZE-HIRUECK MIT DREHPKT</v>
          </cell>
        </row>
        <row r="62">
          <cell r="A62">
            <v>60</v>
          </cell>
          <cell r="B62" t="str">
            <v>3</v>
          </cell>
          <cell r="C62" t="str">
            <v>1</v>
          </cell>
          <cell r="E62" t="str">
            <v>BOLT/SCREW-R/SEAT BK CUSH CTR PIV SUPT - SCHRAUBE-HIRUECK MIT DREHPKT STUE</v>
          </cell>
          <cell r="L62" t="str">
            <v>Schraube-Spezial M14</v>
          </cell>
          <cell r="M62" t="str">
            <v>232172</v>
          </cell>
          <cell r="N62" t="str">
            <v>000</v>
          </cell>
          <cell r="O62" t="str">
            <v>90590012</v>
          </cell>
          <cell r="P62" t="str">
            <v>15022000</v>
          </cell>
          <cell r="Q62">
            <v>2</v>
          </cell>
          <cell r="R62" t="str">
            <v>1</v>
          </cell>
          <cell r="S62">
            <v>9</v>
          </cell>
          <cell r="T62" t="str">
            <v>YES</v>
          </cell>
          <cell r="U62">
            <v>0</v>
          </cell>
          <cell r="V62" t="str">
            <v>-</v>
          </cell>
          <cell r="W62" t="str">
            <v>232172</v>
          </cell>
          <cell r="X62" t="str">
            <v>000</v>
          </cell>
          <cell r="Y62" t="str">
            <v>90590012</v>
          </cell>
          <cell r="AA62" t="str">
            <v>OPEL-T-PROJEKTE</v>
          </cell>
          <cell r="AB62" t="str">
            <v>R</v>
          </cell>
          <cell r="AD62">
            <v>113565</v>
          </cell>
          <cell r="AE62">
            <v>37266</v>
          </cell>
          <cell r="AF62">
            <v>4.2999999999999997E-2</v>
          </cell>
          <cell r="AG62" t="str">
            <v>GMW-ST-F-8.8</v>
          </cell>
          <cell r="AL62" t="str">
            <v>-</v>
          </cell>
          <cell r="AO62" t="str">
            <v>1C8L</v>
          </cell>
          <cell r="AP62" t="str">
            <v>0186C</v>
          </cell>
          <cell r="AQ62">
            <v>13116918</v>
          </cell>
          <cell r="AR62" t="str">
            <v>-</v>
          </cell>
          <cell r="AS62" t="str">
            <v>JC</v>
          </cell>
          <cell r="AT62" t="str">
            <v>60/40</v>
          </cell>
          <cell r="AU62" t="str">
            <v>DIN</v>
          </cell>
          <cell r="AW62" t="str">
            <v>M</v>
          </cell>
          <cell r="AX62" t="str">
            <v>P</v>
          </cell>
          <cell r="AY62" t="str">
            <v>-</v>
          </cell>
          <cell r="AZ62" t="str">
            <v>-</v>
          </cell>
          <cell r="BB62" t="str">
            <v>BOLT/SCREW-R/SEAT BK CUSH CTR PIV SUPT - SCHRAUBE-HIRUECK MIT DREHPKT STUE</v>
          </cell>
        </row>
        <row r="63">
          <cell r="A63">
            <v>61</v>
          </cell>
          <cell r="B63">
            <v>3</v>
          </cell>
          <cell r="C63" t="str">
            <v>1</v>
          </cell>
          <cell r="E63" t="str">
            <v>COVER-R/SEAT BK CTR CUSH LAT - ABDECKUNG-HIRUECK MIT VERRIEG</v>
          </cell>
          <cell r="L63" t="str">
            <v>Abdeckung 20%-Schloss</v>
          </cell>
          <cell r="M63" t="str">
            <v>308345</v>
          </cell>
          <cell r="N63" t="str">
            <v>C</v>
          </cell>
          <cell r="O63" t="str">
            <v>13154341</v>
          </cell>
          <cell r="Q63">
            <v>1</v>
          </cell>
          <cell r="R63">
            <v>1</v>
          </cell>
          <cell r="S63">
            <v>9</v>
          </cell>
          <cell r="T63" t="str">
            <v>NO</v>
          </cell>
          <cell r="W63" t="str">
            <v>308345</v>
          </cell>
          <cell r="X63" t="str">
            <v>C</v>
          </cell>
          <cell r="Y63" t="str">
            <v>13154341</v>
          </cell>
          <cell r="Z63" t="str">
            <v>NO-DWG</v>
          </cell>
          <cell r="AA63" t="str">
            <v>GM_A3300</v>
          </cell>
          <cell r="AB63" t="str">
            <v>C</v>
          </cell>
          <cell r="AD63">
            <v>126597</v>
          </cell>
          <cell r="AF63">
            <v>0.13</v>
          </cell>
          <cell r="AG63" t="str">
            <v>QK 002713 - 3.0</v>
          </cell>
          <cell r="AL63" t="str">
            <v>-</v>
          </cell>
          <cell r="AO63" t="str">
            <v>1C8L</v>
          </cell>
          <cell r="AP63" t="str">
            <v>8225H</v>
          </cell>
          <cell r="AQ63">
            <v>13156898</v>
          </cell>
          <cell r="AR63" t="str">
            <v>-</v>
          </cell>
          <cell r="AS63" t="str">
            <v>JC</v>
          </cell>
          <cell r="AT63" t="str">
            <v>40/20/40</v>
          </cell>
          <cell r="AU63" t="str">
            <v>NEW</v>
          </cell>
          <cell r="AV63" t="str">
            <v>-</v>
          </cell>
          <cell r="AW63" t="str">
            <v>P</v>
          </cell>
          <cell r="AX63" t="str">
            <v>P</v>
          </cell>
          <cell r="AY63" t="str">
            <v>ACA94764</v>
          </cell>
          <cell r="AZ63" t="str">
            <v>ACA94764</v>
          </cell>
          <cell r="BB63" t="str">
            <v>COVER-R/SEAT BK CTR CUSH LAT - ABDECKUNG-HIRUECK MIT VERRIEG</v>
          </cell>
        </row>
        <row r="64">
          <cell r="A64">
            <v>62</v>
          </cell>
          <cell r="B64">
            <v>3</v>
          </cell>
          <cell r="C64" t="str">
            <v>1</v>
          </cell>
          <cell r="E64" t="str">
            <v>BOLT/SCREW-R/SEAT BK CTR CUSH LAT CVR - SCHRAUBE-HIRUECK VERRIEG ABDECK</v>
          </cell>
          <cell r="L64" t="str">
            <v>Blechschraube 4.2 x 16 (Abdeckung)</v>
          </cell>
          <cell r="M64" t="str">
            <v>333295</v>
          </cell>
          <cell r="N64" t="str">
            <v>A</v>
          </cell>
          <cell r="O64" t="str">
            <v>11900481</v>
          </cell>
          <cell r="Q64">
            <v>2</v>
          </cell>
          <cell r="R64" t="str">
            <v>1</v>
          </cell>
          <cell r="S64">
            <v>9</v>
          </cell>
          <cell r="T64" t="str">
            <v>NO</v>
          </cell>
          <cell r="U64">
            <v>0</v>
          </cell>
          <cell r="V64" t="str">
            <v>-</v>
          </cell>
          <cell r="W64" t="str">
            <v>333295</v>
          </cell>
          <cell r="X64" t="str">
            <v>A</v>
          </cell>
          <cell r="Y64" t="str">
            <v>11900481</v>
          </cell>
          <cell r="AA64" t="str">
            <v>GM_A3300</v>
          </cell>
          <cell r="AB64" t="str">
            <v>R</v>
          </cell>
          <cell r="AD64">
            <v>121089</v>
          </cell>
          <cell r="AE64">
            <v>37495</v>
          </cell>
          <cell r="AF64">
            <v>1E-3</v>
          </cell>
          <cell r="AG64" t="str">
            <v>DIN ISO 2702</v>
          </cell>
          <cell r="AO64" t="str">
            <v>1C8L</v>
          </cell>
          <cell r="AP64" t="str">
            <v>8226C</v>
          </cell>
          <cell r="AQ64">
            <v>13156898</v>
          </cell>
          <cell r="AR64" t="str">
            <v>-</v>
          </cell>
          <cell r="AS64" t="str">
            <v>JC</v>
          </cell>
          <cell r="AT64" t="str">
            <v>40/20/40</v>
          </cell>
          <cell r="AU64" t="str">
            <v>DIN</v>
          </cell>
          <cell r="AW64" t="str">
            <v>M</v>
          </cell>
          <cell r="AX64" t="str">
            <v>P</v>
          </cell>
          <cell r="AY64" t="str">
            <v>-</v>
          </cell>
          <cell r="AZ64" t="str">
            <v>-</v>
          </cell>
          <cell r="BB64" t="str">
            <v>BOLT/SCREW-R/SEAT BK CTR CUSH LAT CVR - SCHRAUBE-HIRUECK VERRIEG ABDECK</v>
          </cell>
        </row>
        <row r="65">
          <cell r="A65">
            <v>63</v>
          </cell>
          <cell r="B65" t="str">
            <v>3</v>
          </cell>
          <cell r="C65" t="str">
            <v>1</v>
          </cell>
          <cell r="E65" t="str">
            <v>PAD ASM-R/SEAT BK CTR CUSH - AUFLAGE Z-HIRUECK MIT</v>
          </cell>
          <cell r="L65" t="str">
            <v>Schaum mit Draht / Lehne 20%</v>
          </cell>
          <cell r="M65" t="str">
            <v>291381</v>
          </cell>
          <cell r="N65" t="str">
            <v>B</v>
          </cell>
          <cell r="O65" t="str">
            <v>13122664</v>
          </cell>
          <cell r="P65" t="str">
            <v>00000000</v>
          </cell>
          <cell r="Q65">
            <v>1</v>
          </cell>
          <cell r="R65">
            <v>1</v>
          </cell>
          <cell r="S65">
            <v>9</v>
          </cell>
          <cell r="T65" t="str">
            <v>NO</v>
          </cell>
          <cell r="U65">
            <v>3</v>
          </cell>
          <cell r="V65" t="str">
            <v>063</v>
          </cell>
          <cell r="W65" t="str">
            <v>291381</v>
          </cell>
          <cell r="X65" t="str">
            <v>B</v>
          </cell>
          <cell r="Y65" t="str">
            <v>13122664</v>
          </cell>
          <cell r="Z65" t="str">
            <v>NO-DWG</v>
          </cell>
          <cell r="AA65" t="str">
            <v>GM_A3300</v>
          </cell>
          <cell r="AB65" t="str">
            <v>R</v>
          </cell>
          <cell r="AD65">
            <v>121622</v>
          </cell>
          <cell r="AE65">
            <v>37492</v>
          </cell>
          <cell r="AF65">
            <v>0.32500000000000001</v>
          </cell>
          <cell r="AG65" t="str">
            <v>TM 604800</v>
          </cell>
          <cell r="AH65"/>
          <cell r="AJ65"/>
          <cell r="AO65" t="str">
            <v>1C8J</v>
          </cell>
          <cell r="AP65" t="str">
            <v>0373A</v>
          </cell>
          <cell r="AQ65">
            <v>13116913</v>
          </cell>
          <cell r="AR65" t="str">
            <v>-</v>
          </cell>
          <cell r="AS65" t="str">
            <v>JC</v>
          </cell>
          <cell r="AT65" t="str">
            <v>40/20/40</v>
          </cell>
          <cell r="AU65" t="str">
            <v>NEW</v>
          </cell>
          <cell r="AV65" t="str">
            <v>-</v>
          </cell>
          <cell r="AW65" t="str">
            <v>S</v>
          </cell>
          <cell r="AX65" t="str">
            <v>A</v>
          </cell>
          <cell r="AY65" t="str">
            <v>ACA83832</v>
          </cell>
          <cell r="AZ65" t="str">
            <v>ACA83832</v>
          </cell>
          <cell r="BB65" t="str">
            <v>PAD ASM-R/SEAT BK CTR CUSH - AUFLAGE Z-HIRUECK MIT</v>
          </cell>
        </row>
        <row r="66">
          <cell r="A66">
            <v>64</v>
          </cell>
          <cell r="B66" t="str">
            <v>3</v>
          </cell>
          <cell r="E66" t="str">
            <v>COVER-R/SEAT BK CUSH CTR - BEZUG-HISITZ MIT</v>
          </cell>
          <cell r="L66" t="str">
            <v>Bezug</v>
          </cell>
          <cell r="M66" t="str">
            <v xml:space="preserve"> </v>
          </cell>
          <cell r="Q66">
            <v>1</v>
          </cell>
          <cell r="R66">
            <v>1</v>
          </cell>
          <cell r="S66">
            <v>9</v>
          </cell>
          <cell r="T66" t="str">
            <v>NO</v>
          </cell>
          <cell r="U66">
            <v>0</v>
          </cell>
          <cell r="V66" t="str">
            <v>-</v>
          </cell>
          <cell r="AA66" t="str">
            <v>GM_A3300</v>
          </cell>
          <cell r="AB66" t="str">
            <v>C</v>
          </cell>
          <cell r="AO66" t="str">
            <v>1C8M</v>
          </cell>
          <cell r="AQ66" t="str">
            <v>TRIM</v>
          </cell>
          <cell r="AR66" t="str">
            <v>-</v>
          </cell>
          <cell r="AS66" t="str">
            <v>JC</v>
          </cell>
          <cell r="AT66" t="str">
            <v>40/20/40</v>
          </cell>
          <cell r="AU66" t="str">
            <v>NEW</v>
          </cell>
          <cell r="AV66" t="str">
            <v>-</v>
          </cell>
          <cell r="AW66" t="str">
            <v>T</v>
          </cell>
          <cell r="AX66" t="str">
            <v>P</v>
          </cell>
          <cell r="AY66" t="str">
            <v>-</v>
          </cell>
          <cell r="AZ66" t="str">
            <v>-</v>
          </cell>
          <cell r="BB66" t="str">
            <v>COVER-R/SEAT BK CUSH CTR - BEZUG-HISITZ MIT</v>
          </cell>
        </row>
        <row r="67">
          <cell r="A67">
            <v>65</v>
          </cell>
          <cell r="B67">
            <v>3</v>
          </cell>
          <cell r="C67" t="str">
            <v>1</v>
          </cell>
          <cell r="E67" t="str">
            <v>CARPET-R/SEAT CTR ST BK CUSH - TEPPICH-MIT HIRUECK</v>
          </cell>
          <cell r="L67" t="str">
            <v>Teppich</v>
          </cell>
          <cell r="M67" t="str">
            <v>291392</v>
          </cell>
          <cell r="N67" t="str">
            <v>F</v>
          </cell>
          <cell r="O67" t="str">
            <v>13154339</v>
          </cell>
          <cell r="Q67">
            <v>1</v>
          </cell>
          <cell r="R67">
            <v>1</v>
          </cell>
          <cell r="S67">
            <v>9</v>
          </cell>
          <cell r="T67" t="str">
            <v>NO</v>
          </cell>
          <cell r="U67">
            <v>3</v>
          </cell>
          <cell r="V67" t="str">
            <v>063</v>
          </cell>
          <cell r="W67" t="str">
            <v>291392</v>
          </cell>
          <cell r="X67" t="str">
            <v>F</v>
          </cell>
          <cell r="Y67" t="str">
            <v>13154339</v>
          </cell>
          <cell r="Z67" t="str">
            <v>NO-DWG</v>
          </cell>
          <cell r="AA67" t="str">
            <v>GM_A3300</v>
          </cell>
          <cell r="AB67" t="str">
            <v>C</v>
          </cell>
          <cell r="AD67">
            <v>126884</v>
          </cell>
          <cell r="AF67">
            <v>0.14000000000000001</v>
          </cell>
          <cell r="AG67" t="str">
            <v>TM 225000-4.5</v>
          </cell>
          <cell r="AH67"/>
          <cell r="AJ67"/>
          <cell r="AL67" t="str">
            <v>-</v>
          </cell>
          <cell r="AO67" t="str">
            <v>1C8M</v>
          </cell>
          <cell r="AP67" t="str">
            <v>2200B</v>
          </cell>
          <cell r="AQ67" t="str">
            <v>TRIM</v>
          </cell>
          <cell r="AR67" t="str">
            <v>-</v>
          </cell>
          <cell r="AS67" t="str">
            <v>JC</v>
          </cell>
          <cell r="AT67" t="str">
            <v>40/20/40</v>
          </cell>
          <cell r="AU67" t="str">
            <v>NEW</v>
          </cell>
          <cell r="AV67" t="str">
            <v>-</v>
          </cell>
          <cell r="AW67" t="str">
            <v>T</v>
          </cell>
          <cell r="AX67" t="str">
            <v>P</v>
          </cell>
          <cell r="AY67" t="str">
            <v>ACA54353</v>
          </cell>
          <cell r="AZ67" t="str">
            <v>ACA54353</v>
          </cell>
          <cell r="BB67" t="str">
            <v>CARPET-R/SEAT CTR ST BK CUSH - TEPPICH-MIT HIRUECK</v>
          </cell>
        </row>
        <row r="68">
          <cell r="A68">
            <v>66</v>
          </cell>
          <cell r="B68">
            <v>3</v>
          </cell>
          <cell r="C68" t="str">
            <v>1</v>
          </cell>
          <cell r="E68" t="str">
            <v>RETAINER-R/SEAT BK CUSH CPT (PUSH IN) - BEFESTIGUNG-HIRUECK TEPP (EINDR)</v>
          </cell>
          <cell r="L68" t="str">
            <v>Teppichbefestigung</v>
          </cell>
          <cell r="M68" t="str">
            <v>287455</v>
          </cell>
          <cell r="N68" t="str">
            <v>000</v>
          </cell>
          <cell r="O68" t="str">
            <v>09132999</v>
          </cell>
          <cell r="Q68">
            <v>12</v>
          </cell>
          <cell r="R68" t="str">
            <v>1</v>
          </cell>
          <cell r="S68">
            <v>9</v>
          </cell>
          <cell r="T68" t="str">
            <v>NO</v>
          </cell>
          <cell r="U68">
            <v>0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8978727</v>
          </cell>
          <cell r="AA68" t="str">
            <v>GM_A3300</v>
          </cell>
          <cell r="AB68" t="str">
            <v>C</v>
          </cell>
          <cell r="AD68">
            <v>129686</v>
          </cell>
          <cell r="AF68">
            <v>2E-3</v>
          </cell>
          <cell r="AG68" t="str">
            <v>QK 004 941</v>
          </cell>
          <cell r="AH68"/>
          <cell r="AJ68"/>
          <cell r="AL68" t="str">
            <v>-</v>
          </cell>
          <cell r="AO68" t="str">
            <v>1C8M</v>
          </cell>
          <cell r="AP68" t="str">
            <v>0352B</v>
          </cell>
          <cell r="AQ68" t="str">
            <v>TRIM</v>
          </cell>
          <cell r="AR68" t="str">
            <v>-</v>
          </cell>
          <cell r="AS68" t="str">
            <v>JC</v>
          </cell>
          <cell r="AT68" t="str">
            <v>60/40</v>
          </cell>
          <cell r="AU68" t="str">
            <v>COP</v>
          </cell>
          <cell r="AV68" t="str">
            <v>60/40</v>
          </cell>
          <cell r="AW68" t="str">
            <v>P</v>
          </cell>
          <cell r="AX68" t="str">
            <v>P</v>
          </cell>
          <cell r="AY68" t="str">
            <v>8941978</v>
          </cell>
          <cell r="AZ68" t="str">
            <v>-</v>
          </cell>
          <cell r="BB68" t="str">
            <v>RETAINER-R/SEAT BK CUSH CPT (PUSH IN) - BEFESTIGUNG-HIRUECK TEPP (EINDR)</v>
          </cell>
        </row>
        <row r="69">
          <cell r="A69">
            <v>67</v>
          </cell>
          <cell r="B69">
            <v>3</v>
          </cell>
          <cell r="C69" t="str">
            <v>1</v>
          </cell>
          <cell r="E69" t="str">
            <v>GUIDE ASM-R/SEAT H/RST - FUEHRUNG Z-HISITZ KOPFSTUE</v>
          </cell>
          <cell r="L69" t="str">
            <v>Kopfstützenhülsen Kopfstützen</v>
          </cell>
          <cell r="M69" t="str">
            <v>237595</v>
          </cell>
          <cell r="N69" t="str">
            <v>000</v>
          </cell>
          <cell r="O69" t="str">
            <v>24409008</v>
          </cell>
          <cell r="Q69">
            <v>2</v>
          </cell>
          <cell r="R69">
            <v>1</v>
          </cell>
          <cell r="S69">
            <v>9</v>
          </cell>
          <cell r="T69" t="str">
            <v>YES</v>
          </cell>
          <cell r="U69">
            <v>0</v>
          </cell>
          <cell r="V69" t="str">
            <v>-</v>
          </cell>
          <cell r="W69" t="str">
            <v>237595</v>
          </cell>
          <cell r="X69" t="str">
            <v>000</v>
          </cell>
          <cell r="Y69" t="str">
            <v>24409008</v>
          </cell>
          <cell r="Z69" t="str">
            <v>NO-DWG</v>
          </cell>
          <cell r="AA69" t="str">
            <v>CORSA_MONOCAB</v>
          </cell>
          <cell r="AB69" t="str">
            <v>R</v>
          </cell>
          <cell r="AD69">
            <v>114929</v>
          </cell>
          <cell r="AE69">
            <v>37284</v>
          </cell>
          <cell r="AF69">
            <v>2.7E-2</v>
          </cell>
          <cell r="AG69" t="str">
            <v>PA6/GF30</v>
          </cell>
          <cell r="AH69"/>
          <cell r="AJ69"/>
          <cell r="AL69" t="str">
            <v>AKT</v>
          </cell>
          <cell r="AO69" t="str">
            <v>1C8L</v>
          </cell>
          <cell r="AP69" t="str">
            <v>0189A</v>
          </cell>
          <cell r="AQ69">
            <v>13153286</v>
          </cell>
          <cell r="AR69" t="str">
            <v>-</v>
          </cell>
          <cell r="AS69" t="str">
            <v>JC</v>
          </cell>
          <cell r="AT69" t="str">
            <v>60/40</v>
          </cell>
          <cell r="AU69" t="str">
            <v>COP</v>
          </cell>
          <cell r="AV69" t="str">
            <v>CORSA_MONOCAB</v>
          </cell>
          <cell r="AW69" t="str">
            <v>P</v>
          </cell>
          <cell r="AX69" t="str">
            <v>A</v>
          </cell>
          <cell r="AY69" t="str">
            <v>-</v>
          </cell>
          <cell r="AZ69" t="str">
            <v>-</v>
          </cell>
          <cell r="BB69" t="str">
            <v>GUIDE ASM-R/SEAT H/RST - FUEHRUNG Z-HISITZ KOPFSTUE</v>
          </cell>
        </row>
        <row r="70">
          <cell r="A70">
            <v>68</v>
          </cell>
          <cell r="B70">
            <v>3</v>
          </cell>
          <cell r="C70" t="str">
            <v>1</v>
          </cell>
          <cell r="E70" t="str">
            <v>RESTRAINT ASM-R/SEAT CTR H/RST - KOPFSTUETZE Z-HISITZ MIT</v>
          </cell>
          <cell r="L70" t="str">
            <v>Kopfstütze ASM</v>
          </cell>
          <cell r="M70" t="str">
            <v>289653</v>
          </cell>
          <cell r="N70" t="str">
            <v>B</v>
          </cell>
          <cell r="O70" t="str">
            <v>13153287</v>
          </cell>
          <cell r="P70" t="str">
            <v>ACA62626</v>
          </cell>
          <cell r="Q70">
            <v>1</v>
          </cell>
          <cell r="R70">
            <v>1</v>
          </cell>
          <cell r="S70">
            <v>9</v>
          </cell>
          <cell r="T70" t="str">
            <v>NO</v>
          </cell>
          <cell r="U70">
            <v>3</v>
          </cell>
          <cell r="V70" t="str">
            <v>462</v>
          </cell>
          <cell r="W70" t="str">
            <v>289653</v>
          </cell>
          <cell r="X70" t="str">
            <v>B</v>
          </cell>
          <cell r="Y70" t="str">
            <v>13153287</v>
          </cell>
          <cell r="AA70" t="str">
            <v>GM_A3300</v>
          </cell>
          <cell r="AB70" t="str">
            <v>R</v>
          </cell>
          <cell r="AD70">
            <v>114929</v>
          </cell>
          <cell r="AE70">
            <v>37284</v>
          </cell>
          <cell r="AF70">
            <v>0.8</v>
          </cell>
          <cell r="AG70" t="str">
            <v>N/A</v>
          </cell>
          <cell r="AH70"/>
          <cell r="AJ70"/>
          <cell r="AL70" t="str">
            <v>INSITU</v>
          </cell>
          <cell r="AO70" t="str">
            <v>1C8J</v>
          </cell>
          <cell r="AP70" t="str">
            <v>0165A</v>
          </cell>
          <cell r="AQ70">
            <v>13153286</v>
          </cell>
          <cell r="AR70" t="str">
            <v>-</v>
          </cell>
          <cell r="AS70" t="str">
            <v>JC</v>
          </cell>
          <cell r="AT70" t="str">
            <v>40/20/40</v>
          </cell>
          <cell r="AU70" t="str">
            <v>NEW</v>
          </cell>
          <cell r="AV70" t="str">
            <v>-</v>
          </cell>
          <cell r="AW70" t="str">
            <v>-</v>
          </cell>
          <cell r="AX70" t="str">
            <v>A</v>
          </cell>
          <cell r="AY70" t="str">
            <v>ACA62626</v>
          </cell>
          <cell r="AZ70" t="str">
            <v>ACA62626</v>
          </cell>
          <cell r="BB70" t="str">
            <v>RESTRAINT ASM-R/SEAT CTR H/RST - KOPFSTUETZE Z-HISITZ MIT</v>
          </cell>
        </row>
        <row r="71">
          <cell r="A71">
            <v>69</v>
          </cell>
          <cell r="B71">
            <v>4</v>
          </cell>
          <cell r="C71" t="str">
            <v>2</v>
          </cell>
          <cell r="F71" t="str">
            <v>ROD-R/SEAT H/RST ADJ - RASTSTANGE-HISITZ KOPFSTUE</v>
          </cell>
          <cell r="L71" t="str">
            <v>Raststange</v>
          </cell>
          <cell r="M71" t="str">
            <v>291397</v>
          </cell>
          <cell r="N71" t="str">
            <v>A</v>
          </cell>
          <cell r="O71" t="str">
            <v>ACA48923</v>
          </cell>
          <cell r="Q71">
            <v>1</v>
          </cell>
          <cell r="R71">
            <v>1</v>
          </cell>
          <cell r="S71">
            <v>9</v>
          </cell>
          <cell r="T71" t="str">
            <v>YES</v>
          </cell>
          <cell r="U71">
            <v>0</v>
          </cell>
          <cell r="V71" t="str">
            <v>-</v>
          </cell>
          <cell r="W71" t="str">
            <v>291397</v>
          </cell>
          <cell r="X71" t="str">
            <v>A</v>
          </cell>
          <cell r="AA71" t="str">
            <v>STSSMPA101060450</v>
          </cell>
          <cell r="AB71" t="str">
            <v>R</v>
          </cell>
          <cell r="AD71">
            <v>114929</v>
          </cell>
          <cell r="AE71">
            <v>37284</v>
          </cell>
          <cell r="AF71" t="str">
            <v>-</v>
          </cell>
          <cell r="AG71" t="str">
            <v>QS 1010 DK</v>
          </cell>
          <cell r="AH71"/>
          <cell r="AJ71"/>
          <cell r="AK71"/>
          <cell r="AL71" t="str">
            <v>INSITU</v>
          </cell>
          <cell r="AO71" t="str">
            <v>1C8L</v>
          </cell>
          <cell r="AP71" t="str">
            <v>0189Q</v>
          </cell>
          <cell r="AQ71">
            <v>13153286</v>
          </cell>
          <cell r="AR71" t="str">
            <v>-</v>
          </cell>
          <cell r="AS71" t="str">
            <v>-</v>
          </cell>
          <cell r="AT71" t="str">
            <v>40/20/40</v>
          </cell>
          <cell r="AU71" t="str">
            <v>NEW</v>
          </cell>
          <cell r="AV71" t="str">
            <v>-</v>
          </cell>
          <cell r="AW71" t="str">
            <v>M</v>
          </cell>
          <cell r="AX71" t="str">
            <v>P</v>
          </cell>
          <cell r="AY71" t="str">
            <v>-</v>
          </cell>
          <cell r="AZ71" t="str">
            <v>-</v>
          </cell>
          <cell r="BB71" t="str">
            <v>ROD-R/SEAT H/RST ADJ - RASTSTANGE-HISITZ KOPFSTUE</v>
          </cell>
        </row>
        <row r="72">
          <cell r="A72">
            <v>70</v>
          </cell>
          <cell r="B72">
            <v>4</v>
          </cell>
          <cell r="F72" t="str">
            <v>PAD-R/SEAT H/RST - AUFLAGE-HISITZ KOPFSTUE</v>
          </cell>
          <cell r="L72" t="str">
            <v>Schaum Kopfstütze</v>
          </cell>
          <cell r="M72" t="str">
            <v>291398</v>
          </cell>
          <cell r="N72" t="str">
            <v>B</v>
          </cell>
          <cell r="O72" t="str">
            <v>ACA48924</v>
          </cell>
          <cell r="Q72">
            <v>1</v>
          </cell>
          <cell r="R72">
            <v>1</v>
          </cell>
          <cell r="S72">
            <v>9</v>
          </cell>
          <cell r="T72" t="str">
            <v>YES</v>
          </cell>
          <cell r="U72">
            <v>0</v>
          </cell>
          <cell r="V72" t="str">
            <v>-</v>
          </cell>
          <cell r="W72" t="str">
            <v>291398</v>
          </cell>
          <cell r="X72" t="str">
            <v>B</v>
          </cell>
          <cell r="AA72" t="str">
            <v>STSSMPA101060450</v>
          </cell>
          <cell r="AB72" t="str">
            <v>R</v>
          </cell>
          <cell r="AD72">
            <v>114578</v>
          </cell>
          <cell r="AE72">
            <v>37316</v>
          </cell>
          <cell r="AF72" t="str">
            <v>-</v>
          </cell>
          <cell r="AG72" t="str">
            <v>TM 604800</v>
          </cell>
          <cell r="AH72"/>
          <cell r="AJ72"/>
          <cell r="AK72"/>
          <cell r="AL72" t="str">
            <v>INSITU</v>
          </cell>
          <cell r="AO72" t="str">
            <v>1C8J</v>
          </cell>
          <cell r="AP72" t="str">
            <v>0155B</v>
          </cell>
          <cell r="AQ72">
            <v>13153286</v>
          </cell>
          <cell r="AR72" t="str">
            <v>-</v>
          </cell>
          <cell r="AS72" t="str">
            <v>-</v>
          </cell>
          <cell r="AT72" t="str">
            <v>40/20/40</v>
          </cell>
          <cell r="AU72" t="str">
            <v>NEW</v>
          </cell>
          <cell r="AV72" t="str">
            <v>-</v>
          </cell>
          <cell r="AW72" t="str">
            <v>S</v>
          </cell>
          <cell r="AX72" t="str">
            <v>P</v>
          </cell>
          <cell r="AY72" t="str">
            <v>-</v>
          </cell>
          <cell r="AZ72" t="str">
            <v>-</v>
          </cell>
          <cell r="BB72" t="str">
            <v>PAD-R/SEAT H/RST - AUFLAGE-HISITZ KOPFSTUE</v>
          </cell>
        </row>
        <row r="73">
          <cell r="A73">
            <v>71</v>
          </cell>
          <cell r="B73">
            <v>4</v>
          </cell>
          <cell r="F73" t="str">
            <v>COVER-R/SEAT H/RST - BEZUG-HISITZ KOPFSTUE</v>
          </cell>
          <cell r="L73" t="str">
            <v>Bezug</v>
          </cell>
          <cell r="M73" t="str">
            <v>291400</v>
          </cell>
          <cell r="N73" t="str">
            <v>A</v>
          </cell>
          <cell r="Q73">
            <v>2</v>
          </cell>
          <cell r="R73">
            <v>1</v>
          </cell>
          <cell r="S73">
            <v>9</v>
          </cell>
          <cell r="T73" t="str">
            <v>NO</v>
          </cell>
          <cell r="U73">
            <v>0</v>
          </cell>
          <cell r="V73" t="str">
            <v>-</v>
          </cell>
          <cell r="W73" t="str">
            <v>291400</v>
          </cell>
          <cell r="X73" t="str">
            <v>A</v>
          </cell>
          <cell r="AA73" t="str">
            <v>GM_A3300</v>
          </cell>
          <cell r="AB73" t="str">
            <v>C</v>
          </cell>
          <cell r="AD73" t="str">
            <v>-</v>
          </cell>
          <cell r="AE73" t="str">
            <v>-</v>
          </cell>
          <cell r="AF73" t="str">
            <v>-</v>
          </cell>
          <cell r="AG73" t="str">
            <v>N/A</v>
          </cell>
          <cell r="AH73"/>
          <cell r="AJ73"/>
          <cell r="AL73" t="str">
            <v>INSITU</v>
          </cell>
          <cell r="AO73" t="str">
            <v>1C8M</v>
          </cell>
          <cell r="AP73" t="str">
            <v>0600B</v>
          </cell>
          <cell r="AQ73" t="str">
            <v>TRIM</v>
          </cell>
          <cell r="AR73" t="str">
            <v>-</v>
          </cell>
          <cell r="AS73" t="str">
            <v>-</v>
          </cell>
          <cell r="AT73" t="str">
            <v>40/20/40</v>
          </cell>
          <cell r="AU73" t="str">
            <v>NEW</v>
          </cell>
          <cell r="AV73" t="str">
            <v>-</v>
          </cell>
          <cell r="AW73" t="str">
            <v>T</v>
          </cell>
          <cell r="AX73" t="str">
            <v>A</v>
          </cell>
          <cell r="AY73" t="str">
            <v>-</v>
          </cell>
          <cell r="AZ73" t="str">
            <v>-</v>
          </cell>
          <cell r="BB73" t="str">
            <v>COVER-R/SEAT H/RST - BEZUG-HISITZ KOPFSTUE</v>
          </cell>
        </row>
        <row r="74">
          <cell r="A74">
            <v>72</v>
          </cell>
          <cell r="B74">
            <v>2</v>
          </cell>
          <cell r="D74" t="str">
            <v>PANEL ASM-R/SEAT BK CUSH - LEHNE Z-HIRUECK</v>
          </cell>
          <cell r="L74" t="str">
            <v xml:space="preserve"> </v>
          </cell>
          <cell r="M74" t="str">
            <v>291401</v>
          </cell>
          <cell r="N74" t="str">
            <v>F</v>
          </cell>
          <cell r="O74" t="str">
            <v>ACA96612</v>
          </cell>
          <cell r="Q74">
            <v>1</v>
          </cell>
          <cell r="R74">
            <v>1</v>
          </cell>
          <cell r="S74">
            <v>9</v>
          </cell>
          <cell r="T74" t="str">
            <v>NO</v>
          </cell>
          <cell r="W74" t="str">
            <v>291401</v>
          </cell>
          <cell r="X74" t="str">
            <v>F</v>
          </cell>
          <cell r="Y74" t="str">
            <v>ACA96612</v>
          </cell>
          <cell r="AA74" t="str">
            <v>GM_A3300</v>
          </cell>
          <cell r="AB74" t="str">
            <v>R</v>
          </cell>
          <cell r="AD74">
            <v>122499</v>
          </cell>
          <cell r="AE74">
            <v>37546</v>
          </cell>
          <cell r="AF74">
            <v>11.113580000000001</v>
          </cell>
          <cell r="AG74" t="str">
            <v>N/A</v>
          </cell>
          <cell r="AH74"/>
          <cell r="AJ74"/>
          <cell r="AL74" t="str">
            <v>-</v>
          </cell>
          <cell r="AO74" t="str">
            <v>1C8J</v>
          </cell>
          <cell r="AP74" t="str">
            <v>0330A</v>
          </cell>
          <cell r="AQ74" t="str">
            <v>-</v>
          </cell>
          <cell r="AR74" t="str">
            <v>-</v>
          </cell>
          <cell r="AS74" t="str">
            <v>JC</v>
          </cell>
          <cell r="AT74" t="str">
            <v>40/20/40</v>
          </cell>
          <cell r="AU74" t="str">
            <v>NEW</v>
          </cell>
          <cell r="AV74" t="str">
            <v>-</v>
          </cell>
          <cell r="AW74" t="str">
            <v>-</v>
          </cell>
          <cell r="AX74" t="str">
            <v>A</v>
          </cell>
          <cell r="AY74" t="str">
            <v>-</v>
          </cell>
          <cell r="AZ74" t="str">
            <v>-</v>
          </cell>
          <cell r="BB74" t="str">
            <v>PANEL ASM-R/SEAT BK CUSH - LEHNE Z-HIRUECK</v>
          </cell>
        </row>
        <row r="75">
          <cell r="A75">
            <v>73</v>
          </cell>
          <cell r="B75">
            <v>3</v>
          </cell>
          <cell r="C75" t="str">
            <v>1</v>
          </cell>
          <cell r="E75" t="str">
            <v>PANEL ASM-R/SEAT BK CUSH - LEHNE Z-HIRUECK</v>
          </cell>
          <cell r="L75" t="str">
            <v>KFG</v>
          </cell>
          <cell r="M75" t="str">
            <v>345007</v>
          </cell>
          <cell r="N75" t="str">
            <v>A</v>
          </cell>
          <cell r="O75" t="str">
            <v>13122666</v>
          </cell>
          <cell r="Q75">
            <v>1</v>
          </cell>
          <cell r="R75">
            <v>1</v>
          </cell>
          <cell r="S75">
            <v>9</v>
          </cell>
          <cell r="T75" t="str">
            <v>NO</v>
          </cell>
          <cell r="U75">
            <v>3</v>
          </cell>
          <cell r="V75" t="str">
            <v>063</v>
          </cell>
          <cell r="W75" t="str">
            <v>345007</v>
          </cell>
          <cell r="X75" t="str">
            <v>A</v>
          </cell>
          <cell r="Y75" t="str">
            <v>13122666</v>
          </cell>
          <cell r="AA75" t="str">
            <v>GM_A3300</v>
          </cell>
          <cell r="AB75" t="str">
            <v>C</v>
          </cell>
          <cell r="AD75">
            <v>126143</v>
          </cell>
          <cell r="AF75">
            <v>5.9105800000000004</v>
          </cell>
          <cell r="AG75" t="str">
            <v>N/A</v>
          </cell>
          <cell r="AO75" t="str">
            <v>1C8J</v>
          </cell>
          <cell r="AP75" t="str">
            <v>0330A</v>
          </cell>
          <cell r="AQ75">
            <v>13116918</v>
          </cell>
          <cell r="AR75" t="str">
            <v>-</v>
          </cell>
          <cell r="AS75" t="str">
            <v>JC</v>
          </cell>
          <cell r="AT75" t="str">
            <v>40/20/40</v>
          </cell>
          <cell r="AU75" t="str">
            <v>NEW</v>
          </cell>
          <cell r="AV75" t="str">
            <v>-</v>
          </cell>
          <cell r="AW75" t="str">
            <v>-</v>
          </cell>
          <cell r="AX75" t="str">
            <v>A</v>
          </cell>
          <cell r="AY75" t="str">
            <v>-</v>
          </cell>
          <cell r="AZ75" t="str">
            <v>-</v>
          </cell>
          <cell r="BB75" t="str">
            <v>PANEL ASM-R/SEAT BK CUSH - LEHNE Z-HIRUECK</v>
          </cell>
        </row>
        <row r="76">
          <cell r="A76">
            <v>74</v>
          </cell>
          <cell r="B76">
            <v>4</v>
          </cell>
          <cell r="C76" t="str">
            <v>2</v>
          </cell>
          <cell r="F76" t="str">
            <v>PANEL ASM-R/SEAT BK CUSH - LEHNE Z-HIRUECK</v>
          </cell>
          <cell r="L76" t="str">
            <v xml:space="preserve"> </v>
          </cell>
          <cell r="M76" t="str">
            <v>291402</v>
          </cell>
          <cell r="N76" t="str">
            <v>F</v>
          </cell>
          <cell r="O76" t="str">
            <v>13146983</v>
          </cell>
          <cell r="Q76">
            <v>1</v>
          </cell>
          <cell r="R76">
            <v>1</v>
          </cell>
          <cell r="S76">
            <v>9</v>
          </cell>
          <cell r="T76" t="str">
            <v>NO</v>
          </cell>
          <cell r="U76" t="str">
            <v>1</v>
          </cell>
          <cell r="V76" t="str">
            <v>063</v>
          </cell>
          <cell r="W76" t="str">
            <v>291402</v>
          </cell>
          <cell r="X76" t="str">
            <v>F</v>
          </cell>
          <cell r="Y76" t="str">
            <v>ACA54352</v>
          </cell>
          <cell r="Z76" t="str">
            <v>NO-DWG</v>
          </cell>
          <cell r="AA76" t="str">
            <v>GM_A3300</v>
          </cell>
          <cell r="AB76" t="str">
            <v>C</v>
          </cell>
          <cell r="AD76">
            <v>126884</v>
          </cell>
          <cell r="AF76">
            <v>4.9025800000000004</v>
          </cell>
          <cell r="AG76" t="str">
            <v>N/A</v>
          </cell>
          <cell r="AH76"/>
          <cell r="AJ76"/>
          <cell r="AL76" t="str">
            <v>-</v>
          </cell>
          <cell r="AO76" t="str">
            <v>1C8J</v>
          </cell>
          <cell r="AP76" t="str">
            <v>0330A</v>
          </cell>
          <cell r="AQ76">
            <v>13116918</v>
          </cell>
          <cell r="AR76" t="str">
            <v>-</v>
          </cell>
          <cell r="AS76" t="str">
            <v>-</v>
          </cell>
          <cell r="AT76" t="str">
            <v>40/20/40</v>
          </cell>
          <cell r="AU76" t="str">
            <v>NEW</v>
          </cell>
          <cell r="AV76" t="str">
            <v>-</v>
          </cell>
          <cell r="AW76" t="str">
            <v>M</v>
          </cell>
          <cell r="AX76" t="str">
            <v>A</v>
          </cell>
          <cell r="AY76" t="str">
            <v>ACA54352</v>
          </cell>
          <cell r="AZ76" t="str">
            <v>-</v>
          </cell>
          <cell r="BB76" t="str">
            <v>PANEL ASM-R/SEAT BK CUSH - LEHNE Z-HIRUECK</v>
          </cell>
        </row>
        <row r="77">
          <cell r="A77">
            <v>75</v>
          </cell>
          <cell r="B77">
            <v>5</v>
          </cell>
          <cell r="G77" t="str">
            <v>PANEL ASM-R/SEAT BK CUSH - LEHNE Z-HIRUECK</v>
          </cell>
          <cell r="L77" t="str">
            <v xml:space="preserve"> </v>
          </cell>
          <cell r="M77" t="str">
            <v>291403</v>
          </cell>
          <cell r="N77" t="str">
            <v>F</v>
          </cell>
          <cell r="O77" t="str">
            <v>13154358</v>
          </cell>
          <cell r="Q77">
            <v>1</v>
          </cell>
          <cell r="R77">
            <v>1</v>
          </cell>
          <cell r="S77">
            <v>9</v>
          </cell>
          <cell r="T77" t="str">
            <v>NO</v>
          </cell>
          <cell r="U77">
            <v>1</v>
          </cell>
          <cell r="V77" t="str">
            <v>063</v>
          </cell>
          <cell r="W77" t="str">
            <v>291403</v>
          </cell>
          <cell r="X77" t="str">
            <v>F</v>
          </cell>
          <cell r="Y77" t="str">
            <v>ACA54351</v>
          </cell>
          <cell r="Z77" t="str">
            <v>NO-DWG</v>
          </cell>
          <cell r="AA77" t="str">
            <v>GM_A3300</v>
          </cell>
          <cell r="AB77" t="str">
            <v>C</v>
          </cell>
          <cell r="AD77">
            <v>126884</v>
          </cell>
          <cell r="AF77">
            <v>3.2555800000000001</v>
          </cell>
          <cell r="AG77" t="str">
            <v>N/A</v>
          </cell>
          <cell r="AH77"/>
          <cell r="AJ77"/>
          <cell r="AL77" t="str">
            <v>-</v>
          </cell>
          <cell r="AO77" t="str">
            <v>1C8J</v>
          </cell>
          <cell r="AP77" t="str">
            <v>0330A</v>
          </cell>
          <cell r="AQ77">
            <v>13116918</v>
          </cell>
          <cell r="AR77" t="str">
            <v>-</v>
          </cell>
          <cell r="AS77" t="str">
            <v>-</v>
          </cell>
          <cell r="AT77" t="str">
            <v>40/20/40</v>
          </cell>
          <cell r="AU77" t="str">
            <v>NEW</v>
          </cell>
          <cell r="AV77" t="str">
            <v>-</v>
          </cell>
          <cell r="AW77" t="str">
            <v>M</v>
          </cell>
          <cell r="AX77" t="str">
            <v>A</v>
          </cell>
          <cell r="AY77" t="str">
            <v>ACA54351</v>
          </cell>
          <cell r="AZ77" t="str">
            <v>-</v>
          </cell>
          <cell r="BB77" t="str">
            <v>PANEL ASM-R/SEAT BK CUSH - LEHNE Z-HIRUECK</v>
          </cell>
        </row>
        <row r="78">
          <cell r="A78">
            <v>76</v>
          </cell>
          <cell r="B78">
            <v>6</v>
          </cell>
          <cell r="H78" t="str">
            <v>PANEL-R/SEAT BK CUSH - LEHNE-HIRUECK</v>
          </cell>
          <cell r="L78" t="str">
            <v>Lehne 40%-LH</v>
          </cell>
          <cell r="M78" t="str">
            <v>291404</v>
          </cell>
          <cell r="N78" t="str">
            <v>K</v>
          </cell>
          <cell r="O78" t="str">
            <v>13154359</v>
          </cell>
          <cell r="P78" t="str">
            <v>19122001</v>
          </cell>
          <cell r="Q78">
            <v>1</v>
          </cell>
          <cell r="R78">
            <v>1</v>
          </cell>
          <cell r="S78">
            <v>9</v>
          </cell>
          <cell r="T78" t="str">
            <v>NO</v>
          </cell>
          <cell r="U78">
            <v>1</v>
          </cell>
          <cell r="V78" t="str">
            <v>063</v>
          </cell>
          <cell r="W78" t="str">
            <v>291404</v>
          </cell>
          <cell r="X78" t="str">
            <v>K</v>
          </cell>
          <cell r="Y78" t="str">
            <v>ACA53672</v>
          </cell>
          <cell r="Z78" t="str">
            <v>NO-DWG</v>
          </cell>
          <cell r="AA78" t="str">
            <v>GM_A3300</v>
          </cell>
          <cell r="AB78" t="str">
            <v>C</v>
          </cell>
          <cell r="AD78">
            <v>126884</v>
          </cell>
          <cell r="AF78">
            <v>1.76</v>
          </cell>
          <cell r="AG78" t="str">
            <v>ZSTE 260-0.8</v>
          </cell>
          <cell r="AH78"/>
          <cell r="AJ78"/>
          <cell r="AK78"/>
          <cell r="AL78" t="str">
            <v>-</v>
          </cell>
          <cell r="AO78" t="str">
            <v>1C8J</v>
          </cell>
          <cell r="AP78" t="str">
            <v>0330B</v>
          </cell>
          <cell r="AQ78">
            <v>13116918</v>
          </cell>
          <cell r="AR78" t="str">
            <v>-</v>
          </cell>
          <cell r="AS78" t="str">
            <v>-</v>
          </cell>
          <cell r="AT78" t="str">
            <v>40/20/40</v>
          </cell>
          <cell r="AU78" t="str">
            <v>NEW</v>
          </cell>
          <cell r="AV78" t="str">
            <v>-</v>
          </cell>
          <cell r="AW78" t="str">
            <v>M</v>
          </cell>
          <cell r="AX78" t="str">
            <v>P</v>
          </cell>
          <cell r="AY78" t="str">
            <v>ACA53672</v>
          </cell>
          <cell r="AZ78" t="str">
            <v>-</v>
          </cell>
          <cell r="BB78" t="str">
            <v>PANEL-R/SEAT BK CUSH - LEHNE-HIRUECK</v>
          </cell>
        </row>
        <row r="79">
          <cell r="A79">
            <v>77</v>
          </cell>
          <cell r="B79">
            <v>6</v>
          </cell>
          <cell r="H79" t="str">
            <v>REINFORCEMENT-R/SEAT BK CUSH  LAT - VERSTAERKUNG-HIRUECK VERRIEG</v>
          </cell>
          <cell r="L79" t="str">
            <v>Verstärkung für Schloss</v>
          </cell>
          <cell r="M79" t="str">
            <v>298750</v>
          </cell>
          <cell r="N79" t="str">
            <v>G</v>
          </cell>
          <cell r="O79" t="str">
            <v>13154360</v>
          </cell>
          <cell r="P79" t="str">
            <v>19122001</v>
          </cell>
          <cell r="Q79">
            <v>1</v>
          </cell>
          <cell r="R79">
            <v>1</v>
          </cell>
          <cell r="S79">
            <v>9</v>
          </cell>
          <cell r="T79" t="str">
            <v>NO</v>
          </cell>
          <cell r="V79" t="str">
            <v>063</v>
          </cell>
          <cell r="W79" t="str">
            <v>298749</v>
          </cell>
          <cell r="X79" t="str">
            <v>G</v>
          </cell>
          <cell r="Y79" t="str">
            <v>13154332</v>
          </cell>
          <cell r="Z79" t="str">
            <v>NO-DWG</v>
          </cell>
          <cell r="AA79" t="str">
            <v>GM_A3300</v>
          </cell>
          <cell r="AB79" t="str">
            <v>C</v>
          </cell>
          <cell r="AD79">
            <v>126884</v>
          </cell>
          <cell r="AF79">
            <v>0.47</v>
          </cell>
          <cell r="AG79" t="str">
            <v>QSTE 420-1.5</v>
          </cell>
          <cell r="AH79"/>
          <cell r="AJ79"/>
          <cell r="AL79" t="str">
            <v>-</v>
          </cell>
          <cell r="AO79" t="str">
            <v>1C8L</v>
          </cell>
          <cell r="AP79" t="str">
            <v>0204B</v>
          </cell>
          <cell r="AQ79">
            <v>13116918</v>
          </cell>
          <cell r="AR79" t="str">
            <v>LH</v>
          </cell>
          <cell r="AS79" t="str">
            <v>-</v>
          </cell>
          <cell r="AT79" t="str">
            <v>40/20/40</v>
          </cell>
          <cell r="AU79" t="str">
            <v>NEW</v>
          </cell>
          <cell r="AV79" t="str">
            <v>-</v>
          </cell>
          <cell r="AW79" t="str">
            <v>M</v>
          </cell>
          <cell r="AX79" t="str">
            <v>P</v>
          </cell>
          <cell r="AY79" t="str">
            <v>ACA59458</v>
          </cell>
          <cell r="AZ79" t="str">
            <v>ACA59462</v>
          </cell>
          <cell r="BB79" t="str">
            <v>REINFORCEMENT-R/SEAT BK CUSH  LAT - VERSTAERKUNG-HIRUECK VERRIEG</v>
          </cell>
        </row>
        <row r="80">
          <cell r="A80">
            <v>78</v>
          </cell>
          <cell r="B80">
            <v>6</v>
          </cell>
          <cell r="H80" t="str">
            <v>REINFORCEMENT ASM-R/SEAT BK CUSH PNL INR - VERSTAERKUNG Z-HIRUECK LEHNE IN</v>
          </cell>
          <cell r="L80" t="str">
            <v>ASM C-Profil / Striker</v>
          </cell>
          <cell r="M80" t="str">
            <v>291414</v>
          </cell>
          <cell r="N80" t="str">
            <v>F</v>
          </cell>
          <cell r="O80" t="str">
            <v>13154361</v>
          </cell>
          <cell r="Q80">
            <v>1</v>
          </cell>
          <cell r="R80">
            <v>1</v>
          </cell>
          <cell r="S80">
            <v>9</v>
          </cell>
          <cell r="T80" t="str">
            <v>NO</v>
          </cell>
          <cell r="U80">
            <v>1</v>
          </cell>
          <cell r="V80" t="str">
            <v>063</v>
          </cell>
          <cell r="W80" t="str">
            <v>291414</v>
          </cell>
          <cell r="X80" t="str">
            <v>F</v>
          </cell>
          <cell r="Y80" t="str">
            <v>ACA54317</v>
          </cell>
          <cell r="Z80" t="str">
            <v>NO-DWG</v>
          </cell>
          <cell r="AA80" t="str">
            <v>GM_A3300</v>
          </cell>
          <cell r="AB80" t="str">
            <v>C</v>
          </cell>
          <cell r="AD80">
            <v>126884</v>
          </cell>
          <cell r="AF80">
            <v>1.0255799999999999</v>
          </cell>
          <cell r="AG80" t="str">
            <v>N/A</v>
          </cell>
          <cell r="AH80"/>
          <cell r="AJ80"/>
          <cell r="AL80" t="str">
            <v>-</v>
          </cell>
          <cell r="AO80" t="str">
            <v>1C8J</v>
          </cell>
          <cell r="AP80" t="str">
            <v>0339A</v>
          </cell>
          <cell r="AQ80">
            <v>13116918</v>
          </cell>
          <cell r="AR80" t="str">
            <v>-</v>
          </cell>
          <cell r="AS80" t="str">
            <v>-</v>
          </cell>
          <cell r="AT80" t="str">
            <v>40/20/40</v>
          </cell>
          <cell r="AU80" t="str">
            <v>NEW</v>
          </cell>
          <cell r="AV80" t="str">
            <v>-</v>
          </cell>
          <cell r="AW80" t="str">
            <v>M</v>
          </cell>
          <cell r="AX80" t="str">
            <v>A</v>
          </cell>
          <cell r="AY80" t="str">
            <v>ACA54317</v>
          </cell>
          <cell r="AZ80" t="str">
            <v>-</v>
          </cell>
          <cell r="BB80" t="str">
            <v>REINFORCEMENT ASM-R/SEAT BK CUSH PNL INR - VERSTAERKUNG Z-HIRUECK LEHNE IN</v>
          </cell>
        </row>
        <row r="81">
          <cell r="A81">
            <v>79</v>
          </cell>
          <cell r="B81">
            <v>7</v>
          </cell>
          <cell r="I81" t="str">
            <v>REINFORCEMENT-R/SEAT BK CUSH  PNL INR - VERSTAERKUNG-HIRUECK LEHNE IN</v>
          </cell>
          <cell r="L81" t="str">
            <v>C-Profil</v>
          </cell>
          <cell r="M81" t="str">
            <v>291415</v>
          </cell>
          <cell r="N81" t="str">
            <v>I</v>
          </cell>
          <cell r="O81" t="str">
            <v>13154362</v>
          </cell>
          <cell r="Q81">
            <v>1</v>
          </cell>
          <cell r="R81">
            <v>1</v>
          </cell>
          <cell r="S81">
            <v>9</v>
          </cell>
          <cell r="T81" t="str">
            <v>NO</v>
          </cell>
          <cell r="U81">
            <v>1</v>
          </cell>
          <cell r="V81" t="str">
            <v>063</v>
          </cell>
          <cell r="W81" t="str">
            <v>291415</v>
          </cell>
          <cell r="X81" t="str">
            <v>I</v>
          </cell>
          <cell r="Y81" t="str">
            <v>ACA53678</v>
          </cell>
          <cell r="Z81" t="str">
            <v>NO-DWG</v>
          </cell>
          <cell r="AA81" t="str">
            <v>GM_A3300</v>
          </cell>
          <cell r="AB81" t="str">
            <v>C</v>
          </cell>
          <cell r="AD81">
            <v>126884</v>
          </cell>
          <cell r="AF81">
            <v>1</v>
          </cell>
          <cell r="AG81" t="str">
            <v>QSTE 420-2.0</v>
          </cell>
          <cell r="AH81"/>
          <cell r="AJ81"/>
          <cell r="AL81" t="str">
            <v>-</v>
          </cell>
          <cell r="AO81" t="str">
            <v>1C8J</v>
          </cell>
          <cell r="AP81" t="str">
            <v>0338B</v>
          </cell>
          <cell r="AQ81">
            <v>13116918</v>
          </cell>
          <cell r="AS81" t="str">
            <v>-</v>
          </cell>
          <cell r="AT81" t="str">
            <v>40/20/40</v>
          </cell>
          <cell r="AU81" t="str">
            <v>NEW</v>
          </cell>
          <cell r="AV81" t="str">
            <v>-</v>
          </cell>
          <cell r="AW81" t="str">
            <v>M</v>
          </cell>
          <cell r="AX81" t="str">
            <v>P</v>
          </cell>
          <cell r="AY81" t="str">
            <v>ACA53678</v>
          </cell>
          <cell r="AZ81" t="str">
            <v>-</v>
          </cell>
          <cell r="BB81" t="str">
            <v>REINFORCEMENT-R/SEAT BK CUSH  PNL INR - VERSTAERKUNG-HIRUECK LEHNE IN</v>
          </cell>
        </row>
        <row r="82">
          <cell r="A82">
            <v>80</v>
          </cell>
          <cell r="B82">
            <v>7</v>
          </cell>
          <cell r="I82" t="str">
            <v>NUT-R/SEAT BK CUSH HGE - MUTTER-HIRUECK SCHARN</v>
          </cell>
          <cell r="L82" t="str">
            <v>Schweissmutter M10 für Schliessbolzen</v>
          </cell>
          <cell r="M82" t="str">
            <v>130998</v>
          </cell>
          <cell r="N82" t="str">
            <v>001</v>
          </cell>
          <cell r="O82" t="str">
            <v>11067161</v>
          </cell>
          <cell r="Q82">
            <v>1</v>
          </cell>
          <cell r="R82">
            <v>1</v>
          </cell>
          <cell r="S82">
            <v>9</v>
          </cell>
          <cell r="T82" t="str">
            <v>YES</v>
          </cell>
          <cell r="U82">
            <v>0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11067160</v>
          </cell>
          <cell r="AA82" t="str">
            <v>T0600/3RD_ROW</v>
          </cell>
          <cell r="AB82" t="str">
            <v>R</v>
          </cell>
          <cell r="AD82">
            <v>122499</v>
          </cell>
          <cell r="AE82">
            <v>37546</v>
          </cell>
          <cell r="AF82">
            <v>9.58E-3</v>
          </cell>
          <cell r="AG82" t="str">
            <v>8 DIN 267 - T4</v>
          </cell>
          <cell r="AL82" t="str">
            <v>-</v>
          </cell>
          <cell r="AO82" t="str">
            <v>1C8L</v>
          </cell>
          <cell r="AP82" t="str">
            <v>0180H</v>
          </cell>
          <cell r="AQ82">
            <v>13116918</v>
          </cell>
          <cell r="AR82" t="str">
            <v>-</v>
          </cell>
          <cell r="AS82" t="str">
            <v>-</v>
          </cell>
          <cell r="AT82" t="str">
            <v>40/20/40</v>
          </cell>
          <cell r="AU82" t="str">
            <v>DIN</v>
          </cell>
          <cell r="AV82">
            <v>929</v>
          </cell>
          <cell r="AW82" t="str">
            <v>M</v>
          </cell>
          <cell r="AX82" t="str">
            <v>P</v>
          </cell>
          <cell r="AY82" t="str">
            <v>-</v>
          </cell>
          <cell r="AZ82" t="str">
            <v>-</v>
          </cell>
          <cell r="BA82" t="str">
            <v>Wird 11103841/40 (352589)</v>
          </cell>
          <cell r="BB82" t="str">
            <v>NUT-R/SEAT BK CUSH HGE - MUTTER-HIRUECK SCHARN</v>
          </cell>
        </row>
        <row r="83">
          <cell r="A83">
            <v>81</v>
          </cell>
          <cell r="B83">
            <v>7</v>
          </cell>
          <cell r="I83" t="str">
            <v>NUT-R/SEAT BK CUSH HGE - MUTTER-HIRUECK SCHARN</v>
          </cell>
          <cell r="L83" t="str">
            <v>Schweissmutter M8 (Hinge)</v>
          </cell>
          <cell r="M83" t="str">
            <v>108856</v>
          </cell>
          <cell r="N83" t="str">
            <v>001</v>
          </cell>
          <cell r="O83" t="str">
            <v>11072842</v>
          </cell>
          <cell r="Q83">
            <v>2</v>
          </cell>
          <cell r="R83">
            <v>1</v>
          </cell>
          <cell r="S83">
            <v>9</v>
          </cell>
          <cell r="T83" t="str">
            <v>NO</v>
          </cell>
          <cell r="U83">
            <v>0</v>
          </cell>
          <cell r="V83" t="str">
            <v>-</v>
          </cell>
          <cell r="X83" t="str">
            <v>001</v>
          </cell>
          <cell r="Y83" t="str">
            <v>11072840</v>
          </cell>
          <cell r="AA83" t="str">
            <v>GM_A3300</v>
          </cell>
          <cell r="AB83" t="str">
            <v>C</v>
          </cell>
          <cell r="AD83">
            <v>126884</v>
          </cell>
          <cell r="AF83">
            <v>8.0000000000000002E-3</v>
          </cell>
          <cell r="AG83" t="str">
            <v>QS 818100</v>
          </cell>
          <cell r="AL83" t="str">
            <v>-</v>
          </cell>
          <cell r="AO83" t="str">
            <v>1C8L</v>
          </cell>
          <cell r="AP83" t="str">
            <v>0180H</v>
          </cell>
          <cell r="AQ83">
            <v>13116918</v>
          </cell>
          <cell r="AR83" t="str">
            <v>-</v>
          </cell>
          <cell r="AS83" t="str">
            <v>-</v>
          </cell>
          <cell r="AT83" t="str">
            <v>40/20/40</v>
          </cell>
          <cell r="AU83" t="str">
            <v>DIN</v>
          </cell>
          <cell r="AW83" t="str">
            <v>M</v>
          </cell>
          <cell r="AX83" t="str">
            <v>P</v>
          </cell>
          <cell r="AY83" t="str">
            <v>-</v>
          </cell>
          <cell r="AZ83" t="str">
            <v>-</v>
          </cell>
          <cell r="BB83" t="str">
            <v>NUT-R/SEAT BK CUSH HGE - MUTTER-HIRUECK SCHARN</v>
          </cell>
        </row>
        <row r="84">
          <cell r="A84">
            <v>82</v>
          </cell>
          <cell r="B84">
            <v>5</v>
          </cell>
          <cell r="G84" t="str">
            <v>REINFORCEMENT ASM-R/SEAT BK CUSH PNL - VERSTAERKUNG Z-HIRUECK LEHNE</v>
          </cell>
          <cell r="L84" t="str">
            <v xml:space="preserve"> </v>
          </cell>
          <cell r="M84" t="str">
            <v>300036</v>
          </cell>
          <cell r="N84" t="str">
            <v>F</v>
          </cell>
          <cell r="O84" t="str">
            <v>13154363</v>
          </cell>
          <cell r="Q84">
            <v>1</v>
          </cell>
          <cell r="R84">
            <v>1</v>
          </cell>
          <cell r="S84">
            <v>9</v>
          </cell>
          <cell r="T84" t="str">
            <v>NO</v>
          </cell>
          <cell r="U84">
            <v>1</v>
          </cell>
          <cell r="V84" t="str">
            <v>063</v>
          </cell>
          <cell r="W84" t="str">
            <v>300036</v>
          </cell>
          <cell r="X84" t="str">
            <v>F</v>
          </cell>
          <cell r="Y84" t="str">
            <v>ACA54350</v>
          </cell>
          <cell r="Z84" t="str">
            <v>NO-DWG</v>
          </cell>
          <cell r="AA84" t="str">
            <v>GM_A3300</v>
          </cell>
          <cell r="AB84" t="str">
            <v>C</v>
          </cell>
          <cell r="AD84">
            <v>126884</v>
          </cell>
          <cell r="AF84">
            <v>1.6469999999999998</v>
          </cell>
          <cell r="AG84" t="str">
            <v>N/A</v>
          </cell>
          <cell r="AH84"/>
          <cell r="AJ84"/>
          <cell r="AK84"/>
          <cell r="AL84" t="str">
            <v>-</v>
          </cell>
          <cell r="AO84" t="str">
            <v>1C8J</v>
          </cell>
          <cell r="AP84" t="str">
            <v>0331A</v>
          </cell>
          <cell r="AQ84">
            <v>13116918</v>
          </cell>
          <cell r="AS84" t="str">
            <v>-</v>
          </cell>
          <cell r="AT84" t="str">
            <v>40/20/40</v>
          </cell>
          <cell r="AU84" t="str">
            <v>NEW</v>
          </cell>
          <cell r="AV84" t="str">
            <v>-</v>
          </cell>
          <cell r="AW84" t="str">
            <v>M</v>
          </cell>
          <cell r="AX84" t="str">
            <v>A</v>
          </cell>
          <cell r="AY84" t="str">
            <v>ACA54350</v>
          </cell>
          <cell r="AZ84" t="str">
            <v>-</v>
          </cell>
          <cell r="BB84" t="str">
            <v>REINFORCEMENT ASM-R/SEAT BK CUSH PNL - VERSTAERKUNG Z-HIRUECK LEHNE</v>
          </cell>
        </row>
        <row r="85">
          <cell r="A85">
            <v>83</v>
          </cell>
          <cell r="B85">
            <v>6</v>
          </cell>
          <cell r="H85" t="str">
            <v>REINFORCEMENT-R/SEAT BK CUSH  PNL - VERSTAERKUNG-HIRUECK LEHNE</v>
          </cell>
          <cell r="L85" t="str">
            <v>Topfblech 40%-LH</v>
          </cell>
          <cell r="M85" t="str">
            <v>291405</v>
          </cell>
          <cell r="N85" t="str">
            <v>L</v>
          </cell>
          <cell r="O85" t="str">
            <v>13154364</v>
          </cell>
          <cell r="P85" t="str">
            <v>19122001</v>
          </cell>
          <cell r="Q85">
            <v>1</v>
          </cell>
          <cell r="R85">
            <v>1</v>
          </cell>
          <cell r="S85">
            <v>9</v>
          </cell>
          <cell r="T85" t="str">
            <v>NO</v>
          </cell>
          <cell r="U85">
            <v>1</v>
          </cell>
          <cell r="V85" t="str">
            <v>063</v>
          </cell>
          <cell r="W85" t="str">
            <v>291405</v>
          </cell>
          <cell r="X85" t="str">
            <v>L</v>
          </cell>
          <cell r="Y85" t="str">
            <v>ACA48068</v>
          </cell>
          <cell r="Z85" t="str">
            <v>NO-DWG</v>
          </cell>
          <cell r="AA85" t="str">
            <v>GM_A3300</v>
          </cell>
          <cell r="AB85" t="str">
            <v>C</v>
          </cell>
          <cell r="AD85">
            <v>126884</v>
          </cell>
          <cell r="AF85">
            <v>1.41</v>
          </cell>
          <cell r="AG85" t="str">
            <v>ZSTE 260-0.8</v>
          </cell>
          <cell r="AH85"/>
          <cell r="AJ85"/>
          <cell r="AK85"/>
          <cell r="AL85" t="str">
            <v>-</v>
          </cell>
          <cell r="AO85" t="str">
            <v>1C8J</v>
          </cell>
          <cell r="AP85" t="str">
            <v>0331B</v>
          </cell>
          <cell r="AQ85">
            <v>13116918</v>
          </cell>
          <cell r="AS85" t="str">
            <v>-</v>
          </cell>
          <cell r="AT85" t="str">
            <v>40/20/40</v>
          </cell>
          <cell r="AU85" t="str">
            <v>NEW</v>
          </cell>
          <cell r="AV85" t="str">
            <v>-</v>
          </cell>
          <cell r="AW85" t="str">
            <v>M</v>
          </cell>
          <cell r="AX85" t="str">
            <v>P</v>
          </cell>
          <cell r="AY85" t="str">
            <v>ACA48068</v>
          </cell>
          <cell r="AZ85" t="str">
            <v>-</v>
          </cell>
          <cell r="BB85" t="str">
            <v>REINFORCEMENT-R/SEAT BK CUSH  PNL - VERSTAERKUNG-HIRUECK LEHNE</v>
          </cell>
        </row>
        <row r="86">
          <cell r="A86">
            <v>84</v>
          </cell>
          <cell r="B86">
            <v>6</v>
          </cell>
          <cell r="H86" t="str">
            <v>BRACKET-R/SEAT H/RST GDE - HALTER-HISITZ KOPFSTUE FUEHR</v>
          </cell>
          <cell r="L86" t="str">
            <v>Kopfstützenverstärkung (Z-Blech)</v>
          </cell>
          <cell r="M86" t="str">
            <v>306620</v>
          </cell>
          <cell r="N86" t="str">
            <v>E</v>
          </cell>
          <cell r="O86" t="str">
            <v>13154344</v>
          </cell>
          <cell r="P86" t="str">
            <v>19122001</v>
          </cell>
          <cell r="Q86">
            <v>1</v>
          </cell>
          <cell r="R86" t="str">
            <v>1</v>
          </cell>
          <cell r="S86">
            <v>9</v>
          </cell>
          <cell r="T86" t="str">
            <v>NO</v>
          </cell>
          <cell r="U86">
            <v>1</v>
          </cell>
          <cell r="V86" t="str">
            <v>063</v>
          </cell>
          <cell r="W86" t="str">
            <v>306620</v>
          </cell>
          <cell r="X86" t="str">
            <v>E</v>
          </cell>
          <cell r="Y86" t="str">
            <v>ACA87647</v>
          </cell>
          <cell r="Z86" t="str">
            <v>NO-DWG</v>
          </cell>
          <cell r="AA86" t="str">
            <v>GM_A3300</v>
          </cell>
          <cell r="AB86" t="str">
            <v>C</v>
          </cell>
          <cell r="AD86">
            <v>126884</v>
          </cell>
          <cell r="AF86">
            <v>0.12</v>
          </cell>
          <cell r="AG86" t="str">
            <v>ZSTE 260-0.8</v>
          </cell>
          <cell r="AL86" t="str">
            <v>-</v>
          </cell>
          <cell r="AO86" t="str">
            <v>1C8L</v>
          </cell>
          <cell r="AP86" t="str">
            <v>0189M</v>
          </cell>
          <cell r="AQ86">
            <v>13116918</v>
          </cell>
          <cell r="AR86" t="str">
            <v>-</v>
          </cell>
          <cell r="AS86" t="str">
            <v>-</v>
          </cell>
          <cell r="AT86" t="str">
            <v>40/20/40</v>
          </cell>
          <cell r="AU86" t="str">
            <v>NEW</v>
          </cell>
          <cell r="AV86" t="str">
            <v>-</v>
          </cell>
          <cell r="AW86" t="str">
            <v>M</v>
          </cell>
          <cell r="AX86" t="str">
            <v>P</v>
          </cell>
          <cell r="AY86" t="str">
            <v>ACA87647</v>
          </cell>
          <cell r="AZ86" t="str">
            <v>-</v>
          </cell>
          <cell r="BA86" t="str">
            <v>Wird auch von SRS verwendet.</v>
          </cell>
          <cell r="BB86" t="str">
            <v>BRACKET-R/SEAT H/RST GDE - HALTER-HISITZ KOPFSTUE FUEHR</v>
          </cell>
        </row>
        <row r="87">
          <cell r="A87">
            <v>85</v>
          </cell>
          <cell r="B87">
            <v>6</v>
          </cell>
          <cell r="H87" t="str">
            <v>SUPPORT ASM-R/SEAT BK CUSH OTR PIV - STUETZE Z-HIRUECK AU DREHPKT</v>
          </cell>
          <cell r="L87" t="str">
            <v>Pivot ASM</v>
          </cell>
          <cell r="M87" t="str">
            <v>291330</v>
          </cell>
          <cell r="N87" t="str">
            <v>E</v>
          </cell>
          <cell r="O87" t="str">
            <v>13154345</v>
          </cell>
          <cell r="Q87">
            <v>1</v>
          </cell>
          <cell r="R87">
            <v>1</v>
          </cell>
          <cell r="S87">
            <v>9</v>
          </cell>
          <cell r="T87" t="str">
            <v>NO</v>
          </cell>
          <cell r="U87">
            <v>1</v>
          </cell>
          <cell r="V87" t="str">
            <v>063</v>
          </cell>
          <cell r="W87" t="str">
            <v>291330</v>
          </cell>
          <cell r="X87" t="str">
            <v>E</v>
          </cell>
          <cell r="Y87" t="str">
            <v>ACA71388</v>
          </cell>
          <cell r="Z87" t="str">
            <v>NO-DWG</v>
          </cell>
          <cell r="AA87" t="str">
            <v>GM_A3300</v>
          </cell>
          <cell r="AB87" t="str">
            <v>C</v>
          </cell>
          <cell r="AD87">
            <v>126884</v>
          </cell>
          <cell r="AF87">
            <v>0.11700000000000001</v>
          </cell>
          <cell r="AG87" t="str">
            <v>N/A</v>
          </cell>
          <cell r="AH87"/>
          <cell r="AJ87"/>
          <cell r="AL87" t="str">
            <v>ISINEX</v>
          </cell>
          <cell r="AO87" t="str">
            <v>1C8L</v>
          </cell>
          <cell r="AP87" t="str">
            <v>0187A</v>
          </cell>
          <cell r="AQ87">
            <v>13116918</v>
          </cell>
          <cell r="AR87" t="str">
            <v>-</v>
          </cell>
          <cell r="AS87" t="str">
            <v>-</v>
          </cell>
          <cell r="AT87" t="str">
            <v>40/20/40</v>
          </cell>
          <cell r="AU87" t="str">
            <v>NEW</v>
          </cell>
          <cell r="AV87" t="str">
            <v>-</v>
          </cell>
          <cell r="AW87" t="str">
            <v>M</v>
          </cell>
          <cell r="AX87" t="str">
            <v>A</v>
          </cell>
          <cell r="AY87" t="str">
            <v>ACA71388</v>
          </cell>
          <cell r="AZ87" t="str">
            <v>-</v>
          </cell>
          <cell r="BB87" t="str">
            <v>SUPPORT ASM-R/SEAT BK CUSH OTR PIV - STUETZE Z-HIRUECK AU DREHPKT</v>
          </cell>
        </row>
        <row r="88">
          <cell r="A88">
            <v>86</v>
          </cell>
          <cell r="B88">
            <v>7</v>
          </cell>
          <cell r="I88" t="str">
            <v>SUPPORT-R/SEAT BK CUSH OTR PIV - STUETZE-HIRUECK AU DREHPKT</v>
          </cell>
          <cell r="L88" t="str">
            <v>Bolzen</v>
          </cell>
          <cell r="M88" t="str">
            <v>291331</v>
          </cell>
          <cell r="N88" t="str">
            <v>E</v>
          </cell>
          <cell r="O88" t="str">
            <v>13154346</v>
          </cell>
          <cell r="Q88">
            <v>1</v>
          </cell>
          <cell r="R88">
            <v>1</v>
          </cell>
          <cell r="S88">
            <v>9</v>
          </cell>
          <cell r="T88" t="str">
            <v>NO</v>
          </cell>
          <cell r="U88">
            <v>1</v>
          </cell>
          <cell r="V88" t="str">
            <v>063</v>
          </cell>
          <cell r="W88" t="str">
            <v>291331</v>
          </cell>
          <cell r="X88" t="str">
            <v>E</v>
          </cell>
          <cell r="Y88" t="str">
            <v>ACA59467</v>
          </cell>
          <cell r="Z88" t="str">
            <v>NO-DWG</v>
          </cell>
          <cell r="AA88" t="str">
            <v>GM_A3300</v>
          </cell>
          <cell r="AB88" t="str">
            <v>C</v>
          </cell>
          <cell r="AD88">
            <v>126884</v>
          </cell>
          <cell r="AF88">
            <v>0.09</v>
          </cell>
          <cell r="AG88" t="str">
            <v>QS 1015 AK-D25</v>
          </cell>
          <cell r="AH88"/>
          <cell r="AJ88"/>
          <cell r="AL88" t="str">
            <v>ISINEX</v>
          </cell>
          <cell r="AO88" t="str">
            <v>1C8L</v>
          </cell>
          <cell r="AP88" t="str">
            <v>0187B</v>
          </cell>
          <cell r="AQ88">
            <v>13116918</v>
          </cell>
          <cell r="AR88" t="str">
            <v>-</v>
          </cell>
          <cell r="AS88" t="str">
            <v>-</v>
          </cell>
          <cell r="AT88" t="str">
            <v>40/20/40</v>
          </cell>
          <cell r="AU88" t="str">
            <v>NEW</v>
          </cell>
          <cell r="AV88" t="str">
            <v>-</v>
          </cell>
          <cell r="AW88" t="str">
            <v>M</v>
          </cell>
          <cell r="AX88" t="str">
            <v>P</v>
          </cell>
          <cell r="AY88" t="str">
            <v>ACA59467</v>
          </cell>
          <cell r="AZ88" t="str">
            <v>-</v>
          </cell>
          <cell r="BB88" t="str">
            <v>SUPPORT-R/SEAT BK CUSH OTR PIV - STUETZE-HIRUECK AU DREHPKT</v>
          </cell>
        </row>
        <row r="89">
          <cell r="A89">
            <v>87</v>
          </cell>
          <cell r="B89">
            <v>7</v>
          </cell>
          <cell r="I89" t="str">
            <v>SPRING-R/SEAT BK CUSH OTR PIV BOLT - FEDER-HIRUECK AU DREHPKT SCHR</v>
          </cell>
          <cell r="L89" t="str">
            <v>Druckfeder</v>
          </cell>
          <cell r="M89" t="str">
            <v>287447</v>
          </cell>
          <cell r="N89" t="str">
            <v>A</v>
          </cell>
          <cell r="O89" t="str">
            <v>90587903</v>
          </cell>
          <cell r="P89" t="str">
            <v>12071999</v>
          </cell>
          <cell r="Q89">
            <v>1</v>
          </cell>
          <cell r="R89">
            <v>1</v>
          </cell>
          <cell r="S89">
            <v>9</v>
          </cell>
          <cell r="T89" t="str">
            <v>NO</v>
          </cell>
          <cell r="U89" t="str">
            <v>-</v>
          </cell>
          <cell r="W89" t="str">
            <v>-</v>
          </cell>
          <cell r="X89" t="str">
            <v>-</v>
          </cell>
          <cell r="Y89" t="str">
            <v>90023018</v>
          </cell>
          <cell r="Z89" t="str">
            <v>12071999</v>
          </cell>
          <cell r="AA89" t="str">
            <v>GM_A3300</v>
          </cell>
          <cell r="AB89" t="str">
            <v>R</v>
          </cell>
          <cell r="AD89">
            <v>114929</v>
          </cell>
          <cell r="AE89">
            <v>37284</v>
          </cell>
          <cell r="AF89">
            <v>7.0000000000000001E-3</v>
          </cell>
          <cell r="AG89" t="str">
            <v>DIN 17223-C</v>
          </cell>
          <cell r="AH89"/>
          <cell r="AJ89"/>
          <cell r="AK89"/>
          <cell r="AL89" t="str">
            <v>-</v>
          </cell>
          <cell r="AO89" t="str">
            <v>1C8L</v>
          </cell>
          <cell r="AP89" t="str">
            <v>0187P</v>
          </cell>
          <cell r="AQ89">
            <v>13116918</v>
          </cell>
          <cell r="AR89" t="str">
            <v>-</v>
          </cell>
          <cell r="AS89" t="str">
            <v>-</v>
          </cell>
          <cell r="AT89" t="str">
            <v>60/40</v>
          </cell>
          <cell r="AU89" t="str">
            <v>DIN</v>
          </cell>
          <cell r="AW89" t="str">
            <v>M</v>
          </cell>
          <cell r="AX89" t="str">
            <v>P</v>
          </cell>
          <cell r="AY89" t="str">
            <v>-</v>
          </cell>
          <cell r="AZ89" t="str">
            <v>-</v>
          </cell>
          <cell r="BA89" t="str">
            <v>alte Feder (ABE35376) von 60/40 ist zu kurz</v>
          </cell>
          <cell r="BB89" t="str">
            <v>SPRING-R/SEAT BK CUSH OTR PIV BOLT - FEDER-HIRUECK AU DREHPKT SCHR</v>
          </cell>
        </row>
        <row r="90">
          <cell r="A90">
            <v>88</v>
          </cell>
          <cell r="B90">
            <v>7</v>
          </cell>
          <cell r="I90" t="str">
            <v>BUSHING-R/SEAT BK CUSH OTR PIV BOLT - BUCHSE-HIRUECK AU DREHPKT SCHR</v>
          </cell>
          <cell r="L90" t="str">
            <v>Buchse</v>
          </cell>
          <cell r="M90" t="str">
            <v>287448</v>
          </cell>
          <cell r="N90" t="str">
            <v>A</v>
          </cell>
          <cell r="O90" t="str">
            <v>9175120</v>
          </cell>
          <cell r="Q90">
            <v>1</v>
          </cell>
          <cell r="R90">
            <v>1</v>
          </cell>
          <cell r="S90">
            <v>9</v>
          </cell>
          <cell r="T90" t="str">
            <v>NO</v>
          </cell>
          <cell r="U90">
            <v>0</v>
          </cell>
          <cell r="V90" t="str">
            <v>-</v>
          </cell>
          <cell r="W90" t="str">
            <v>287448</v>
          </cell>
          <cell r="X90" t="str">
            <v>A</v>
          </cell>
          <cell r="Y90" t="str">
            <v>9175120</v>
          </cell>
          <cell r="AA90" t="str">
            <v>GM_A3300</v>
          </cell>
          <cell r="AB90" t="str">
            <v>R</v>
          </cell>
          <cell r="AD90">
            <v>120775</v>
          </cell>
          <cell r="AE90">
            <v>37446</v>
          </cell>
          <cell r="AF90">
            <v>1.4999999999999999E-2</v>
          </cell>
          <cell r="AG90" t="str">
            <v>DIN 1654-4 22 B2</v>
          </cell>
          <cell r="AH90"/>
          <cell r="AJ90"/>
          <cell r="AK90"/>
          <cell r="AL90" t="str">
            <v>-</v>
          </cell>
          <cell r="AO90" t="str">
            <v>1C8L</v>
          </cell>
          <cell r="AP90" t="str">
            <v>0187R</v>
          </cell>
          <cell r="AQ90">
            <v>13116918</v>
          </cell>
          <cell r="AR90" t="str">
            <v>-</v>
          </cell>
          <cell r="AS90" t="str">
            <v>-</v>
          </cell>
          <cell r="AT90" t="str">
            <v>60/40</v>
          </cell>
          <cell r="AU90" t="str">
            <v>COP</v>
          </cell>
          <cell r="AW90" t="str">
            <v>M</v>
          </cell>
          <cell r="AX90" t="str">
            <v>P</v>
          </cell>
          <cell r="AY90" t="str">
            <v>-</v>
          </cell>
          <cell r="AZ90" t="str">
            <v>-</v>
          </cell>
          <cell r="BA90" t="str">
            <v>ausgetauscht für 291334</v>
          </cell>
          <cell r="BB90" t="str">
            <v>BUSHING-R/SEAT BK CUSH OTR PIV BOLT - BUCHSE-HIRUECK AU DREHPKT SCHR</v>
          </cell>
        </row>
        <row r="91">
          <cell r="A91">
            <v>89</v>
          </cell>
          <cell r="B91">
            <v>7</v>
          </cell>
          <cell r="I91" t="str">
            <v>WASHER-R/SEAT BK CUSH OTR PIV SUPT - UNTERLEGSCHEIBE-HIRUECK AU DREHPKT STUE</v>
          </cell>
          <cell r="L91" t="str">
            <v>Zahnscheibe</v>
          </cell>
          <cell r="M91" t="str">
            <v>316063</v>
          </cell>
          <cell r="N91" t="str">
            <v>B</v>
          </cell>
          <cell r="O91" t="str">
            <v>13154347</v>
          </cell>
          <cell r="Q91">
            <v>1</v>
          </cell>
          <cell r="R91">
            <v>1</v>
          </cell>
          <cell r="S91">
            <v>9</v>
          </cell>
          <cell r="T91" t="str">
            <v>NO</v>
          </cell>
          <cell r="U91">
            <v>1</v>
          </cell>
          <cell r="V91" t="str">
            <v>063</v>
          </cell>
          <cell r="W91" t="str">
            <v>316063</v>
          </cell>
          <cell r="X91" t="str">
            <v>B</v>
          </cell>
          <cell r="Y91" t="str">
            <v>ACB47868</v>
          </cell>
          <cell r="Z91" t="str">
            <v>NO-DWG</v>
          </cell>
          <cell r="AA91" t="str">
            <v>GM_A3300</v>
          </cell>
          <cell r="AB91" t="str">
            <v>C</v>
          </cell>
          <cell r="AD91">
            <v>126884</v>
          </cell>
          <cell r="AF91">
            <v>1E-3</v>
          </cell>
          <cell r="AG91" t="str">
            <v>QS 1070 BO-0.25</v>
          </cell>
          <cell r="AH91"/>
          <cell r="AJ91"/>
          <cell r="AK91"/>
          <cell r="AL91" t="str">
            <v>-</v>
          </cell>
          <cell r="AO91" t="str">
            <v>1C8L</v>
          </cell>
          <cell r="AP91" t="str">
            <v>0187D</v>
          </cell>
          <cell r="AQ91">
            <v>13116918</v>
          </cell>
          <cell r="AR91" t="str">
            <v>-</v>
          </cell>
          <cell r="AS91" t="str">
            <v>-</v>
          </cell>
          <cell r="AT91" t="str">
            <v>40/20/40</v>
          </cell>
          <cell r="AU91" t="str">
            <v>NEW</v>
          </cell>
          <cell r="AV91" t="str">
            <v>-</v>
          </cell>
          <cell r="AW91" t="str">
            <v>M</v>
          </cell>
          <cell r="AX91" t="str">
            <v>P</v>
          </cell>
          <cell r="AY91" t="str">
            <v>ACB47868</v>
          </cell>
          <cell r="AZ91" t="str">
            <v>-</v>
          </cell>
          <cell r="BA91" t="str">
            <v>alte Zahnscheibe 291336</v>
          </cell>
          <cell r="BB91" t="str">
            <v>WASHER-R/SEAT BK CUSH OTR PIV SUPT - UNTERLEGSCHEIBE-HIRUECK AU DREHPKT STUE</v>
          </cell>
        </row>
        <row r="92">
          <cell r="A92">
            <v>90</v>
          </cell>
          <cell r="B92">
            <v>7</v>
          </cell>
          <cell r="I92" t="str">
            <v>SEAT-R/SEAT BK CUSH OTR PIV BOLT SPR - SITZ-HIRUECK AU DREHPKT SCHR FEDER</v>
          </cell>
          <cell r="L92" t="str">
            <v>Kunststoffhülse</v>
          </cell>
          <cell r="M92" t="str">
            <v>287445</v>
          </cell>
          <cell r="N92" t="str">
            <v>A</v>
          </cell>
          <cell r="O92" t="str">
            <v>09131132</v>
          </cell>
          <cell r="Q92">
            <v>2</v>
          </cell>
          <cell r="R92">
            <v>1</v>
          </cell>
          <cell r="S92">
            <v>9</v>
          </cell>
          <cell r="T92" t="str">
            <v>NO</v>
          </cell>
          <cell r="U92" t="str">
            <v>-</v>
          </cell>
          <cell r="W92" t="str">
            <v>287445</v>
          </cell>
          <cell r="X92" t="str">
            <v>A</v>
          </cell>
          <cell r="Y92" t="str">
            <v>09131132</v>
          </cell>
          <cell r="AA92" t="str">
            <v>GM_A3300</v>
          </cell>
          <cell r="AB92" t="str">
            <v>R</v>
          </cell>
          <cell r="AD92">
            <v>120775</v>
          </cell>
          <cell r="AE92">
            <v>37446</v>
          </cell>
          <cell r="AF92">
            <v>2E-3</v>
          </cell>
          <cell r="AG92" t="str">
            <v>QK 002911</v>
          </cell>
          <cell r="AL92" t="str">
            <v>-</v>
          </cell>
          <cell r="AO92" t="str">
            <v>1C8L</v>
          </cell>
          <cell r="AP92" t="str">
            <v>0187Q</v>
          </cell>
          <cell r="AQ92">
            <v>13116918</v>
          </cell>
          <cell r="AR92" t="str">
            <v>-</v>
          </cell>
          <cell r="AS92" t="str">
            <v>-</v>
          </cell>
          <cell r="AT92" t="str">
            <v>60/40</v>
          </cell>
          <cell r="AU92" t="str">
            <v>COP</v>
          </cell>
          <cell r="AV92" t="str">
            <v>60/40</v>
          </cell>
          <cell r="AW92" t="str">
            <v>P</v>
          </cell>
          <cell r="AX92" t="str">
            <v>P</v>
          </cell>
          <cell r="AY92" t="str">
            <v>-</v>
          </cell>
          <cell r="AZ92" t="str">
            <v>-</v>
          </cell>
          <cell r="BB92" t="str">
            <v>SEAT-R/SEAT BK CUSH OTR PIV BOLT SPR - SITZ-HIRUECK AU DREHPKT SCHR FEDER</v>
          </cell>
        </row>
        <row r="93">
          <cell r="A93">
            <v>91</v>
          </cell>
          <cell r="B93">
            <v>4</v>
          </cell>
          <cell r="C93" t="str">
            <v>2</v>
          </cell>
          <cell r="F93" t="str">
            <v>HINGE ASM-R/SEAT BK CUSH - SCHARNIER Z-HIRUECK</v>
          </cell>
          <cell r="L93" t="str">
            <v xml:space="preserve"> </v>
          </cell>
          <cell r="M93" t="str">
            <v>287423</v>
          </cell>
          <cell r="N93" t="str">
            <v>000</v>
          </cell>
          <cell r="O93" t="str">
            <v>90562674</v>
          </cell>
          <cell r="Q93">
            <v>1</v>
          </cell>
          <cell r="R93" t="str">
            <v>1</v>
          </cell>
          <cell r="S93">
            <v>9</v>
          </cell>
          <cell r="T93" t="str">
            <v>YES</v>
          </cell>
          <cell r="U93">
            <v>0</v>
          </cell>
          <cell r="V93" t="str">
            <v>-</v>
          </cell>
          <cell r="W93" t="str">
            <v>299461</v>
          </cell>
          <cell r="X93" t="str">
            <v>000</v>
          </cell>
          <cell r="Y93" t="str">
            <v>13117428</v>
          </cell>
          <cell r="Z93" t="str">
            <v>NO-DWG</v>
          </cell>
          <cell r="AA93" t="str">
            <v>OPEL-T-PROJEKTE</v>
          </cell>
          <cell r="AB93" t="str">
            <v>R</v>
          </cell>
          <cell r="AD93">
            <v>118850</v>
          </cell>
          <cell r="AE93">
            <v>37427</v>
          </cell>
          <cell r="AF93">
            <v>0.505</v>
          </cell>
          <cell r="AG93" t="str">
            <v>N/A</v>
          </cell>
          <cell r="AL93" t="str">
            <v>-</v>
          </cell>
          <cell r="AO93" t="str">
            <v>1C8L</v>
          </cell>
          <cell r="AP93" t="str">
            <v>0180A</v>
          </cell>
          <cell r="AQ93">
            <v>13116918</v>
          </cell>
          <cell r="AR93" t="str">
            <v>LH</v>
          </cell>
          <cell r="AS93" t="str">
            <v>-</v>
          </cell>
          <cell r="AT93" t="str">
            <v>60/40</v>
          </cell>
          <cell r="AU93" t="str">
            <v>COP</v>
          </cell>
          <cell r="AV93" t="str">
            <v>OPEL-T-PROJEKTE</v>
          </cell>
          <cell r="AW93" t="str">
            <v>M</v>
          </cell>
          <cell r="AX93" t="str">
            <v>A</v>
          </cell>
          <cell r="AY93" t="str">
            <v>-</v>
          </cell>
          <cell r="AZ93" t="str">
            <v>-</v>
          </cell>
          <cell r="BB93" t="str">
            <v>HINGE ASM-R/SEAT BK CUSH - SCHARNIER Z-HIRUECK</v>
          </cell>
        </row>
        <row r="94">
          <cell r="A94">
            <v>92</v>
          </cell>
          <cell r="B94">
            <v>5</v>
          </cell>
          <cell r="G94" t="str">
            <v>HINGE-R/SEAT BK CUSH - SCHARNIER-HIRUECK</v>
          </cell>
          <cell r="L94" t="str">
            <v>Schwert</v>
          </cell>
          <cell r="M94" t="str">
            <v>287424</v>
          </cell>
          <cell r="N94" t="str">
            <v>000</v>
          </cell>
          <cell r="O94" t="str">
            <v>90588688</v>
          </cell>
          <cell r="Q94">
            <v>1</v>
          </cell>
          <cell r="R94" t="str">
            <v>1</v>
          </cell>
          <cell r="S94">
            <v>9</v>
          </cell>
          <cell r="T94" t="str">
            <v>YES</v>
          </cell>
          <cell r="U94">
            <v>0</v>
          </cell>
          <cell r="V94" t="str">
            <v>-</v>
          </cell>
          <cell r="W94" t="str">
            <v>299461</v>
          </cell>
          <cell r="X94" t="str">
            <v>A</v>
          </cell>
          <cell r="Y94" t="str">
            <v>13117428</v>
          </cell>
          <cell r="Z94" t="str">
            <v>NO-DWG</v>
          </cell>
          <cell r="AA94" t="str">
            <v>OPEL-T-PROJEKTE</v>
          </cell>
          <cell r="AB94" t="str">
            <v>R</v>
          </cell>
          <cell r="AD94">
            <v>118850</v>
          </cell>
          <cell r="AE94">
            <v>37427</v>
          </cell>
          <cell r="AF94">
            <v>0.40500000000000003</v>
          </cell>
          <cell r="AG94" t="str">
            <v>ZSTE 340 TO SEW093 OPTIONAL EN10149-2-S 355MC</v>
          </cell>
          <cell r="AH94" t="str">
            <v xml:space="preserve"> </v>
          </cell>
          <cell r="AL94" t="str">
            <v>-</v>
          </cell>
          <cell r="AO94" t="str">
            <v>1C8L</v>
          </cell>
          <cell r="AP94" t="str">
            <v>0180B</v>
          </cell>
          <cell r="AQ94">
            <v>13116918</v>
          </cell>
          <cell r="AR94" t="str">
            <v>LH</v>
          </cell>
          <cell r="AS94" t="str">
            <v>-</v>
          </cell>
          <cell r="AT94" t="str">
            <v>60/40</v>
          </cell>
          <cell r="AU94" t="str">
            <v>COP</v>
          </cell>
          <cell r="AV94" t="str">
            <v>T3000</v>
          </cell>
          <cell r="AW94" t="str">
            <v>M</v>
          </cell>
          <cell r="AX94" t="str">
            <v>P</v>
          </cell>
          <cell r="AY94" t="str">
            <v>-</v>
          </cell>
          <cell r="AZ94" t="str">
            <v>-</v>
          </cell>
          <cell r="BB94" t="str">
            <v>HINGE-R/SEAT BK CUSH - SCHARNIER-HIRUECK</v>
          </cell>
        </row>
        <row r="95">
          <cell r="A95">
            <v>93</v>
          </cell>
          <cell r="B95">
            <v>5</v>
          </cell>
          <cell r="G95" t="str">
            <v>BUSHING-R/SEAT BK CUSH HGE - BUCHSE-HIRUECK SCHARN</v>
          </cell>
          <cell r="L95" t="str">
            <v>Buchse</v>
          </cell>
          <cell r="M95" t="str">
            <v>287472</v>
          </cell>
          <cell r="N95" t="str">
            <v>A</v>
          </cell>
          <cell r="O95" t="str">
            <v>90503902</v>
          </cell>
          <cell r="Q95">
            <v>1</v>
          </cell>
          <cell r="R95" t="str">
            <v>1</v>
          </cell>
          <cell r="S95">
            <v>9</v>
          </cell>
          <cell r="T95" t="str">
            <v>YES</v>
          </cell>
          <cell r="U95">
            <v>0</v>
          </cell>
          <cell r="V95" t="str">
            <v>-</v>
          </cell>
          <cell r="W95" t="str">
            <v>287472</v>
          </cell>
          <cell r="X95" t="str">
            <v>A</v>
          </cell>
          <cell r="Y95" t="str">
            <v>90503902</v>
          </cell>
          <cell r="AA95" t="str">
            <v>OPEL-T-PROJEKTE</v>
          </cell>
          <cell r="AB95" t="str">
            <v>R</v>
          </cell>
          <cell r="AD95">
            <v>114929</v>
          </cell>
          <cell r="AE95">
            <v>37284</v>
          </cell>
          <cell r="AF95">
            <v>7.0000000000000007E-2</v>
          </cell>
          <cell r="AG95" t="str">
            <v>QST 32-3 DIN 1654</v>
          </cell>
          <cell r="AL95" t="str">
            <v>-</v>
          </cell>
          <cell r="AO95" t="str">
            <v>1C8L</v>
          </cell>
          <cell r="AP95" t="str">
            <v>0180J</v>
          </cell>
          <cell r="AQ95">
            <v>13116918</v>
          </cell>
          <cell r="AR95" t="str">
            <v>-</v>
          </cell>
          <cell r="AS95" t="str">
            <v>-</v>
          </cell>
          <cell r="AT95" t="str">
            <v>60/40</v>
          </cell>
          <cell r="AU95" t="str">
            <v>COP</v>
          </cell>
          <cell r="AV95" t="str">
            <v>T3000</v>
          </cell>
          <cell r="AW95" t="str">
            <v>M</v>
          </cell>
          <cell r="AX95" t="str">
            <v>P</v>
          </cell>
          <cell r="AY95" t="str">
            <v>-</v>
          </cell>
          <cell r="AZ95" t="str">
            <v>-</v>
          </cell>
          <cell r="BB95" t="str">
            <v>BUSHING-R/SEAT BK CUSH HGE - BUCHSE-HIRUECK SCHARN</v>
          </cell>
        </row>
        <row r="96">
          <cell r="A96">
            <v>94</v>
          </cell>
          <cell r="B96">
            <v>5</v>
          </cell>
          <cell r="G96" t="str">
            <v>NUT-R/SEAT BK CUSH HGE - MUTTER-HIRUECK SCHARN</v>
          </cell>
          <cell r="L96" t="str">
            <v>Schweissmutter M14 x 1.5 (Schwert)</v>
          </cell>
          <cell r="M96" t="str">
            <v>287473</v>
          </cell>
          <cell r="N96" t="str">
            <v>A</v>
          </cell>
          <cell r="O96" t="str">
            <v>11090841</v>
          </cell>
          <cell r="P96" t="str">
            <v>12031997</v>
          </cell>
          <cell r="Q96">
            <v>1</v>
          </cell>
          <cell r="R96" t="str">
            <v>1</v>
          </cell>
          <cell r="S96">
            <v>9</v>
          </cell>
          <cell r="T96" t="str">
            <v>YES</v>
          </cell>
          <cell r="U96">
            <v>0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11090840</v>
          </cell>
          <cell r="Z96" t="str">
            <v>12031997</v>
          </cell>
          <cell r="AA96" t="str">
            <v>OPEL-T-PROJEKTE</v>
          </cell>
          <cell r="AB96" t="str">
            <v>R</v>
          </cell>
          <cell r="AD96">
            <v>114929</v>
          </cell>
          <cell r="AE96">
            <v>37284</v>
          </cell>
          <cell r="AF96">
            <v>0.03</v>
          </cell>
          <cell r="AG96" t="str">
            <v>8 DIN 267 - T4</v>
          </cell>
          <cell r="AL96" t="str">
            <v>-</v>
          </cell>
          <cell r="AO96" t="str">
            <v>1C8L</v>
          </cell>
          <cell r="AP96" t="str">
            <v>0180H</v>
          </cell>
          <cell r="AQ96">
            <v>13116918</v>
          </cell>
          <cell r="AR96" t="str">
            <v>-</v>
          </cell>
          <cell r="AS96" t="str">
            <v>-</v>
          </cell>
          <cell r="AT96" t="str">
            <v>60/40</v>
          </cell>
          <cell r="AU96" t="str">
            <v>DIN</v>
          </cell>
          <cell r="AW96" t="str">
            <v>M</v>
          </cell>
          <cell r="AX96" t="str">
            <v>P</v>
          </cell>
          <cell r="AY96" t="str">
            <v>-</v>
          </cell>
          <cell r="AZ96" t="str">
            <v>-</v>
          </cell>
          <cell r="BB96" t="str">
            <v>NUT-R/SEAT BK CUSH HGE - MUTTER-HIRUECK SCHARN</v>
          </cell>
        </row>
        <row r="97">
          <cell r="A97">
            <v>95</v>
          </cell>
          <cell r="B97">
            <v>4</v>
          </cell>
          <cell r="C97" t="str">
            <v>2</v>
          </cell>
          <cell r="F97" t="str">
            <v>BOLT/SCREW-R/SEAT BK CUSH HGE - SCHRAUBE-HIRUECK SCHARN</v>
          </cell>
          <cell r="L97" t="str">
            <v>Senkschraube M8 x 22 (Schwert)</v>
          </cell>
          <cell r="M97" t="str">
            <v>254432</v>
          </cell>
          <cell r="N97" t="str">
            <v>000</v>
          </cell>
          <cell r="O97" t="str">
            <v>24460210</v>
          </cell>
          <cell r="P97" t="str">
            <v>16022001</v>
          </cell>
          <cell r="Q97">
            <v>2</v>
          </cell>
          <cell r="R97" t="str">
            <v>1</v>
          </cell>
          <cell r="S97">
            <v>9</v>
          </cell>
          <cell r="T97" t="str">
            <v>YES</v>
          </cell>
          <cell r="U97">
            <v>0</v>
          </cell>
          <cell r="V97" t="str">
            <v>-</v>
          </cell>
          <cell r="W97" t="str">
            <v>254432</v>
          </cell>
          <cell r="X97" t="str">
            <v>000</v>
          </cell>
          <cell r="Y97" t="str">
            <v>24460210</v>
          </cell>
          <cell r="Z97" t="str">
            <v>16022001</v>
          </cell>
          <cell r="AA97" t="str">
            <v>OPEL-T-PROJEKTE</v>
          </cell>
          <cell r="AB97" t="str">
            <v>R</v>
          </cell>
          <cell r="AD97">
            <v>114929</v>
          </cell>
          <cell r="AE97">
            <v>37284</v>
          </cell>
          <cell r="AF97">
            <v>8.9999999999999993E-3</v>
          </cell>
          <cell r="AG97" t="str">
            <v>DIN 1654-19MnB4</v>
          </cell>
          <cell r="AL97" t="str">
            <v>-</v>
          </cell>
          <cell r="AO97" t="str">
            <v>1C8L</v>
          </cell>
          <cell r="AP97" t="str">
            <v>0180C</v>
          </cell>
          <cell r="AQ97">
            <v>13116918</v>
          </cell>
          <cell r="AR97" t="str">
            <v>-</v>
          </cell>
          <cell r="AS97" t="str">
            <v>-</v>
          </cell>
          <cell r="AT97" t="str">
            <v>60/40</v>
          </cell>
          <cell r="AU97" t="str">
            <v>DIN</v>
          </cell>
          <cell r="AW97" t="str">
            <v>M</v>
          </cell>
          <cell r="AX97" t="str">
            <v>P</v>
          </cell>
          <cell r="AY97" t="str">
            <v>-</v>
          </cell>
          <cell r="AZ97" t="str">
            <v>-</v>
          </cell>
          <cell r="BB97" t="str">
            <v>BOLT/SCREW-R/SEAT BK CUSH HGE - SCHRAUBE-HIRUECK SCHARN</v>
          </cell>
        </row>
        <row r="98">
          <cell r="A98">
            <v>96</v>
          </cell>
          <cell r="B98">
            <v>4</v>
          </cell>
          <cell r="C98" t="str">
            <v>2</v>
          </cell>
          <cell r="F98" t="str">
            <v>LATCH ASM-R/SEAT BK CUSH - VERRIEGELUNG Z-HIRUECK</v>
          </cell>
          <cell r="L98" t="str">
            <v>Schloss 40% (KIT)</v>
          </cell>
          <cell r="M98" t="str">
            <v>317354</v>
          </cell>
          <cell r="N98" t="str">
            <v>A</v>
          </cell>
          <cell r="O98" t="str">
            <v>13154336</v>
          </cell>
          <cell r="Q98">
            <v>1</v>
          </cell>
          <cell r="R98">
            <v>1</v>
          </cell>
          <cell r="S98">
            <v>9</v>
          </cell>
          <cell r="T98" t="str">
            <v>NO</v>
          </cell>
          <cell r="U98" t="str">
            <v>3</v>
          </cell>
          <cell r="Y98" t="str">
            <v>13154336</v>
          </cell>
          <cell r="Z98" t="str">
            <v>NO-DWG</v>
          </cell>
          <cell r="AA98" t="str">
            <v>GM_A3300</v>
          </cell>
          <cell r="AB98" t="str">
            <v>R</v>
          </cell>
          <cell r="AD98">
            <v>119291</v>
          </cell>
          <cell r="AE98">
            <v>37492</v>
          </cell>
          <cell r="AF98">
            <v>0.45500000000000002</v>
          </cell>
          <cell r="AG98" t="str">
            <v>N/A</v>
          </cell>
          <cell r="AH98"/>
          <cell r="AJ98"/>
          <cell r="AK98"/>
          <cell r="AL98" t="str">
            <v>WITTE</v>
          </cell>
          <cell r="AN98">
            <v>30208</v>
          </cell>
          <cell r="AO98" t="str">
            <v>1C8L</v>
          </cell>
          <cell r="AP98" t="str">
            <v>0200A</v>
          </cell>
          <cell r="AQ98">
            <v>13116918</v>
          </cell>
          <cell r="AR98" t="str">
            <v>LH</v>
          </cell>
          <cell r="AS98" t="str">
            <v>-</v>
          </cell>
          <cell r="AT98" t="str">
            <v>40/20/40</v>
          </cell>
          <cell r="AU98" t="str">
            <v>NEW</v>
          </cell>
          <cell r="AV98" t="str">
            <v>-</v>
          </cell>
          <cell r="AW98" t="str">
            <v>-</v>
          </cell>
          <cell r="AX98" t="str">
            <v>A</v>
          </cell>
          <cell r="AY98" t="str">
            <v>ACB51954</v>
          </cell>
          <cell r="AZ98" t="str">
            <v>ACB51954</v>
          </cell>
          <cell r="BB98" t="str">
            <v>LATCH ASM-R/SEAT BK CUSH - VERRIEGELUNG Z-HIRUECK</v>
          </cell>
        </row>
        <row r="99">
          <cell r="A99">
            <v>97</v>
          </cell>
          <cell r="B99">
            <v>4</v>
          </cell>
          <cell r="C99" t="str">
            <v>2</v>
          </cell>
          <cell r="F99" t="str">
            <v>RIVET-R/SEAT BK CUSH LAT CBL - NIET-HIRUECK VERRIEG BOWDENZUG</v>
          </cell>
          <cell r="L99" t="str">
            <v>Niet zur Schlossbefestigung</v>
          </cell>
          <cell r="M99" t="str">
            <v>120313</v>
          </cell>
          <cell r="N99" t="str">
            <v>001</v>
          </cell>
          <cell r="O99" t="str">
            <v>13154326</v>
          </cell>
          <cell r="Q99">
            <v>4</v>
          </cell>
          <cell r="R99">
            <v>1</v>
          </cell>
          <cell r="S99">
            <v>9</v>
          </cell>
          <cell r="T99" t="str">
            <v>YES</v>
          </cell>
          <cell r="U99">
            <v>0</v>
          </cell>
          <cell r="V99" t="str">
            <v>-</v>
          </cell>
          <cell r="W99" t="str">
            <v>120313</v>
          </cell>
          <cell r="X99" t="str">
            <v>001</v>
          </cell>
          <cell r="Y99" t="str">
            <v>13154326</v>
          </cell>
          <cell r="AA99" t="str">
            <v>CW 170-EUROPE</v>
          </cell>
          <cell r="AB99" t="str">
            <v>C</v>
          </cell>
          <cell r="AD99">
            <v>126143</v>
          </cell>
          <cell r="AF99">
            <v>7.4999999999999997E-3</v>
          </cell>
          <cell r="AH99"/>
          <cell r="AJ99"/>
          <cell r="AL99" t="str">
            <v>GESIPA</v>
          </cell>
          <cell r="AM99" t="str">
            <v>PTY 0146</v>
          </cell>
          <cell r="AO99" t="str">
            <v>1C8L</v>
          </cell>
          <cell r="AP99" t="str">
            <v>0212G</v>
          </cell>
          <cell r="AQ99">
            <v>13116918</v>
          </cell>
          <cell r="AR99" t="str">
            <v>-</v>
          </cell>
          <cell r="AS99" t="str">
            <v>-</v>
          </cell>
          <cell r="AT99" t="str">
            <v>60/40</v>
          </cell>
          <cell r="AU99" t="str">
            <v>DIN</v>
          </cell>
          <cell r="AW99" t="str">
            <v>M</v>
          </cell>
          <cell r="AX99" t="str">
            <v>P</v>
          </cell>
          <cell r="AY99" t="str">
            <v>-</v>
          </cell>
          <cell r="AZ99" t="str">
            <v>-</v>
          </cell>
          <cell r="BA99" t="str">
            <v>wurde für 287475 ersetzt</v>
          </cell>
          <cell r="BB99" t="str">
            <v>RIVET-R/SEAT BK CUSH LAT CBL - NIET-HIRUECK VERRIEG BOWDENZUG</v>
          </cell>
        </row>
        <row r="100">
          <cell r="A100">
            <v>98</v>
          </cell>
          <cell r="B100">
            <v>3</v>
          </cell>
          <cell r="C100" t="str">
            <v>1</v>
          </cell>
          <cell r="E100" t="str">
            <v>GUIDE ASM-R/SEAT SHLDR BELT - FUEHRUNG Z-HISITZ SCHLTRGURT</v>
          </cell>
          <cell r="L100" t="str">
            <v xml:space="preserve"> </v>
          </cell>
          <cell r="M100" t="str">
            <v>291424</v>
          </cell>
          <cell r="N100" t="str">
            <v>F</v>
          </cell>
          <cell r="O100" t="str">
            <v>13146446</v>
          </cell>
          <cell r="Q100">
            <v>1</v>
          </cell>
          <cell r="R100">
            <v>1</v>
          </cell>
          <cell r="S100">
            <v>9</v>
          </cell>
          <cell r="T100" t="str">
            <v>NO</v>
          </cell>
          <cell r="U100">
            <v>3</v>
          </cell>
          <cell r="V100" t="str">
            <v>063</v>
          </cell>
          <cell r="W100" t="str">
            <v>291424</v>
          </cell>
          <cell r="X100" t="str">
            <v>F</v>
          </cell>
          <cell r="Y100" t="str">
            <v>13146446</v>
          </cell>
          <cell r="Z100" t="str">
            <v>NO-DWG</v>
          </cell>
          <cell r="AA100" t="str">
            <v>GM_A3300</v>
          </cell>
          <cell r="AB100" t="str">
            <v>C</v>
          </cell>
          <cell r="AD100">
            <v>126884</v>
          </cell>
          <cell r="AF100">
            <v>0.39</v>
          </cell>
          <cell r="AG100" t="str">
            <v>N/A</v>
          </cell>
          <cell r="AH100"/>
          <cell r="AJ100"/>
          <cell r="AL100" t="str">
            <v>-</v>
          </cell>
          <cell r="AO100" t="str">
            <v>1A2R</v>
          </cell>
          <cell r="AP100" t="str">
            <v>2806A</v>
          </cell>
          <cell r="AQ100">
            <v>13116918</v>
          </cell>
          <cell r="AR100" t="str">
            <v>-</v>
          </cell>
          <cell r="AS100" t="str">
            <v>-</v>
          </cell>
          <cell r="AT100" t="str">
            <v>40/20/40</v>
          </cell>
          <cell r="AU100" t="str">
            <v>NEW</v>
          </cell>
          <cell r="AV100" t="str">
            <v>-</v>
          </cell>
          <cell r="AW100" t="str">
            <v>M</v>
          </cell>
          <cell r="AX100" t="str">
            <v>A</v>
          </cell>
          <cell r="AY100" t="str">
            <v>ACA68677</v>
          </cell>
          <cell r="AZ100" t="str">
            <v>ACA68677</v>
          </cell>
          <cell r="BB100" t="str">
            <v>GUIDE ASM-R/SEAT SHLDR BELT - FUEHRUNG Z-HISITZ SCHLTRGURT</v>
          </cell>
        </row>
        <row r="101">
          <cell r="A101">
            <v>99</v>
          </cell>
          <cell r="B101">
            <v>4</v>
          </cell>
          <cell r="F101" t="str">
            <v>GUIDE-R/SEAT SHLDR BELT - FUEHRUNG-HISITZ SCHLTRGURT</v>
          </cell>
          <cell r="L101" t="str">
            <v>Gurtführung</v>
          </cell>
          <cell r="M101" t="str">
            <v>299365</v>
          </cell>
          <cell r="N101" t="str">
            <v>E</v>
          </cell>
          <cell r="O101" t="str">
            <v>13154366</v>
          </cell>
          <cell r="Q101">
            <v>1</v>
          </cell>
          <cell r="R101" t="str">
            <v>1</v>
          </cell>
          <cell r="S101">
            <v>9</v>
          </cell>
          <cell r="T101" t="str">
            <v>NO</v>
          </cell>
          <cell r="U101">
            <v>1</v>
          </cell>
          <cell r="V101" t="str">
            <v>063</v>
          </cell>
          <cell r="W101" t="str">
            <v>299365</v>
          </cell>
          <cell r="X101" t="str">
            <v>E</v>
          </cell>
          <cell r="Y101" t="str">
            <v>ACA68692</v>
          </cell>
          <cell r="Z101" t="str">
            <v>NO-DWG</v>
          </cell>
          <cell r="AA101" t="str">
            <v>GM_A3300</v>
          </cell>
          <cell r="AB101" t="str">
            <v>C</v>
          </cell>
          <cell r="AD101">
            <v>126884</v>
          </cell>
          <cell r="AF101">
            <v>0.06</v>
          </cell>
          <cell r="AG101" t="str">
            <v xml:space="preserve">QSTE 420-1.5 </v>
          </cell>
          <cell r="AL101" t="str">
            <v>-</v>
          </cell>
          <cell r="AO101" t="str">
            <v>1A2R</v>
          </cell>
          <cell r="AP101" t="str">
            <v>2806B</v>
          </cell>
          <cell r="AQ101">
            <v>13116918</v>
          </cell>
          <cell r="AR101" t="str">
            <v>-</v>
          </cell>
          <cell r="AS101" t="str">
            <v>-</v>
          </cell>
          <cell r="AT101" t="str">
            <v>40/20/40</v>
          </cell>
          <cell r="AU101" t="str">
            <v>NEW</v>
          </cell>
          <cell r="AV101" t="str">
            <v>-</v>
          </cell>
          <cell r="AW101" t="str">
            <v>M</v>
          </cell>
          <cell r="AX101" t="str">
            <v>P</v>
          </cell>
          <cell r="AY101" t="str">
            <v>ACA68692</v>
          </cell>
          <cell r="AZ101" t="str">
            <v>-</v>
          </cell>
          <cell r="BA101" t="str">
            <v>wird Part 333255 (Blech)</v>
          </cell>
          <cell r="BB101" t="str">
            <v>GUIDE-R/SEAT SHLDR BELT - FUEHRUNG-HISITZ SCHLTRGURT</v>
          </cell>
        </row>
        <row r="102">
          <cell r="A102">
            <v>100</v>
          </cell>
          <cell r="B102">
            <v>4</v>
          </cell>
          <cell r="F102" t="str">
            <v>BRACKET-R/SEAT SHLDR BELT GDE - HALTER-HISITZ SCHLTRGURT FUEHR</v>
          </cell>
          <cell r="L102" t="str">
            <v>Gurtumlenkblech</v>
          </cell>
          <cell r="M102" t="str">
            <v>299364</v>
          </cell>
          <cell r="N102" t="str">
            <v>F</v>
          </cell>
          <cell r="O102" t="str">
            <v>13154367</v>
          </cell>
          <cell r="Q102">
            <v>1</v>
          </cell>
          <cell r="R102" t="str">
            <v>1</v>
          </cell>
          <cell r="S102">
            <v>9</v>
          </cell>
          <cell r="T102" t="str">
            <v>NO</v>
          </cell>
          <cell r="U102">
            <v>1</v>
          </cell>
          <cell r="V102" t="str">
            <v>063</v>
          </cell>
          <cell r="W102" t="str">
            <v>299364</v>
          </cell>
          <cell r="X102" t="str">
            <v>F</v>
          </cell>
          <cell r="Y102" t="str">
            <v>ACA68687</v>
          </cell>
          <cell r="Z102" t="str">
            <v>NO-DWG</v>
          </cell>
          <cell r="AA102" t="str">
            <v>GM_A3300</v>
          </cell>
          <cell r="AB102" t="str">
            <v>C</v>
          </cell>
          <cell r="AD102">
            <v>126884</v>
          </cell>
          <cell r="AF102">
            <v>0.28999999999999998</v>
          </cell>
          <cell r="AG102" t="str">
            <v>QSTE 420-2.0</v>
          </cell>
          <cell r="AL102" t="str">
            <v>-</v>
          </cell>
          <cell r="AO102" t="str">
            <v>1A2R</v>
          </cell>
          <cell r="AP102" t="str">
            <v>2807B</v>
          </cell>
          <cell r="AQ102">
            <v>13116918</v>
          </cell>
          <cell r="AR102" t="str">
            <v>-</v>
          </cell>
          <cell r="AS102" t="str">
            <v>-</v>
          </cell>
          <cell r="AT102" t="str">
            <v>40/20/40</v>
          </cell>
          <cell r="AU102" t="str">
            <v>NEW</v>
          </cell>
          <cell r="AV102" t="str">
            <v>-</v>
          </cell>
          <cell r="AW102" t="str">
            <v>M</v>
          </cell>
          <cell r="AX102" t="str">
            <v>P</v>
          </cell>
          <cell r="AY102" t="str">
            <v>ACA68687</v>
          </cell>
          <cell r="AZ102" t="str">
            <v>-</v>
          </cell>
          <cell r="BB102" t="str">
            <v>BRACKET-R/SEAT SHLDR BELT GDE - HALTER-HISITZ SCHLTRGURT FUEHR</v>
          </cell>
        </row>
        <row r="103">
          <cell r="A103">
            <v>101</v>
          </cell>
          <cell r="B103">
            <v>3</v>
          </cell>
          <cell r="C103">
            <v>1</v>
          </cell>
          <cell r="E103" t="str">
            <v>STRIKER-R/SEAT BK CUSH LAT - SCHLIESSBUEGEL-HIRUECK VERRIEG</v>
          </cell>
          <cell r="L103" t="str">
            <v>Schliessbolzen für 20%-Lock</v>
          </cell>
          <cell r="M103" t="str">
            <v>291417</v>
          </cell>
          <cell r="N103" t="str">
            <v>G</v>
          </cell>
          <cell r="O103" t="str">
            <v>13154337</v>
          </cell>
          <cell r="Q103">
            <v>1</v>
          </cell>
          <cell r="R103">
            <v>1</v>
          </cell>
          <cell r="S103">
            <v>9</v>
          </cell>
          <cell r="T103" t="str">
            <v>NO</v>
          </cell>
          <cell r="U103" t="str">
            <v>3</v>
          </cell>
          <cell r="W103" t="str">
            <v>291417</v>
          </cell>
          <cell r="X103" t="str">
            <v>G</v>
          </cell>
          <cell r="Y103" t="str">
            <v>13154337</v>
          </cell>
          <cell r="Z103" t="str">
            <v>NO-DWG</v>
          </cell>
          <cell r="AA103" t="str">
            <v>GM_A3300</v>
          </cell>
          <cell r="AB103" t="str">
            <v>C</v>
          </cell>
          <cell r="AD103">
            <v>126884</v>
          </cell>
          <cell r="AF103">
            <v>0.08</v>
          </cell>
          <cell r="AG103" t="str">
            <v>QS 1010 DK-D20</v>
          </cell>
          <cell r="AH103"/>
          <cell r="AJ103"/>
          <cell r="AL103" t="str">
            <v>ISINEX</v>
          </cell>
          <cell r="AO103" t="str">
            <v>1C8L</v>
          </cell>
          <cell r="AP103" t="str">
            <v>0210B</v>
          </cell>
          <cell r="AQ103">
            <v>13116918</v>
          </cell>
          <cell r="AS103" t="str">
            <v>JC</v>
          </cell>
          <cell r="AT103" t="str">
            <v>40/20/40</v>
          </cell>
          <cell r="AU103" t="str">
            <v>NEW</v>
          </cell>
          <cell r="AV103" t="str">
            <v>-</v>
          </cell>
          <cell r="AW103" t="str">
            <v>M</v>
          </cell>
          <cell r="AX103" t="str">
            <v>P</v>
          </cell>
          <cell r="AY103" t="str">
            <v>ACA53686</v>
          </cell>
          <cell r="AZ103" t="str">
            <v>ACA53686</v>
          </cell>
          <cell r="BA103" t="str">
            <v>D von 10 mm auf 6 mm geändert.
Wird wieder auf 10 mm geändert.
Neues Design (Bolzen)</v>
          </cell>
          <cell r="BB103" t="str">
            <v>STRIKER-R/SEAT BK CUSH LAT - SCHLIESSBUEGEL-HIRUECK VERRIEG</v>
          </cell>
        </row>
        <row r="104">
          <cell r="A104">
            <v>102</v>
          </cell>
          <cell r="B104">
            <v>3</v>
          </cell>
          <cell r="C104" t="str">
            <v>1</v>
          </cell>
          <cell r="E104" t="str">
            <v>BOLT/SCREW-R/SEAT BK CUSH CTR PIV SUPT - SCHRAUBE-HIRUECK MIT DREHPKT STUE</v>
          </cell>
          <cell r="L104" t="str">
            <v>Schraube-Spezial M14</v>
          </cell>
          <cell r="M104" t="str">
            <v>232172</v>
          </cell>
          <cell r="N104" t="str">
            <v>000</v>
          </cell>
          <cell r="O104" t="str">
            <v>90590012</v>
          </cell>
          <cell r="P104" t="str">
            <v>15022000</v>
          </cell>
          <cell r="Q104">
            <v>1</v>
          </cell>
          <cell r="R104" t="str">
            <v>1</v>
          </cell>
          <cell r="S104">
            <v>9</v>
          </cell>
          <cell r="T104" t="str">
            <v>YES</v>
          </cell>
          <cell r="U104">
            <v>0</v>
          </cell>
          <cell r="V104" t="str">
            <v>-</v>
          </cell>
          <cell r="W104" t="str">
            <v>232172</v>
          </cell>
          <cell r="X104" t="str">
            <v>000</v>
          </cell>
          <cell r="Y104" t="str">
            <v>90590012</v>
          </cell>
          <cell r="AA104" t="str">
            <v>OPEL-T-PROJEKTE</v>
          </cell>
          <cell r="AB104" t="str">
            <v>R</v>
          </cell>
          <cell r="AD104">
            <v>113565</v>
          </cell>
          <cell r="AE104">
            <v>37266</v>
          </cell>
          <cell r="AF104">
            <v>4.2999999999999997E-2</v>
          </cell>
          <cell r="AG104" t="str">
            <v>GMW-ST-F-8.8</v>
          </cell>
          <cell r="AH104"/>
          <cell r="AJ104"/>
          <cell r="AL104" t="str">
            <v>-</v>
          </cell>
          <cell r="AO104" t="str">
            <v>1C8L</v>
          </cell>
          <cell r="AP104" t="str">
            <v>0186C</v>
          </cell>
          <cell r="AQ104">
            <v>13116918</v>
          </cell>
          <cell r="AR104" t="str">
            <v>-</v>
          </cell>
          <cell r="AS104" t="str">
            <v>JC</v>
          </cell>
          <cell r="AT104" t="str">
            <v>60/40</v>
          </cell>
          <cell r="AU104" t="str">
            <v>DIN</v>
          </cell>
          <cell r="AW104" t="str">
            <v>M</v>
          </cell>
          <cell r="AX104" t="str">
            <v>P</v>
          </cell>
          <cell r="AY104" t="str">
            <v>-</v>
          </cell>
          <cell r="AZ104" t="str">
            <v>-</v>
          </cell>
          <cell r="BB104" t="str">
            <v>BOLT/SCREW-R/SEAT BK CUSH CTR PIV SUPT - SCHRAUBE-HIRUECK MIT DREHPKT STUE</v>
          </cell>
        </row>
        <row r="105">
          <cell r="A105">
            <v>103</v>
          </cell>
          <cell r="B105">
            <v>3</v>
          </cell>
          <cell r="C105" t="str">
            <v>1</v>
          </cell>
          <cell r="E105" t="str">
            <v>SUPPORT ASM-R/SEAT BK CUSH CTR PIV - STUETZE Z-HIRUECK MIT DREHPKT</v>
          </cell>
          <cell r="L105" t="str">
            <v>Lagerstütze ASM</v>
          </cell>
          <cell r="M105" t="str">
            <v>300050</v>
          </cell>
          <cell r="N105" t="str">
            <v>D</v>
          </cell>
          <cell r="O105" t="str">
            <v>13146985</v>
          </cell>
          <cell r="Q105">
            <v>1</v>
          </cell>
          <cell r="R105">
            <v>1</v>
          </cell>
          <cell r="S105">
            <v>9</v>
          </cell>
          <cell r="T105" t="str">
            <v>NO</v>
          </cell>
          <cell r="U105" t="str">
            <v>1</v>
          </cell>
          <cell r="V105" t="str">
            <v>063</v>
          </cell>
          <cell r="W105" t="str">
            <v>300050</v>
          </cell>
          <cell r="X105" t="str">
            <v>D</v>
          </cell>
          <cell r="Y105" t="str">
            <v>13146985</v>
          </cell>
          <cell r="Z105" t="str">
            <v>NO-DWG</v>
          </cell>
          <cell r="AA105" t="str">
            <v>GM_A3300</v>
          </cell>
          <cell r="AB105" t="str">
            <v>C</v>
          </cell>
          <cell r="AD105">
            <v>125183</v>
          </cell>
          <cell r="AF105">
            <v>0.50900000000000001</v>
          </cell>
          <cell r="AG105" t="str">
            <v>N/A</v>
          </cell>
          <cell r="AH105"/>
          <cell r="AJ105"/>
          <cell r="AK105"/>
          <cell r="AL105" t="str">
            <v>ISINEX</v>
          </cell>
          <cell r="AO105" t="str">
            <v>1C8L</v>
          </cell>
          <cell r="AP105" t="str">
            <v>0186A</v>
          </cell>
          <cell r="AQ105">
            <v>13116918</v>
          </cell>
          <cell r="AR105" t="str">
            <v>-</v>
          </cell>
          <cell r="AS105" t="str">
            <v>JC</v>
          </cell>
          <cell r="AT105" t="str">
            <v>40/20/40</v>
          </cell>
          <cell r="AU105" t="str">
            <v>NEW</v>
          </cell>
          <cell r="AV105" t="str">
            <v>-</v>
          </cell>
          <cell r="AW105" t="str">
            <v>M</v>
          </cell>
          <cell r="AX105" t="str">
            <v>A</v>
          </cell>
          <cell r="AY105" t="str">
            <v>ACA54320</v>
          </cell>
          <cell r="AZ105" t="str">
            <v>ACA54320</v>
          </cell>
          <cell r="BB105" t="str">
            <v>SUPPORT ASM-R/SEAT BK CUSH CTR PIV - STUETZE Z-HIRUECK MIT DREHPKT</v>
          </cell>
        </row>
        <row r="106">
          <cell r="A106">
            <v>104</v>
          </cell>
          <cell r="B106">
            <v>4</v>
          </cell>
          <cell r="F106" t="str">
            <v>SUPPORT-R/SEAT BK CUSH CTR PIV - STUETZE-HIRUECK MIT DREHPKT</v>
          </cell>
          <cell r="L106" t="str">
            <v>Lagerstütze</v>
          </cell>
          <cell r="M106" t="str">
            <v>302322</v>
          </cell>
          <cell r="N106" t="str">
            <v>B</v>
          </cell>
          <cell r="O106" t="str">
            <v>13131910</v>
          </cell>
          <cell r="P106" t="str">
            <v>13131910</v>
          </cell>
          <cell r="Q106">
            <v>1</v>
          </cell>
          <cell r="R106" t="str">
            <v>1</v>
          </cell>
          <cell r="S106">
            <v>9</v>
          </cell>
          <cell r="T106" t="str">
            <v>NO</v>
          </cell>
          <cell r="U106">
            <v>0</v>
          </cell>
          <cell r="V106" t="str">
            <v>-</v>
          </cell>
          <cell r="W106" t="str">
            <v>302324</v>
          </cell>
          <cell r="X106" t="str">
            <v>B</v>
          </cell>
          <cell r="Y106" t="str">
            <v>13150504</v>
          </cell>
          <cell r="Z106" t="str">
            <v>NO-DWG</v>
          </cell>
          <cell r="AA106" t="str">
            <v>GM_A3300</v>
          </cell>
          <cell r="AB106" t="str">
            <v>C</v>
          </cell>
          <cell r="AD106">
            <v>119562</v>
          </cell>
          <cell r="AF106">
            <v>0.45300000000000001</v>
          </cell>
          <cell r="AG106" t="str">
            <v>QSTE 420-3.2</v>
          </cell>
          <cell r="AL106" t="str">
            <v>ISINEX</v>
          </cell>
          <cell r="AO106" t="str">
            <v>1C8L</v>
          </cell>
          <cell r="AP106" t="str">
            <v>0186B</v>
          </cell>
          <cell r="AQ106">
            <v>13116918</v>
          </cell>
          <cell r="AR106" t="str">
            <v>LH</v>
          </cell>
          <cell r="AS106" t="str">
            <v>-</v>
          </cell>
          <cell r="AT106" t="str">
            <v>60/40</v>
          </cell>
          <cell r="AU106" t="str">
            <v>COP</v>
          </cell>
          <cell r="AV106" t="str">
            <v>60/40</v>
          </cell>
          <cell r="AW106" t="str">
            <v>M</v>
          </cell>
          <cell r="AX106" t="str">
            <v>P</v>
          </cell>
          <cell r="AY106" t="str">
            <v>ACA80760</v>
          </cell>
          <cell r="AZ106" t="str">
            <v>ACA80759</v>
          </cell>
          <cell r="BB106" t="str">
            <v>SUPPORT-R/SEAT BK CUSH CTR PIV - STUETZE-HIRUECK MIT DREHPKT</v>
          </cell>
        </row>
        <row r="107">
          <cell r="A107">
            <v>105</v>
          </cell>
          <cell r="B107">
            <v>4</v>
          </cell>
          <cell r="F107" t="str">
            <v>NUT-R/SEAT BK CUSH CTR PIV SUPT - MUTTER-HIRUECK MIT DREHPKT STUE</v>
          </cell>
          <cell r="L107" t="str">
            <v>Schweissmutter M8 (Verstärkung)</v>
          </cell>
          <cell r="M107" t="str">
            <v>287441</v>
          </cell>
          <cell r="N107" t="str">
            <v>A</v>
          </cell>
          <cell r="O107" t="str">
            <v>11036686</v>
          </cell>
          <cell r="P107" t="str">
            <v>03031997</v>
          </cell>
          <cell r="Q107">
            <v>2</v>
          </cell>
          <cell r="R107" t="str">
            <v>1</v>
          </cell>
          <cell r="S107">
            <v>9</v>
          </cell>
          <cell r="T107" t="str">
            <v>NO</v>
          </cell>
          <cell r="U107">
            <v>0</v>
          </cell>
          <cell r="V107" t="str">
            <v>-</v>
          </cell>
          <cell r="W107" t="str">
            <v>301346</v>
          </cell>
          <cell r="X107" t="str">
            <v>A</v>
          </cell>
          <cell r="Y107" t="str">
            <v>11036680</v>
          </cell>
          <cell r="Z107" t="str">
            <v>03031997</v>
          </cell>
          <cell r="AA107" t="str">
            <v>GM_A3300</v>
          </cell>
          <cell r="AB107" t="str">
            <v>R</v>
          </cell>
          <cell r="AD107">
            <v>114929</v>
          </cell>
          <cell r="AE107">
            <v>37284</v>
          </cell>
          <cell r="AF107">
            <v>8.0000000000000002E-3</v>
          </cell>
          <cell r="AG107" t="str">
            <v>QS 818100</v>
          </cell>
          <cell r="AL107" t="str">
            <v>-</v>
          </cell>
          <cell r="AO107" t="str">
            <v>1C8L</v>
          </cell>
          <cell r="AP107" t="str">
            <v>0186E</v>
          </cell>
          <cell r="AQ107">
            <v>13116918</v>
          </cell>
          <cell r="AR107" t="str">
            <v>-</v>
          </cell>
          <cell r="AS107" t="str">
            <v>-</v>
          </cell>
          <cell r="AT107" t="str">
            <v>60/40</v>
          </cell>
          <cell r="AU107" t="str">
            <v>DIN</v>
          </cell>
          <cell r="AW107" t="str">
            <v>M</v>
          </cell>
          <cell r="AX107" t="str">
            <v>P</v>
          </cell>
          <cell r="AY107" t="str">
            <v>-</v>
          </cell>
          <cell r="AZ107" t="str">
            <v>-</v>
          </cell>
          <cell r="BB107" t="str">
            <v>NUT-R/SEAT BK CUSH CTR PIV SUPT - MUTTER-HIRUECK MIT DREHPKT STUE</v>
          </cell>
        </row>
        <row r="108">
          <cell r="A108">
            <v>106</v>
          </cell>
          <cell r="B108">
            <v>4</v>
          </cell>
          <cell r="F108" t="str">
            <v>BRACKET-CHILD ST - HALTER-KINDSITZ</v>
          </cell>
          <cell r="L108" t="str">
            <v>Isofix</v>
          </cell>
          <cell r="M108" t="str">
            <v>291601</v>
          </cell>
          <cell r="N108" t="str">
            <v>B</v>
          </cell>
          <cell r="O108" t="str">
            <v>13119151</v>
          </cell>
          <cell r="Q108">
            <v>1</v>
          </cell>
          <cell r="R108">
            <v>1</v>
          </cell>
          <cell r="S108">
            <v>9</v>
          </cell>
          <cell r="T108" t="str">
            <v>NO</v>
          </cell>
          <cell r="U108">
            <v>0</v>
          </cell>
          <cell r="V108" t="str">
            <v>-</v>
          </cell>
          <cell r="W108" t="str">
            <v>291563</v>
          </cell>
          <cell r="X108" t="str">
            <v>B</v>
          </cell>
          <cell r="Y108" t="str">
            <v>13119150</v>
          </cell>
          <cell r="Z108" t="str">
            <v>NO-DWG</v>
          </cell>
          <cell r="AA108" t="str">
            <v>GM_A3300</v>
          </cell>
          <cell r="AB108" t="str">
            <v>R</v>
          </cell>
          <cell r="AD108">
            <v>115590</v>
          </cell>
          <cell r="AE108">
            <v>37364</v>
          </cell>
          <cell r="AF108">
            <v>0.04</v>
          </cell>
          <cell r="AG108" t="str">
            <v>QS 1010 DK</v>
          </cell>
          <cell r="AH108"/>
          <cell r="AJ108"/>
          <cell r="AL108" t="str">
            <v>ISINEX</v>
          </cell>
          <cell r="AO108" t="str">
            <v>1C8J</v>
          </cell>
          <cell r="AP108" t="str">
            <v>0010M</v>
          </cell>
          <cell r="AQ108">
            <v>13116918</v>
          </cell>
          <cell r="AR108" t="str">
            <v>RH</v>
          </cell>
          <cell r="AS108" t="str">
            <v>-</v>
          </cell>
          <cell r="AT108" t="str">
            <v>60/40</v>
          </cell>
          <cell r="AU108" t="str">
            <v>COP</v>
          </cell>
          <cell r="AV108" t="str">
            <v>60/40</v>
          </cell>
          <cell r="AW108" t="str">
            <v>M</v>
          </cell>
          <cell r="AX108" t="str">
            <v>P</v>
          </cell>
          <cell r="AY108" t="str">
            <v>-</v>
          </cell>
          <cell r="AZ108" t="str">
            <v>-</v>
          </cell>
          <cell r="BB108" t="str">
            <v>BRACKET-CHILD ST - HALTER-KINDSITZ</v>
          </cell>
        </row>
        <row r="109">
          <cell r="A109">
            <v>107</v>
          </cell>
          <cell r="B109" t="str">
            <v>3</v>
          </cell>
          <cell r="C109" t="str">
            <v>1</v>
          </cell>
          <cell r="E109" t="str">
            <v>BELT ASM-R/SEAT CTR (RETR SI) - GURT Z-HISITZ MIT (AUFROLL SEIT)</v>
          </cell>
          <cell r="L109" t="str">
            <v>Gurtaufroller</v>
          </cell>
          <cell r="M109" t="str">
            <v>291423</v>
          </cell>
          <cell r="N109" t="str">
            <v>A</v>
          </cell>
          <cell r="O109" t="str">
            <v>13128017</v>
          </cell>
          <cell r="Q109">
            <v>1</v>
          </cell>
          <cell r="R109">
            <v>1</v>
          </cell>
          <cell r="S109">
            <v>9</v>
          </cell>
          <cell r="T109" t="str">
            <v>NO</v>
          </cell>
          <cell r="U109">
            <v>0</v>
          </cell>
          <cell r="V109" t="str">
            <v>-</v>
          </cell>
          <cell r="W109">
            <v>291423</v>
          </cell>
          <cell r="X109" t="str">
            <v>A</v>
          </cell>
          <cell r="Y109" t="str">
            <v>13128006</v>
          </cell>
          <cell r="AA109" t="str">
            <v>GM_A3300</v>
          </cell>
          <cell r="AB109" t="str">
            <v>R</v>
          </cell>
          <cell r="AD109">
            <v>114929</v>
          </cell>
          <cell r="AE109">
            <v>37284</v>
          </cell>
          <cell r="AF109">
            <v>0.6</v>
          </cell>
          <cell r="AG109" t="str">
            <v>N/A</v>
          </cell>
          <cell r="AH109"/>
          <cell r="AJ109"/>
          <cell r="AL109" t="str">
            <v>AUTOLIV</v>
          </cell>
          <cell r="AO109" t="str">
            <v>1A2R</v>
          </cell>
          <cell r="AP109" t="str">
            <v>2700A</v>
          </cell>
          <cell r="AQ109">
            <v>13140746</v>
          </cell>
          <cell r="AS109" t="str">
            <v>-</v>
          </cell>
          <cell r="AT109" t="str">
            <v>60/40</v>
          </cell>
          <cell r="AU109" t="str">
            <v>COP</v>
          </cell>
          <cell r="AV109" t="str">
            <v>60/40</v>
          </cell>
          <cell r="AW109" t="str">
            <v>-</v>
          </cell>
          <cell r="AX109" t="str">
            <v>A</v>
          </cell>
          <cell r="AY109" t="str">
            <v>-</v>
          </cell>
          <cell r="AZ109" t="str">
            <v>-</v>
          </cell>
          <cell r="BA109" t="str">
            <v>inkl. Cover 228536, Pos.-ASM = AHH01270</v>
          </cell>
          <cell r="BB109" t="str">
            <v>BELT ASM-R/SEAT CTR (RETR SI) - GURT Z-HISITZ MIT (AUFROLL SEIT)</v>
          </cell>
        </row>
        <row r="110">
          <cell r="A110">
            <v>108</v>
          </cell>
          <cell r="B110" t="str">
            <v>3</v>
          </cell>
          <cell r="C110" t="str">
            <v>1</v>
          </cell>
          <cell r="E110" t="str">
            <v>BOLT/SCREW-R/SEAT CTR BELT    (RETR SI) - SCHRAUBE-HISITZ MIT GURT (AUFROLL SEIT)</v>
          </cell>
          <cell r="L110" t="str">
            <v>Schraube 7/16" (Gurtbefestigung)</v>
          </cell>
          <cell r="M110" t="str">
            <v>232180</v>
          </cell>
          <cell r="N110" t="str">
            <v>001</v>
          </cell>
          <cell r="O110" t="str">
            <v>90560668</v>
          </cell>
          <cell r="P110" t="str">
            <v>05062001</v>
          </cell>
          <cell r="Q110">
            <v>1</v>
          </cell>
          <cell r="R110">
            <v>1</v>
          </cell>
          <cell r="S110">
            <v>9</v>
          </cell>
          <cell r="T110" t="str">
            <v>YES</v>
          </cell>
          <cell r="U110">
            <v>0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90560666</v>
          </cell>
          <cell r="AA110" t="str">
            <v>T0600/3RD_ROW</v>
          </cell>
          <cell r="AB110" t="str">
            <v>R</v>
          </cell>
          <cell r="AD110">
            <v>118850</v>
          </cell>
          <cell r="AE110">
            <v>37427</v>
          </cell>
          <cell r="AF110">
            <v>0.01</v>
          </cell>
          <cell r="AG110" t="str">
            <v>GMW 25 M-ST-F-10.9</v>
          </cell>
          <cell r="AL110" t="str">
            <v xml:space="preserve"> </v>
          </cell>
          <cell r="AO110" t="str">
            <v>1A2R</v>
          </cell>
          <cell r="AP110" t="str">
            <v>2700C</v>
          </cell>
          <cell r="AQ110">
            <v>13140746</v>
          </cell>
          <cell r="AR110" t="str">
            <v>-</v>
          </cell>
          <cell r="AS110" t="str">
            <v>-</v>
          </cell>
          <cell r="AT110" t="str">
            <v>60/40</v>
          </cell>
          <cell r="AU110" t="str">
            <v>DIN</v>
          </cell>
          <cell r="AW110" t="str">
            <v>M</v>
          </cell>
          <cell r="AX110" t="str">
            <v>P</v>
          </cell>
          <cell r="AY110" t="str">
            <v>-</v>
          </cell>
          <cell r="AZ110" t="str">
            <v>-</v>
          </cell>
          <cell r="BA110" t="str">
            <v>Für Gurtaufroller</v>
          </cell>
          <cell r="BB110" t="str">
            <v>BOLT/SCREW-R/SEAT CTR BELT    (RETR SI) - SCHRAUBE-HISITZ MIT GURT (AUFROLL SEIT)</v>
          </cell>
        </row>
        <row r="111">
          <cell r="A111">
            <v>109</v>
          </cell>
          <cell r="B111">
            <v>3</v>
          </cell>
          <cell r="C111" t="str">
            <v>1</v>
          </cell>
          <cell r="E111" t="str">
            <v>PAD ASM-R/SEAT BK CUSH - AUFLAGE Z-HIRUECK</v>
          </cell>
          <cell r="L111" t="str">
            <v>Schaum mit Draht / Lehne 40% LH</v>
          </cell>
          <cell r="M111" t="str">
            <v>326918</v>
          </cell>
          <cell r="N111" t="str">
            <v>A</v>
          </cell>
          <cell r="O111" t="str">
            <v>13122629</v>
          </cell>
          <cell r="P111" t="str">
            <v>20022002</v>
          </cell>
          <cell r="Q111">
            <v>1</v>
          </cell>
          <cell r="R111">
            <v>1</v>
          </cell>
          <cell r="S111">
            <v>9</v>
          </cell>
          <cell r="T111" t="str">
            <v>NO</v>
          </cell>
          <cell r="U111">
            <v>3</v>
          </cell>
          <cell r="V111" t="str">
            <v>063</v>
          </cell>
          <cell r="W111" t="str">
            <v>326918</v>
          </cell>
          <cell r="X111" t="str">
            <v>A</v>
          </cell>
          <cell r="Y111">
            <v>13122629</v>
          </cell>
          <cell r="Z111" t="str">
            <v>NO-DWG</v>
          </cell>
          <cell r="AA111" t="str">
            <v>GM_A3300</v>
          </cell>
          <cell r="AB111" t="str">
            <v>R</v>
          </cell>
          <cell r="AD111">
            <v>121622</v>
          </cell>
          <cell r="AE111">
            <v>37492</v>
          </cell>
          <cell r="AF111">
            <v>2</v>
          </cell>
          <cell r="AG111" t="str">
            <v>N/A</v>
          </cell>
          <cell r="AO111" t="str">
            <v>1C8J</v>
          </cell>
          <cell r="AP111" t="str">
            <v>0311A</v>
          </cell>
          <cell r="AQ111">
            <v>13116913</v>
          </cell>
          <cell r="AR111" t="str">
            <v>-</v>
          </cell>
          <cell r="AS111" t="str">
            <v>JC</v>
          </cell>
          <cell r="AT111" t="str">
            <v>40/20/40</v>
          </cell>
          <cell r="AU111" t="str">
            <v>NEW</v>
          </cell>
          <cell r="AV111" t="str">
            <v>-</v>
          </cell>
          <cell r="AW111" t="str">
            <v>S</v>
          </cell>
          <cell r="AX111" t="str">
            <v>A</v>
          </cell>
          <cell r="AY111" t="str">
            <v>ACB68882</v>
          </cell>
          <cell r="AZ111" t="str">
            <v>ACB68882</v>
          </cell>
          <cell r="BB111" t="str">
            <v>PAD ASM-R/SEAT BK CUSH - AUFLAGE Z-HIRUECK</v>
          </cell>
        </row>
        <row r="112">
          <cell r="A112">
            <v>110</v>
          </cell>
          <cell r="B112">
            <v>3</v>
          </cell>
          <cell r="C112" t="str">
            <v>1</v>
          </cell>
          <cell r="E112" t="str">
            <v>RING-R/SEAT BK CUSH CVR HOG - RINGKLAMMER-HIRUECK BEZUG</v>
          </cell>
          <cell r="L112" t="str">
            <v>Ringklammer</v>
          </cell>
          <cell r="M112" t="str">
            <v>134904</v>
          </cell>
          <cell r="N112" t="str">
            <v>A</v>
          </cell>
          <cell r="O112" t="str">
            <v>6616858</v>
          </cell>
          <cell r="Q112">
            <v>8</v>
          </cell>
          <cell r="R112">
            <v>1</v>
          </cell>
          <cell r="S112">
            <v>9</v>
          </cell>
          <cell r="T112" t="str">
            <v>YES</v>
          </cell>
          <cell r="U112">
            <v>0</v>
          </cell>
          <cell r="V112" t="str">
            <v>-</v>
          </cell>
          <cell r="W112" t="str">
            <v>134913</v>
          </cell>
          <cell r="X112" t="str">
            <v>A</v>
          </cell>
          <cell r="Y112" t="str">
            <v>6699181</v>
          </cell>
          <cell r="Z112" t="str">
            <v>NO-DWG</v>
          </cell>
          <cell r="AA112" t="str">
            <v>GM_LIGHTW_SEAT</v>
          </cell>
          <cell r="AB112" t="str">
            <v>C</v>
          </cell>
          <cell r="AF112">
            <v>1E-3</v>
          </cell>
          <cell r="AG112" t="str">
            <v>QS 1010 DK GMW F-102</v>
          </cell>
          <cell r="AO112" t="str">
            <v>1C8M</v>
          </cell>
          <cell r="AP112" t="str">
            <v>0300G</v>
          </cell>
          <cell r="AQ112" t="str">
            <v>TRIM</v>
          </cell>
          <cell r="AR112" t="str">
            <v>-</v>
          </cell>
          <cell r="AS112" t="str">
            <v>JC</v>
          </cell>
          <cell r="AT112" t="str">
            <v>60/40</v>
          </cell>
          <cell r="AU112" t="str">
            <v>COP</v>
          </cell>
          <cell r="AV112" t="str">
            <v>GM_LIGHTW_SEAT</v>
          </cell>
          <cell r="AW112" t="str">
            <v>M</v>
          </cell>
          <cell r="AX112" t="str">
            <v>P</v>
          </cell>
          <cell r="AY112" t="str">
            <v>-</v>
          </cell>
          <cell r="AZ112" t="str">
            <v>-</v>
          </cell>
          <cell r="BA112" t="str">
            <v>wird ausgetauscht</v>
          </cell>
          <cell r="BB112" t="str">
            <v>RING-R/SEAT BK CUSH CVR HOG - RINGKLAMMER-HIRUECK BEZUG</v>
          </cell>
        </row>
        <row r="113">
          <cell r="A113">
            <v>111</v>
          </cell>
          <cell r="B113" t="str">
            <v>3</v>
          </cell>
          <cell r="C113" t="str">
            <v>1</v>
          </cell>
          <cell r="E113" t="str">
            <v>COVER ASM-R/SEAT BK CUSH - BEZUG-HIRUECK</v>
          </cell>
          <cell r="L113" t="str">
            <v>Bezug</v>
          </cell>
          <cell r="M113" t="str">
            <v>291432</v>
          </cell>
          <cell r="N113" t="str">
            <v>A</v>
          </cell>
          <cell r="Q113">
            <v>1</v>
          </cell>
          <cell r="R113">
            <v>1</v>
          </cell>
          <cell r="S113">
            <v>9</v>
          </cell>
          <cell r="T113" t="str">
            <v>NO</v>
          </cell>
          <cell r="U113">
            <v>0</v>
          </cell>
          <cell r="V113" t="str">
            <v>-</v>
          </cell>
          <cell r="W113" t="str">
            <v>291432</v>
          </cell>
          <cell r="X113" t="str">
            <v>A</v>
          </cell>
          <cell r="AA113" t="str">
            <v>GM_A3300</v>
          </cell>
          <cell r="AB113" t="str">
            <v>C</v>
          </cell>
          <cell r="AF113">
            <v>0.65</v>
          </cell>
          <cell r="AG113" t="str">
            <v>N/A</v>
          </cell>
          <cell r="AH113"/>
          <cell r="AJ113"/>
          <cell r="AO113" t="str">
            <v>1C8M</v>
          </cell>
          <cell r="AP113" t="str">
            <v>0300A</v>
          </cell>
          <cell r="AQ113" t="str">
            <v>TRIM</v>
          </cell>
          <cell r="AS113" t="str">
            <v>JC</v>
          </cell>
          <cell r="AT113" t="str">
            <v>40/20/40</v>
          </cell>
          <cell r="AU113" t="str">
            <v>COP</v>
          </cell>
          <cell r="AV113" t="str">
            <v>60/40</v>
          </cell>
          <cell r="AW113" t="str">
            <v>T</v>
          </cell>
          <cell r="AX113" t="str">
            <v>P</v>
          </cell>
          <cell r="BB113" t="str">
            <v>COVER ASM-R/SEAT BK CUSH - BEZUG-HIRUECK</v>
          </cell>
        </row>
        <row r="114">
          <cell r="A114">
            <v>112</v>
          </cell>
          <cell r="B114">
            <v>3</v>
          </cell>
          <cell r="C114" t="str">
            <v>1</v>
          </cell>
          <cell r="E114" t="str">
            <v>CARPET-R/SEAT BK CUSH - TEPPICH-HIRUECK</v>
          </cell>
          <cell r="L114" t="str">
            <v>Teppich</v>
          </cell>
          <cell r="M114" t="str">
            <v>291434</v>
          </cell>
          <cell r="N114" t="str">
            <v>E</v>
          </cell>
          <cell r="O114" t="str">
            <v>13154340</v>
          </cell>
          <cell r="Q114">
            <v>1</v>
          </cell>
          <cell r="R114">
            <v>1</v>
          </cell>
          <cell r="S114">
            <v>9</v>
          </cell>
          <cell r="T114" t="str">
            <v>NO</v>
          </cell>
          <cell r="U114">
            <v>3</v>
          </cell>
          <cell r="V114" t="str">
            <v>063</v>
          </cell>
          <cell r="W114" t="str">
            <v>291434</v>
          </cell>
          <cell r="X114" t="str">
            <v>E</v>
          </cell>
          <cell r="Y114" t="str">
            <v>13154340</v>
          </cell>
          <cell r="Z114" t="str">
            <v>NO-DWG</v>
          </cell>
          <cell r="AA114" t="str">
            <v>GM_A3300</v>
          </cell>
          <cell r="AB114" t="str">
            <v>C</v>
          </cell>
          <cell r="AD114">
            <v>126884</v>
          </cell>
          <cell r="AF114">
            <v>0.21</v>
          </cell>
          <cell r="AG114" t="str">
            <v>TM 225000-4.5</v>
          </cell>
          <cell r="AH114"/>
          <cell r="AJ114"/>
          <cell r="AL114" t="str">
            <v>-</v>
          </cell>
          <cell r="AO114" t="str">
            <v>1C8M</v>
          </cell>
          <cell r="AP114" t="str">
            <v>0350B</v>
          </cell>
          <cell r="AQ114" t="str">
            <v>TRIM</v>
          </cell>
          <cell r="AR114" t="str">
            <v>-</v>
          </cell>
          <cell r="AS114" t="str">
            <v>JC</v>
          </cell>
          <cell r="AT114" t="str">
            <v>40/20/40</v>
          </cell>
          <cell r="AU114" t="str">
            <v>NEW</v>
          </cell>
          <cell r="AV114" t="str">
            <v>-</v>
          </cell>
          <cell r="AW114" t="str">
            <v>T</v>
          </cell>
          <cell r="AX114" t="str">
            <v>P</v>
          </cell>
          <cell r="AY114" t="str">
            <v>ACA54344</v>
          </cell>
          <cell r="AZ114" t="str">
            <v>ACA54344</v>
          </cell>
          <cell r="BB114" t="str">
            <v>CARPET-R/SEAT BK CUSH - TEPPICH-HIRUECK</v>
          </cell>
        </row>
        <row r="115">
          <cell r="A115">
            <v>113</v>
          </cell>
          <cell r="B115">
            <v>3</v>
          </cell>
          <cell r="C115" t="str">
            <v>1</v>
          </cell>
          <cell r="E115" t="str">
            <v>RETAINER-R/SEAT BK CUSH CPT (PUSH IN) - BEFESTIGUNG-HIRUECK TEPP (EINDR)</v>
          </cell>
          <cell r="L115" t="str">
            <v>Teppichbefestigung</v>
          </cell>
          <cell r="M115" t="str">
            <v>287455</v>
          </cell>
          <cell r="N115" t="str">
            <v>000</v>
          </cell>
          <cell r="O115" t="str">
            <v>09132999</v>
          </cell>
          <cell r="Q115">
            <v>13</v>
          </cell>
          <cell r="R115" t="str">
            <v>1</v>
          </cell>
          <cell r="S115">
            <v>9</v>
          </cell>
          <cell r="T115" t="str">
            <v>NO</v>
          </cell>
          <cell r="U115">
            <v>0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8978727</v>
          </cell>
          <cell r="AA115" t="str">
            <v>GM_A3300</v>
          </cell>
          <cell r="AB115" t="str">
            <v>C</v>
          </cell>
          <cell r="AD115">
            <v>129686</v>
          </cell>
          <cell r="AF115">
            <v>2E-3</v>
          </cell>
          <cell r="AG115" t="str">
            <v>QK 004 941</v>
          </cell>
          <cell r="AH115"/>
          <cell r="AJ115"/>
          <cell r="AL115" t="str">
            <v>-</v>
          </cell>
          <cell r="AO115" t="str">
            <v>1C8M</v>
          </cell>
          <cell r="AP115" t="str">
            <v>0352B</v>
          </cell>
          <cell r="AQ115" t="str">
            <v>TRIM</v>
          </cell>
          <cell r="AR115" t="str">
            <v>-</v>
          </cell>
          <cell r="AS115" t="str">
            <v>JC</v>
          </cell>
          <cell r="AT115" t="str">
            <v>60/40</v>
          </cell>
          <cell r="AU115" t="str">
            <v>COP</v>
          </cell>
          <cell r="AV115" t="str">
            <v>60/40</v>
          </cell>
          <cell r="AW115" t="str">
            <v>P</v>
          </cell>
          <cell r="AX115" t="str">
            <v>P</v>
          </cell>
          <cell r="AY115" t="str">
            <v>8941978</v>
          </cell>
          <cell r="AZ115" t="str">
            <v>-</v>
          </cell>
          <cell r="BB115" t="str">
            <v>RETAINER-R/SEAT BK CUSH CPT (PUSH IN) - BEFESTIGUNG-HIRUECK TEPP (EINDR)</v>
          </cell>
        </row>
        <row r="116">
          <cell r="A116">
            <v>114</v>
          </cell>
          <cell r="B116">
            <v>3</v>
          </cell>
          <cell r="C116" t="str">
            <v>1</v>
          </cell>
          <cell r="E116" t="str">
            <v>BEZEL ASM-R/SEAT BK CUSH LAT REL KNOB - EINFASSUNG Z-HIRUECK VERRIEG ENTRIEG KNOPF</v>
          </cell>
          <cell r="L116" t="str">
            <v>Pushbutton</v>
          </cell>
          <cell r="M116" t="str">
            <v>130855</v>
          </cell>
          <cell r="N116" t="str">
            <v>000</v>
          </cell>
          <cell r="O116" t="str">
            <v>90507521</v>
          </cell>
          <cell r="Q116">
            <v>1</v>
          </cell>
          <cell r="R116">
            <v>1</v>
          </cell>
          <cell r="S116">
            <v>9</v>
          </cell>
          <cell r="T116" t="str">
            <v>YES</v>
          </cell>
          <cell r="U116">
            <v>0</v>
          </cell>
          <cell r="V116" t="str">
            <v>-</v>
          </cell>
          <cell r="W116" t="str">
            <v>303414</v>
          </cell>
          <cell r="X116" t="str">
            <v>000</v>
          </cell>
          <cell r="Y116" t="str">
            <v>90507520</v>
          </cell>
          <cell r="Z116" t="str">
            <v>NO-DWG</v>
          </cell>
          <cell r="AA116" t="str">
            <v>T0600/3RD_ROW</v>
          </cell>
          <cell r="AB116" t="str">
            <v>R</v>
          </cell>
          <cell r="AD116">
            <v>120694</v>
          </cell>
          <cell r="AE116">
            <v>37492</v>
          </cell>
          <cell r="AF116">
            <v>0.02</v>
          </cell>
          <cell r="AG116" t="str">
            <v>QK 002911</v>
          </cell>
          <cell r="AH116"/>
          <cell r="AJ116"/>
          <cell r="AL116" t="str">
            <v>KARL MAIER</v>
          </cell>
          <cell r="AO116" t="str">
            <v>1C8N</v>
          </cell>
          <cell r="AP116" t="str">
            <v>0548A</v>
          </cell>
          <cell r="AQ116">
            <v>13156898</v>
          </cell>
          <cell r="AR116" t="str">
            <v>-</v>
          </cell>
          <cell r="AS116" t="str">
            <v>JC</v>
          </cell>
          <cell r="AT116" t="str">
            <v>60/40</v>
          </cell>
          <cell r="AU116" t="str">
            <v>COP</v>
          </cell>
          <cell r="AV116" t="str">
            <v>T0600/3RD_ROW</v>
          </cell>
          <cell r="AW116" t="str">
            <v>P</v>
          </cell>
          <cell r="AX116" t="str">
            <v>A</v>
          </cell>
          <cell r="AY116" t="str">
            <v>-</v>
          </cell>
          <cell r="AZ116" t="str">
            <v>-</v>
          </cell>
          <cell r="BB116" t="str">
            <v>BEZEL ASM-R/SEAT BK CUSH LAT REL KNOB - EINFASSUNG Z-HIRUECK VERRIEG ENTRIEG KNOPF</v>
          </cell>
        </row>
        <row r="117">
          <cell r="A117">
            <v>115</v>
          </cell>
          <cell r="B117">
            <v>3</v>
          </cell>
          <cell r="C117" t="str">
            <v>1</v>
          </cell>
          <cell r="E117" t="str">
            <v>GUIDE ASM-R/SEAT H/RST - FUEHRUNG Z-HISITZ KOPFSTUE</v>
          </cell>
          <cell r="L117" t="str">
            <v>Kopfstützenhülsen Kopfstützen</v>
          </cell>
          <cell r="M117" t="str">
            <v>237595</v>
          </cell>
          <cell r="N117" t="str">
            <v>000</v>
          </cell>
          <cell r="O117" t="str">
            <v>24409008</v>
          </cell>
          <cell r="Q117">
            <v>2</v>
          </cell>
          <cell r="R117" t="str">
            <v>1</v>
          </cell>
          <cell r="S117">
            <v>9</v>
          </cell>
          <cell r="T117" t="str">
            <v>YES</v>
          </cell>
          <cell r="U117">
            <v>0</v>
          </cell>
          <cell r="V117" t="str">
            <v>-</v>
          </cell>
          <cell r="W117" t="str">
            <v>237595</v>
          </cell>
          <cell r="X117" t="str">
            <v>000</v>
          </cell>
          <cell r="Y117" t="str">
            <v>24409008</v>
          </cell>
          <cell r="Z117" t="str">
            <v>NO-DWG</v>
          </cell>
          <cell r="AA117" t="str">
            <v>CORSA_MONOCAB</v>
          </cell>
          <cell r="AB117" t="str">
            <v>R</v>
          </cell>
          <cell r="AD117">
            <v>114929</v>
          </cell>
          <cell r="AE117">
            <v>37284</v>
          </cell>
          <cell r="AF117">
            <v>2.7E-2</v>
          </cell>
          <cell r="AG117" t="str">
            <v>PA6/GF30</v>
          </cell>
          <cell r="AH117"/>
          <cell r="AJ117"/>
          <cell r="AL117" t="str">
            <v>AKT</v>
          </cell>
          <cell r="AO117" t="str">
            <v>1C8L</v>
          </cell>
          <cell r="AP117" t="str">
            <v>0189A</v>
          </cell>
          <cell r="AQ117">
            <v>13153286</v>
          </cell>
          <cell r="AR117" t="str">
            <v>-</v>
          </cell>
          <cell r="AS117" t="str">
            <v>JC</v>
          </cell>
          <cell r="AT117" t="str">
            <v>60/40</v>
          </cell>
          <cell r="AU117" t="str">
            <v>COP</v>
          </cell>
          <cell r="AV117" t="str">
            <v>CORSA_MONOCAB</v>
          </cell>
          <cell r="AW117" t="str">
            <v>P</v>
          </cell>
          <cell r="AX117" t="str">
            <v>A</v>
          </cell>
          <cell r="AY117" t="str">
            <v>-</v>
          </cell>
          <cell r="AZ117" t="str">
            <v>-</v>
          </cell>
          <cell r="BB117" t="str">
            <v>GUIDE ASM-R/SEAT H/RST - FUEHRUNG Z-HISITZ KOPFSTUE</v>
          </cell>
        </row>
        <row r="118">
          <cell r="A118">
            <v>116</v>
          </cell>
          <cell r="B118">
            <v>3</v>
          </cell>
          <cell r="C118" t="str">
            <v>1</v>
          </cell>
          <cell r="E118" t="str">
            <v>RESTRAINT ASM-R/SEAT HD - KOPFSTUETZE Z-HISITZ</v>
          </cell>
          <cell r="L118" t="str">
            <v>Kopfstütze ASM</v>
          </cell>
          <cell r="M118" t="str">
            <v>287449</v>
          </cell>
          <cell r="N118" t="str">
            <v>A</v>
          </cell>
          <cell r="O118" t="str">
            <v>13115144</v>
          </cell>
          <cell r="Q118">
            <v>1</v>
          </cell>
          <cell r="R118">
            <v>1</v>
          </cell>
          <cell r="S118">
            <v>9</v>
          </cell>
          <cell r="T118" t="str">
            <v>NO</v>
          </cell>
          <cell r="U118">
            <v>3</v>
          </cell>
          <cell r="V118" t="str">
            <v>462</v>
          </cell>
          <cell r="W118" t="str">
            <v>287449</v>
          </cell>
          <cell r="X118" t="str">
            <v>A</v>
          </cell>
          <cell r="Y118" t="str">
            <v>13115144</v>
          </cell>
          <cell r="AA118" t="str">
            <v>GM_A3300</v>
          </cell>
          <cell r="AB118" t="str">
            <v>R</v>
          </cell>
          <cell r="AD118">
            <v>113585</v>
          </cell>
          <cell r="AE118">
            <v>37266</v>
          </cell>
          <cell r="AF118">
            <v>0.65</v>
          </cell>
          <cell r="AG118" t="str">
            <v>N/A</v>
          </cell>
          <cell r="AH118"/>
          <cell r="AJ118"/>
          <cell r="AL118" t="str">
            <v>INSITU</v>
          </cell>
          <cell r="AO118" t="str">
            <v>1C8J</v>
          </cell>
          <cell r="AP118" t="str">
            <v>0150A</v>
          </cell>
          <cell r="AQ118">
            <v>13153286</v>
          </cell>
          <cell r="AR118" t="str">
            <v>-</v>
          </cell>
          <cell r="AS118" t="str">
            <v>JC</v>
          </cell>
          <cell r="AT118" t="str">
            <v>60/40</v>
          </cell>
          <cell r="AU118" t="str">
            <v>COP</v>
          </cell>
          <cell r="AV118" t="str">
            <v>60/40</v>
          </cell>
          <cell r="AW118" t="str">
            <v>-</v>
          </cell>
          <cell r="AX118" t="str">
            <v>A</v>
          </cell>
          <cell r="AY118" t="str">
            <v>ACA59470</v>
          </cell>
          <cell r="AZ118" t="str">
            <v>ACA59470</v>
          </cell>
          <cell r="BB118" t="str">
            <v>RESTRAINT ASM-R/SEAT HD - KOPFSTUETZE Z-HISITZ</v>
          </cell>
        </row>
        <row r="119">
          <cell r="A119">
            <v>117</v>
          </cell>
          <cell r="B119">
            <v>4</v>
          </cell>
          <cell r="F119" t="str">
            <v>PAD-R/SEAT H/RST - AUFLAGE-HISITZ KOPFSTUE</v>
          </cell>
          <cell r="L119" t="str">
            <v>Schaum Kopfstütze</v>
          </cell>
          <cell r="M119" t="str">
            <v>289589</v>
          </cell>
          <cell r="N119" t="str">
            <v>B</v>
          </cell>
          <cell r="O119" t="str">
            <v>ACA59469</v>
          </cell>
          <cell r="Q119">
            <v>1</v>
          </cell>
          <cell r="R119">
            <v>1</v>
          </cell>
          <cell r="S119">
            <v>9</v>
          </cell>
          <cell r="T119" t="str">
            <v>YES</v>
          </cell>
          <cell r="U119">
            <v>0</v>
          </cell>
          <cell r="V119" t="str">
            <v>-</v>
          </cell>
          <cell r="W119" t="str">
            <v>287449</v>
          </cell>
          <cell r="X119" t="str">
            <v>B</v>
          </cell>
          <cell r="Y119" t="str">
            <v>ACA59470</v>
          </cell>
          <cell r="AA119" t="str">
            <v>STSSMPA101060450</v>
          </cell>
          <cell r="AB119" t="str">
            <v>R</v>
          </cell>
          <cell r="AD119">
            <v>113565</v>
          </cell>
          <cell r="AE119">
            <v>37266</v>
          </cell>
          <cell r="AF119" t="str">
            <v>-</v>
          </cell>
          <cell r="AG119" t="str">
            <v>TM 604800</v>
          </cell>
          <cell r="AH119"/>
          <cell r="AJ119"/>
          <cell r="AL119" t="str">
            <v>INSITU</v>
          </cell>
          <cell r="AO119" t="str">
            <v>1C8J</v>
          </cell>
          <cell r="AP119" t="str">
            <v>0155B</v>
          </cell>
          <cell r="AQ119">
            <v>13153286</v>
          </cell>
          <cell r="AR119" t="str">
            <v>-</v>
          </cell>
          <cell r="AS119" t="str">
            <v>-</v>
          </cell>
          <cell r="AT119" t="str">
            <v>60/40</v>
          </cell>
          <cell r="AU119" t="str">
            <v>COP</v>
          </cell>
          <cell r="AV119" t="str">
            <v>60/40</v>
          </cell>
          <cell r="AW119" t="str">
            <v>S</v>
          </cell>
          <cell r="AX119" t="str">
            <v>P</v>
          </cell>
          <cell r="AY119" t="str">
            <v>-</v>
          </cell>
          <cell r="AZ119" t="str">
            <v>-</v>
          </cell>
          <cell r="BB119" t="str">
            <v>PAD-R/SEAT H/RST - AUFLAGE-HISITZ KOPFSTUE</v>
          </cell>
        </row>
        <row r="120">
          <cell r="A120">
            <v>118</v>
          </cell>
          <cell r="B120">
            <v>4</v>
          </cell>
          <cell r="C120" t="str">
            <v>2</v>
          </cell>
          <cell r="F120" t="str">
            <v>ROD-R/SEAT H/RST ADJ - RASTSTANGE-HISITZ KOPFSTUE</v>
          </cell>
          <cell r="L120" t="str">
            <v>Raststange</v>
          </cell>
          <cell r="M120" t="str">
            <v>222586</v>
          </cell>
          <cell r="N120" t="str">
            <v>A</v>
          </cell>
          <cell r="O120" t="str">
            <v>09152740</v>
          </cell>
          <cell r="Q120">
            <v>2</v>
          </cell>
          <cell r="R120">
            <v>1</v>
          </cell>
          <cell r="S120">
            <v>9</v>
          </cell>
          <cell r="T120" t="str">
            <v>YES</v>
          </cell>
          <cell r="U120">
            <v>0</v>
          </cell>
          <cell r="V120" t="str">
            <v>-</v>
          </cell>
          <cell r="W120" t="str">
            <v>222586</v>
          </cell>
          <cell r="X120" t="str">
            <v>A</v>
          </cell>
          <cell r="Y120" t="str">
            <v>ACA59470</v>
          </cell>
          <cell r="AA120" t="str">
            <v>CORSA_MONOCAB</v>
          </cell>
          <cell r="AB120" t="str">
            <v>R</v>
          </cell>
          <cell r="AD120">
            <v>113565</v>
          </cell>
          <cell r="AE120">
            <v>37266</v>
          </cell>
          <cell r="AF120" t="str">
            <v>-</v>
          </cell>
          <cell r="AG120" t="str">
            <v>QS 1010 DK</v>
          </cell>
          <cell r="AH120"/>
          <cell r="AJ120"/>
          <cell r="AL120" t="str">
            <v>INSITU</v>
          </cell>
          <cell r="AO120" t="str">
            <v>1C8L</v>
          </cell>
          <cell r="AP120" t="str">
            <v>0189Q</v>
          </cell>
          <cell r="AQ120">
            <v>13153286</v>
          </cell>
          <cell r="AR120" t="str">
            <v>-</v>
          </cell>
          <cell r="AS120" t="str">
            <v>-</v>
          </cell>
          <cell r="AT120" t="str">
            <v>60/40</v>
          </cell>
          <cell r="AU120" t="str">
            <v>COP</v>
          </cell>
          <cell r="AV120" t="str">
            <v>CORSA_MONOCAB</v>
          </cell>
          <cell r="AW120" t="str">
            <v>M</v>
          </cell>
          <cell r="AX120" t="str">
            <v>P</v>
          </cell>
          <cell r="AY120" t="str">
            <v>-</v>
          </cell>
          <cell r="AZ120" t="str">
            <v>-</v>
          </cell>
          <cell r="BA120" t="str">
            <v>WIRD NEU</v>
          </cell>
          <cell r="BB120" t="str">
            <v>ROD-R/SEAT H/RST ADJ - RASTSTANGE-HISITZ KOPFSTUE</v>
          </cell>
        </row>
        <row r="121">
          <cell r="A121">
            <v>119</v>
          </cell>
          <cell r="B121">
            <v>4</v>
          </cell>
          <cell r="F121" t="str">
            <v>REINFORCEMENT ASM-R/SEAT HD - VERSTAERKUNG Z-HISITZ KOPFSTUE</v>
          </cell>
          <cell r="L121" t="str">
            <v xml:space="preserve"> </v>
          </cell>
          <cell r="M121" t="str">
            <v>289590</v>
          </cell>
          <cell r="N121" t="str">
            <v>B</v>
          </cell>
          <cell r="O121" t="str">
            <v>ACA59471</v>
          </cell>
          <cell r="Q121">
            <v>1</v>
          </cell>
          <cell r="R121">
            <v>1</v>
          </cell>
          <cell r="S121">
            <v>9</v>
          </cell>
          <cell r="T121" t="str">
            <v>YES</v>
          </cell>
          <cell r="U121">
            <v>0</v>
          </cell>
          <cell r="V121" t="str">
            <v>-</v>
          </cell>
          <cell r="W121" t="str">
            <v>287449</v>
          </cell>
          <cell r="X121" t="str">
            <v>B</v>
          </cell>
          <cell r="Y121" t="str">
            <v>ACA59470</v>
          </cell>
          <cell r="AA121" t="str">
            <v>GM_A3370</v>
          </cell>
          <cell r="AB121" t="str">
            <v>R</v>
          </cell>
          <cell r="AD121">
            <v>113565</v>
          </cell>
          <cell r="AE121">
            <v>37266</v>
          </cell>
          <cell r="AF121" t="str">
            <v>-</v>
          </cell>
          <cell r="AG121" t="str">
            <v>N/A</v>
          </cell>
          <cell r="AH121"/>
          <cell r="AJ121"/>
          <cell r="AL121" t="str">
            <v>INSITU</v>
          </cell>
          <cell r="AO121" t="str">
            <v>1C8J</v>
          </cell>
          <cell r="AP121" t="str">
            <v>0167B</v>
          </cell>
          <cell r="AQ121">
            <v>13153286</v>
          </cell>
          <cell r="AR121" t="str">
            <v>-</v>
          </cell>
          <cell r="AS121" t="str">
            <v>-</v>
          </cell>
          <cell r="AT121" t="str">
            <v>60/40</v>
          </cell>
          <cell r="AU121" t="str">
            <v>COP</v>
          </cell>
          <cell r="AV121" t="str">
            <v>60/40</v>
          </cell>
          <cell r="AW121" t="str">
            <v>-</v>
          </cell>
          <cell r="AX121" t="str">
            <v>A</v>
          </cell>
          <cell r="AY121" t="str">
            <v>-</v>
          </cell>
          <cell r="AZ121" t="str">
            <v>-</v>
          </cell>
          <cell r="BB121" t="str">
            <v>REINFORCEMENT ASM-R/SEAT HD - VERSTAERKUNG Z-HISITZ KOPFSTUE</v>
          </cell>
        </row>
        <row r="122">
          <cell r="A122">
            <v>120</v>
          </cell>
          <cell r="B122">
            <v>4</v>
          </cell>
          <cell r="F122" t="str">
            <v>COVER-R/SEAT H/RST - BEZUG-HISITZ KOPFSTUE</v>
          </cell>
          <cell r="L122" t="str">
            <v>Bezug</v>
          </cell>
          <cell r="M122" t="str">
            <v>291366</v>
          </cell>
          <cell r="N122" t="str">
            <v>A</v>
          </cell>
          <cell r="Q122">
            <v>1</v>
          </cell>
          <cell r="R122">
            <v>1</v>
          </cell>
          <cell r="S122">
            <v>9</v>
          </cell>
          <cell r="T122" t="str">
            <v>NO</v>
          </cell>
          <cell r="U122">
            <v>0</v>
          </cell>
          <cell r="V122" t="str">
            <v>-</v>
          </cell>
          <cell r="W122" t="str">
            <v>291366</v>
          </cell>
          <cell r="X122" t="str">
            <v>A</v>
          </cell>
          <cell r="Y122" t="str">
            <v>-</v>
          </cell>
          <cell r="AA122" t="str">
            <v>GM_A3300</v>
          </cell>
          <cell r="AB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 t="str">
            <v>N/A</v>
          </cell>
          <cell r="AH122"/>
          <cell r="AJ122"/>
          <cell r="AL122" t="str">
            <v>INSITU</v>
          </cell>
          <cell r="AO122" t="str">
            <v>1C8M</v>
          </cell>
          <cell r="AP122" t="str">
            <v>0600B</v>
          </cell>
          <cell r="AQ122" t="str">
            <v>TRIM</v>
          </cell>
          <cell r="AR122" t="str">
            <v>-</v>
          </cell>
          <cell r="AS122" t="str">
            <v>-</v>
          </cell>
          <cell r="AT122" t="str">
            <v>60/40</v>
          </cell>
          <cell r="AU122" t="str">
            <v>COP</v>
          </cell>
          <cell r="AV122" t="str">
            <v>60/40</v>
          </cell>
          <cell r="AW122" t="str">
            <v>T</v>
          </cell>
          <cell r="AX122" t="str">
            <v>P</v>
          </cell>
          <cell r="AY122" t="str">
            <v>-</v>
          </cell>
          <cell r="AZ122" t="str">
            <v>-</v>
          </cell>
          <cell r="BB122" t="str">
            <v>COVER-R/SEAT H/RST - BEZUG-HISITZ KOPFSTUE</v>
          </cell>
        </row>
        <row r="123">
          <cell r="A123">
            <v>121</v>
          </cell>
          <cell r="B123">
            <v>2</v>
          </cell>
          <cell r="C123" t="str">
            <v>1</v>
          </cell>
          <cell r="D123" t="str">
            <v>BOLT/SCREW-R/SEAT BK CUSH CTR PIV SUPT - SCHRAUBE-HIRUECK MIT DRHPKT STUE</v>
          </cell>
          <cell r="L123" t="str">
            <v>M8 x 1.5 T40 (Hingezusammenbau)</v>
          </cell>
          <cell r="M123" t="str">
            <v>287452</v>
          </cell>
          <cell r="N123" t="str">
            <v>000</v>
          </cell>
          <cell r="O123" t="str">
            <v>90286449</v>
          </cell>
          <cell r="P123" t="str">
            <v>15032002</v>
          </cell>
          <cell r="Q123">
            <v>4</v>
          </cell>
          <cell r="R123">
            <v>1</v>
          </cell>
          <cell r="S123">
            <v>9</v>
          </cell>
          <cell r="T123" t="str">
            <v>YES</v>
          </cell>
          <cell r="U123">
            <v>0</v>
          </cell>
          <cell r="V123" t="str">
            <v>-</v>
          </cell>
          <cell r="W123" t="str">
            <v>301326</v>
          </cell>
          <cell r="X123" t="str">
            <v>000</v>
          </cell>
          <cell r="Y123" t="str">
            <v>13117431</v>
          </cell>
          <cell r="Z123" t="str">
            <v>NO-DWG</v>
          </cell>
          <cell r="AA123" t="str">
            <v>OPEL-T-PROJEKTE</v>
          </cell>
          <cell r="AB123" t="str">
            <v>R</v>
          </cell>
          <cell r="AD123">
            <v>120694</v>
          </cell>
          <cell r="AE123">
            <v>37492</v>
          </cell>
          <cell r="AF123">
            <v>0.01</v>
          </cell>
          <cell r="AG123" t="str">
            <v>GMW 25 M-ST-F-10.9</v>
          </cell>
          <cell r="AL123" t="str">
            <v xml:space="preserve"> </v>
          </cell>
          <cell r="AO123" t="str">
            <v>1C8L</v>
          </cell>
          <cell r="AP123" t="str">
            <v>0186C</v>
          </cell>
          <cell r="AQ123">
            <v>13116918</v>
          </cell>
          <cell r="AR123" t="str">
            <v>-</v>
          </cell>
          <cell r="AS123" t="str">
            <v>JC</v>
          </cell>
          <cell r="AT123" t="str">
            <v>60/40</v>
          </cell>
          <cell r="AU123" t="str">
            <v>DIN</v>
          </cell>
          <cell r="AW123" t="str">
            <v>M</v>
          </cell>
          <cell r="AX123" t="str">
            <v>P</v>
          </cell>
          <cell r="AY123" t="str">
            <v>-</v>
          </cell>
          <cell r="AZ123" t="str">
            <v>-</v>
          </cell>
          <cell r="BB123" t="str">
            <v>BOLT/SCREW-R/SEAT BK CUSH CTR PIV SUPT - SCHRAUBE-HIRUECK MIT DRHPKT STUE</v>
          </cell>
        </row>
        <row r="124">
          <cell r="A124">
            <v>122</v>
          </cell>
          <cell r="B124" t="str">
            <v>1</v>
          </cell>
          <cell r="C124" t="str">
            <v>CUSHION ASM-R/SEAT - POLSTER Z-HISITZ</v>
          </cell>
          <cell r="L124" t="str">
            <v>100% - Einschäumer</v>
          </cell>
          <cell r="M124" t="str">
            <v>298660</v>
          </cell>
          <cell r="N124" t="str">
            <v>A</v>
          </cell>
          <cell r="O124" t="str">
            <v>ACA52403</v>
          </cell>
          <cell r="Q124">
            <v>1</v>
          </cell>
          <cell r="R124">
            <v>1</v>
          </cell>
          <cell r="S124">
            <v>9</v>
          </cell>
          <cell r="T124" t="str">
            <v>NO</v>
          </cell>
          <cell r="U124" t="str">
            <v>-</v>
          </cell>
          <cell r="V124" t="str">
            <v>-</v>
          </cell>
          <cell r="X124" t="str">
            <v>A</v>
          </cell>
          <cell r="AA124" t="str">
            <v>GM_A3300</v>
          </cell>
          <cell r="AB124" t="str">
            <v>R</v>
          </cell>
          <cell r="AD124">
            <v>115525</v>
          </cell>
          <cell r="AE124">
            <v>37266</v>
          </cell>
          <cell r="AF124">
            <v>5.1959999999999997</v>
          </cell>
          <cell r="AG124" t="str">
            <v>N/A</v>
          </cell>
          <cell r="AH124"/>
          <cell r="AJ124"/>
          <cell r="AK124"/>
          <cell r="AL124" t="str">
            <v>-</v>
          </cell>
          <cell r="AO124" t="str">
            <v>1C8J</v>
          </cell>
          <cell r="AP124" t="str">
            <v>0100A</v>
          </cell>
          <cell r="AQ124">
            <v>13116913</v>
          </cell>
          <cell r="AR124" t="str">
            <v>-</v>
          </cell>
          <cell r="AS124" t="str">
            <v>-</v>
          </cell>
          <cell r="AT124" t="str">
            <v>60/40</v>
          </cell>
          <cell r="AU124" t="str">
            <v>COP</v>
          </cell>
          <cell r="AV124" t="str">
            <v>60/40</v>
          </cell>
          <cell r="AW124" t="str">
            <v>-</v>
          </cell>
          <cell r="AX124" t="str">
            <v>A</v>
          </cell>
          <cell r="BA124" t="str">
            <v>Oder 291450 ?</v>
          </cell>
          <cell r="BB124" t="str">
            <v>CUSHION ASM-R/SEAT - POLSTER Z-HISITZ</v>
          </cell>
        </row>
        <row r="125">
          <cell r="A125">
            <v>123</v>
          </cell>
          <cell r="B125" t="str">
            <v>2</v>
          </cell>
          <cell r="D125" t="str">
            <v>PAD ASM-R/SEAT CUSH - AUFLAGE Z-HISITZ POLST</v>
          </cell>
          <cell r="L125" t="str">
            <v>Schaum mit Draht 100%</v>
          </cell>
          <cell r="M125" t="str">
            <v>291535</v>
          </cell>
          <cell r="N125" t="str">
            <v>B</v>
          </cell>
          <cell r="O125" t="str">
            <v>13116912</v>
          </cell>
          <cell r="Q125">
            <v>1</v>
          </cell>
          <cell r="R125" t="str">
            <v>1</v>
          </cell>
          <cell r="S125">
            <v>9</v>
          </cell>
          <cell r="T125" t="str">
            <v>NO</v>
          </cell>
          <cell r="U125" t="str">
            <v>-</v>
          </cell>
          <cell r="V125" t="str">
            <v>-</v>
          </cell>
          <cell r="W125" t="str">
            <v>291535</v>
          </cell>
          <cell r="X125" t="str">
            <v>B</v>
          </cell>
          <cell r="Y125" t="str">
            <v>ACA59587</v>
          </cell>
          <cell r="Z125" t="str">
            <v>NO-DWG</v>
          </cell>
          <cell r="AA125" t="str">
            <v>GM_A3300</v>
          </cell>
          <cell r="AB125" t="str">
            <v>R</v>
          </cell>
          <cell r="AD125">
            <v>114929</v>
          </cell>
          <cell r="AE125">
            <v>37284</v>
          </cell>
          <cell r="AF125">
            <v>4.3100000000000005</v>
          </cell>
          <cell r="AG125" t="str">
            <v>N/A</v>
          </cell>
          <cell r="AO125" t="str">
            <v>1C8J</v>
          </cell>
          <cell r="AP125" t="str">
            <v>0121A</v>
          </cell>
          <cell r="AQ125">
            <v>13116913</v>
          </cell>
          <cell r="AR125" t="str">
            <v>-</v>
          </cell>
          <cell r="AS125" t="str">
            <v>JC</v>
          </cell>
          <cell r="AT125" t="str">
            <v>60/40</v>
          </cell>
          <cell r="AU125" t="str">
            <v>COP</v>
          </cell>
          <cell r="AV125" t="str">
            <v>60/40</v>
          </cell>
          <cell r="AW125" t="str">
            <v>-</v>
          </cell>
          <cell r="AX125" t="str">
            <v>A</v>
          </cell>
          <cell r="AY125" t="str">
            <v>ACA59587</v>
          </cell>
          <cell r="BB125" t="str">
            <v>PAD ASM-R/SEAT CUSH - AUFLAGE Z-HISITZ POLST</v>
          </cell>
        </row>
        <row r="126">
          <cell r="A126">
            <v>124</v>
          </cell>
          <cell r="B126" t="str">
            <v>3</v>
          </cell>
          <cell r="E126" t="str">
            <v>PAD ASM-R/SEAT CUSH - AUFLAGE Z-HISITZ POLST</v>
          </cell>
          <cell r="L126" t="str">
            <v>Schaum mit Draht</v>
          </cell>
          <cell r="M126" t="str">
            <v>297196</v>
          </cell>
          <cell r="N126" t="str">
            <v>A</v>
          </cell>
          <cell r="O126" t="str">
            <v>ACB65534</v>
          </cell>
          <cell r="Q126">
            <v>1</v>
          </cell>
          <cell r="R126" t="str">
            <v>1</v>
          </cell>
          <cell r="S126">
            <v>9</v>
          </cell>
          <cell r="T126" t="str">
            <v>NO</v>
          </cell>
          <cell r="U126" t="str">
            <v>-</v>
          </cell>
          <cell r="V126" t="str">
            <v>-</v>
          </cell>
          <cell r="W126" t="str">
            <v>291535</v>
          </cell>
          <cell r="X126" t="str">
            <v>A</v>
          </cell>
          <cell r="Y126" t="str">
            <v>ACA59587</v>
          </cell>
          <cell r="AA126" t="str">
            <v>GM_A3300</v>
          </cell>
          <cell r="AB126" t="str">
            <v>R</v>
          </cell>
          <cell r="AD126">
            <v>114929</v>
          </cell>
          <cell r="AE126">
            <v>37284</v>
          </cell>
          <cell r="AF126">
            <v>2.58</v>
          </cell>
          <cell r="AG126" t="str">
            <v>TM 602500</v>
          </cell>
          <cell r="AL126" t="str">
            <v>-</v>
          </cell>
          <cell r="AO126" t="str">
            <v>1C8J</v>
          </cell>
          <cell r="AP126" t="str">
            <v>0121A</v>
          </cell>
          <cell r="AQ126">
            <v>13116913</v>
          </cell>
          <cell r="AR126" t="str">
            <v>-</v>
          </cell>
          <cell r="AS126" t="str">
            <v>-</v>
          </cell>
          <cell r="AT126" t="str">
            <v>60/40</v>
          </cell>
          <cell r="AU126" t="str">
            <v>COP</v>
          </cell>
          <cell r="AV126" t="str">
            <v>60/40</v>
          </cell>
          <cell r="AW126" t="str">
            <v>S</v>
          </cell>
          <cell r="AX126" t="str">
            <v>P</v>
          </cell>
          <cell r="BB126" t="str">
            <v>PAD ASM-R/SEAT CUSH - AUFLAGE Z-HISITZ POLST</v>
          </cell>
        </row>
        <row r="127">
          <cell r="A127">
            <v>125</v>
          </cell>
          <cell r="B127" t="str">
            <v>3</v>
          </cell>
          <cell r="E127" t="str">
            <v>FRAME ASM-R/SEAT CUSH - RAHMEN Z-HISITZ POLST</v>
          </cell>
          <cell r="L127" t="str">
            <v>Draht</v>
          </cell>
          <cell r="M127" t="str">
            <v>291521</v>
          </cell>
          <cell r="N127" t="str">
            <v>B</v>
          </cell>
          <cell r="O127" t="str">
            <v>ACA59742</v>
          </cell>
          <cell r="Q127">
            <v>1</v>
          </cell>
          <cell r="R127">
            <v>1</v>
          </cell>
          <cell r="S127">
            <v>9</v>
          </cell>
          <cell r="T127" t="str">
            <v>NO</v>
          </cell>
          <cell r="U127" t="str">
            <v>-</v>
          </cell>
          <cell r="V127" t="str">
            <v>-</v>
          </cell>
          <cell r="W127" t="str">
            <v>291521</v>
          </cell>
          <cell r="X127" t="str">
            <v>B</v>
          </cell>
          <cell r="Y127" t="str">
            <v>ACA59742</v>
          </cell>
          <cell r="AA127" t="str">
            <v>GM_A3300</v>
          </cell>
          <cell r="AB127" t="str">
            <v>R</v>
          </cell>
          <cell r="AF127">
            <v>1.73</v>
          </cell>
          <cell r="AG127" t="str">
            <v>QS 1070 DO</v>
          </cell>
          <cell r="AH127"/>
          <cell r="AJ127"/>
          <cell r="AK127"/>
          <cell r="AO127" t="str">
            <v>1C8J</v>
          </cell>
          <cell r="AP127" t="str">
            <v>0110A</v>
          </cell>
          <cell r="AQ127">
            <v>13116913</v>
          </cell>
          <cell r="AR127" t="str">
            <v>-</v>
          </cell>
          <cell r="AS127" t="str">
            <v>-</v>
          </cell>
          <cell r="AT127" t="str">
            <v>60/40</v>
          </cell>
          <cell r="AU127" t="str">
            <v>COP</v>
          </cell>
          <cell r="AV127" t="str">
            <v>60/40</v>
          </cell>
          <cell r="AW127" t="str">
            <v>M</v>
          </cell>
          <cell r="AX127" t="str">
            <v>P</v>
          </cell>
          <cell r="BB127" t="str">
            <v>FRAME ASM-R/SEAT CUSH - RAHMEN Z-HISITZ POLST</v>
          </cell>
        </row>
        <row r="128">
          <cell r="A128">
            <v>126</v>
          </cell>
          <cell r="B128" t="str">
            <v>2</v>
          </cell>
          <cell r="D128" t="str">
            <v>COVER ASM-R/SEAT BK CUSH - BEZUG Z-HISITZ POLST</v>
          </cell>
          <cell r="L128" t="str">
            <v>Bezug</v>
          </cell>
          <cell r="M128" t="str">
            <v>291452</v>
          </cell>
          <cell r="N128" t="str">
            <v>A</v>
          </cell>
          <cell r="O128" t="str">
            <v>ACA48930</v>
          </cell>
          <cell r="Q128">
            <v>1</v>
          </cell>
          <cell r="R128">
            <v>1</v>
          </cell>
          <cell r="S128">
            <v>9</v>
          </cell>
          <cell r="T128" t="str">
            <v>NO</v>
          </cell>
          <cell r="U128" t="str">
            <v>-</v>
          </cell>
          <cell r="V128" t="str">
            <v>-</v>
          </cell>
          <cell r="W128" t="str">
            <v>291452</v>
          </cell>
          <cell r="X128" t="str">
            <v>A</v>
          </cell>
          <cell r="AA128" t="str">
            <v>GM_A3300</v>
          </cell>
          <cell r="AB128" t="str">
            <v>R</v>
          </cell>
          <cell r="AD128" t="str">
            <v>-</v>
          </cell>
          <cell r="AF128">
            <v>0.8</v>
          </cell>
          <cell r="AG128" t="str">
            <v>N/A</v>
          </cell>
          <cell r="AH128"/>
          <cell r="AJ128"/>
          <cell r="AK128"/>
          <cell r="AO128" t="str">
            <v>1C8M</v>
          </cell>
          <cell r="AP128" t="str">
            <v>0050A</v>
          </cell>
          <cell r="AQ128">
            <v>13116913</v>
          </cell>
          <cell r="AR128" t="str">
            <v>-</v>
          </cell>
          <cell r="AS128" t="str">
            <v>-</v>
          </cell>
          <cell r="AT128" t="str">
            <v>60/40</v>
          </cell>
          <cell r="AU128" t="str">
            <v>COP</v>
          </cell>
          <cell r="AV128" t="str">
            <v>60/40</v>
          </cell>
          <cell r="AW128" t="str">
            <v>T</v>
          </cell>
          <cell r="AX128" t="str">
            <v>P</v>
          </cell>
          <cell r="BB128" t="str">
            <v>COVER ASM-R/SEAT BK CUSH - BEZUG Z-HISITZ POLST</v>
          </cell>
        </row>
        <row r="129">
          <cell r="A129">
            <v>127</v>
          </cell>
          <cell r="B129">
            <v>2</v>
          </cell>
          <cell r="D129" t="str">
            <v>RING-R/SEAT BK CUSH CVR HOG - RINGKLAMMER-HIRUECK BEZUG</v>
          </cell>
          <cell r="L129" t="str">
            <v>Ringklammer</v>
          </cell>
          <cell r="M129" t="str">
            <v>134904</v>
          </cell>
          <cell r="N129" t="str">
            <v>A</v>
          </cell>
          <cell r="O129" t="str">
            <v>6616858</v>
          </cell>
          <cell r="Q129">
            <v>36</v>
          </cell>
          <cell r="R129">
            <v>1</v>
          </cell>
          <cell r="S129">
            <v>9</v>
          </cell>
          <cell r="T129" t="str">
            <v>YES</v>
          </cell>
          <cell r="U129">
            <v>0</v>
          </cell>
          <cell r="V129" t="str">
            <v>-</v>
          </cell>
          <cell r="W129" t="str">
            <v>134913</v>
          </cell>
          <cell r="X129" t="str">
            <v>A</v>
          </cell>
          <cell r="Y129" t="str">
            <v>6699181</v>
          </cell>
          <cell r="Z129" t="str">
            <v>NO-DWG</v>
          </cell>
          <cell r="AA129" t="str">
            <v>GM_LIGHTW_SEAT</v>
          </cell>
          <cell r="AB129" t="str">
            <v>R</v>
          </cell>
          <cell r="AD129">
            <v>117598</v>
          </cell>
          <cell r="AE129">
            <v>37358</v>
          </cell>
          <cell r="AF129">
            <v>1E-3</v>
          </cell>
          <cell r="AG129" t="str">
            <v>QS 1010 DK GMW F-102</v>
          </cell>
          <cell r="AO129" t="str">
            <v>1C8M</v>
          </cell>
          <cell r="AP129" t="str">
            <v>0300G</v>
          </cell>
          <cell r="AQ129">
            <v>13116913</v>
          </cell>
          <cell r="AR129" t="str">
            <v>-</v>
          </cell>
          <cell r="AS129" t="str">
            <v>-</v>
          </cell>
          <cell r="AT129" t="str">
            <v>60/40</v>
          </cell>
          <cell r="AU129" t="str">
            <v>COP</v>
          </cell>
          <cell r="AV129" t="str">
            <v>GM_LIGHTW_SEAT</v>
          </cell>
          <cell r="AW129" t="str">
            <v>M</v>
          </cell>
          <cell r="AX129" t="str">
            <v>P</v>
          </cell>
          <cell r="BA129" t="str">
            <v>wird ausgetauscht</v>
          </cell>
          <cell r="BB129" t="str">
            <v>RING-R/SEAT BK CUSH CVR HOG - RINGKLAMMER-HIRUECK BEZUG</v>
          </cell>
        </row>
        <row r="130">
          <cell r="A130">
            <v>128</v>
          </cell>
          <cell r="B130">
            <v>1</v>
          </cell>
          <cell r="C130" t="str">
            <v>SUPPORT-R/SEAT BK CUSH PIV - STUETZE-HIRUECK DRHPKT</v>
          </cell>
          <cell r="L130" t="str">
            <v>Lager-Scharnier (Aussen)</v>
          </cell>
          <cell r="M130" t="str">
            <v>294883</v>
          </cell>
          <cell r="N130" t="str">
            <v>C</v>
          </cell>
          <cell r="O130" t="str">
            <v>13119144</v>
          </cell>
          <cell r="Q130">
            <v>1</v>
          </cell>
          <cell r="R130">
            <v>1</v>
          </cell>
          <cell r="S130">
            <v>9</v>
          </cell>
          <cell r="T130" t="str">
            <v>NO</v>
          </cell>
          <cell r="V130">
            <v>422</v>
          </cell>
          <cell r="W130" t="str">
            <v>313827</v>
          </cell>
          <cell r="X130" t="str">
            <v>C</v>
          </cell>
          <cell r="Y130" t="str">
            <v>13119142</v>
          </cell>
          <cell r="Z130" t="str">
            <v>NO-DWG</v>
          </cell>
          <cell r="AA130" t="str">
            <v>GM_A3300</v>
          </cell>
          <cell r="AB130" t="str">
            <v>R</v>
          </cell>
          <cell r="AD130">
            <v>119562</v>
          </cell>
          <cell r="AF130">
            <v>0.11600000000000001</v>
          </cell>
          <cell r="AG130" t="str">
            <v>QS 1010 ZN 2/2x1.5</v>
          </cell>
          <cell r="AL130" t="str">
            <v>-</v>
          </cell>
          <cell r="AO130" t="str">
            <v>1C8L</v>
          </cell>
          <cell r="AP130" t="str">
            <v>0185B</v>
          </cell>
          <cell r="AQ130" t="str">
            <v>-</v>
          </cell>
          <cell r="AR130" t="str">
            <v>RH</v>
          </cell>
          <cell r="AS130" t="str">
            <v>PEK</v>
          </cell>
          <cell r="AT130" t="str">
            <v>60/40</v>
          </cell>
          <cell r="AU130" t="str">
            <v>COP</v>
          </cell>
          <cell r="AV130" t="str">
            <v>60/40</v>
          </cell>
          <cell r="AW130" t="str">
            <v>M</v>
          </cell>
          <cell r="AX130" t="str">
            <v>P</v>
          </cell>
          <cell r="BB130" t="str">
            <v>SUPPORT-R/SEAT BK CUSH PIV - STUETZE-HIRUECK DRHPKT</v>
          </cell>
        </row>
        <row r="131">
          <cell r="A131">
            <v>129</v>
          </cell>
          <cell r="B131">
            <v>1</v>
          </cell>
          <cell r="C131" t="str">
            <v>SUPPORT-R/SEAT BK CUSH PIV - STUETZE-HIRUECK DRHPKT</v>
          </cell>
          <cell r="L131" t="str">
            <v>Lager-Scharnier (Aussen)</v>
          </cell>
          <cell r="M131" t="str">
            <v>294882</v>
          </cell>
          <cell r="N131" t="str">
            <v>C</v>
          </cell>
          <cell r="O131" t="str">
            <v>13119143</v>
          </cell>
          <cell r="Q131">
            <v>1</v>
          </cell>
          <cell r="R131">
            <v>1</v>
          </cell>
          <cell r="S131">
            <v>9</v>
          </cell>
          <cell r="T131" t="str">
            <v>NO</v>
          </cell>
          <cell r="V131">
            <v>422</v>
          </cell>
          <cell r="W131" t="str">
            <v>313827</v>
          </cell>
          <cell r="X131" t="str">
            <v>C</v>
          </cell>
          <cell r="Y131" t="str">
            <v>13119142</v>
          </cell>
          <cell r="Z131" t="str">
            <v>NO-DWG</v>
          </cell>
          <cell r="AA131" t="str">
            <v>GM_A3300</v>
          </cell>
          <cell r="AB131" t="str">
            <v>R</v>
          </cell>
          <cell r="AD131">
            <v>119562</v>
          </cell>
          <cell r="AF131">
            <v>0.11600000000000001</v>
          </cell>
          <cell r="AG131" t="str">
            <v>QS 1010 ZN 2/2x1.5</v>
          </cell>
          <cell r="AL131" t="str">
            <v>-</v>
          </cell>
          <cell r="AO131" t="str">
            <v>1C8L</v>
          </cell>
          <cell r="AP131" t="str">
            <v>0185B</v>
          </cell>
          <cell r="AQ131" t="str">
            <v>-</v>
          </cell>
          <cell r="AR131" t="str">
            <v>LH</v>
          </cell>
          <cell r="AS131" t="str">
            <v>PEK</v>
          </cell>
          <cell r="AT131" t="str">
            <v>60/40</v>
          </cell>
          <cell r="AU131" t="str">
            <v>COP</v>
          </cell>
          <cell r="AV131" t="str">
            <v>60/40</v>
          </cell>
          <cell r="AW131" t="str">
            <v>M</v>
          </cell>
          <cell r="AX131" t="str">
            <v>P</v>
          </cell>
          <cell r="BB131" t="str">
            <v>SUPPORT-R/SEAT BK CUSH PIV - STUETZE-HIRUECK DRHPKT</v>
          </cell>
        </row>
        <row r="132">
          <cell r="A132">
            <v>130</v>
          </cell>
          <cell r="B132" t="str">
            <v>1</v>
          </cell>
          <cell r="C132" t="str">
            <v>BRACKET-R/SEAT SUPT OTR - HALTER-HISITZ STUE AU</v>
          </cell>
          <cell r="L132" t="str">
            <v>Fanghaken</v>
          </cell>
          <cell r="M132" t="str">
            <v>291093</v>
          </cell>
          <cell r="N132" t="str">
            <v>C</v>
          </cell>
          <cell r="O132" t="str">
            <v>13119148</v>
          </cell>
          <cell r="Q132">
            <v>2</v>
          </cell>
          <cell r="R132">
            <v>1</v>
          </cell>
          <cell r="S132">
            <v>9</v>
          </cell>
          <cell r="T132" t="str">
            <v>NO</v>
          </cell>
          <cell r="V132">
            <v>422</v>
          </cell>
          <cell r="W132" t="str">
            <v>291093</v>
          </cell>
          <cell r="X132" t="str">
            <v>C</v>
          </cell>
          <cell r="Y132" t="str">
            <v>13119148</v>
          </cell>
          <cell r="Z132" t="str">
            <v>NO-DWG</v>
          </cell>
          <cell r="AA132" t="str">
            <v>GM_A3300</v>
          </cell>
          <cell r="AB132" t="str">
            <v>R</v>
          </cell>
          <cell r="AD132">
            <v>119562</v>
          </cell>
          <cell r="AF132">
            <v>0.05</v>
          </cell>
          <cell r="AG132" t="str">
            <v>QSTE 340-2.5</v>
          </cell>
          <cell r="AL132" t="str">
            <v>-</v>
          </cell>
          <cell r="AO132" t="str">
            <v>1C8L</v>
          </cell>
          <cell r="AP132" t="str">
            <v>8215B</v>
          </cell>
          <cell r="AQ132" t="str">
            <v>-</v>
          </cell>
          <cell r="AR132" t="str">
            <v>-</v>
          </cell>
          <cell r="AS132" t="str">
            <v>PEK</v>
          </cell>
          <cell r="AT132" t="str">
            <v>60/40</v>
          </cell>
          <cell r="AU132" t="str">
            <v>COP</v>
          </cell>
          <cell r="AV132" t="str">
            <v>60/40</v>
          </cell>
          <cell r="AW132" t="str">
            <v>M</v>
          </cell>
          <cell r="AX132" t="str">
            <v>P</v>
          </cell>
          <cell r="BB132" t="str">
            <v>BRACKET-R/SEAT SUPT OTR - HALTER-HISITZ STUE AU</v>
          </cell>
        </row>
        <row r="133">
          <cell r="A133">
            <v>131</v>
          </cell>
          <cell r="B133">
            <v>1</v>
          </cell>
          <cell r="C133" t="str">
            <v>STRIKER ASM-R/SEAT BK CUSH LAT - SCHLIESSBUEGEL Z-HIRUECK VERRIEG</v>
          </cell>
          <cell r="L133" t="str">
            <v>Halter-Hinterrücken</v>
          </cell>
          <cell r="M133" t="str">
            <v>293226</v>
          </cell>
          <cell r="N133" t="str">
            <v>D</v>
          </cell>
          <cell r="O133" t="str">
            <v>13119135</v>
          </cell>
          <cell r="Q133">
            <v>1</v>
          </cell>
          <cell r="R133">
            <v>1</v>
          </cell>
          <cell r="S133">
            <v>9</v>
          </cell>
          <cell r="T133" t="str">
            <v>NO</v>
          </cell>
          <cell r="V133">
            <v>422</v>
          </cell>
          <cell r="W133" t="str">
            <v>291646</v>
          </cell>
          <cell r="X133" t="str">
            <v>D</v>
          </cell>
          <cell r="Y133" t="str">
            <v>13119134</v>
          </cell>
          <cell r="Z133" t="str">
            <v>NO-DWG</v>
          </cell>
          <cell r="AA133" t="str">
            <v>GM_A3300</v>
          </cell>
          <cell r="AB133" t="str">
            <v>R</v>
          </cell>
          <cell r="AD133">
            <v>123087</v>
          </cell>
          <cell r="AF133">
            <v>0.64</v>
          </cell>
          <cell r="AG133" t="str">
            <v>N/A</v>
          </cell>
          <cell r="AL133" t="str">
            <v>-</v>
          </cell>
          <cell r="AO133" t="str">
            <v>1C8L</v>
          </cell>
          <cell r="AP133" t="str">
            <v>0210A</v>
          </cell>
          <cell r="AQ133" t="str">
            <v>-</v>
          </cell>
          <cell r="AR133" t="str">
            <v>LH</v>
          </cell>
          <cell r="AS133" t="str">
            <v>PEK</v>
          </cell>
          <cell r="AT133" t="str">
            <v>60/40</v>
          </cell>
          <cell r="AU133" t="str">
            <v>COP</v>
          </cell>
          <cell r="AV133" t="str">
            <v>60/40</v>
          </cell>
          <cell r="AW133" t="str">
            <v>-</v>
          </cell>
          <cell r="AX133" t="str">
            <v>A</v>
          </cell>
          <cell r="BB133" t="str">
            <v>STRIKER ASM-R/SEAT BK CUSH LAT - SCHLIESSBUEGEL Z-HIRUECK VERRIEG</v>
          </cell>
        </row>
        <row r="134">
          <cell r="A134">
            <v>132</v>
          </cell>
          <cell r="B134">
            <v>2</v>
          </cell>
          <cell r="D134" t="str">
            <v>BRACKET-R/SEAT BK CUSH LAT STKR - HALTER-HIRUECK VERRIEG SCHLIESSBGL</v>
          </cell>
          <cell r="L134" t="str">
            <v>Halter</v>
          </cell>
          <cell r="M134" t="str">
            <v>291655</v>
          </cell>
          <cell r="N134" t="str">
            <v>D</v>
          </cell>
          <cell r="O134" t="str">
            <v>13119137</v>
          </cell>
          <cell r="Q134">
            <v>1</v>
          </cell>
          <cell r="R134">
            <v>1</v>
          </cell>
          <cell r="S134">
            <v>9</v>
          </cell>
          <cell r="T134" t="str">
            <v>NO</v>
          </cell>
          <cell r="V134">
            <v>422</v>
          </cell>
          <cell r="W134" t="str">
            <v>291646</v>
          </cell>
          <cell r="X134" t="str">
            <v>D</v>
          </cell>
          <cell r="Y134" t="str">
            <v>13119134</v>
          </cell>
          <cell r="Z134" t="str">
            <v>NO-DWG</v>
          </cell>
          <cell r="AA134" t="str">
            <v>GM_A3300</v>
          </cell>
          <cell r="AB134" t="str">
            <v>R</v>
          </cell>
          <cell r="AD134">
            <v>123087</v>
          </cell>
          <cell r="AF134">
            <v>0.56000000000000005</v>
          </cell>
          <cell r="AG134" t="str">
            <v>QS 1010 Z0</v>
          </cell>
          <cell r="AO134" t="str">
            <v>1C8L</v>
          </cell>
          <cell r="AP134" t="str">
            <v>0210U</v>
          </cell>
          <cell r="AQ134" t="str">
            <v>-</v>
          </cell>
          <cell r="AR134" t="str">
            <v>LH</v>
          </cell>
          <cell r="AS134" t="str">
            <v>-</v>
          </cell>
          <cell r="AT134" t="str">
            <v>60/40</v>
          </cell>
          <cell r="AU134" t="str">
            <v>COP</v>
          </cell>
          <cell r="AV134" t="str">
            <v>60/40</v>
          </cell>
          <cell r="AW134" t="str">
            <v>M</v>
          </cell>
          <cell r="AX134" t="str">
            <v>P</v>
          </cell>
          <cell r="BB134" t="str">
            <v>BRACKET-R/SEAT BK CUSH LAT STKR - HALTER-HIRUECK VERRIEG SCHLIESSBGL</v>
          </cell>
        </row>
        <row r="135">
          <cell r="A135">
            <v>133</v>
          </cell>
          <cell r="B135">
            <v>2</v>
          </cell>
          <cell r="D135" t="str">
            <v>STRIKER-R/SEAT BK CUSH LAT - SCHLIESSBUEGEL-HIRUECK VERRIEG</v>
          </cell>
          <cell r="L135" t="str">
            <v>Schliessbügel</v>
          </cell>
          <cell r="M135" t="str">
            <v>291660</v>
          </cell>
          <cell r="N135" t="str">
            <v>C</v>
          </cell>
          <cell r="O135" t="str">
            <v>13119140</v>
          </cell>
          <cell r="Q135">
            <v>1</v>
          </cell>
          <cell r="R135">
            <v>1</v>
          </cell>
          <cell r="S135">
            <v>9</v>
          </cell>
          <cell r="T135" t="str">
            <v>NO</v>
          </cell>
          <cell r="V135">
            <v>422</v>
          </cell>
          <cell r="W135" t="str">
            <v>291639</v>
          </cell>
          <cell r="X135" t="str">
            <v>C</v>
          </cell>
          <cell r="Y135" t="str">
            <v>13119139</v>
          </cell>
          <cell r="Z135" t="str">
            <v>NO-DWG</v>
          </cell>
          <cell r="AA135" t="str">
            <v>GM_A3300</v>
          </cell>
          <cell r="AB135" t="str">
            <v>R</v>
          </cell>
          <cell r="AD135">
            <v>123087</v>
          </cell>
          <cell r="AE135">
            <v>37364</v>
          </cell>
          <cell r="AF135">
            <v>0.08</v>
          </cell>
          <cell r="AG135" t="str">
            <v>QS 1010 OK-D6</v>
          </cell>
          <cell r="AO135" t="str">
            <v>1C8L</v>
          </cell>
          <cell r="AP135" t="str">
            <v>0210B</v>
          </cell>
          <cell r="AQ135" t="str">
            <v>-</v>
          </cell>
          <cell r="AR135" t="str">
            <v>LH</v>
          </cell>
          <cell r="AS135" t="str">
            <v>-</v>
          </cell>
          <cell r="AT135" t="str">
            <v>60/40</v>
          </cell>
          <cell r="AU135" t="str">
            <v>COP</v>
          </cell>
          <cell r="AV135" t="str">
            <v>60/40</v>
          </cell>
          <cell r="AW135" t="str">
            <v>M</v>
          </cell>
          <cell r="AX135" t="str">
            <v>P</v>
          </cell>
          <cell r="BA135" t="str">
            <v>wird evtl. von 6 auf 10 mm geändert.</v>
          </cell>
          <cell r="BB135" t="str">
            <v>STRIKER-R/SEAT BK CUSH LAT - SCHLIESSBUEGEL-HIRUECK VERRIEG</v>
          </cell>
        </row>
        <row r="136">
          <cell r="A136">
            <v>134</v>
          </cell>
          <cell r="B136">
            <v>1</v>
          </cell>
          <cell r="C136" t="str">
            <v>STRIKER ASM-R/SEAT BK CUSH LAT - SCHLIESSBUEGEL Z-HIRUECK VERRIEG</v>
          </cell>
          <cell r="L136" t="str">
            <v>Halter-Hinterrücken</v>
          </cell>
          <cell r="M136" t="str">
            <v>293227</v>
          </cell>
          <cell r="N136" t="str">
            <v>D</v>
          </cell>
          <cell r="O136" t="str">
            <v>13119136</v>
          </cell>
          <cell r="Q136">
            <v>1</v>
          </cell>
          <cell r="R136">
            <v>1</v>
          </cell>
          <cell r="S136">
            <v>9</v>
          </cell>
          <cell r="T136" t="str">
            <v>NO</v>
          </cell>
          <cell r="V136">
            <v>422</v>
          </cell>
          <cell r="W136" t="str">
            <v>291646</v>
          </cell>
          <cell r="X136" t="str">
            <v>D</v>
          </cell>
          <cell r="Y136" t="str">
            <v>13119134</v>
          </cell>
          <cell r="Z136" t="str">
            <v>NO-DWG</v>
          </cell>
          <cell r="AA136" t="str">
            <v>GM_A3300</v>
          </cell>
          <cell r="AB136" t="str">
            <v>R</v>
          </cell>
          <cell r="AD136">
            <v>123087</v>
          </cell>
          <cell r="AF136">
            <v>0.85</v>
          </cell>
          <cell r="AG136" t="str">
            <v>N/A</v>
          </cell>
          <cell r="AL136" t="str">
            <v>-</v>
          </cell>
          <cell r="AO136" t="str">
            <v>1C8L</v>
          </cell>
          <cell r="AP136" t="str">
            <v>0210A</v>
          </cell>
          <cell r="AQ136" t="str">
            <v>-</v>
          </cell>
          <cell r="AR136" t="str">
            <v>RH</v>
          </cell>
          <cell r="AS136" t="str">
            <v>PEK</v>
          </cell>
          <cell r="AT136" t="str">
            <v>60/40</v>
          </cell>
          <cell r="AU136" t="str">
            <v>COP</v>
          </cell>
          <cell r="AV136" t="str">
            <v>60/40</v>
          </cell>
          <cell r="AW136" t="str">
            <v>-</v>
          </cell>
          <cell r="AX136" t="str">
            <v>A</v>
          </cell>
          <cell r="BB136" t="str">
            <v>STRIKER ASM-R/SEAT BK CUSH LAT - SCHLIESSBUEGEL Z-HIRUECK VERRIEG</v>
          </cell>
        </row>
        <row r="137">
          <cell r="A137">
            <v>135</v>
          </cell>
          <cell r="B137">
            <v>2</v>
          </cell>
          <cell r="D137" t="str">
            <v>BRACKET-R/SEAT BK CUSH LAT STKR - HALTER-HIRUECK VERRIEG SCHLIESSBGL</v>
          </cell>
          <cell r="L137" t="str">
            <v>Halter</v>
          </cell>
          <cell r="M137" t="str">
            <v>291656</v>
          </cell>
          <cell r="N137" t="str">
            <v>D</v>
          </cell>
          <cell r="O137" t="str">
            <v>13119138</v>
          </cell>
          <cell r="Q137">
            <v>1</v>
          </cell>
          <cell r="R137">
            <v>1</v>
          </cell>
          <cell r="S137">
            <v>9</v>
          </cell>
          <cell r="T137" t="str">
            <v>NO</v>
          </cell>
          <cell r="V137">
            <v>422</v>
          </cell>
          <cell r="W137" t="str">
            <v>291646</v>
          </cell>
          <cell r="X137" t="str">
            <v>D</v>
          </cell>
          <cell r="Y137" t="str">
            <v>13119134</v>
          </cell>
          <cell r="Z137" t="str">
            <v>NO-DWG</v>
          </cell>
          <cell r="AA137" t="str">
            <v>GM_A3300</v>
          </cell>
          <cell r="AB137" t="str">
            <v>R</v>
          </cell>
          <cell r="AD137">
            <v>123087</v>
          </cell>
          <cell r="AF137">
            <v>0.77</v>
          </cell>
          <cell r="AG137" t="str">
            <v>QS 1010 Z0</v>
          </cell>
          <cell r="AO137" t="str">
            <v>1C8L</v>
          </cell>
          <cell r="AP137" t="str">
            <v>0210U</v>
          </cell>
          <cell r="AQ137" t="str">
            <v>-</v>
          </cell>
          <cell r="AR137" t="str">
            <v>RH</v>
          </cell>
          <cell r="AS137" t="str">
            <v>-</v>
          </cell>
          <cell r="AT137" t="str">
            <v>60/40</v>
          </cell>
          <cell r="AU137" t="str">
            <v>COP</v>
          </cell>
          <cell r="AV137" t="str">
            <v>60/40</v>
          </cell>
          <cell r="AW137" t="str">
            <v>M</v>
          </cell>
          <cell r="AX137" t="str">
            <v>P</v>
          </cell>
          <cell r="BB137" t="str">
            <v>BRACKET-R/SEAT BK CUSH LAT STKR - HALTER-HIRUECK VERRIEG SCHLIESSBGL</v>
          </cell>
        </row>
        <row r="138">
          <cell r="A138">
            <v>136</v>
          </cell>
          <cell r="B138">
            <v>2</v>
          </cell>
          <cell r="D138" t="str">
            <v>STRIKER-R/SEAT BK CUSH LAT - SCHLIESSBUEGEL-HIRUECK VERRIEG</v>
          </cell>
          <cell r="L138" t="str">
            <v>Schliessbügel</v>
          </cell>
          <cell r="M138" t="str">
            <v>291661</v>
          </cell>
          <cell r="N138" t="str">
            <v>C</v>
          </cell>
          <cell r="O138" t="str">
            <v>13119141</v>
          </cell>
          <cell r="Q138">
            <v>1</v>
          </cell>
          <cell r="R138">
            <v>1</v>
          </cell>
          <cell r="S138">
            <v>9</v>
          </cell>
          <cell r="T138" t="str">
            <v>NO</v>
          </cell>
          <cell r="V138">
            <v>422</v>
          </cell>
          <cell r="W138" t="str">
            <v>291639</v>
          </cell>
          <cell r="X138" t="str">
            <v>C</v>
          </cell>
          <cell r="Y138" t="str">
            <v>13119139</v>
          </cell>
          <cell r="Z138" t="str">
            <v>NO-DWG</v>
          </cell>
          <cell r="AA138" t="str">
            <v>GM_A3300</v>
          </cell>
          <cell r="AB138" t="str">
            <v>R</v>
          </cell>
          <cell r="AD138">
            <v>123087</v>
          </cell>
          <cell r="AE138">
            <v>37364</v>
          </cell>
          <cell r="AF138">
            <v>0.08</v>
          </cell>
          <cell r="AG138" t="str">
            <v>QS 1010 OK-D6</v>
          </cell>
          <cell r="AO138" t="str">
            <v>1C8L</v>
          </cell>
          <cell r="AP138" t="str">
            <v>0210B</v>
          </cell>
          <cell r="AQ138" t="str">
            <v>-</v>
          </cell>
          <cell r="AR138" t="str">
            <v>RH</v>
          </cell>
          <cell r="AS138" t="str">
            <v>-</v>
          </cell>
          <cell r="AT138" t="str">
            <v>60/40</v>
          </cell>
          <cell r="AU138" t="str">
            <v>COP</v>
          </cell>
          <cell r="AV138" t="str">
            <v>60/40</v>
          </cell>
          <cell r="AW138" t="str">
            <v>M</v>
          </cell>
          <cell r="AX138" t="str">
            <v>P</v>
          </cell>
          <cell r="BA138" t="str">
            <v>wird evtl. von 6 auf 10 mm geändert.</v>
          </cell>
          <cell r="BB138" t="str">
            <v>STRIKER-R/SEAT BK CUSH LAT - SCHLIESSBUEGEL-HIRUECK VERRIEG</v>
          </cell>
        </row>
        <row r="139">
          <cell r="A139">
            <v>137</v>
          </cell>
          <cell r="B139">
            <v>1</v>
          </cell>
          <cell r="C139" t="str">
            <v>PLATE-R/SEAT RR ANC - ANKERPLATTE-HISITZ HI</v>
          </cell>
          <cell r="L139" t="str">
            <v>Ankerplatte hinten</v>
          </cell>
          <cell r="M139" t="str">
            <v>297628</v>
          </cell>
          <cell r="N139" t="str">
            <v>000</v>
          </cell>
          <cell r="O139" t="str">
            <v>90562671</v>
          </cell>
          <cell r="P139" t="str">
            <v>06061997</v>
          </cell>
          <cell r="Q139">
            <v>2</v>
          </cell>
          <cell r="R139">
            <v>1</v>
          </cell>
          <cell r="S139">
            <v>9</v>
          </cell>
          <cell r="T139" t="str">
            <v>NO</v>
          </cell>
          <cell r="V139">
            <v>422</v>
          </cell>
          <cell r="W139" t="str">
            <v>297628</v>
          </cell>
          <cell r="X139" t="str">
            <v>000</v>
          </cell>
          <cell r="Y139" t="str">
            <v>90562671</v>
          </cell>
          <cell r="Z139" t="str">
            <v>06061997</v>
          </cell>
          <cell r="AA139" t="str">
            <v>GM_A3300</v>
          </cell>
          <cell r="AB139" t="str">
            <v>R</v>
          </cell>
          <cell r="AD139">
            <v>118850</v>
          </cell>
          <cell r="AE139">
            <v>37427</v>
          </cell>
          <cell r="AF139">
            <v>0.08</v>
          </cell>
          <cell r="AG139" t="str">
            <v>QS 1010 ZZ 2.0</v>
          </cell>
          <cell r="AL139" t="str">
            <v>-</v>
          </cell>
          <cell r="AO139" t="str">
            <v>1C8J</v>
          </cell>
          <cell r="AP139" t="str">
            <v>0060B</v>
          </cell>
          <cell r="AQ139" t="str">
            <v>-</v>
          </cell>
          <cell r="AR139" t="str">
            <v>-</v>
          </cell>
          <cell r="AS139" t="str">
            <v>PEK</v>
          </cell>
          <cell r="AT139" t="str">
            <v>60/40</v>
          </cell>
          <cell r="AU139" t="str">
            <v>COP</v>
          </cell>
          <cell r="AV139" t="str">
            <v>60/40</v>
          </cell>
          <cell r="AW139" t="str">
            <v>M</v>
          </cell>
          <cell r="AX139" t="str">
            <v>P</v>
          </cell>
          <cell r="BB139" t="str">
            <v>PLATE-R/SEAT RR ANC - ANKERPLATTE-HISITZ HI</v>
          </cell>
        </row>
        <row r="140">
          <cell r="A140">
            <v>138</v>
          </cell>
          <cell r="B140">
            <v>1</v>
          </cell>
          <cell r="C140" t="str">
            <v>PLATE-R/SEAT FRT ANC - ANKERPLATTE-HISITZ VO</v>
          </cell>
          <cell r="L140" t="str">
            <v>Ankerplatte vorne</v>
          </cell>
          <cell r="M140" t="str">
            <v>295605</v>
          </cell>
          <cell r="N140" t="str">
            <v>C</v>
          </cell>
          <cell r="O140" t="str">
            <v>13119145</v>
          </cell>
          <cell r="Q140">
            <v>2</v>
          </cell>
          <cell r="R140">
            <v>1</v>
          </cell>
          <cell r="S140">
            <v>9</v>
          </cell>
          <cell r="T140" t="str">
            <v>NO</v>
          </cell>
          <cell r="V140">
            <v>422</v>
          </cell>
          <cell r="W140" t="str">
            <v>295605</v>
          </cell>
          <cell r="X140" t="str">
            <v>C</v>
          </cell>
          <cell r="Y140" t="str">
            <v>13119145</v>
          </cell>
          <cell r="Z140" t="str">
            <v>NO-DWG</v>
          </cell>
          <cell r="AA140" t="str">
            <v>GM_A3300</v>
          </cell>
          <cell r="AB140" t="str">
            <v>R</v>
          </cell>
          <cell r="AD140">
            <v>123087</v>
          </cell>
          <cell r="AF140">
            <v>0.1</v>
          </cell>
          <cell r="AG140" t="str">
            <v>QS 1010 ZZ 2.0</v>
          </cell>
          <cell r="AL140" t="str">
            <v>-</v>
          </cell>
          <cell r="AO140" t="str">
            <v>1C8J</v>
          </cell>
          <cell r="AP140" t="str">
            <v>0051B</v>
          </cell>
          <cell r="AQ140" t="str">
            <v>-</v>
          </cell>
          <cell r="AR140" t="str">
            <v>-</v>
          </cell>
          <cell r="AS140" t="str">
            <v>PEK</v>
          </cell>
          <cell r="AT140" t="str">
            <v>60/40</v>
          </cell>
          <cell r="AU140" t="str">
            <v>COP</v>
          </cell>
          <cell r="AV140" t="str">
            <v>60/40</v>
          </cell>
          <cell r="AW140" t="str">
            <v>M</v>
          </cell>
          <cell r="AX140" t="str">
            <v>P</v>
          </cell>
          <cell r="BB140" t="str">
            <v>PLATE-R/SEAT FRT ANC - ANKERPLATTE-HISITZ VO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HOURS"/>
    </sheetNames>
    <sheetDataSet>
      <sheetData sheetId="0" refreshError="1">
        <row r="5">
          <cell r="A5">
            <v>11.02</v>
          </cell>
          <cell r="H5">
            <v>11.02</v>
          </cell>
        </row>
        <row r="7">
          <cell r="A7" t="str">
            <v>Description</v>
          </cell>
          <cell r="B7" t="str">
            <v>act hrs</v>
          </cell>
          <cell r="C7" t="str">
            <v>std hrs.</v>
          </cell>
          <cell r="D7" t="str">
            <v>Diff @ 85%</v>
          </cell>
          <cell r="E7" t="str">
            <v>Diff @ 100%</v>
          </cell>
          <cell r="F7" t="str">
            <v>Eff. %</v>
          </cell>
          <cell r="G7" t="str">
            <v>Lab Var.$</v>
          </cell>
          <cell r="H7">
            <v>11.02</v>
          </cell>
        </row>
        <row r="8">
          <cell r="A8" t="str">
            <v xml:space="preserve">C BR LHB 2MAP                 </v>
          </cell>
          <cell r="B8">
            <v>2015.6</v>
          </cell>
          <cell r="C8">
            <v>1484.57</v>
          </cell>
          <cell r="D8">
            <v>269.04705882352937</v>
          </cell>
          <cell r="E8">
            <v>531.03</v>
          </cell>
          <cell r="F8">
            <v>0.73653998809287557</v>
          </cell>
          <cell r="G8">
            <v>2964.8985882352936</v>
          </cell>
        </row>
        <row r="9">
          <cell r="A9" t="str">
            <v xml:space="preserve">C BR RHU CLOTH                </v>
          </cell>
          <cell r="B9">
            <v>1050</v>
          </cell>
          <cell r="C9">
            <v>1156.45</v>
          </cell>
          <cell r="D9">
            <v>-310.52941176470608</v>
          </cell>
          <cell r="E9">
            <v>-106.45000000000005</v>
          </cell>
          <cell r="F9">
            <v>1.1013809523809523</v>
          </cell>
          <cell r="G9">
            <v>-3422.0341176470611</v>
          </cell>
        </row>
        <row r="10">
          <cell r="A10" t="str">
            <v>TOTAL FF LINE # 1</v>
          </cell>
          <cell r="B10">
            <v>3065.6</v>
          </cell>
          <cell r="C10">
            <v>2641.02</v>
          </cell>
          <cell r="D10">
            <v>-41.482352941176487</v>
          </cell>
          <cell r="E10">
            <v>424.57999999999993</v>
          </cell>
          <cell r="F10">
            <v>0.86150182672233822</v>
          </cell>
          <cell r="G10">
            <v>-457.13552941176488</v>
          </cell>
        </row>
        <row r="11">
          <cell r="D11">
            <v>0</v>
          </cell>
          <cell r="E11">
            <v>0</v>
          </cell>
          <cell r="F11" t="e">
            <v>#DIV/0!</v>
          </cell>
          <cell r="G11">
            <v>0</v>
          </cell>
        </row>
        <row r="12">
          <cell r="A12" t="str">
            <v xml:space="preserve">DSM F41 LIT                   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 t="str">
            <v>-</v>
          </cell>
          <cell r="G12">
            <v>0</v>
          </cell>
        </row>
        <row r="13">
          <cell r="A13" t="str">
            <v xml:space="preserve">F SN95 LIT CONVERT            </v>
          </cell>
          <cell r="B13">
            <v>805.2</v>
          </cell>
          <cell r="C13">
            <v>746.12</v>
          </cell>
          <cell r="D13">
            <v>-72.58823529411768</v>
          </cell>
          <cell r="E13">
            <v>59.080000000000041</v>
          </cell>
          <cell r="F13">
            <v>0.9266269249875807</v>
          </cell>
          <cell r="G13">
            <v>-799.92235294117677</v>
          </cell>
        </row>
        <row r="14">
          <cell r="A14" t="str">
            <v xml:space="preserve">F SN95 LIT COUPE              </v>
          </cell>
          <cell r="B14">
            <v>2209.8000000000002</v>
          </cell>
          <cell r="C14">
            <v>1073.8499999999999</v>
          </cell>
          <cell r="D14">
            <v>946.44705882352969</v>
          </cell>
          <cell r="E14">
            <v>1135.9500000000003</v>
          </cell>
          <cell r="F14">
            <v>0.48594895465652993</v>
          </cell>
          <cell r="G14">
            <v>10429.846588235298</v>
          </cell>
        </row>
        <row r="15">
          <cell r="A15" t="str">
            <v xml:space="preserve">F SN95 R&amp;LHU COUPE            </v>
          </cell>
          <cell r="B15">
            <v>167.8</v>
          </cell>
          <cell r="C15">
            <v>72.599999999999994</v>
          </cell>
          <cell r="D15">
            <v>82.388235294117663</v>
          </cell>
          <cell r="E15">
            <v>95.200000000000017</v>
          </cell>
          <cell r="F15">
            <v>0.43265792610250292</v>
          </cell>
          <cell r="G15">
            <v>907.91835294117664</v>
          </cell>
        </row>
        <row r="16">
          <cell r="A16" t="str">
            <v>TOTAL SN95</v>
          </cell>
          <cell r="B16">
            <v>3182.8</v>
          </cell>
          <cell r="C16">
            <v>1892.5699999999997</v>
          </cell>
          <cell r="D16">
            <v>956.2470588235301</v>
          </cell>
          <cell r="E16">
            <v>1290.2300000000005</v>
          </cell>
          <cell r="F16">
            <v>0.59462423023752653</v>
          </cell>
          <cell r="G16">
            <v>10537.8425882353</v>
          </cell>
        </row>
        <row r="17">
          <cell r="D17">
            <v>0</v>
          </cell>
          <cell r="E17">
            <v>0</v>
          </cell>
          <cell r="F17" t="e">
            <v>#DIV/0!</v>
          </cell>
          <cell r="G17">
            <v>0</v>
          </cell>
        </row>
        <row r="18">
          <cell r="A18" t="str">
            <v xml:space="preserve">M PROBE J45S R&amp;LHL            </v>
          </cell>
          <cell r="B18">
            <v>122.7</v>
          </cell>
          <cell r="C18">
            <v>35.409999999999997</v>
          </cell>
          <cell r="D18">
            <v>81.04117647058824</v>
          </cell>
          <cell r="E18">
            <v>87.29</v>
          </cell>
          <cell r="F18">
            <v>0.28859005704971474</v>
          </cell>
          <cell r="G18">
            <v>893.07376470588235</v>
          </cell>
        </row>
        <row r="19">
          <cell r="A19" t="str">
            <v>TOTAL MAZDA</v>
          </cell>
          <cell r="B19">
            <v>122.7</v>
          </cell>
          <cell r="C19">
            <v>35.409999999999997</v>
          </cell>
          <cell r="D19">
            <v>81.04117647058824</v>
          </cell>
          <cell r="E19">
            <v>87.29</v>
          </cell>
          <cell r="F19">
            <v>0.28859005704971474</v>
          </cell>
          <cell r="G19">
            <v>893.07376470588235</v>
          </cell>
        </row>
        <row r="20">
          <cell r="D20">
            <v>0</v>
          </cell>
          <cell r="E20">
            <v>0</v>
          </cell>
          <cell r="F20" t="e">
            <v>#DIV/0!</v>
          </cell>
          <cell r="G20">
            <v>0</v>
          </cell>
        </row>
        <row r="21">
          <cell r="A21" t="str">
            <v xml:space="preserve">S 22C LHB &amp; RHB               </v>
          </cell>
          <cell r="B21">
            <v>487</v>
          </cell>
          <cell r="C21">
            <v>208.12</v>
          </cell>
          <cell r="D21">
            <v>242.15294117647056</v>
          </cell>
          <cell r="E21">
            <v>278.88</v>
          </cell>
          <cell r="F21">
            <v>0.42735112936344971</v>
          </cell>
          <cell r="G21">
            <v>2668.5254117647055</v>
          </cell>
        </row>
        <row r="22">
          <cell r="A22" t="str">
            <v xml:space="preserve">S 22C LHL &amp; RHL               </v>
          </cell>
          <cell r="B22">
            <v>359.6</v>
          </cell>
          <cell r="C22">
            <v>148.94</v>
          </cell>
          <cell r="D22">
            <v>184.37647058823532</v>
          </cell>
          <cell r="E22">
            <v>210.66000000000003</v>
          </cell>
          <cell r="F22">
            <v>0.41418242491657392</v>
          </cell>
          <cell r="G22">
            <v>2031.8287058823532</v>
          </cell>
        </row>
        <row r="23">
          <cell r="A23" t="str">
            <v xml:space="preserve">S 22C RHM                     </v>
          </cell>
          <cell r="B23">
            <v>424.8</v>
          </cell>
          <cell r="C23">
            <v>206.98</v>
          </cell>
          <cell r="D23">
            <v>181.29411764705884</v>
          </cell>
          <cell r="E23">
            <v>217.82000000000002</v>
          </cell>
          <cell r="F23">
            <v>0.48724105461393591</v>
          </cell>
          <cell r="G23">
            <v>1997.8611764705884</v>
          </cell>
        </row>
        <row r="24">
          <cell r="A24" t="str">
            <v xml:space="preserve">S LEGACY LHB POCK/LB          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 t="str">
            <v>-</v>
          </cell>
          <cell r="G24">
            <v>0</v>
          </cell>
        </row>
        <row r="25">
          <cell r="A25" t="str">
            <v xml:space="preserve">S LEGACY LHL LBL/TIC         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 t="str">
            <v>-</v>
          </cell>
          <cell r="G25">
            <v>0</v>
          </cell>
        </row>
        <row r="26">
          <cell r="A26" t="str">
            <v xml:space="preserve">S LEGACY RHL                  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 t="str">
            <v>-</v>
          </cell>
          <cell r="G26">
            <v>0</v>
          </cell>
        </row>
        <row r="27">
          <cell r="A27" t="str">
            <v xml:space="preserve">S LEGACY RHRM                 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-</v>
          </cell>
          <cell r="G27">
            <v>0</v>
          </cell>
        </row>
        <row r="28">
          <cell r="A28" t="str">
            <v>TOTAL FF LINE # 3</v>
          </cell>
          <cell r="B28">
            <v>1271.4000000000001</v>
          </cell>
          <cell r="C28">
            <v>564.04</v>
          </cell>
          <cell r="D28">
            <v>607.82352941176487</v>
          </cell>
          <cell r="E28">
            <v>707.36000000000013</v>
          </cell>
          <cell r="F28">
            <v>0.4436369356614755</v>
          </cell>
          <cell r="G28">
            <v>6698.2152941176482</v>
          </cell>
          <cell r="H28" t="str">
            <v>A</v>
          </cell>
        </row>
        <row r="29">
          <cell r="D29">
            <v>0</v>
          </cell>
          <cell r="E29">
            <v>0</v>
          </cell>
          <cell r="F29" t="e">
            <v>#DIV/0!</v>
          </cell>
          <cell r="G29">
            <v>0</v>
          </cell>
        </row>
        <row r="30">
          <cell r="A30" t="str">
            <v xml:space="preserve">G J95 R&amp;LHB-BASE              </v>
          </cell>
          <cell r="B30">
            <v>139.6</v>
          </cell>
          <cell r="C30">
            <v>407.42</v>
          </cell>
          <cell r="D30">
            <v>-339.71764705882356</v>
          </cell>
          <cell r="E30">
            <v>-267.82000000000005</v>
          </cell>
          <cell r="F30">
            <v>2.9184813753581662</v>
          </cell>
          <cell r="G30">
            <v>-3743.6884705882353</v>
          </cell>
        </row>
        <row r="31">
          <cell r="A31" t="str">
            <v xml:space="preserve">G J95 R&amp;LHU-UP                </v>
          </cell>
          <cell r="B31">
            <v>4021.3</v>
          </cell>
          <cell r="C31">
            <v>3379.1</v>
          </cell>
          <cell r="D31">
            <v>45.888235294117749</v>
          </cell>
          <cell r="E31">
            <v>642.20000000000027</v>
          </cell>
          <cell r="F31">
            <v>0.8403004003680401</v>
          </cell>
          <cell r="G31">
            <v>505.68835294117758</v>
          </cell>
        </row>
        <row r="32">
          <cell r="A32" t="str">
            <v>TOTAL LO PROFILE</v>
          </cell>
          <cell r="B32">
            <v>4160.9000000000005</v>
          </cell>
          <cell r="C32">
            <v>3786.52</v>
          </cell>
          <cell r="D32">
            <v>-293.82941176470558</v>
          </cell>
          <cell r="E32">
            <v>374.38000000000056</v>
          </cell>
          <cell r="F32">
            <v>0.91002427359465488</v>
          </cell>
          <cell r="G32">
            <v>-3238.0001176470555</v>
          </cell>
        </row>
        <row r="33">
          <cell r="D33">
            <v>0</v>
          </cell>
          <cell r="E33">
            <v>0</v>
          </cell>
          <cell r="F33" t="e">
            <v>#DIV/0!</v>
          </cell>
          <cell r="G33">
            <v>0</v>
          </cell>
        </row>
        <row r="34">
          <cell r="A34" t="str">
            <v xml:space="preserve">F DN101 UNLIT                 </v>
          </cell>
          <cell r="B34">
            <v>3178.6</v>
          </cell>
          <cell r="C34">
            <v>2363.9699999999998</v>
          </cell>
          <cell r="D34">
            <v>397.4588235294118</v>
          </cell>
          <cell r="E34">
            <v>814.63000000000011</v>
          </cell>
          <cell r="F34">
            <v>0.74371421380481972</v>
          </cell>
          <cell r="G34">
            <v>4379.9962352941175</v>
          </cell>
        </row>
        <row r="35">
          <cell r="A35" t="str">
            <v xml:space="preserve">F WINN88 UNLIT                </v>
          </cell>
          <cell r="B35">
            <v>1965.4</v>
          </cell>
          <cell r="C35">
            <v>1706.79</v>
          </cell>
          <cell r="D35">
            <v>-42.588235294117567</v>
          </cell>
          <cell r="E35">
            <v>258.61000000000013</v>
          </cell>
          <cell r="F35">
            <v>0.86841864251551837</v>
          </cell>
          <cell r="G35">
            <v>-469.32235294117555</v>
          </cell>
        </row>
        <row r="36">
          <cell r="A36" t="str">
            <v>TOTAL DN101 UNLIT</v>
          </cell>
          <cell r="B36">
            <v>5144</v>
          </cell>
          <cell r="C36">
            <v>4070.7599999999998</v>
          </cell>
          <cell r="D36">
            <v>354.87058823529424</v>
          </cell>
          <cell r="E36">
            <v>1073.2400000000002</v>
          </cell>
          <cell r="F36">
            <v>0.79136080870917569</v>
          </cell>
          <cell r="G36">
            <v>3910.6738823529422</v>
          </cell>
        </row>
        <row r="37">
          <cell r="D37">
            <v>0</v>
          </cell>
          <cell r="E37">
            <v>0</v>
          </cell>
          <cell r="F37" t="e">
            <v>#DIV/0!</v>
          </cell>
          <cell r="G37">
            <v>0</v>
          </cell>
        </row>
        <row r="38">
          <cell r="A38" t="str">
            <v>TOTAL FIBERFOLD</v>
          </cell>
          <cell r="B38">
            <v>16947.400000000001</v>
          </cell>
          <cell r="C38">
            <v>12990.32</v>
          </cell>
          <cell r="D38">
            <v>1664.6705882352962</v>
          </cell>
          <cell r="E38">
            <v>3957.0800000000017</v>
          </cell>
          <cell r="F38">
            <v>0.76650813694135966</v>
          </cell>
          <cell r="G38">
            <v>18344.669882352962</v>
          </cell>
        </row>
        <row r="39">
          <cell r="A39" t="str">
            <v xml:space="preserve">F AEROSTAR LHL/1 LBL          </v>
          </cell>
          <cell r="B39">
            <v>416.5</v>
          </cell>
          <cell r="C39">
            <v>398.86</v>
          </cell>
          <cell r="D39">
            <v>-52.747058823529414</v>
          </cell>
          <cell r="E39">
            <v>17.639999999999986</v>
          </cell>
          <cell r="F39">
            <v>0.95764705882352941</v>
          </cell>
          <cell r="G39">
            <v>-581.27258823529417</v>
          </cell>
        </row>
        <row r="40">
          <cell r="A40" t="str">
            <v xml:space="preserve">F AEROSTAR RHL                </v>
          </cell>
          <cell r="B40">
            <v>398.4</v>
          </cell>
          <cell r="C40">
            <v>385.43</v>
          </cell>
          <cell r="D40">
            <v>-55.047058823529483</v>
          </cell>
          <cell r="E40">
            <v>12.96999999999997</v>
          </cell>
          <cell r="F40">
            <v>0.96744477911646598</v>
          </cell>
          <cell r="G40">
            <v>-606.61858823529485</v>
          </cell>
        </row>
        <row r="41">
          <cell r="A41" t="str">
            <v>TOTAL AEROSTAR</v>
          </cell>
          <cell r="B41">
            <v>814.9</v>
          </cell>
          <cell r="C41">
            <v>784.29</v>
          </cell>
          <cell r="D41">
            <v>-107.79411764705878</v>
          </cell>
          <cell r="E41">
            <v>30.610000000000014</v>
          </cell>
          <cell r="F41">
            <v>0.96243710884771139</v>
          </cell>
          <cell r="G41">
            <v>-1187.8911764705877</v>
          </cell>
        </row>
        <row r="42">
          <cell r="D42">
            <v>0</v>
          </cell>
          <cell r="E42">
            <v>0</v>
          </cell>
          <cell r="F42" t="e">
            <v>#DIV/0!</v>
          </cell>
          <cell r="G42">
            <v>0</v>
          </cell>
        </row>
        <row r="43">
          <cell r="A43" t="str">
            <v xml:space="preserve">G GM10B LHL/EXT/1LBL          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 t="e">
            <v>#DIV/0!</v>
          </cell>
          <cell r="G43">
            <v>0</v>
          </cell>
        </row>
        <row r="44">
          <cell r="A44" t="str">
            <v xml:space="preserve">G GM10B LHM/EXT/1LBL          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 t="e">
            <v>#DIV/0!</v>
          </cell>
          <cell r="G44">
            <v>0</v>
          </cell>
        </row>
        <row r="45">
          <cell r="A45" t="str">
            <v xml:space="preserve">G GM10B RHL/EXT/2LBL          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 t="e">
            <v>#DIV/0!</v>
          </cell>
          <cell r="G45">
            <v>0</v>
          </cell>
        </row>
        <row r="46">
          <cell r="A46" t="str">
            <v xml:space="preserve">G GM10B RHM/EXT/2LBL          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 t="e">
            <v>#DIV/0!</v>
          </cell>
          <cell r="G46">
            <v>0</v>
          </cell>
        </row>
        <row r="47">
          <cell r="A47" t="str">
            <v>TOTAL GM10B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 t="e">
            <v>#DIV/0!</v>
          </cell>
          <cell r="G47">
            <v>0</v>
          </cell>
        </row>
        <row r="48">
          <cell r="D48">
            <v>0</v>
          </cell>
          <cell r="E48">
            <v>0</v>
          </cell>
          <cell r="F48" t="e">
            <v>#DIV/0!</v>
          </cell>
          <cell r="G48">
            <v>0</v>
          </cell>
        </row>
        <row r="49">
          <cell r="A49" t="str">
            <v xml:space="preserve">C B-VAN LHB/1 LABEL           </v>
          </cell>
          <cell r="B49">
            <v>71</v>
          </cell>
          <cell r="C49">
            <v>34.68</v>
          </cell>
          <cell r="D49">
            <v>30.199999999999996</v>
          </cell>
          <cell r="E49">
            <v>36.32</v>
          </cell>
          <cell r="F49">
            <v>0.48845070422535208</v>
          </cell>
          <cell r="G49">
            <v>332.80399999999992</v>
          </cell>
        </row>
        <row r="50">
          <cell r="A50" t="str">
            <v xml:space="preserve">C B-VAN RHL                   </v>
          </cell>
          <cell r="B50">
            <v>75.2</v>
          </cell>
          <cell r="C50">
            <v>47.85</v>
          </cell>
          <cell r="D50">
            <v>18.905882352941177</v>
          </cell>
          <cell r="E50">
            <v>27.35</v>
          </cell>
          <cell r="F50">
            <v>0.63630319148936165</v>
          </cell>
          <cell r="G50">
            <v>208.34282352941176</v>
          </cell>
        </row>
        <row r="51">
          <cell r="A51" t="str">
            <v>TOTAL B-VAN</v>
          </cell>
          <cell r="B51">
            <v>146.19999999999999</v>
          </cell>
          <cell r="C51">
            <v>82.53</v>
          </cell>
          <cell r="D51">
            <v>49.105882352941165</v>
          </cell>
          <cell r="E51">
            <v>63.669999999999987</v>
          </cell>
          <cell r="F51">
            <v>0.56450068399452813</v>
          </cell>
          <cell r="G51">
            <v>541.14682352941168</v>
          </cell>
        </row>
        <row r="52">
          <cell r="D52">
            <v>0</v>
          </cell>
          <cell r="E52">
            <v>0</v>
          </cell>
          <cell r="F52" t="e">
            <v>#DIV/0!</v>
          </cell>
          <cell r="G52">
            <v>0</v>
          </cell>
        </row>
        <row r="53">
          <cell r="A53" t="str">
            <v xml:space="preserve">G G-VAN R&amp;LHL/FAB             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e">
            <v>#DIV/0!</v>
          </cell>
          <cell r="G53">
            <v>0</v>
          </cell>
        </row>
        <row r="54">
          <cell r="A54" t="str">
            <v>TOTAL G-VAN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 t="e">
            <v>#DIV/0!</v>
          </cell>
          <cell r="G54">
            <v>0</v>
          </cell>
        </row>
        <row r="55">
          <cell r="D55">
            <v>0</v>
          </cell>
          <cell r="E55">
            <v>0</v>
          </cell>
          <cell r="F55" t="e">
            <v>#DIV/0!</v>
          </cell>
          <cell r="G55">
            <v>0</v>
          </cell>
        </row>
        <row r="56">
          <cell r="A56" t="str">
            <v xml:space="preserve">JAG X300 R&amp;LHL/LABEL          </v>
          </cell>
          <cell r="B56">
            <v>345.2</v>
          </cell>
          <cell r="C56">
            <v>274.37</v>
          </cell>
          <cell r="D56">
            <v>22.41176470588232</v>
          </cell>
          <cell r="E56">
            <v>70.829999999999984</v>
          </cell>
          <cell r="F56">
            <v>0.79481460023174977</v>
          </cell>
          <cell r="G56">
            <v>246.97764705882315</v>
          </cell>
        </row>
        <row r="57">
          <cell r="A57" t="str">
            <v xml:space="preserve">VIS JAG XJS LTHR              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 t="e">
            <v>#DIV/0!</v>
          </cell>
          <cell r="G57">
            <v>0</v>
          </cell>
        </row>
        <row r="58">
          <cell r="A58" t="str">
            <v>TOTAL JAGUAR</v>
          </cell>
          <cell r="B58">
            <v>345.2</v>
          </cell>
          <cell r="C58">
            <v>274.37</v>
          </cell>
          <cell r="D58">
            <v>22.41176470588232</v>
          </cell>
          <cell r="E58">
            <v>70.829999999999984</v>
          </cell>
          <cell r="F58">
            <v>0.79481460023174977</v>
          </cell>
          <cell r="G58">
            <v>246.97764705882315</v>
          </cell>
        </row>
        <row r="59">
          <cell r="D59">
            <v>0</v>
          </cell>
          <cell r="E59">
            <v>0</v>
          </cell>
          <cell r="F59" t="e">
            <v>#DIV/0!</v>
          </cell>
          <cell r="G59">
            <v>0</v>
          </cell>
        </row>
        <row r="60">
          <cell r="A60" t="str">
            <v xml:space="preserve">NIS 918 CENTER                </v>
          </cell>
          <cell r="B60">
            <v>20.399999999999999</v>
          </cell>
          <cell r="C60">
            <v>11.01</v>
          </cell>
          <cell r="D60">
            <v>7.4470588235294102</v>
          </cell>
          <cell r="E60">
            <v>9.3899999999999988</v>
          </cell>
          <cell r="F60">
            <v>0.53970588235294126</v>
          </cell>
          <cell r="G60">
            <v>82.066588235294091</v>
          </cell>
        </row>
        <row r="61">
          <cell r="A61" t="str">
            <v xml:space="preserve">NIS 918 R&amp;LHL/1 LABL          </v>
          </cell>
          <cell r="B61">
            <v>199.7</v>
          </cell>
          <cell r="C61">
            <v>154.38</v>
          </cell>
          <cell r="D61">
            <v>18.076470588235281</v>
          </cell>
          <cell r="E61">
            <v>45.319999999999993</v>
          </cell>
          <cell r="F61">
            <v>0.77305958938407615</v>
          </cell>
          <cell r="G61">
            <v>199.2027058823528</v>
          </cell>
        </row>
        <row r="62">
          <cell r="A62" t="str">
            <v xml:space="preserve">NIS 918 RHB W/P/L             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 t="e">
            <v>#DIV/0!</v>
          </cell>
          <cell r="G62">
            <v>0</v>
          </cell>
        </row>
        <row r="63">
          <cell r="A63" t="str">
            <v xml:space="preserve">NIS 972 LIT                   </v>
          </cell>
          <cell r="B63">
            <v>1.3</v>
          </cell>
          <cell r="C63">
            <v>0</v>
          </cell>
          <cell r="D63">
            <v>1.3</v>
          </cell>
          <cell r="E63">
            <v>1.3</v>
          </cell>
          <cell r="F63">
            <v>0</v>
          </cell>
          <cell r="G63">
            <v>14.326000000000001</v>
          </cell>
        </row>
        <row r="64">
          <cell r="A64" t="str">
            <v xml:space="preserve">NIS 972 RHB                   </v>
          </cell>
          <cell r="B64">
            <v>9.6999999999999993</v>
          </cell>
          <cell r="C64">
            <v>0</v>
          </cell>
          <cell r="D64">
            <v>9.6999999999999993</v>
          </cell>
          <cell r="E64">
            <v>9.6999999999999993</v>
          </cell>
          <cell r="F64">
            <v>0</v>
          </cell>
          <cell r="G64">
            <v>106.89399999999999</v>
          </cell>
        </row>
        <row r="65">
          <cell r="A65" t="str">
            <v xml:space="preserve">NIS C972 BLANK                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 t="e">
            <v>#DIV/0!</v>
          </cell>
          <cell r="G65">
            <v>0</v>
          </cell>
        </row>
        <row r="66">
          <cell r="A66" t="str">
            <v>TOTAL NISSAN (HS)</v>
          </cell>
          <cell r="B66">
            <v>231.1</v>
          </cell>
          <cell r="C66">
            <v>165.39</v>
          </cell>
          <cell r="D66">
            <v>36.523529411764713</v>
          </cell>
          <cell r="E66">
            <v>65.710000000000008</v>
          </cell>
          <cell r="F66">
            <v>0.71566421462570307</v>
          </cell>
          <cell r="G66">
            <v>402.48929411764715</v>
          </cell>
        </row>
        <row r="67">
          <cell r="D67">
            <v>0</v>
          </cell>
          <cell r="E67">
            <v>0</v>
          </cell>
          <cell r="F67" t="e">
            <v>#DIV/0!</v>
          </cell>
          <cell r="G67">
            <v>0</v>
          </cell>
        </row>
        <row r="68">
          <cell r="A68" t="str">
            <v>M-Van</v>
          </cell>
          <cell r="D68">
            <v>0</v>
          </cell>
          <cell r="E68">
            <v>0</v>
          </cell>
          <cell r="F68" t="str">
            <v>-</v>
          </cell>
          <cell r="G68">
            <v>0</v>
          </cell>
        </row>
        <row r="69">
          <cell r="A69" t="str">
            <v>TOTAL M-VAN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 t="str">
            <v>-</v>
          </cell>
          <cell r="G69">
            <v>0</v>
          </cell>
        </row>
        <row r="70">
          <cell r="D70">
            <v>0</v>
          </cell>
          <cell r="E70">
            <v>0</v>
          </cell>
          <cell r="F70" t="e">
            <v>#DIV/0!</v>
          </cell>
          <cell r="G70">
            <v>0</v>
          </cell>
        </row>
        <row r="71">
          <cell r="A71" t="str">
            <v xml:space="preserve">F DN101 RH P/D                </v>
          </cell>
          <cell r="B71">
            <v>0</v>
          </cell>
          <cell r="C71">
            <v>7.11</v>
          </cell>
          <cell r="D71">
            <v>-8.3647058823529417</v>
          </cell>
          <cell r="E71">
            <v>-7.11</v>
          </cell>
          <cell r="F71" t="e">
            <v>#DIV/0!</v>
          </cell>
          <cell r="G71">
            <v>-92.179058823529417</v>
          </cell>
        </row>
        <row r="72">
          <cell r="A72" t="str">
            <v xml:space="preserve">F FN74 RH P/D:1 LABL          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 t="e">
            <v>#DIV/0!</v>
          </cell>
          <cell r="G72">
            <v>0</v>
          </cell>
        </row>
        <row r="73">
          <cell r="A73" t="str">
            <v>TOTAL HS LINE # 4</v>
          </cell>
          <cell r="B73">
            <v>0</v>
          </cell>
          <cell r="C73">
            <v>7.11</v>
          </cell>
          <cell r="D73">
            <v>-8.3647058823529417</v>
          </cell>
          <cell r="E73">
            <v>-7.11</v>
          </cell>
          <cell r="F73" t="e">
            <v>#DIV/0!</v>
          </cell>
          <cell r="G73">
            <v>-92.179058823529417</v>
          </cell>
        </row>
        <row r="74">
          <cell r="D74">
            <v>0</v>
          </cell>
          <cell r="E74">
            <v>0</v>
          </cell>
          <cell r="F74" t="e">
            <v>#DIV/0!</v>
          </cell>
          <cell r="G74">
            <v>0</v>
          </cell>
        </row>
        <row r="75">
          <cell r="A75" t="str">
            <v>TOTAL HYDRASEAL</v>
          </cell>
          <cell r="B75">
            <v>1537.4</v>
          </cell>
          <cell r="C75">
            <v>1306.58</v>
          </cell>
          <cell r="D75">
            <v>0.24705882352964181</v>
          </cell>
          <cell r="E75">
            <v>230.82000000000016</v>
          </cell>
          <cell r="F75">
            <v>0.84986340574996733</v>
          </cell>
          <cell r="G75">
            <v>2.7225882352966528</v>
          </cell>
        </row>
        <row r="76">
          <cell r="A76" t="str">
            <v xml:space="preserve">G GM10C LCM/LBL               </v>
          </cell>
          <cell r="B76">
            <v>852.5</v>
          </cell>
          <cell r="C76">
            <v>941.44</v>
          </cell>
          <cell r="D76">
            <v>-255.07647058823545</v>
          </cell>
          <cell r="E76">
            <v>-88.940000000000055</v>
          </cell>
          <cell r="F76">
            <v>1.1043284457478006</v>
          </cell>
          <cell r="G76">
            <v>-2810.9427058823544</v>
          </cell>
        </row>
        <row r="77">
          <cell r="A77" t="str">
            <v xml:space="preserve">G GM10C RM/LBL                </v>
          </cell>
          <cell r="B77">
            <v>547.29999999999995</v>
          </cell>
          <cell r="C77">
            <v>507.18</v>
          </cell>
          <cell r="D77">
            <v>-49.382352941176578</v>
          </cell>
          <cell r="E77">
            <v>40.119999999999948</v>
          </cell>
          <cell r="F77">
            <v>0.92669468298921986</v>
          </cell>
          <cell r="G77">
            <v>-544.19352941176589</v>
          </cell>
        </row>
        <row r="78">
          <cell r="A78" t="str">
            <v>TOTAL CHEVY SNAP TECH</v>
          </cell>
          <cell r="B78">
            <v>1399.8</v>
          </cell>
          <cell r="C78">
            <v>1448.6200000000001</v>
          </cell>
          <cell r="D78">
            <v>-304.45882352941203</v>
          </cell>
          <cell r="E78">
            <v>-48.820000000000164</v>
          </cell>
          <cell r="F78">
            <v>1.0348764109158453</v>
          </cell>
          <cell r="G78">
            <v>-3355.1362352941205</v>
          </cell>
        </row>
        <row r="79">
          <cell r="D79">
            <v>0</v>
          </cell>
          <cell r="E79">
            <v>0</v>
          </cell>
          <cell r="F79" t="e">
            <v>#DIV/0!</v>
          </cell>
          <cell r="G79">
            <v>0</v>
          </cell>
        </row>
        <row r="80">
          <cell r="A80" t="str">
            <v xml:space="preserve">G N BASE /MAP/LBL             </v>
          </cell>
          <cell r="B80">
            <v>1086</v>
          </cell>
          <cell r="C80">
            <v>1132.3499999999999</v>
          </cell>
          <cell r="D80">
            <v>-246.17647058823513</v>
          </cell>
          <cell r="E80">
            <v>-46.349999999999909</v>
          </cell>
          <cell r="F80">
            <v>1.0426795580110497</v>
          </cell>
          <cell r="G80">
            <v>-2712.8647058823512</v>
          </cell>
        </row>
        <row r="81">
          <cell r="A81" t="str">
            <v xml:space="preserve">G N BASE RH 2 LBL             </v>
          </cell>
          <cell r="B81">
            <v>1061.5999999999999</v>
          </cell>
          <cell r="C81">
            <v>1224.75</v>
          </cell>
          <cell r="D81">
            <v>-379.28235294117667</v>
          </cell>
          <cell r="E81">
            <v>-163.15000000000009</v>
          </cell>
          <cell r="F81">
            <v>1.1536831198191411</v>
          </cell>
          <cell r="G81">
            <v>-4179.6915294117671</v>
          </cell>
        </row>
        <row r="82">
          <cell r="A82" t="str">
            <v xml:space="preserve">G N BASE W/MAP                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 t="e">
            <v>#DIV/0!</v>
          </cell>
          <cell r="G82">
            <v>0</v>
          </cell>
        </row>
        <row r="83">
          <cell r="A83" t="str">
            <v xml:space="preserve">G N LHB W/LBL                 </v>
          </cell>
          <cell r="B83">
            <v>34</v>
          </cell>
          <cell r="C83">
            <v>0</v>
          </cell>
          <cell r="D83">
            <v>34</v>
          </cell>
          <cell r="E83">
            <v>34</v>
          </cell>
          <cell r="F83">
            <v>0</v>
          </cell>
          <cell r="G83">
            <v>374.68</v>
          </cell>
        </row>
        <row r="84">
          <cell r="A84" t="str">
            <v xml:space="preserve">G N LIT /EXT/MAP/LBL          </v>
          </cell>
          <cell r="B84">
            <v>0</v>
          </cell>
          <cell r="C84">
            <v>0.06</v>
          </cell>
          <cell r="D84">
            <v>-7.0588235294117646E-2</v>
          </cell>
          <cell r="E84">
            <v>-0.06</v>
          </cell>
          <cell r="F84" t="e">
            <v>#DIV/0!</v>
          </cell>
          <cell r="G84">
            <v>-0.77788235294117647</v>
          </cell>
        </row>
        <row r="85">
          <cell r="A85" t="str">
            <v xml:space="preserve">G N LIT RH 2 LBL              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 t="e">
            <v>#DIV/0!</v>
          </cell>
          <cell r="G85">
            <v>0</v>
          </cell>
        </row>
        <row r="86">
          <cell r="A86" t="str">
            <v xml:space="preserve">G N MID /EXT/MAP/LBL          </v>
          </cell>
          <cell r="B86">
            <v>196.2</v>
          </cell>
          <cell r="C86">
            <v>208.96</v>
          </cell>
          <cell r="D86">
            <v>-49.635294117647078</v>
          </cell>
          <cell r="E86">
            <v>-12.760000000000019</v>
          </cell>
          <cell r="F86">
            <v>1.0650356778797148</v>
          </cell>
          <cell r="G86">
            <v>-546.98094117647076</v>
          </cell>
        </row>
        <row r="87">
          <cell r="A87" t="str">
            <v xml:space="preserve">G N MID RH 2 LBL              </v>
          </cell>
          <cell r="B87">
            <v>213</v>
          </cell>
          <cell r="C87">
            <v>227.88</v>
          </cell>
          <cell r="D87">
            <v>-55.094117647058852</v>
          </cell>
          <cell r="E87">
            <v>-14.879999999999995</v>
          </cell>
          <cell r="F87">
            <v>1.0698591549295775</v>
          </cell>
          <cell r="G87">
            <v>-607.13717647058854</v>
          </cell>
        </row>
        <row r="88">
          <cell r="A88" t="str">
            <v xml:space="preserve">G N MID W/EXT/MAP             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 t="str">
            <v>-</v>
          </cell>
          <cell r="G88">
            <v>0</v>
          </cell>
        </row>
        <row r="89">
          <cell r="A89" t="str">
            <v xml:space="preserve">G N RHB 2 LBL                 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 t="e">
            <v>#DIV/0!</v>
          </cell>
          <cell r="G89">
            <v>0</v>
          </cell>
        </row>
        <row r="90">
          <cell r="A90" t="str">
            <v>TOTAL N-BODY SNAP</v>
          </cell>
          <cell r="B90">
            <v>2590.7999999999997</v>
          </cell>
          <cell r="C90">
            <v>2794</v>
          </cell>
          <cell r="D90">
            <v>-696.25882352941198</v>
          </cell>
          <cell r="E90">
            <v>-203.20000000000027</v>
          </cell>
          <cell r="F90">
            <v>1.0784313725490198</v>
          </cell>
          <cell r="G90">
            <v>-7672.77223529412</v>
          </cell>
        </row>
        <row r="91">
          <cell r="D91">
            <v>0</v>
          </cell>
          <cell r="E91">
            <v>0</v>
          </cell>
          <cell r="F91" t="e">
            <v>#DIV/0!</v>
          </cell>
          <cell r="G91">
            <v>0</v>
          </cell>
        </row>
        <row r="92">
          <cell r="A92" t="str">
            <v xml:space="preserve">F EN114 AUX                   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 t="str">
            <v>-</v>
          </cell>
          <cell r="G92">
            <v>0</v>
          </cell>
        </row>
        <row r="93">
          <cell r="A93" t="str">
            <v xml:space="preserve">F EN114 LIT W/O AUX           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 t="str">
            <v>-</v>
          </cell>
          <cell r="G93">
            <v>0</v>
          </cell>
        </row>
        <row r="94">
          <cell r="A94" t="str">
            <v xml:space="preserve">F EN114 RH&amp;LH LIT             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 t="e">
            <v>#DIV/0!</v>
          </cell>
          <cell r="G94">
            <v>0</v>
          </cell>
        </row>
        <row r="95">
          <cell r="A95" t="str">
            <v>TOTAL SNAP TECH # 1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 t="e">
            <v>#DIV/0!</v>
          </cell>
          <cell r="G95">
            <v>0</v>
          </cell>
        </row>
        <row r="96">
          <cell r="D96">
            <v>0</v>
          </cell>
          <cell r="E96">
            <v>0</v>
          </cell>
          <cell r="F96" t="e">
            <v>#DIV/0!</v>
          </cell>
          <cell r="G96">
            <v>0</v>
          </cell>
        </row>
        <row r="97">
          <cell r="A97" t="str">
            <v xml:space="preserve">G GM10C RHL W/LBL             </v>
          </cell>
          <cell r="B97">
            <v>981.7</v>
          </cell>
          <cell r="C97">
            <v>618.86</v>
          </cell>
          <cell r="D97">
            <v>253.62941176470588</v>
          </cell>
          <cell r="E97">
            <v>362.84000000000003</v>
          </cell>
          <cell r="F97">
            <v>0.63039625140063149</v>
          </cell>
          <cell r="G97">
            <v>2794.9961176470588</v>
          </cell>
        </row>
        <row r="98">
          <cell r="A98" t="str">
            <v xml:space="preserve">G GM10O LHL/1 LBL             </v>
          </cell>
          <cell r="B98">
            <v>2</v>
          </cell>
          <cell r="C98">
            <v>5.87</v>
          </cell>
          <cell r="D98">
            <v>-4.9058823529411768</v>
          </cell>
          <cell r="E98">
            <v>-3.87</v>
          </cell>
          <cell r="F98">
            <v>2.9350000000000001</v>
          </cell>
          <cell r="G98">
            <v>-54.062823529411766</v>
          </cell>
        </row>
        <row r="99">
          <cell r="A99" t="str">
            <v xml:space="preserve">G GM10O RHL/2 LBL             </v>
          </cell>
          <cell r="B99">
            <v>41.7</v>
          </cell>
          <cell r="C99">
            <v>12.55</v>
          </cell>
          <cell r="D99">
            <v>26.935294117647061</v>
          </cell>
          <cell r="E99">
            <v>29.150000000000002</v>
          </cell>
          <cell r="F99">
            <v>0.30095923261390889</v>
          </cell>
          <cell r="G99">
            <v>296.8269411764706</v>
          </cell>
        </row>
        <row r="100">
          <cell r="A100" t="str">
            <v>TOTAL SNAP TECH # 2</v>
          </cell>
          <cell r="B100">
            <v>1025.4000000000001</v>
          </cell>
          <cell r="C100">
            <v>637.28</v>
          </cell>
          <cell r="D100">
            <v>275.65882352941185</v>
          </cell>
          <cell r="E100">
            <v>388.12000000000012</v>
          </cell>
          <cell r="F100">
            <v>0.62149405110200884</v>
          </cell>
          <cell r="G100">
            <v>3037.7602352941185</v>
          </cell>
        </row>
        <row r="101">
          <cell r="D101">
            <v>0</v>
          </cell>
          <cell r="E101">
            <v>0</v>
          </cell>
          <cell r="F101" t="e">
            <v>#DIV/0!</v>
          </cell>
          <cell r="G101">
            <v>0</v>
          </cell>
        </row>
        <row r="102">
          <cell r="A102" t="str">
            <v xml:space="preserve">F FN10 AUX                    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 t="e">
            <v>#DIV/0!</v>
          </cell>
          <cell r="G102">
            <v>0</v>
          </cell>
        </row>
        <row r="103">
          <cell r="A103" t="str">
            <v xml:space="preserve">F FN10 R&amp;LHL VISORS           </v>
          </cell>
          <cell r="B103">
            <v>235</v>
          </cell>
          <cell r="C103">
            <v>115.51</v>
          </cell>
          <cell r="D103">
            <v>99.105882352941165</v>
          </cell>
          <cell r="E103">
            <v>119.49</v>
          </cell>
          <cell r="F103">
            <v>0.49153191489361703</v>
          </cell>
          <cell r="G103">
            <v>1092.1468235294117</v>
          </cell>
        </row>
        <row r="104">
          <cell r="A104" t="str">
            <v xml:space="preserve">F FN10 R&amp;LHL/AUX              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 t="e">
            <v>#DIV/0!</v>
          </cell>
          <cell r="G104">
            <v>0</v>
          </cell>
        </row>
        <row r="105">
          <cell r="A105" t="str">
            <v xml:space="preserve">F FN10 W/UGDO                 </v>
          </cell>
          <cell r="B105">
            <v>181.8</v>
          </cell>
          <cell r="C105">
            <v>75.38</v>
          </cell>
          <cell r="D105">
            <v>93.11764705882355</v>
          </cell>
          <cell r="E105">
            <v>106.42000000000002</v>
          </cell>
          <cell r="F105">
            <v>0.4146314631463146</v>
          </cell>
          <cell r="G105">
            <v>1026.1564705882354</v>
          </cell>
        </row>
        <row r="106">
          <cell r="A106" t="str">
            <v xml:space="preserve">F MN12 R&amp;LHL                  </v>
          </cell>
          <cell r="B106">
            <v>671.6</v>
          </cell>
          <cell r="C106">
            <v>390.33</v>
          </cell>
          <cell r="D106">
            <v>212.38823529411769</v>
          </cell>
          <cell r="E106">
            <v>281.27000000000004</v>
          </cell>
          <cell r="F106">
            <v>0.58119416319237638</v>
          </cell>
          <cell r="G106">
            <v>2340.518352941177</v>
          </cell>
        </row>
        <row r="107">
          <cell r="A107" t="str">
            <v xml:space="preserve">G GM300 LHL/1 LBL             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 t="e">
            <v>#DIV/0!</v>
          </cell>
          <cell r="G107">
            <v>0</v>
          </cell>
        </row>
        <row r="108">
          <cell r="A108" t="str">
            <v xml:space="preserve">G GM300 RHL/2 LBL             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 t="e">
            <v>#DIV/0!</v>
          </cell>
          <cell r="G108">
            <v>0</v>
          </cell>
        </row>
        <row r="109">
          <cell r="A109" t="str">
            <v>TOTAL SNAP TECH # 3</v>
          </cell>
          <cell r="B109">
            <v>1088.4000000000001</v>
          </cell>
          <cell r="C109">
            <v>581.22</v>
          </cell>
          <cell r="D109">
            <v>404.61176470588236</v>
          </cell>
          <cell r="E109">
            <v>507.18000000000006</v>
          </cell>
          <cell r="F109">
            <v>0.53401323042998894</v>
          </cell>
          <cell r="G109">
            <v>4458.8216470588231</v>
          </cell>
        </row>
        <row r="111">
          <cell r="A111" t="str">
            <v xml:space="preserve">C ZJ LHB                      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 t="str">
            <v>-</v>
          </cell>
          <cell r="G111">
            <v>0</v>
          </cell>
        </row>
        <row r="112">
          <cell r="A112" t="str">
            <v xml:space="preserve">C ZJ LHL/LBL                  </v>
          </cell>
          <cell r="B112">
            <v>1533.9</v>
          </cell>
          <cell r="C112">
            <v>1543.03</v>
          </cell>
          <cell r="D112">
            <v>-281.42941176470572</v>
          </cell>
          <cell r="E112">
            <v>-9.1299999999998818</v>
          </cell>
          <cell r="F112">
            <v>1.0059521481191733</v>
          </cell>
          <cell r="G112">
            <v>-3101.3521176470567</v>
          </cell>
        </row>
        <row r="113">
          <cell r="A113" t="str">
            <v xml:space="preserve">C ZJ RHL                      </v>
          </cell>
          <cell r="B113">
            <v>1185.7</v>
          </cell>
          <cell r="C113">
            <v>1147.6199999999999</v>
          </cell>
          <cell r="D113">
            <v>-164.44117647058806</v>
          </cell>
          <cell r="E113">
            <v>38.080000000000155</v>
          </cell>
          <cell r="F113">
            <v>0.96788395040904096</v>
          </cell>
          <cell r="G113">
            <v>-1812.1417647058804</v>
          </cell>
        </row>
        <row r="114">
          <cell r="A114" t="str">
            <v>TOTAL TURBO TECH # 5</v>
          </cell>
          <cell r="B114">
            <v>2719.6000000000004</v>
          </cell>
          <cell r="C114">
            <v>2690.6499999999996</v>
          </cell>
          <cell r="D114">
            <v>-445.87058823529333</v>
          </cell>
          <cell r="E114">
            <v>28.950000000000728</v>
          </cell>
          <cell r="F114">
            <v>0.98935505221356057</v>
          </cell>
          <cell r="G114">
            <v>-4913.4938823529319</v>
          </cell>
        </row>
        <row r="115">
          <cell r="D115">
            <v>0</v>
          </cell>
          <cell r="E115">
            <v>0</v>
          </cell>
          <cell r="F115" t="e">
            <v>#DIV/0!</v>
          </cell>
          <cell r="G115">
            <v>0</v>
          </cell>
        </row>
        <row r="116">
          <cell r="A116" t="str">
            <v xml:space="preserve">C EUROSTAR LIT                </v>
          </cell>
          <cell r="B116">
            <v>28.3</v>
          </cell>
          <cell r="C116">
            <v>0</v>
          </cell>
          <cell r="D116">
            <v>28.3</v>
          </cell>
          <cell r="E116">
            <v>28.3</v>
          </cell>
          <cell r="F116">
            <v>0</v>
          </cell>
          <cell r="G116">
            <v>311.86599999999999</v>
          </cell>
        </row>
        <row r="117">
          <cell r="A117" t="str">
            <v xml:space="preserve">C XJ R&amp;LB/ LBL                </v>
          </cell>
          <cell r="B117">
            <v>316.3</v>
          </cell>
          <cell r="C117">
            <v>276.88</v>
          </cell>
          <cell r="D117">
            <v>-9.441176470588232</v>
          </cell>
          <cell r="E117">
            <v>39.420000000000016</v>
          </cell>
          <cell r="F117">
            <v>0.87537148276952259</v>
          </cell>
          <cell r="G117">
            <v>-104.04176470588231</v>
          </cell>
        </row>
        <row r="118">
          <cell r="A118" t="str">
            <v xml:space="preserve">C XJ R&amp;LHL/LBL                </v>
          </cell>
          <cell r="B118">
            <v>2017.3</v>
          </cell>
          <cell r="C118">
            <v>1714.79</v>
          </cell>
          <cell r="D118">
            <v>-0.10000000000013642</v>
          </cell>
          <cell r="E118">
            <v>302.51</v>
          </cell>
          <cell r="F118">
            <v>0.85004213552768548</v>
          </cell>
          <cell r="G118">
            <v>-1.1020000000015033</v>
          </cell>
        </row>
        <row r="119">
          <cell r="A119" t="str">
            <v xml:space="preserve">C XJ RHB-W/O LBL              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 t="str">
            <v>-</v>
          </cell>
          <cell r="G119">
            <v>0</v>
          </cell>
        </row>
        <row r="120">
          <cell r="A120" t="str">
            <v xml:space="preserve">C XJ RHL-W/O LBL              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 t="str">
            <v>-</v>
          </cell>
          <cell r="G120">
            <v>0</v>
          </cell>
        </row>
        <row r="121">
          <cell r="A121" t="str">
            <v>TOTAL SNAP TECH # 4</v>
          </cell>
          <cell r="B121">
            <v>2361.9</v>
          </cell>
          <cell r="C121">
            <v>1991.67</v>
          </cell>
          <cell r="D121">
            <v>18.758823529411529</v>
          </cell>
          <cell r="E121">
            <v>370.23</v>
          </cell>
          <cell r="F121">
            <v>0.84324907913120795</v>
          </cell>
          <cell r="G121">
            <v>206.72223529411505</v>
          </cell>
        </row>
        <row r="122">
          <cell r="D122">
            <v>0</v>
          </cell>
          <cell r="E122">
            <v>0</v>
          </cell>
          <cell r="F122" t="e">
            <v>#DIV/0!</v>
          </cell>
          <cell r="G122">
            <v>0</v>
          </cell>
        </row>
        <row r="123">
          <cell r="A123" t="str">
            <v xml:space="preserve">F EN114 R&amp;LHB                 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 t="str">
            <v>-</v>
          </cell>
          <cell r="G123">
            <v>0</v>
          </cell>
        </row>
        <row r="124">
          <cell r="A124" t="str">
            <v xml:space="preserve">F EN114 RM                    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 t="str">
            <v>-</v>
          </cell>
          <cell r="G124">
            <v>0</v>
          </cell>
        </row>
        <row r="125">
          <cell r="A125" t="str">
            <v xml:space="preserve">G GM10O LM/1 LABEL            </v>
          </cell>
          <cell r="B125">
            <v>7.4</v>
          </cell>
          <cell r="C125">
            <v>1.67</v>
          </cell>
          <cell r="D125">
            <v>5.4352941176470591</v>
          </cell>
          <cell r="E125">
            <v>5.73</v>
          </cell>
          <cell r="F125">
            <v>0.22567567567567565</v>
          </cell>
          <cell r="G125">
            <v>59.896941176470591</v>
          </cell>
        </row>
        <row r="126">
          <cell r="A126" t="str">
            <v xml:space="preserve">G GM10O RU/2 LBL              </v>
          </cell>
          <cell r="B126">
            <v>0</v>
          </cell>
          <cell r="C126">
            <v>0.96</v>
          </cell>
          <cell r="D126">
            <v>-1.1294117647058823</v>
          </cell>
          <cell r="E126">
            <v>-0.96</v>
          </cell>
          <cell r="F126" t="str">
            <v>-</v>
          </cell>
          <cell r="G126">
            <v>-12.446117647058824</v>
          </cell>
        </row>
        <row r="127">
          <cell r="A127" t="str">
            <v xml:space="preserve">G GM10P LU/1 LABEL            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 t="str">
            <v>-</v>
          </cell>
          <cell r="G127">
            <v>0</v>
          </cell>
        </row>
        <row r="128">
          <cell r="A128" t="str">
            <v xml:space="preserve">G GM10P RB/2 LBL              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 t="str">
            <v>-</v>
          </cell>
          <cell r="G128">
            <v>0</v>
          </cell>
        </row>
        <row r="129">
          <cell r="A129" t="str">
            <v xml:space="preserve">G GM10P RU/2 LBL              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 t="str">
            <v>-</v>
          </cell>
          <cell r="G129">
            <v>0</v>
          </cell>
        </row>
        <row r="130">
          <cell r="A130" t="str">
            <v xml:space="preserve">G GM300 LHU/1 LBL             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 t="str">
            <v>-</v>
          </cell>
          <cell r="G130">
            <v>0</v>
          </cell>
        </row>
        <row r="131">
          <cell r="A131" t="str">
            <v xml:space="preserve">G GM300 RHU/2 LBL             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 t="str">
            <v>-</v>
          </cell>
          <cell r="G131">
            <v>0</v>
          </cell>
        </row>
        <row r="132">
          <cell r="A132" t="str">
            <v xml:space="preserve">S/T                           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 t="str">
            <v>-</v>
          </cell>
          <cell r="G132">
            <v>0</v>
          </cell>
        </row>
        <row r="133">
          <cell r="A133" t="str">
            <v>TOTAL UNLIT SNAP # 1</v>
          </cell>
          <cell r="B133">
            <v>7.4</v>
          </cell>
          <cell r="C133">
            <v>2.63</v>
          </cell>
          <cell r="D133">
            <v>4.3058823529411772</v>
          </cell>
          <cell r="E133">
            <v>4.7700000000000005</v>
          </cell>
          <cell r="F133">
            <v>0.35540540540540538</v>
          </cell>
          <cell r="G133">
            <v>47.450823529411771</v>
          </cell>
        </row>
        <row r="134">
          <cell r="D134">
            <v>0</v>
          </cell>
          <cell r="E134">
            <v>0</v>
          </cell>
          <cell r="F134" t="e">
            <v>#DIV/0!</v>
          </cell>
          <cell r="G134">
            <v>0</v>
          </cell>
        </row>
        <row r="135">
          <cell r="A135" t="str">
            <v>TOTAL SNAP</v>
          </cell>
          <cell r="B135">
            <v>11193.3</v>
          </cell>
          <cell r="C135">
            <v>10146.069999999998</v>
          </cell>
          <cell r="D135">
            <v>-743.2529411764699</v>
          </cell>
          <cell r="E135">
            <v>1047.2300000000014</v>
          </cell>
          <cell r="F135">
            <v>0.90644135330956899</v>
          </cell>
          <cell r="G135">
            <v>-8190.6474117646976</v>
          </cell>
        </row>
        <row r="136">
          <cell r="A136" t="str">
            <v xml:space="preserve">C P/L LH STD COV- PO          </v>
          </cell>
          <cell r="B136">
            <v>707.6</v>
          </cell>
          <cell r="C136">
            <v>577.5</v>
          </cell>
          <cell r="D136">
            <v>28.188235294117703</v>
          </cell>
          <cell r="E136">
            <v>130.10000000000002</v>
          </cell>
          <cell r="F136">
            <v>0.81613906161673255</v>
          </cell>
          <cell r="G136">
            <v>310.6343529411771</v>
          </cell>
        </row>
        <row r="137">
          <cell r="A137" t="str">
            <v xml:space="preserve">C P/L LHB - POLYPRO           </v>
          </cell>
          <cell r="B137">
            <v>490.9</v>
          </cell>
          <cell r="C137">
            <v>614.49</v>
          </cell>
          <cell r="D137">
            <v>-232.02941176470597</v>
          </cell>
          <cell r="E137">
            <v>-123.59000000000003</v>
          </cell>
          <cell r="F137">
            <v>1.251762069667957</v>
          </cell>
          <cell r="G137">
            <v>-2556.9641176470595</v>
          </cell>
        </row>
        <row r="138">
          <cell r="A138" t="str">
            <v xml:space="preserve">C P/L R&amp;LHL-POLYPRO           </v>
          </cell>
          <cell r="B138">
            <v>414.4</v>
          </cell>
          <cell r="C138">
            <v>352.26</v>
          </cell>
          <cell r="D138">
            <v>-2.3529411764741326E-2</v>
          </cell>
          <cell r="E138">
            <v>62.139999999999986</v>
          </cell>
          <cell r="F138">
            <v>0.8500482625482626</v>
          </cell>
          <cell r="G138">
            <v>-0.25929411764744942</v>
          </cell>
        </row>
        <row r="139">
          <cell r="A139" t="str">
            <v xml:space="preserve">C P/L RH EXP. - POLY          </v>
          </cell>
          <cell r="B139">
            <v>32.4</v>
          </cell>
          <cell r="C139">
            <v>59.26</v>
          </cell>
          <cell r="D139">
            <v>-37.317647058823532</v>
          </cell>
          <cell r="E139">
            <v>-26.86</v>
          </cell>
          <cell r="F139">
            <v>1.8290123456790124</v>
          </cell>
          <cell r="G139">
            <v>-411.24047058823533</v>
          </cell>
        </row>
        <row r="140">
          <cell r="A140" t="str">
            <v xml:space="preserve">J JAG X-300 97.5              </v>
          </cell>
          <cell r="B140">
            <v>41.8</v>
          </cell>
          <cell r="C140">
            <v>21.12</v>
          </cell>
          <cell r="D140">
            <v>16.952941176470585</v>
          </cell>
          <cell r="E140">
            <v>20.679999999999996</v>
          </cell>
          <cell r="F140">
            <v>0.50526315789473686</v>
          </cell>
          <cell r="G140">
            <v>186.82141176470583</v>
          </cell>
        </row>
        <row r="141">
          <cell r="A141" t="str">
            <v>TOTAL T/F # 10</v>
          </cell>
          <cell r="B141">
            <v>1687.1000000000001</v>
          </cell>
          <cell r="C141">
            <v>1624.6299999999999</v>
          </cell>
          <cell r="D141">
            <v>-224.22941176470567</v>
          </cell>
          <cell r="E141">
            <v>62.470000000000255</v>
          </cell>
          <cell r="F141">
            <v>0.96297196372473459</v>
          </cell>
          <cell r="G141">
            <v>-2471.0081176470562</v>
          </cell>
        </row>
        <row r="142">
          <cell r="D142">
            <v>0</v>
          </cell>
          <cell r="E142">
            <v>0</v>
          </cell>
          <cell r="F142" t="e">
            <v>#DIV/0!</v>
          </cell>
          <cell r="G142">
            <v>0</v>
          </cell>
        </row>
        <row r="143">
          <cell r="A143" t="str">
            <v xml:space="preserve">C BR R&amp;LHL                    </v>
          </cell>
          <cell r="B143">
            <v>445.6</v>
          </cell>
          <cell r="C143">
            <v>550.14</v>
          </cell>
          <cell r="D143">
            <v>-201.62352941176471</v>
          </cell>
          <cell r="E143">
            <v>-104.53999999999996</v>
          </cell>
          <cell r="F143">
            <v>1.234605026929982</v>
          </cell>
          <cell r="G143">
            <v>-2221.8912941176468</v>
          </cell>
        </row>
        <row r="144">
          <cell r="A144" t="str">
            <v xml:space="preserve">C LH LHL W/ HMLK              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e">
            <v>#DIV/0!</v>
          </cell>
          <cell r="G144">
            <v>0</v>
          </cell>
        </row>
        <row r="145">
          <cell r="A145" t="str">
            <v xml:space="preserve">C ZJ R&amp;LHL W/EXT              </v>
          </cell>
          <cell r="B145">
            <v>679</v>
          </cell>
          <cell r="C145">
            <v>825.62</v>
          </cell>
          <cell r="D145">
            <v>-292.31764705882358</v>
          </cell>
          <cell r="E145">
            <v>-146.62</v>
          </cell>
          <cell r="F145">
            <v>1.2159351988217968</v>
          </cell>
          <cell r="G145">
            <v>-3221.3404705882358</v>
          </cell>
        </row>
        <row r="146">
          <cell r="A146" t="str">
            <v xml:space="preserve">C ZJ96 W/HMLK                 </v>
          </cell>
          <cell r="B146">
            <v>715.2</v>
          </cell>
          <cell r="C146">
            <v>613.95000000000005</v>
          </cell>
          <cell r="D146">
            <v>-7.0941176470588516</v>
          </cell>
          <cell r="E146">
            <v>101.25</v>
          </cell>
          <cell r="F146">
            <v>0.85843120805369133</v>
          </cell>
          <cell r="G146">
            <v>-78.177176470588549</v>
          </cell>
        </row>
        <row r="147">
          <cell r="A147" t="str">
            <v xml:space="preserve">G FLEETWOOD LHL               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 t="e">
            <v>#DIV/0!</v>
          </cell>
          <cell r="G147">
            <v>0</v>
          </cell>
        </row>
        <row r="148">
          <cell r="A148" t="str">
            <v xml:space="preserve">G FLEETWOOD RHL/LBL           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 t="e">
            <v>#DIV/0!</v>
          </cell>
          <cell r="G148">
            <v>0</v>
          </cell>
        </row>
        <row r="149">
          <cell r="A149" t="str">
            <v xml:space="preserve">G GM300 LHB W/LBL             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 t="e">
            <v>#DIV/0!</v>
          </cell>
          <cell r="G149">
            <v>0</v>
          </cell>
        </row>
        <row r="150">
          <cell r="A150" t="str">
            <v>TOTAL T/F # 13</v>
          </cell>
          <cell r="B150">
            <v>1839.8</v>
          </cell>
          <cell r="C150">
            <v>1989.71</v>
          </cell>
          <cell r="D150">
            <v>-501.03529411764725</v>
          </cell>
          <cell r="E150">
            <v>-149.91000000000008</v>
          </cell>
          <cell r="F150">
            <v>1.0814816827916078</v>
          </cell>
          <cell r="G150">
            <v>-5521.4089411764726</v>
          </cell>
        </row>
        <row r="152">
          <cell r="A152" t="str">
            <v xml:space="preserve">C N/S R&amp;LHL W/LBL             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 t="e">
            <v>#DIV/0!</v>
          </cell>
          <cell r="G152">
            <v>0</v>
          </cell>
        </row>
        <row r="153">
          <cell r="A153" t="str">
            <v xml:space="preserve">C NS97                        </v>
          </cell>
          <cell r="B153">
            <v>5801.6</v>
          </cell>
          <cell r="C153">
            <v>6074.77</v>
          </cell>
          <cell r="D153">
            <v>-1345.1882352941184</v>
          </cell>
          <cell r="E153">
            <v>-273.17000000000007</v>
          </cell>
          <cell r="F153">
            <v>1.0470852868174296</v>
          </cell>
          <cell r="G153">
            <v>-14823.974352941184</v>
          </cell>
        </row>
        <row r="154">
          <cell r="A154" t="str">
            <v>TOTAL T/F # 8</v>
          </cell>
          <cell r="B154">
            <v>5801.6</v>
          </cell>
          <cell r="C154">
            <v>6074.77</v>
          </cell>
          <cell r="D154">
            <v>-1345.1882352941184</v>
          </cell>
          <cell r="E154">
            <v>-273.17000000000007</v>
          </cell>
          <cell r="F154">
            <v>1.0470852868174296</v>
          </cell>
          <cell r="G154">
            <v>-14823.974352941184</v>
          </cell>
        </row>
        <row r="155">
          <cell r="D155">
            <v>0</v>
          </cell>
          <cell r="E155">
            <v>0</v>
          </cell>
          <cell r="F155" t="e">
            <v>#DIV/0!</v>
          </cell>
          <cell r="G155">
            <v>0</v>
          </cell>
        </row>
        <row r="156">
          <cell r="A156" t="str">
            <v xml:space="preserve">G M/L VAN AUX                 </v>
          </cell>
          <cell r="B156">
            <v>286.89999999999998</v>
          </cell>
          <cell r="C156">
            <v>164.62</v>
          </cell>
          <cell r="D156">
            <v>93.229411764705844</v>
          </cell>
          <cell r="E156">
            <v>122.27999999999997</v>
          </cell>
          <cell r="F156">
            <v>0.57378877657720462</v>
          </cell>
          <cell r="G156">
            <v>1027.3881176470584</v>
          </cell>
        </row>
        <row r="157">
          <cell r="A157" t="str">
            <v xml:space="preserve">G ML-VAN BLANK                </v>
          </cell>
          <cell r="B157">
            <v>480.2</v>
          </cell>
          <cell r="C157">
            <v>264.70999999999998</v>
          </cell>
          <cell r="D157">
            <v>168.77647058823533</v>
          </cell>
          <cell r="E157">
            <v>215.49</v>
          </cell>
          <cell r="F157">
            <v>0.55124947938359015</v>
          </cell>
          <cell r="G157">
            <v>1859.9167058823532</v>
          </cell>
        </row>
        <row r="158">
          <cell r="A158" t="str">
            <v xml:space="preserve">G ML-VAN LIT                  </v>
          </cell>
          <cell r="B158">
            <v>1609.8</v>
          </cell>
          <cell r="C158">
            <v>1073.94</v>
          </cell>
          <cell r="D158">
            <v>346.34117647058815</v>
          </cell>
          <cell r="E158">
            <v>535.8599999999999</v>
          </cell>
          <cell r="F158">
            <v>0.66712635109951557</v>
          </cell>
          <cell r="G158">
            <v>3816.6797647058811</v>
          </cell>
        </row>
        <row r="159">
          <cell r="A159" t="str">
            <v xml:space="preserve">G ML-VAN UNLIT                </v>
          </cell>
          <cell r="B159">
            <v>862.3</v>
          </cell>
          <cell r="C159">
            <v>618.25</v>
          </cell>
          <cell r="D159">
            <v>134.94705882352935</v>
          </cell>
          <cell r="E159">
            <v>244.04999999999995</v>
          </cell>
          <cell r="F159">
            <v>0.71697784993621716</v>
          </cell>
          <cell r="G159">
            <v>1487.1165882352934</v>
          </cell>
        </row>
        <row r="160">
          <cell r="A160" t="str">
            <v>TOTAL ML-Van</v>
          </cell>
          <cell r="B160">
            <v>3239.2</v>
          </cell>
          <cell r="C160">
            <v>2121.52</v>
          </cell>
          <cell r="D160">
            <v>743.29411764705856</v>
          </cell>
          <cell r="E160">
            <v>1117.6799999999998</v>
          </cell>
          <cell r="F160">
            <v>0.65495183996048412</v>
          </cell>
          <cell r="G160">
            <v>8191.1011764705854</v>
          </cell>
        </row>
        <row r="162">
          <cell r="A162" t="str">
            <v xml:space="preserve">B BMW E36/7 R&amp;LHB             </v>
          </cell>
          <cell r="B162">
            <v>336.8</v>
          </cell>
          <cell r="C162">
            <v>400.4</v>
          </cell>
          <cell r="D162">
            <v>-134.25882352941176</v>
          </cell>
          <cell r="E162">
            <v>-63.599999999999966</v>
          </cell>
          <cell r="F162">
            <v>1.188836104513064</v>
          </cell>
          <cell r="G162">
            <v>-1479.5322352941175</v>
          </cell>
        </row>
        <row r="163">
          <cell r="A163" t="str">
            <v xml:space="preserve">B BMW E36/7 R&amp;LHRM            </v>
          </cell>
          <cell r="B163">
            <v>368.8</v>
          </cell>
          <cell r="C163">
            <v>217.1</v>
          </cell>
          <cell r="D163">
            <v>113.38823529411766</v>
          </cell>
          <cell r="E163">
            <v>151.70000000000002</v>
          </cell>
          <cell r="F163">
            <v>0.58866594360086766</v>
          </cell>
          <cell r="G163">
            <v>1249.5383529411765</v>
          </cell>
        </row>
        <row r="164">
          <cell r="A164" t="str">
            <v>TOTAL BMW</v>
          </cell>
          <cell r="B164">
            <v>705.6</v>
          </cell>
          <cell r="C164">
            <v>617.5</v>
          </cell>
          <cell r="D164">
            <v>-20.870588235294122</v>
          </cell>
          <cell r="E164">
            <v>88.100000000000023</v>
          </cell>
          <cell r="F164">
            <v>0.87514172335600904</v>
          </cell>
          <cell r="G164">
            <v>-229.9938823529412</v>
          </cell>
        </row>
        <row r="166">
          <cell r="A166" t="str">
            <v xml:space="preserve">F UN105 R&amp;LHL                 </v>
          </cell>
          <cell r="B166">
            <v>6865.08</v>
          </cell>
          <cell r="C166">
            <v>7382.12</v>
          </cell>
          <cell r="D166">
            <v>-1819.7670588235287</v>
          </cell>
          <cell r="E166">
            <v>-517.04</v>
          </cell>
          <cell r="F166">
            <v>1.0753144901443246</v>
          </cell>
          <cell r="G166">
            <v>-20053.832988235285</v>
          </cell>
        </row>
        <row r="167">
          <cell r="A167" t="str">
            <v xml:space="preserve">F UN105 AUX                   </v>
          </cell>
          <cell r="B167">
            <v>944.9</v>
          </cell>
          <cell r="C167">
            <v>1009.48</v>
          </cell>
          <cell r="D167">
            <v>-242.72352941176484</v>
          </cell>
          <cell r="E167">
            <v>-64.580000000000041</v>
          </cell>
          <cell r="F167">
            <v>1.0683458567044133</v>
          </cell>
          <cell r="G167">
            <v>-2674.8132941176486</v>
          </cell>
        </row>
        <row r="168">
          <cell r="A168" t="str">
            <v>TOTAL UN105</v>
          </cell>
          <cell r="B168">
            <v>7809.98</v>
          </cell>
          <cell r="C168">
            <v>8391.6</v>
          </cell>
          <cell r="D168">
            <v>-2062.4905882352959</v>
          </cell>
          <cell r="E168">
            <v>-581.6200000000008</v>
          </cell>
          <cell r="F168">
            <v>1.0744713814888132</v>
          </cell>
          <cell r="G168">
            <v>-22728.646282352962</v>
          </cell>
        </row>
        <row r="169">
          <cell r="D169">
            <v>0</v>
          </cell>
          <cell r="E169">
            <v>0</v>
          </cell>
          <cell r="F169" t="e">
            <v>#DIV/0!</v>
          </cell>
          <cell r="G169">
            <v>0</v>
          </cell>
        </row>
        <row r="170">
          <cell r="A170" t="str">
            <v xml:space="preserve">F FN116 AUX                   </v>
          </cell>
          <cell r="B170">
            <v>241.4</v>
          </cell>
          <cell r="C170">
            <v>184.06</v>
          </cell>
          <cell r="D170">
            <v>24.858823529411751</v>
          </cell>
          <cell r="E170">
            <v>57.34</v>
          </cell>
          <cell r="F170">
            <v>0.76246893123446557</v>
          </cell>
          <cell r="G170">
            <v>273.9442352941175</v>
          </cell>
        </row>
        <row r="171">
          <cell r="A171" t="str">
            <v xml:space="preserve">F FN116 LH UGDO               </v>
          </cell>
          <cell r="B171">
            <v>499.1</v>
          </cell>
          <cell r="C171">
            <v>307.07</v>
          </cell>
          <cell r="D171">
            <v>137.84117647058827</v>
          </cell>
          <cell r="E171">
            <v>192.03000000000003</v>
          </cell>
          <cell r="F171">
            <v>0.61524744540172305</v>
          </cell>
          <cell r="G171">
            <v>1519.0097647058826</v>
          </cell>
        </row>
        <row r="172">
          <cell r="A172" t="str">
            <v xml:space="preserve">F FN116 R&amp;LHL/CVRLBL          </v>
          </cell>
          <cell r="B172">
            <v>1316.5</v>
          </cell>
          <cell r="C172">
            <v>922.55</v>
          </cell>
          <cell r="D172">
            <v>231.14705882352951</v>
          </cell>
          <cell r="E172">
            <v>393.95000000000005</v>
          </cell>
          <cell r="F172">
            <v>0.70075958982149633</v>
          </cell>
          <cell r="G172">
            <v>2547.240588235295</v>
          </cell>
        </row>
        <row r="173">
          <cell r="A173" t="str">
            <v>TOTAL FN116</v>
          </cell>
          <cell r="B173">
            <v>2057</v>
          </cell>
          <cell r="C173">
            <v>1413.6799999999998</v>
          </cell>
          <cell r="D173">
            <v>393.84705882352955</v>
          </cell>
          <cell r="E173">
            <v>643.32000000000016</v>
          </cell>
          <cell r="F173">
            <v>0.68725328147788034</v>
          </cell>
          <cell r="G173">
            <v>4340.1945882352957</v>
          </cell>
        </row>
        <row r="174">
          <cell r="D174">
            <v>0</v>
          </cell>
          <cell r="E174">
            <v>0</v>
          </cell>
          <cell r="F174" t="e">
            <v>#DIV/0!</v>
          </cell>
          <cell r="G174">
            <v>0</v>
          </cell>
        </row>
        <row r="175">
          <cell r="A175" t="str">
            <v xml:space="preserve">F DN101 LIT ELITE             </v>
          </cell>
          <cell r="B175">
            <v>838.3</v>
          </cell>
          <cell r="C175">
            <v>554.17999999999995</v>
          </cell>
          <cell r="D175">
            <v>186.32352941176475</v>
          </cell>
          <cell r="E175">
            <v>284.12</v>
          </cell>
          <cell r="F175">
            <v>0.66107598711678395</v>
          </cell>
          <cell r="G175">
            <v>2053.2852941176475</v>
          </cell>
        </row>
        <row r="176">
          <cell r="A176" t="str">
            <v xml:space="preserve">F DN101 AUX                   </v>
          </cell>
          <cell r="B176">
            <v>44</v>
          </cell>
          <cell r="C176">
            <v>77.510000000000005</v>
          </cell>
          <cell r="D176">
            <v>-47.188235294117661</v>
          </cell>
          <cell r="E176">
            <v>-33.510000000000005</v>
          </cell>
          <cell r="F176">
            <v>1.7615909090909092</v>
          </cell>
          <cell r="G176">
            <v>-520.01435294117664</v>
          </cell>
        </row>
        <row r="177">
          <cell r="A177" t="str">
            <v>TOTAL DN101 ELITE</v>
          </cell>
          <cell r="B177">
            <v>882.3</v>
          </cell>
          <cell r="C177">
            <v>631.68999999999994</v>
          </cell>
          <cell r="D177">
            <v>139.13529411764705</v>
          </cell>
          <cell r="E177">
            <v>250.61</v>
          </cell>
          <cell r="F177">
            <v>0.71595829083078311</v>
          </cell>
          <cell r="G177">
            <v>1533.2709411764704</v>
          </cell>
        </row>
        <row r="179">
          <cell r="A179" t="str">
            <v xml:space="preserve">F WINN88 LIT W/O AUX          </v>
          </cell>
          <cell r="B179">
            <v>893.7</v>
          </cell>
          <cell r="C179">
            <v>476.54</v>
          </cell>
          <cell r="D179">
            <v>333.064705882353</v>
          </cell>
          <cell r="E179">
            <v>417.16</v>
          </cell>
          <cell r="F179">
            <v>0.53322143896162022</v>
          </cell>
          <cell r="G179">
            <v>3670.3730588235298</v>
          </cell>
        </row>
        <row r="180">
          <cell r="A180" t="str">
            <v xml:space="preserve">F WINN88 W/HMLK               </v>
          </cell>
          <cell r="B180">
            <v>602.79999999999995</v>
          </cell>
          <cell r="C180">
            <v>370.22</v>
          </cell>
          <cell r="D180">
            <v>167.2470588235293</v>
          </cell>
          <cell r="E180">
            <v>232.57999999999993</v>
          </cell>
          <cell r="F180">
            <v>0.61416721964167231</v>
          </cell>
          <cell r="G180">
            <v>1843.0625882352929</v>
          </cell>
        </row>
        <row r="181">
          <cell r="A181" t="str">
            <v xml:space="preserve">F WIN88 LHU W/MAP             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 t="str">
            <v>-</v>
          </cell>
          <cell r="G181">
            <v>0</v>
          </cell>
        </row>
        <row r="182">
          <cell r="A182" t="str">
            <v xml:space="preserve">F WIN88 R&amp;LHL                 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 t="str">
            <v>-</v>
          </cell>
          <cell r="G182">
            <v>0</v>
          </cell>
        </row>
        <row r="183">
          <cell r="A183" t="str">
            <v xml:space="preserve">F WIN88 RHU                   </v>
          </cell>
          <cell r="B183">
            <v>1</v>
          </cell>
          <cell r="C183">
            <v>0</v>
          </cell>
          <cell r="D183">
            <v>1</v>
          </cell>
          <cell r="E183">
            <v>1</v>
          </cell>
          <cell r="F183">
            <v>0</v>
          </cell>
          <cell r="G183">
            <v>11.02</v>
          </cell>
        </row>
        <row r="184">
          <cell r="A184" t="str">
            <v>TOTAL WIN88</v>
          </cell>
          <cell r="B184">
            <v>1497.5</v>
          </cell>
          <cell r="C184">
            <v>846.76</v>
          </cell>
          <cell r="D184">
            <v>501.3117647058823</v>
          </cell>
          <cell r="E184">
            <v>650.74</v>
          </cell>
          <cell r="F184">
            <v>0.56544908180300502</v>
          </cell>
          <cell r="G184">
            <v>5524.4556470588223</v>
          </cell>
        </row>
        <row r="186">
          <cell r="A186" t="str">
            <v>TOTAL H/S &amp; ELITE</v>
          </cell>
          <cell r="B186">
            <v>27057.48</v>
          </cell>
          <cell r="C186">
            <v>25018.44</v>
          </cell>
          <cell r="D186">
            <v>-2375.9788235294109</v>
          </cell>
          <cell r="E186">
            <v>2039.0400000000009</v>
          </cell>
          <cell r="F186">
            <v>0.92464043214667435</v>
          </cell>
          <cell r="G186">
            <v>-26183.286635294106</v>
          </cell>
        </row>
        <row r="187">
          <cell r="A187" t="str">
            <v xml:space="preserve">N LQ LL                       </v>
          </cell>
          <cell r="B187">
            <v>220.7</v>
          </cell>
          <cell r="C187">
            <v>177.31</v>
          </cell>
          <cell r="D187">
            <v>12.099999999999994</v>
          </cell>
          <cell r="E187">
            <v>43.389999999999986</v>
          </cell>
          <cell r="F187">
            <v>0.80339827820570919</v>
          </cell>
          <cell r="G187">
            <v>133.34199999999993</v>
          </cell>
        </row>
        <row r="188">
          <cell r="A188" t="str">
            <v xml:space="preserve">N LQ LU                       </v>
          </cell>
          <cell r="B188">
            <v>225</v>
          </cell>
          <cell r="C188">
            <v>155.34</v>
          </cell>
          <cell r="D188">
            <v>42.247058823529414</v>
          </cell>
          <cell r="E188">
            <v>69.66</v>
          </cell>
          <cell r="F188">
            <v>0.69040000000000001</v>
          </cell>
          <cell r="G188">
            <v>465.56258823529413</v>
          </cell>
        </row>
        <row r="189">
          <cell r="A189" t="str">
            <v xml:space="preserve">N LQ RB EXP                   </v>
          </cell>
          <cell r="B189">
            <v>6.7</v>
          </cell>
          <cell r="C189">
            <v>0</v>
          </cell>
          <cell r="D189">
            <v>6.7</v>
          </cell>
          <cell r="E189">
            <v>6.7</v>
          </cell>
          <cell r="F189">
            <v>0</v>
          </cell>
          <cell r="G189">
            <v>73.834000000000003</v>
          </cell>
        </row>
        <row r="190">
          <cell r="A190" t="str">
            <v xml:space="preserve">N LQ RB W/STRAP               </v>
          </cell>
          <cell r="B190">
            <v>24.8</v>
          </cell>
          <cell r="C190">
            <v>0.51</v>
          </cell>
          <cell r="D190">
            <v>24.2</v>
          </cell>
          <cell r="E190">
            <v>24.29</v>
          </cell>
          <cell r="F190">
            <v>2.0564516129032259E-2</v>
          </cell>
          <cell r="G190">
            <v>266.68399999999997</v>
          </cell>
        </row>
        <row r="191">
          <cell r="A191" t="str">
            <v xml:space="preserve">N LQ RU W/STRAP               </v>
          </cell>
          <cell r="B191">
            <v>384.5</v>
          </cell>
          <cell r="C191">
            <v>208.32</v>
          </cell>
          <cell r="D191">
            <v>139.41764705882352</v>
          </cell>
          <cell r="E191">
            <v>176.18</v>
          </cell>
          <cell r="F191">
            <v>0.54179453836150848</v>
          </cell>
          <cell r="G191">
            <v>1536.382470588235</v>
          </cell>
        </row>
        <row r="192">
          <cell r="A192" t="str">
            <v xml:space="preserve">N LQ RL W/STRAP               </v>
          </cell>
          <cell r="B192">
            <v>504.4</v>
          </cell>
          <cell r="C192">
            <v>320.35000000000002</v>
          </cell>
          <cell r="D192">
            <v>127.51764705882346</v>
          </cell>
          <cell r="E192">
            <v>184.04999999999995</v>
          </cell>
          <cell r="F192">
            <v>0.63511102299762101</v>
          </cell>
          <cell r="G192">
            <v>1405.2444705882344</v>
          </cell>
        </row>
        <row r="193">
          <cell r="A193" t="str">
            <v>TOTAL LQ</v>
          </cell>
          <cell r="B193">
            <v>1366.1</v>
          </cell>
          <cell r="C193">
            <v>861.83</v>
          </cell>
          <cell r="D193">
            <v>352.1823529411763</v>
          </cell>
          <cell r="E193">
            <v>504.26999999999987</v>
          </cell>
          <cell r="F193">
            <v>0.63086889685967362</v>
          </cell>
          <cell r="G193">
            <v>3881.0495294117627</v>
          </cell>
        </row>
        <row r="194">
          <cell r="D194">
            <v>0</v>
          </cell>
          <cell r="E194">
            <v>0</v>
          </cell>
          <cell r="F194" t="e">
            <v>#DIV/0!</v>
          </cell>
          <cell r="G194">
            <v>0</v>
          </cell>
        </row>
        <row r="195">
          <cell r="A195" t="str">
            <v xml:space="preserve">N WX AUX                      </v>
          </cell>
          <cell r="B195">
            <v>287.7</v>
          </cell>
          <cell r="C195">
            <v>185.47</v>
          </cell>
          <cell r="D195">
            <v>69.499999999999972</v>
          </cell>
          <cell r="E195">
            <v>102.22999999999999</v>
          </cell>
          <cell r="F195">
            <v>0.6446645811609315</v>
          </cell>
          <cell r="G195">
            <v>765.88999999999965</v>
          </cell>
        </row>
        <row r="196">
          <cell r="A196" t="str">
            <v xml:space="preserve">N WX LHL W/UGDO               </v>
          </cell>
          <cell r="B196">
            <v>1782.6</v>
          </cell>
          <cell r="C196">
            <v>1203.04</v>
          </cell>
          <cell r="D196">
            <v>367.25882352941176</v>
          </cell>
          <cell r="E196">
            <v>579.55999999999995</v>
          </cell>
          <cell r="F196">
            <v>0.67487938965555927</v>
          </cell>
          <cell r="G196">
            <v>4047.1922352941174</v>
          </cell>
        </row>
        <row r="197">
          <cell r="A197" t="str">
            <v xml:space="preserve">N WX R&amp;LHB                    </v>
          </cell>
          <cell r="B197">
            <v>596.70000000000005</v>
          </cell>
          <cell r="C197">
            <v>587.29</v>
          </cell>
          <cell r="D197">
            <v>-94.229411764705787</v>
          </cell>
          <cell r="E197">
            <v>9.4100000000000819</v>
          </cell>
          <cell r="F197">
            <v>0.98422993128875469</v>
          </cell>
          <cell r="G197">
            <v>-1038.4081176470577</v>
          </cell>
        </row>
        <row r="198">
          <cell r="A198" t="str">
            <v xml:space="preserve">N WX R&amp;LHL                    </v>
          </cell>
          <cell r="B198">
            <v>291.3</v>
          </cell>
          <cell r="C198">
            <v>106.72</v>
          </cell>
          <cell r="D198">
            <v>165.74705882352941</v>
          </cell>
          <cell r="E198">
            <v>184.58</v>
          </cell>
          <cell r="F198">
            <v>0.36635770683144525</v>
          </cell>
          <cell r="G198">
            <v>1826.532588235294</v>
          </cell>
        </row>
        <row r="199">
          <cell r="A199" t="str">
            <v xml:space="preserve">N WX R&amp;LHL W/AUX              </v>
          </cell>
          <cell r="B199">
            <v>1467.5</v>
          </cell>
          <cell r="C199">
            <v>983.49</v>
          </cell>
          <cell r="D199">
            <v>310.45294117647063</v>
          </cell>
          <cell r="E199">
            <v>484.01</v>
          </cell>
          <cell r="F199">
            <v>0.67018057921635432</v>
          </cell>
          <cell r="G199">
            <v>3421.1914117647061</v>
          </cell>
        </row>
        <row r="200">
          <cell r="A200" t="str">
            <v xml:space="preserve">N WX R&amp;LHU                    </v>
          </cell>
          <cell r="B200">
            <v>581.70000000000005</v>
          </cell>
          <cell r="C200">
            <v>556.66</v>
          </cell>
          <cell r="D200">
            <v>-73.194117647058761</v>
          </cell>
          <cell r="E200">
            <v>25.040000000000077</v>
          </cell>
          <cell r="F200">
            <v>0.9569537562317344</v>
          </cell>
          <cell r="G200">
            <v>-806.59917647058751</v>
          </cell>
        </row>
        <row r="201">
          <cell r="A201" t="str">
            <v>TOTAL WX</v>
          </cell>
          <cell r="B201">
            <v>5007.5</v>
          </cell>
          <cell r="C201">
            <v>3622.67</v>
          </cell>
          <cell r="D201">
            <v>745.53529411764703</v>
          </cell>
          <cell r="E201">
            <v>1384.83</v>
          </cell>
          <cell r="F201">
            <v>0.72344882675986022</v>
          </cell>
          <cell r="G201">
            <v>8215.7989411764702</v>
          </cell>
        </row>
        <row r="203">
          <cell r="A203" t="str">
            <v xml:space="preserve">N LK AUX                      </v>
          </cell>
          <cell r="B203">
            <v>73.2</v>
          </cell>
          <cell r="C203">
            <v>46.62</v>
          </cell>
          <cell r="D203">
            <v>18.352941176470594</v>
          </cell>
          <cell r="E203">
            <v>26.580000000000005</v>
          </cell>
          <cell r="F203">
            <v>0.63688524590163931</v>
          </cell>
          <cell r="G203">
            <v>202.24941176470594</v>
          </cell>
        </row>
        <row r="204">
          <cell r="A204" t="str">
            <v xml:space="preserve">N LK HMLK                     </v>
          </cell>
          <cell r="B204">
            <v>818.4</v>
          </cell>
          <cell r="C204">
            <v>316.24</v>
          </cell>
          <cell r="D204">
            <v>446.35294117647055</v>
          </cell>
          <cell r="E204">
            <v>502.15999999999997</v>
          </cell>
          <cell r="F204">
            <v>0.38641251221896383</v>
          </cell>
          <cell r="G204">
            <v>4918.8094117647051</v>
          </cell>
        </row>
        <row r="205">
          <cell r="A205" t="str">
            <v xml:space="preserve">N LK LIT                      </v>
          </cell>
          <cell r="B205">
            <v>555.9</v>
          </cell>
          <cell r="C205">
            <v>153.85</v>
          </cell>
          <cell r="D205">
            <v>374.9</v>
          </cell>
          <cell r="E205">
            <v>402.04999999999995</v>
          </cell>
          <cell r="F205">
            <v>0.27675840978593275</v>
          </cell>
          <cell r="G205">
            <v>4131.3979999999992</v>
          </cell>
        </row>
        <row r="206">
          <cell r="A206" t="str">
            <v>TOTAL LK</v>
          </cell>
          <cell r="B206">
            <v>1447.5</v>
          </cell>
          <cell r="C206">
            <v>516.71</v>
          </cell>
          <cell r="D206">
            <v>839.60588235294108</v>
          </cell>
          <cell r="E206">
            <v>930.79</v>
          </cell>
          <cell r="F206">
            <v>0.35696718480138173</v>
          </cell>
          <cell r="G206">
            <v>9252.45682352941</v>
          </cell>
        </row>
        <row r="207">
          <cell r="D207">
            <v>0</v>
          </cell>
          <cell r="E207">
            <v>0</v>
          </cell>
          <cell r="F207" t="e">
            <v>#DIV/0!</v>
          </cell>
          <cell r="G207">
            <v>0</v>
          </cell>
        </row>
        <row r="208">
          <cell r="A208" t="str">
            <v xml:space="preserve">DSM F41 S/R RL                </v>
          </cell>
          <cell r="B208">
            <v>69.8</v>
          </cell>
          <cell r="C208">
            <v>37.270000000000003</v>
          </cell>
          <cell r="D208">
            <v>25.952941176470581</v>
          </cell>
          <cell r="E208">
            <v>32.529999999999994</v>
          </cell>
          <cell r="F208">
            <v>0.53395415472779373</v>
          </cell>
          <cell r="G208">
            <v>286.00141176470578</v>
          </cell>
        </row>
        <row r="209">
          <cell r="A209" t="str">
            <v xml:space="preserve">MMM F24S LB/HMELINK           </v>
          </cell>
          <cell r="B209">
            <v>226.2</v>
          </cell>
          <cell r="C209">
            <v>95.74</v>
          </cell>
          <cell r="D209">
            <v>113.56470588235294</v>
          </cell>
          <cell r="E209">
            <v>130.45999999999998</v>
          </cell>
          <cell r="F209">
            <v>0.42325375773651636</v>
          </cell>
          <cell r="G209">
            <v>1251.4830588235293</v>
          </cell>
        </row>
        <row r="210">
          <cell r="A210" t="str">
            <v xml:space="preserve">MMM F24S R&amp;LHL                </v>
          </cell>
          <cell r="B210">
            <v>333.4</v>
          </cell>
          <cell r="C210">
            <v>170.19</v>
          </cell>
          <cell r="D210">
            <v>133.17647058823528</v>
          </cell>
          <cell r="E210">
            <v>163.20999999999998</v>
          </cell>
          <cell r="F210">
            <v>0.51046790641871631</v>
          </cell>
          <cell r="G210">
            <v>1467.6047058823526</v>
          </cell>
        </row>
        <row r="211">
          <cell r="A211" t="str">
            <v xml:space="preserve">MMM F24S R&amp;LHU                </v>
          </cell>
          <cell r="B211">
            <v>569.79999999999995</v>
          </cell>
          <cell r="C211">
            <v>427.13</v>
          </cell>
          <cell r="D211">
            <v>67.294117647058783</v>
          </cell>
          <cell r="E211">
            <v>142.66999999999996</v>
          </cell>
          <cell r="F211">
            <v>0.74961389961389968</v>
          </cell>
          <cell r="G211">
            <v>741.58117647058782</v>
          </cell>
        </row>
        <row r="212">
          <cell r="A212" t="str">
            <v xml:space="preserve">MMM F28 LB/HMLK               </v>
          </cell>
          <cell r="B212">
            <v>106</v>
          </cell>
          <cell r="C212">
            <v>36.35</v>
          </cell>
          <cell r="D212">
            <v>63.235294117647058</v>
          </cell>
          <cell r="E212">
            <v>69.650000000000006</v>
          </cell>
          <cell r="F212">
            <v>0.3429245283018868</v>
          </cell>
          <cell r="G212">
            <v>696.85294117647061</v>
          </cell>
        </row>
        <row r="213">
          <cell r="A213" t="str">
            <v xml:space="preserve">MMM F28 R&amp;LHU                 </v>
          </cell>
          <cell r="B213">
            <v>77.2</v>
          </cell>
          <cell r="C213">
            <v>31.74</v>
          </cell>
          <cell r="D213">
            <v>39.858823529411765</v>
          </cell>
          <cell r="E213">
            <v>45.460000000000008</v>
          </cell>
          <cell r="F213">
            <v>0.41113989637305698</v>
          </cell>
          <cell r="G213">
            <v>439.24423529411763</v>
          </cell>
        </row>
        <row r="214">
          <cell r="A214" t="str">
            <v xml:space="preserve">MMM F41 RHB                   </v>
          </cell>
          <cell r="B214">
            <v>189.9</v>
          </cell>
          <cell r="C214">
            <v>115.63</v>
          </cell>
          <cell r="D214">
            <v>53.864705882352951</v>
          </cell>
          <cell r="E214">
            <v>74.27000000000001</v>
          </cell>
          <cell r="F214">
            <v>0.60889942074776193</v>
          </cell>
          <cell r="G214">
            <v>593.58905882352951</v>
          </cell>
        </row>
        <row r="215">
          <cell r="A215" t="str">
            <v xml:space="preserve">MMM F41 S/R UNLIT R&amp;          </v>
          </cell>
          <cell r="B215">
            <v>261.89999999999998</v>
          </cell>
          <cell r="C215">
            <v>257.72000000000003</v>
          </cell>
          <cell r="D215">
            <v>-41.300000000000068</v>
          </cell>
          <cell r="E215">
            <v>4.17999999999995</v>
          </cell>
          <cell r="F215">
            <v>0.98403970981290589</v>
          </cell>
          <cell r="G215">
            <v>-455.12600000000072</v>
          </cell>
        </row>
        <row r="216">
          <cell r="A216" t="str">
            <v xml:space="preserve">MMM F41 UGDO                  </v>
          </cell>
          <cell r="B216">
            <v>90.6</v>
          </cell>
          <cell r="C216">
            <v>32.92</v>
          </cell>
          <cell r="D216">
            <v>51.870588235294107</v>
          </cell>
          <cell r="E216">
            <v>57.679999999999993</v>
          </cell>
          <cell r="F216">
            <v>0.36335540838852104</v>
          </cell>
          <cell r="G216">
            <v>571.613882352941</v>
          </cell>
        </row>
        <row r="217">
          <cell r="A217" t="str">
            <v xml:space="preserve">MMM FJ22 LB/HMLNK             </v>
          </cell>
          <cell r="B217">
            <v>376.9</v>
          </cell>
          <cell r="C217">
            <v>197.82</v>
          </cell>
          <cell r="D217">
            <v>144.1705882352941</v>
          </cell>
          <cell r="E217">
            <v>179.07999999999998</v>
          </cell>
          <cell r="F217">
            <v>0.52486070575749533</v>
          </cell>
          <cell r="G217">
            <v>1588.7598823529411</v>
          </cell>
        </row>
        <row r="218">
          <cell r="A218" t="str">
            <v xml:space="preserve">MMM FJ22 R&amp;LHL                </v>
          </cell>
          <cell r="B218">
            <v>655.6</v>
          </cell>
          <cell r="C218">
            <v>497.94</v>
          </cell>
          <cell r="D218">
            <v>69.788235294117612</v>
          </cell>
          <cell r="E218">
            <v>157.66000000000003</v>
          </cell>
          <cell r="F218">
            <v>0.75951799877974369</v>
          </cell>
          <cell r="G218">
            <v>769.06635294117609</v>
          </cell>
        </row>
        <row r="219">
          <cell r="A219" t="str">
            <v xml:space="preserve">MMM FJ22 R&amp;LHU                </v>
          </cell>
          <cell r="B219">
            <v>192.1</v>
          </cell>
          <cell r="C219">
            <v>295.27</v>
          </cell>
          <cell r="D219">
            <v>-155.2764705882353</v>
          </cell>
          <cell r="E219">
            <v>-103.16999999999999</v>
          </cell>
          <cell r="F219">
            <v>1.5370640291514837</v>
          </cell>
          <cell r="G219">
            <v>-1711.146705882353</v>
          </cell>
        </row>
        <row r="220">
          <cell r="A220" t="str">
            <v>TOTAL T/F # 5</v>
          </cell>
          <cell r="B220">
            <v>3149.3999999999996</v>
          </cell>
          <cell r="C220">
            <v>2195.7200000000003</v>
          </cell>
          <cell r="D220">
            <v>566.19999999999936</v>
          </cell>
          <cell r="E220">
            <v>953.67999999999938</v>
          </cell>
          <cell r="F220">
            <v>0.69718676573315563</v>
          </cell>
          <cell r="G220">
            <v>6239.5239999999931</v>
          </cell>
        </row>
        <row r="221">
          <cell r="D221">
            <v>0</v>
          </cell>
          <cell r="E221">
            <v>0</v>
          </cell>
          <cell r="F221" t="e">
            <v>#DIV/0!</v>
          </cell>
          <cell r="G221">
            <v>0</v>
          </cell>
        </row>
        <row r="222">
          <cell r="A222" t="str">
            <v xml:space="preserve">N IPQ/PQ HOMELINK             </v>
          </cell>
          <cell r="B222">
            <v>1542.3</v>
          </cell>
          <cell r="C222">
            <v>1189.8399999999999</v>
          </cell>
          <cell r="D222">
            <v>142.48823529411766</v>
          </cell>
          <cell r="E222">
            <v>352.46000000000004</v>
          </cell>
          <cell r="F222">
            <v>0.77147117940737853</v>
          </cell>
          <cell r="G222">
            <v>1570.2203529411765</v>
          </cell>
          <cell r="H222">
            <v>1</v>
          </cell>
        </row>
        <row r="223">
          <cell r="A223" t="str">
            <v xml:space="preserve">N PQ JPN UNLITS               </v>
          </cell>
          <cell r="B223">
            <v>93.2</v>
          </cell>
          <cell r="C223">
            <v>489.98</v>
          </cell>
          <cell r="D223">
            <v>-483.24705882352947</v>
          </cell>
          <cell r="E223">
            <v>-396.78000000000003</v>
          </cell>
          <cell r="F223">
            <v>5.2572961373390559</v>
          </cell>
          <cell r="G223">
            <v>-5325.3825882352949</v>
          </cell>
          <cell r="H223">
            <v>1</v>
          </cell>
        </row>
        <row r="224">
          <cell r="A224" t="str">
            <v xml:space="preserve">N PQ JPN LITS                 </v>
          </cell>
          <cell r="B224">
            <v>3</v>
          </cell>
          <cell r="C224">
            <v>0</v>
          </cell>
          <cell r="D224">
            <v>3</v>
          </cell>
          <cell r="E224">
            <v>3</v>
          </cell>
          <cell r="F224">
            <v>0</v>
          </cell>
          <cell r="G224">
            <v>33.06</v>
          </cell>
          <cell r="H224">
            <v>1</v>
          </cell>
        </row>
        <row r="225">
          <cell r="A225" t="str">
            <v xml:space="preserve">N PQ JPN BLANKS               </v>
          </cell>
          <cell r="B225">
            <v>410.9</v>
          </cell>
          <cell r="C225">
            <v>320.92</v>
          </cell>
          <cell r="D225">
            <v>33.34705882352938</v>
          </cell>
          <cell r="E225">
            <v>89.979999999999961</v>
          </cell>
          <cell r="F225">
            <v>0.78101727914334396</v>
          </cell>
          <cell r="G225">
            <v>367.48458823529376</v>
          </cell>
          <cell r="H225">
            <v>1</v>
          </cell>
        </row>
        <row r="226">
          <cell r="A226" t="str">
            <v xml:space="preserve">N PQ LU JAP/EUR               </v>
          </cell>
          <cell r="B226">
            <v>617</v>
          </cell>
          <cell r="C226">
            <v>0</v>
          </cell>
          <cell r="D226">
            <v>617</v>
          </cell>
          <cell r="E226">
            <v>617</v>
          </cell>
          <cell r="F226">
            <v>0</v>
          </cell>
          <cell r="G226">
            <v>6799.34</v>
          </cell>
          <cell r="H226">
            <v>1</v>
          </cell>
        </row>
        <row r="227">
          <cell r="A227" t="str">
            <v xml:space="preserve">N PQ US/EURO UNLITS           </v>
          </cell>
          <cell r="B227">
            <v>346.9</v>
          </cell>
          <cell r="C227">
            <v>187.06</v>
          </cell>
          <cell r="D227">
            <v>126.82941176470584</v>
          </cell>
          <cell r="E227">
            <v>159.83999999999997</v>
          </cell>
          <cell r="F227">
            <v>0.5392332084174114</v>
          </cell>
          <cell r="G227">
            <v>1397.6601176470583</v>
          </cell>
          <cell r="H227">
            <v>1</v>
          </cell>
        </row>
        <row r="228">
          <cell r="A228" t="str">
            <v xml:space="preserve">N PQ R&amp;LB EUR/LBL             </v>
          </cell>
          <cell r="B228">
            <v>24.6</v>
          </cell>
          <cell r="C228">
            <v>11.57</v>
          </cell>
          <cell r="D228">
            <v>10.988235294117647</v>
          </cell>
          <cell r="E228">
            <v>13.030000000000001</v>
          </cell>
          <cell r="F228">
            <v>0.47032520325203253</v>
          </cell>
          <cell r="G228">
            <v>121.09035294117646</v>
          </cell>
          <cell r="H228">
            <v>1</v>
          </cell>
        </row>
        <row r="229">
          <cell r="A229" t="str">
            <v xml:space="preserve">N PQ US/EURO BLANKS           </v>
          </cell>
          <cell r="B229">
            <v>296</v>
          </cell>
          <cell r="C229">
            <v>187.74</v>
          </cell>
          <cell r="D229">
            <v>75.129411764705878</v>
          </cell>
          <cell r="E229">
            <v>108.25999999999999</v>
          </cell>
          <cell r="F229">
            <v>0.63425675675675675</v>
          </cell>
          <cell r="G229">
            <v>827.92611764705873</v>
          </cell>
        </row>
        <row r="230">
          <cell r="A230" t="str">
            <v xml:space="preserve">N PQ LL JAP W/LBL             </v>
          </cell>
          <cell r="B230">
            <v>41.8</v>
          </cell>
          <cell r="C230">
            <v>0</v>
          </cell>
          <cell r="D230">
            <v>41.8</v>
          </cell>
          <cell r="E230">
            <v>41.8</v>
          </cell>
          <cell r="F230">
            <v>0</v>
          </cell>
          <cell r="G230">
            <v>460.63599999999997</v>
          </cell>
        </row>
        <row r="231">
          <cell r="A231" t="str">
            <v xml:space="preserve">N PQ US/EURO LITS             </v>
          </cell>
          <cell r="B231">
            <v>2684.5</v>
          </cell>
          <cell r="C231">
            <v>1642.97</v>
          </cell>
          <cell r="D231">
            <v>751.59411764705874</v>
          </cell>
          <cell r="E231">
            <v>1041.53</v>
          </cell>
          <cell r="F231">
            <v>0.6120208604954368</v>
          </cell>
          <cell r="G231">
            <v>8282.5671764705876</v>
          </cell>
        </row>
        <row r="232">
          <cell r="A232" t="str">
            <v xml:space="preserve">N PQ R&amp;LL US/EUR/LBL          </v>
          </cell>
          <cell r="B232">
            <v>2</v>
          </cell>
          <cell r="C232">
            <v>0</v>
          </cell>
          <cell r="D232">
            <v>2</v>
          </cell>
          <cell r="E232">
            <v>2</v>
          </cell>
          <cell r="F232">
            <v>0</v>
          </cell>
          <cell r="G232">
            <v>22.04</v>
          </cell>
        </row>
        <row r="233">
          <cell r="A233" t="str">
            <v xml:space="preserve">N IPQ W/HMLNK                 </v>
          </cell>
          <cell r="B233">
            <v>8</v>
          </cell>
          <cell r="C233">
            <v>0</v>
          </cell>
          <cell r="D233">
            <v>8</v>
          </cell>
          <cell r="E233">
            <v>8</v>
          </cell>
          <cell r="F233">
            <v>0</v>
          </cell>
          <cell r="G233">
            <v>88.16</v>
          </cell>
        </row>
        <row r="234">
          <cell r="A234" t="str">
            <v>TOTAL T/F # 2</v>
          </cell>
          <cell r="B234">
            <v>6062.2000000000007</v>
          </cell>
          <cell r="C234">
            <v>4030.0800000000008</v>
          </cell>
          <cell r="D234">
            <v>1320.9294117647059</v>
          </cell>
          <cell r="E234">
            <v>2032.12</v>
          </cell>
          <cell r="F234">
            <v>0.66478836066114622</v>
          </cell>
          <cell r="G234">
            <v>14556.642117647059</v>
          </cell>
        </row>
        <row r="236">
          <cell r="D236">
            <v>0</v>
          </cell>
          <cell r="E236">
            <v>0</v>
          </cell>
          <cell r="F236" t="e">
            <v>#DIV/0!</v>
          </cell>
          <cell r="G236">
            <v>0</v>
          </cell>
        </row>
        <row r="237">
          <cell r="A237" t="str">
            <v>TOTAL THERMOPACK</v>
          </cell>
          <cell r="B237">
            <v>17032.7</v>
          </cell>
          <cell r="C237">
            <v>11227.010000000002</v>
          </cell>
          <cell r="D237">
            <v>3824.4529411764688</v>
          </cell>
          <cell r="E237">
            <v>5805.6899999999987</v>
          </cell>
          <cell r="F237">
            <v>0.65914446916812963</v>
          </cell>
          <cell r="G237">
            <v>42145.471411764687</v>
          </cell>
        </row>
        <row r="242">
          <cell r="A242" t="str">
            <v>Focus Factory Statement Total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LOAD HOURS"/>
      <sheetName val="設計通知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N719(NC)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材料使用量（原紙)"/>
      <sheetName val="JT3.0__-_1"/>
      <sheetName val="GMAR Data"/>
      <sheetName val=" Hyp Download"/>
      <sheetName val="XV0個人"/>
      <sheetName val="WJ素材費"/>
      <sheetName val="Implemented net Annualized"/>
      <sheetName val="他材料費"/>
      <sheetName val="熱延鋼板"/>
      <sheetName val="熱延鋼板 ?_x0013_?_x0013_?u?u"/>
      <sheetName val="ﾏｽﾀ"/>
      <sheetName val="G51ファイル転送EXEL"/>
      <sheetName val="Salary"/>
      <sheetName val="Assump &amp; Issues FY08  p2 "/>
      <sheetName val="GMAR_Data"/>
      <sheetName val="_Hyp_Download"/>
      <sheetName val="Constant"/>
      <sheetName val="熱延鋼板 __x0013___x0013__u_u"/>
      <sheetName val="ﾊﾟｲﾌﾟ|_x0013_?_x0013_?"/>
      <sheetName val="ﾊﾟｲﾌﾟ"/>
      <sheetName val="冷延鋼板"/>
      <sheetName val="冷延鋼板 EAT_0410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validation 1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IT-LHD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ﾊﾟｲﾌﾟ|_x0013___x0013__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Vers_TOP(16)"/>
      <sheetName val="96期(川崎)"/>
      <sheetName val="日程"/>
      <sheetName val="進め方"/>
      <sheetName val="????"/>
      <sheetName val="?????"/>
      <sheetName val="R FJS CAR (old)"/>
      <sheetName val="ﾊﾟｲﾌﾟ|__"/>
      <sheetName val="熱延鋼板____u_u"/>
      <sheetName val="____"/>
      <sheetName val="_____"/>
      <sheetName val="ＴＧデーター"/>
      <sheetName val="Main Facia"/>
      <sheetName val="4.5 Cost Center Reference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Sales + Volume"/>
      <sheetName val="冷延鋼板_EAT_04101"/>
      <sheetName val="Assump_&amp;_Issues_FY08__p2_"/>
      <sheetName val="validation_1"/>
      <sheetName val="R_FJS_CAR_(old)"/>
      <sheetName val="熱延鋼板___x005f_x0013___x005f_x0013__u_u"/>
      <sheetName val="GMAR_Data1"/>
      <sheetName val="_Hyp_Download1"/>
      <sheetName val="R FJS CAR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Production Database 399"/>
      <sheetName val="Isor"/>
      <sheetName val="Idom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KBN_TKBNA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Annual Production"/>
      <sheetName val="tables"/>
      <sheetName val="MPL 技連"/>
      <sheetName val="342E BLOCK"/>
      <sheetName val="ﾌﾟﾛﾄ_P772分解5号機"/>
      <sheetName val="ENG油洩れ"/>
      <sheetName val="List2-1_ModelCode-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48810真"/>
      <sheetName val="①評価項目_メーカー"/>
      <sheetName val="품의서"/>
      <sheetName val="SCH"/>
      <sheetName val="Labor"/>
      <sheetName val="Kalk_PKO"/>
      <sheetName val="#REF"/>
      <sheetName val="発注書"/>
      <sheetName val="BOM TOP"/>
      <sheetName val="Glcost"/>
      <sheetName val="●현황"/>
      <sheetName val="●목차"/>
      <sheetName val="MM利益・原価企画方針書ｶｸ１"/>
      <sheetName val="res_mc"/>
      <sheetName val="N719(NC)"/>
      <sheetName val="WG_00"/>
      <sheetName val="2000_ALL"/>
      <sheetName val="SUS_00"/>
      <sheetName val="Material Input Status"/>
      <sheetName val="DECKBLATT"/>
      <sheetName val="Kalkulation"/>
      <sheetName val="Header"/>
      <sheetName val="HUNIT"/>
      <sheetName val="生涯利益計画ｼｰﾄ"/>
      <sheetName val="NPV1200"/>
      <sheetName val="input"/>
      <sheetName val="Sheet2"/>
      <sheetName val="Sheet1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094_APP別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DEP"/>
      <sheetName val="Degreasing"/>
      <sheetName val="Primer"/>
      <sheetName val="Sandblasting"/>
      <sheetName val="cycle time reduction"/>
      <sheetName val="Base Info"/>
      <sheetName val="ALPL"/>
      <sheetName val="89"/>
      <sheetName val="square1"/>
      <sheetName val="Build Sheets"/>
      <sheetName val="d&amp;F"/>
      <sheetName val="ETRS"/>
      <sheetName val="MATRIZ POR AREA"/>
      <sheetName val="段ﾎﾞｰﾙ箱図番･荷姿ｺｰﾄﾞ"/>
      <sheetName val="CASHFLOW"/>
      <sheetName val="Sales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pr"/>
      <sheetName val="ASSUMPTIONS"/>
      <sheetName val="Assumption"/>
      <sheetName val="暂作价清单"/>
      <sheetName val="Stock Price"/>
      <sheetName val="XV0個人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部品精度"/>
      <sheetName val="ｼｽﾃﾑ設定"/>
      <sheetName val="依頼書　Ｐ１"/>
      <sheetName val="Plan Sheet"/>
      <sheetName val="事務所引越見積書"/>
      <sheetName val="After Sales Supplier #'s"/>
      <sheetName val="FY99 Volume"/>
      <sheetName val="Tbom-tot"/>
      <sheetName val="Tables"/>
      <sheetName val="ECN-Mold Progress"/>
      <sheetName val="挿入リスト"/>
      <sheetName val="Sep"/>
      <sheetName val="TT (13)"/>
      <sheetName val="AS-A"/>
      <sheetName val="T4-C_CAB"/>
      <sheetName val="New DYNA"/>
      <sheetName val="Forecast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IAC Quote Processes"/>
      <sheetName val="Sq Area INPUT"/>
      <sheetName val="BOM系"/>
      <sheetName val="生産計画"/>
      <sheetName val="Kapitaleinsatz_&amp;_Umsatz"/>
      <sheetName val="Herstellkosten_(Referenz)"/>
      <sheetName val="Working_Capital"/>
      <sheetName val="K440_can_wake-up_logic"/>
      <sheetName val="tZR_39區分(案)0226"/>
      <sheetName val="集計結果"/>
      <sheetName val="Stamping Tool building Hrs"/>
      <sheetName val="Stamping Burden"/>
      <sheetName val="Parameters"/>
      <sheetName val="391.各"/>
      <sheetName val="原単位表"/>
      <sheetName val="一般"/>
      <sheetName val="管理"/>
      <sheetName val="管理職"/>
      <sheetName val="cover_org"/>
      <sheetName val="原価表"/>
      <sheetName val="基礎ﾃﾞｰﾀ"/>
      <sheetName val="Table Master"/>
      <sheetName val="COST"/>
      <sheetName val="基本（編集禁止）"/>
      <sheetName val="ｺﾝﾄ構想再審査"/>
      <sheetName val="Roll Out - Limit"/>
      <sheetName val="LPIM BLK CALC"/>
      <sheetName val="Import"/>
      <sheetName val="条件表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Europe PU-1"/>
      <sheetName val="FB sepa S2"/>
      <sheetName val="計算結果"/>
      <sheetName val="車体構成"/>
      <sheetName val="ＴＡ２"/>
      <sheetName val="ﾊﾞﾗﾝｽｼｰﾄ"/>
      <sheetName val="年度予算申請"/>
      <sheetName val="問題課題(pattern 3)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Seatbelt_Guides"/>
      <sheetName val="Stowage_Tray"/>
      <sheetName val="J_or_E"/>
      <sheetName val="Report Key"/>
      <sheetName val="Original ED&amp;D summary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組立費算出シート"/>
      <sheetName val="LCD(SEG)回路組立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PRICE_STRAT_FOR_3F"/>
      <sheetName val="Ideas_Entered"/>
      <sheetName val="Plan_Sheet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07実績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PROFILE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E TOPICS"/>
      <sheetName val="Tooling breakdown"/>
      <sheetName val="Change"/>
      <sheetName val="PREMISAS"/>
      <sheetName val="指数比較"/>
      <sheetName val="Budget"/>
      <sheetName val="Analyst"/>
      <sheetName val="Inputs and Data"/>
      <sheetName val="Features"/>
      <sheetName val="Feuil1"/>
      <sheetName val="GG S&amp;O List"/>
      <sheetName val="Operating Plan Changes"/>
      <sheetName val="카메라"/>
      <sheetName val="Pre-concept AX0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U3J12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list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DEPTEXP"/>
      <sheetName val="6호기"/>
      <sheetName val="201consfdymar"/>
      <sheetName val="SM-13仕様一覧"/>
      <sheetName val="Base"/>
      <sheetName val="Calendar"/>
      <sheetName val="GRN Report 0706- 0307"/>
      <sheetName val="생산"/>
      <sheetName val="Eng"/>
      <sheetName val="参考"/>
      <sheetName val="グラフ"/>
      <sheetName val="Internal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Burden 2800"/>
      <sheetName val="CBD Kolben"/>
      <sheetName val="見積依頼部品一覧"/>
      <sheetName val="電線早見表"/>
      <sheetName val="MB51_MB1A"/>
      <sheetName val="Statistik"/>
      <sheetName val="1-2-1"/>
      <sheetName val="投資利益率計算"/>
      <sheetName val="capacité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차체_품안표"/>
      <sheetName val="CUSTOMER_(DETAIL)"/>
      <sheetName val="尾门板总成_"/>
      <sheetName val="Exploded_End_Items"/>
      <sheetName val="Parameters_SSR"/>
      <sheetName val="検索条件メイク"/>
      <sheetName val="Volume___Assumptions"/>
      <sheetName val="GCS"/>
      <sheetName val="issue destination"/>
      <sheetName val="InternalExternal"/>
      <sheetName val="OCCURRENCE_FACTOR"/>
      <sheetName val="共機J"/>
      <sheetName val="FW_STEXCEL"/>
      <sheetName val="計算DATA"/>
      <sheetName val="HL extract"/>
      <sheetName val="班部番別"/>
      <sheetName val="CONS0004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0604購入先別手配データ"/>
      <sheetName val="MAYANK"/>
      <sheetName val="_MISSION"/>
      <sheetName val="AM 6M 94"/>
      <sheetName val="ｺｽﾄ比較 (総括)"/>
      <sheetName val="GLOBAL POWERTRAIN"/>
      <sheetName val="415T原"/>
      <sheetName val="BURDEN"/>
      <sheetName val="SELL"/>
      <sheetName val="R&amp;D"/>
      <sheetName val="PARA74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Format info"/>
      <sheetName val="表紙"/>
      <sheetName val="車会集約"/>
      <sheetName val="minimum lot size"/>
      <sheetName val="ＭⅢ"/>
      <sheetName val="フォーム2"/>
      <sheetName val="W_LBOOK"/>
      <sheetName val="ＳＱＬ"/>
      <sheetName val="T_ＣＡＤ情報"/>
      <sheetName val="T_見積品番"/>
      <sheetName val="T_見積実績"/>
      <sheetName val="売上総益ﾃﾞｰﾀ"/>
      <sheetName val="駆動 "/>
      <sheetName val="①"/>
      <sheetName val="OEE Machine"/>
      <sheetName val="名前の定義一覧"/>
      <sheetName val="liste"/>
      <sheetName val="設定"/>
      <sheetName val="Ref"/>
      <sheetName val="Plant Data"/>
      <sheetName val="P&amp;L"/>
      <sheetName val="Part by Part"/>
      <sheetName val="システム"/>
      <sheetName val="加藤(評)"/>
      <sheetName val="日産ｺﾓﾝR"/>
      <sheetName val="5 UPS Data"/>
      <sheetName val="Key Function in Master FMEA"/>
      <sheetName val="Sales by Customer"/>
      <sheetName val="ML"/>
      <sheetName val="収入(億円)"/>
      <sheetName val="094W原紙 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083"/>
      <sheetName val="設備保全"/>
      <sheetName val="設計通知"/>
      <sheetName val="소유주(원)"/>
      <sheetName val="Sheet 0"/>
      <sheetName val="Dictionary"/>
      <sheetName val="Sheet 4 VTL"/>
      <sheetName val="#Positionsdetails"/>
      <sheetName val="MRS세부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Ｊ３９Ａワースト"/>
      <sheetName val="Definitions"/>
      <sheetName val="MOTOR"/>
      <sheetName val="構想書原紙"/>
      <sheetName val="Dashboard"/>
      <sheetName val="Sheet3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part list C5"/>
      <sheetName val="153W"/>
      <sheetName val="140N Part Local (SE)"/>
      <sheetName val="採否比較金額"/>
      <sheetName val="評価比較件数"/>
      <sheetName val="X11EglobalV5"/>
      <sheetName val="INTRO"/>
      <sheetName val="Makro1"/>
      <sheetName val="11"/>
      <sheetName val="Calculations_Parameters"/>
      <sheetName val="costes internos"/>
      <sheetName val="Manufacturing"/>
      <sheetName val="Bid_Sheet"/>
      <sheetName val="Lookup"/>
      <sheetName val="Flächen"/>
      <sheetName val="Maschinen"/>
      <sheetName val="wip-Dec."/>
      <sheetName val="New Prices"/>
      <sheetName val="Balance Sheet"/>
      <sheetName val="Fixed Assets"/>
      <sheetName val="LCL GENT0.4444,1.8JPN"/>
      <sheetName val="FR管理工程図"/>
      <sheetName val="___"/>
      <sheetName val="Entity"/>
      <sheetName val="H1"/>
      <sheetName val="exp"/>
      <sheetName val="FU"/>
      <sheetName val="Std-RawMat"/>
      <sheetName val="Std-Process"/>
      <sheetName val="Synthèse"/>
      <sheetName val="mix"/>
      <sheetName val="Volumes"/>
      <sheetName val="Chart Data Formulas"/>
      <sheetName val="Forração PP DE"/>
      <sheetName val="工数比較２"/>
      <sheetName val="i30型まとめ"/>
      <sheetName val="MOTOc_x005f_x0000_?_x005f_x0000_?ご?_x005f_x0012_?"/>
      <sheetName val="MOTOc_x005f_x0000_ࠀ_x005f_x0000_笰ごꒈ_x005f_x0012_ꐸ"/>
      <sheetName val="MOTOc_x005f_x0000_ࠀ笰ごꒈ_x005f_x0012_ꐸ_x005f_x0012_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ECB"/>
      <sheetName val="TASK"/>
      <sheetName val="原価ｾﾝﾀ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ver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342A_Block"/>
      <sheetName val="Ideal_Cost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UNIT"/>
      <sheetName val="国"/>
      <sheetName val="海"/>
      <sheetName val="Data Table"/>
      <sheetName val="4. Project Plan"/>
      <sheetName val="SLRC"/>
      <sheetName val="オリジナル"/>
      <sheetName val="生産総枠"/>
      <sheetName val="Ear-391"/>
      <sheetName val="Machine"/>
      <sheetName val="Variables"/>
      <sheetName val="H16-2設備管理渡辺殿拠出資料1"/>
      <sheetName val="Datenbasis"/>
      <sheetName val="Full list 020425"/>
      <sheetName val="MT_EL-PARTS-LIST"/>
      <sheetName val="上申資料1_2"/>
      <sheetName val="配布"/>
      <sheetName val="上申資料1"/>
      <sheetName val="設備能力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見積取纏め表"/>
      <sheetName val="590P追加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Übersicht"/>
      <sheetName val="概要"/>
      <sheetName val="01.3.28現在"/>
      <sheetName val="原単位表00"/>
      <sheetName val="Données transversales pays"/>
      <sheetName val="Initialisation"/>
      <sheetName val="C214 9306#25"/>
      <sheetName val="PCQIS Warrty data"/>
      <sheetName val="Table1"/>
      <sheetName val="Plan4"/>
      <sheetName val="Validations"/>
      <sheetName val="1"/>
      <sheetName val="A3C Data"/>
      <sheetName val="勤務ｼﾌﾄﾍﾞｰｽ表 下期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Incr Inv Tool"/>
      <sheetName val="JUL"/>
      <sheetName val="FX"/>
      <sheetName val="Budget base"/>
      <sheetName val="생산전망"/>
      <sheetName val="ﾋﾟﾆｵﾝｾﾝｻ1万"/>
      <sheetName val="ＴＰ"/>
      <sheetName val="contents (English)"/>
      <sheetName val="51L2"/>
      <sheetName val="Address"/>
      <sheetName val="機種別実績"/>
      <sheetName val="設変通知書 (E)"/>
      <sheetName val="ﾒｲﾝﾒﾆｭｰ"/>
      <sheetName val="ValidationPoulie"/>
      <sheetName val="Histogram"/>
      <sheetName val="Rev #1 &amp; #2"/>
      <sheetName val="item"/>
      <sheetName val="Costs"/>
      <sheetName val="Volume Hypothesis"/>
      <sheetName val="Costing Wave 2 STT"/>
      <sheetName val="Buy"/>
      <sheetName val="BoM (Wave 2)"/>
      <sheetName val="INDICATEURS"/>
      <sheetName val="SUIVI"/>
      <sheetName val="TSA"/>
      <sheetName val="GAMME99"/>
      <sheetName val="Sub-commodity List"/>
      <sheetName val="Cap'l Input"/>
      <sheetName val="PN LIST (2)"/>
      <sheetName val="APPENDIX_1"/>
      <sheetName val="General"/>
      <sheetName val="PN LIST P33B"/>
      <sheetName val="価格一覧表"/>
      <sheetName val="試作DPロット日程"/>
      <sheetName val="[48810真.xl_x0000__x0000_Glcest"/>
      <sheetName val="[48810真.xls_x0000__x0000__x0000__x0000_"/>
      <sheetName val=""/>
      <sheetName val="_48810真.xl"/>
      <sheetName val="_48810真.xls"/>
      <sheetName val="賃率総括"/>
      <sheetName val="Sheet1 (2)"/>
      <sheetName val="损益表（按单位)01"/>
      <sheetName val="分析(前年)"/>
      <sheetName val="重工償却"/>
      <sheetName val="KVO圖面開示可要收估不決定廠商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・・・・"/>
      <sheetName val="・延鋼・"/>
      <sheetName val="熱延鋼・"/>
      <sheetName val="TMMI SEQUOIA 2011"/>
      <sheetName val="選択リスト"/>
      <sheetName val="Issues log"/>
      <sheetName val="一般職評価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価格マスタ"/>
      <sheetName val="部品名称"/>
      <sheetName val="常備・重量"/>
      <sheetName val="company"/>
      <sheetName val="印刷"/>
      <sheetName val="N-T"/>
      <sheetName val="name"/>
      <sheetName val="PSA T7"/>
      <sheetName val="MOTOc__ご_____ご________"/>
      <sheetName val="奖金ok"/>
      <sheetName val="all_OPS2005"/>
      <sheetName val="Invoice Aging"/>
      <sheetName val="Open AP"/>
      <sheetName val="００･ＤＥ Ｍ６２"/>
      <sheetName val="MOTOc__ご_____ご______"/>
      <sheetName val="MOTOc__ご____&gt;ご________"/>
      <sheetName val="入力規制"/>
      <sheetName val="Functions"/>
      <sheetName val="PTR台손익"/>
      <sheetName val="熱効率変化計算"/>
      <sheetName val="needs"/>
      <sheetName val="140 loabor"/>
      <sheetName val="SM-SA(180K)"/>
      <sheetName val="KR282ﾚｼﾞﾝ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償却前提"/>
      <sheetName val="隠し"/>
      <sheetName val="415T戟L"/>
      <sheetName val="WIBLE"/>
      <sheetName val="screw"/>
      <sheetName val="ソフト性能比較_詳細"/>
      <sheetName val="索赔（按车型）A4"/>
      <sheetName val="销售收入A4"/>
      <sheetName val="TABLO-3"/>
      <sheetName val="DAILYPACE"/>
      <sheetName val="Result"/>
      <sheetName val="_00N_Off_Tool_Outlook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TEMP"/>
      <sheetName val="MOTOc__ご____&gt;ご______"/>
      <sheetName val="Sheet1 (7)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加工ZV"/>
      <sheetName val="04下常備データ"/>
      <sheetName val="設備Pe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FBC86-07"/>
      <sheetName val="DATA SHEET"/>
      <sheetName val="10-21_23個_金曜日　"/>
      <sheetName val="Point 2"/>
      <sheetName val="(7. FR &amp; RR axle mass)"/>
      <sheetName val="set date"/>
      <sheetName val="8-3"/>
      <sheetName val="5"/>
      <sheetName val="MONTHLY"/>
      <sheetName val="GMX 002"/>
      <sheetName val="Log_Parameters"/>
      <sheetName val="Config&amp;Parm"/>
      <sheetName val="Functional Milest #3 Checklist"/>
      <sheetName val="SupplierInf"/>
      <sheetName val="4CB-STD"/>
      <sheetName val="Input of fleet retail vol. "/>
      <sheetName val="협조전"/>
      <sheetName val="PAKAGE4362"/>
      <sheetName val="작성양식"/>
      <sheetName val="Projects"/>
      <sheetName val="General Data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p2-1"/>
      <sheetName val="Reference"/>
      <sheetName val="AC"/>
      <sheetName val="CC"/>
      <sheetName val="Offshoring MODEL"/>
      <sheetName val="Sheet4"/>
      <sheetName val="Multiple Choice Data"/>
      <sheetName val="보고서"/>
      <sheetName val="현금경비중역"/>
      <sheetName val="SUMSCHED"/>
      <sheetName val="付款单"/>
      <sheetName val="Program Effort matrix"/>
      <sheetName val="Data Source"/>
      <sheetName val="Data Validation"/>
      <sheetName val="マスター基本データ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MOTGc_x005f_x0000_ࠀ_x005f_x0000_笰ごꒈ_x005f_x0012_ꐸ"/>
      <sheetName val="Parametre"/>
      <sheetName val="Parts Requiring Orders"/>
      <sheetName val="ｸﾞﾗﾌ"/>
      <sheetName val="技能講習取得ﾘｽﾄ"/>
      <sheetName val="ﾘｽﾄ"/>
      <sheetName val="Bumon_Value"/>
      <sheetName val="Bumon_Suii"/>
      <sheetName val="参考；ﾘｽﾄBOX"/>
      <sheetName val="v1"/>
      <sheetName val="BOP List"/>
      <sheetName val="Raw Mat List"/>
      <sheetName val="Inflation per year"/>
      <sheetName val="FUEL FILLER"/>
      <sheetName val="B053 (990701)공정실적PP%계산"/>
      <sheetName val="Income Statement"/>
      <sheetName val="Cal.Mat TB"/>
      <sheetName val="KUR"/>
      <sheetName val="LCQ"/>
      <sheetName val="FDR BUDGET 2001 EISENACH"/>
      <sheetName val="J2"/>
      <sheetName val="J1"/>
      <sheetName val="10-1 Media"/>
      <sheetName val="10-cut"/>
      <sheetName val="分類例"/>
      <sheetName val="Sheet7"/>
      <sheetName val="HS HB NE dr 1"/>
      <sheetName val="Rates"/>
      <sheetName val="Eflex bom"/>
      <sheetName val="89年度"/>
      <sheetName val="附表8"/>
      <sheetName val="PIC PSI"/>
      <sheetName val="投資まとめ"/>
      <sheetName val="入力-Ａ"/>
      <sheetName val="入力-Ｂ"/>
      <sheetName val="2-row_Opt_table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Sample"/>
      <sheetName val="PL.BS.CF"/>
      <sheetName val="2.대외공문"/>
      <sheetName val="GRACE"/>
      <sheetName val="合格率"/>
      <sheetName val="入力"/>
      <sheetName val="BODY_CON"/>
      <sheetName val="S_STR"/>
      <sheetName val="CTR_STR"/>
      <sheetName val="W_BODY"/>
      <sheetName val="[48810真.xl"/>
      <sheetName val="[48810真.xls"/>
      <sheetName val="PLFM01"/>
      <sheetName val="tesa micro hite"/>
      <sheetName val="STANDARD_SEAT"/>
      <sheetName val="MastPlan"/>
      <sheetName val="june add-del- july 3 bkts4.6.01"/>
      <sheetName val="08 Engineering hours summary"/>
      <sheetName val="FINANCIALS"/>
      <sheetName val="Lookups"/>
      <sheetName val="Tube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(1)"/>
      <sheetName val="CAR-FJ(1)"/>
      <sheetName val="ExecSum"/>
      <sheetName val="FinSummary(1)"/>
      <sheetName val="Spending(1)"/>
      <sheetName val="Invest(Apprvd)"/>
      <sheetName val="Invest(Incr1)"/>
      <sheetName val="Invest(Incr2)"/>
      <sheetName val="Invest(Incr3)"/>
      <sheetName val="Foam-Budget"/>
      <sheetName val="Invest(Incr4)"/>
      <sheetName val="PCS-A-JIT"/>
      <sheetName val="Plant(1)"/>
      <sheetName val="BizCase(1)"/>
      <sheetName val="HR(1)"/>
      <sheetName val="Labor"/>
      <sheetName val="CAR(2)"/>
      <sheetName val="CAR-FJ(2)"/>
      <sheetName val="Spending(2)"/>
      <sheetName val="Plant(2)"/>
      <sheetName val="BizCase(2)"/>
      <sheetName val="HR(2)"/>
      <sheetName val="CAR(2Incr)"/>
      <sheetName val="CAR-FJ(2Incr)"/>
      <sheetName val="FinSummary(2Incr)"/>
      <sheetName val="Spending(2Incr)"/>
      <sheetName val="BizCase(2Incr)"/>
      <sheetName val="PCS-JIT-LTA"/>
      <sheetName val="CAR(YFJC)"/>
      <sheetName val="CAR-FJ(YFJC)"/>
      <sheetName val="Spending(YFJC)"/>
      <sheetName val="Invest(IncrYFJC)"/>
      <sheetName val="BizCase(YFJC)"/>
      <sheetName val="Plant(YFJC)"/>
      <sheetName val="Status"/>
      <sheetName val="Index"/>
      <sheetName val="BizPlan"/>
      <sheetName val="Invest"/>
      <sheetName val="Material"/>
      <sheetName val="CAR-ES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0">
          <cell r="C40">
            <v>2002</v>
          </cell>
          <cell r="D40">
            <v>2003</v>
          </cell>
          <cell r="E40">
            <v>2004</v>
          </cell>
          <cell r="F40">
            <v>2005</v>
          </cell>
          <cell r="G40">
            <v>2006</v>
          </cell>
          <cell r="H40">
            <v>2007</v>
          </cell>
        </row>
        <row r="41">
          <cell r="B41" t="str">
            <v>Dir</v>
          </cell>
          <cell r="C41">
            <v>2602.6999999999998</v>
          </cell>
          <cell r="D41">
            <v>2732.835</v>
          </cell>
          <cell r="E41">
            <v>2869.4767499999998</v>
          </cell>
          <cell r="F41">
            <v>3012.9505875</v>
          </cell>
          <cell r="G41">
            <v>3163.5981168750004</v>
          </cell>
          <cell r="H41">
            <v>3321.7780227187504</v>
          </cell>
        </row>
        <row r="42">
          <cell r="B42" t="str">
            <v>Indir</v>
          </cell>
          <cell r="C42">
            <v>3036.2</v>
          </cell>
          <cell r="D42">
            <v>3188.01</v>
          </cell>
          <cell r="E42">
            <v>3347.4105000000004</v>
          </cell>
          <cell r="F42">
            <v>3514.7810250000011</v>
          </cell>
          <cell r="G42">
            <v>3690.5200762500008</v>
          </cell>
          <cell r="H42">
            <v>3875.046080062501</v>
          </cell>
        </row>
        <row r="43">
          <cell r="B43" t="str">
            <v>Sal</v>
          </cell>
          <cell r="C43">
            <v>10087.799999999999</v>
          </cell>
          <cell r="D43">
            <v>10592.189999999999</v>
          </cell>
          <cell r="E43">
            <v>11121.799499999997</v>
          </cell>
          <cell r="F43">
            <v>11677.889474999996</v>
          </cell>
          <cell r="G43">
            <v>12261.783948749999</v>
          </cell>
          <cell r="H43">
            <v>12874.8731461875</v>
          </cell>
        </row>
        <row r="44">
          <cell r="B44" t="str">
            <v>YFJC</v>
          </cell>
          <cell r="C44">
            <v>26316</v>
          </cell>
          <cell r="D44">
            <v>27631.8</v>
          </cell>
          <cell r="E44">
            <v>29013.39</v>
          </cell>
          <cell r="F44">
            <v>30464.059499999999</v>
          </cell>
          <cell r="G44">
            <v>31987.262474999996</v>
          </cell>
          <cell r="H44">
            <v>33586.625598749997</v>
          </cell>
        </row>
        <row r="45">
          <cell r="B45" t="str">
            <v>JCI</v>
          </cell>
          <cell r="C45">
            <v>250000</v>
          </cell>
          <cell r="D45">
            <v>250000</v>
          </cell>
          <cell r="E45">
            <v>250000</v>
          </cell>
          <cell r="F45">
            <v>250000</v>
          </cell>
          <cell r="G45">
            <v>250000</v>
          </cell>
          <cell r="H45">
            <v>250000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pager"/>
      <sheetName val="Input Sheet"/>
      <sheetName val="Analysis"/>
    </sheetNames>
    <sheetDataSet>
      <sheetData sheetId="0"/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Euro"/>
      <sheetName val="CAM Code"/>
      <sheetName val="Dropdowns"/>
      <sheetName val="Exchange Rates"/>
      <sheetName val="2006 Undecided RFQ"/>
      <sheetName val="2006 Undecided RFQ Disp."/>
    </sheetNames>
    <sheetDataSet>
      <sheetData sheetId="0" refreshError="1"/>
      <sheetData sheetId="1" refreshError="1"/>
      <sheetData sheetId="2">
        <row r="2">
          <cell r="B2" t="str">
            <v>BIW</v>
          </cell>
          <cell r="G2" t="str">
            <v>1 Market Analysis</v>
          </cell>
        </row>
        <row r="3">
          <cell r="G3" t="str">
            <v>2 Supplier Rec.</v>
          </cell>
        </row>
        <row r="4">
          <cell r="G4" t="str">
            <v>3 Source Pckg.</v>
          </cell>
        </row>
        <row r="5">
          <cell r="G5" t="str">
            <v>4 RFQ</v>
          </cell>
        </row>
        <row r="6">
          <cell r="G6" t="str">
            <v>5 Review Tech</v>
          </cell>
        </row>
        <row r="7">
          <cell r="G7" t="str">
            <v>6 Review Quote</v>
          </cell>
        </row>
        <row r="8">
          <cell r="G8" t="str">
            <v>7 Quote/ Negotiation</v>
          </cell>
        </row>
        <row r="9">
          <cell r="G9" t="str">
            <v>8 PO Pending</v>
          </cell>
        </row>
        <row r="10">
          <cell r="G10" t="str">
            <v>9 PO</v>
          </cell>
        </row>
        <row r="11">
          <cell r="G11" t="str">
            <v>9A Korea PO</v>
          </cell>
        </row>
        <row r="12">
          <cell r="G12" t="str">
            <v>10a Uncompetitive</v>
          </cell>
        </row>
        <row r="13">
          <cell r="G13" t="str">
            <v>10b Uncompetitive</v>
          </cell>
        </row>
        <row r="14">
          <cell r="G14" t="str">
            <v>10c Uncompetitive</v>
          </cell>
        </row>
        <row r="15">
          <cell r="G15" t="str">
            <v>10d Uncompetitive</v>
          </cell>
        </row>
        <row r="16">
          <cell r="G16" t="str">
            <v>10e Uncompetitive</v>
          </cell>
        </row>
        <row r="17">
          <cell r="G17" t="str">
            <v>10f  Uncompetitive</v>
          </cell>
        </row>
        <row r="18">
          <cell r="G18" t="str">
            <v>11a Terminated by Division</v>
          </cell>
        </row>
        <row r="19">
          <cell r="G19" t="str">
            <v>11b Terminated by Division</v>
          </cell>
        </row>
        <row r="20">
          <cell r="G20" t="str">
            <v>11c Terminated by Division</v>
          </cell>
        </row>
        <row r="21">
          <cell r="G21" t="str">
            <v>11d Terminated by Division</v>
          </cell>
        </row>
        <row r="22">
          <cell r="G22" t="str">
            <v>11e Terminated by Division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2 RFQ"/>
      <sheetName val="TM2 FOB Quer"/>
      <sheetName val="Tooling Lookup"/>
      <sheetName val="Packaging"/>
      <sheetName val="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3">
          <cell r="A13" t="str">
            <v>Machine Rate Table</v>
          </cell>
        </row>
        <row r="14">
          <cell r="A14" t="str">
            <v>Size</v>
          </cell>
          <cell r="B14" t="str">
            <v>hrly Rate (Mex)</v>
          </cell>
          <cell r="C14" t="str">
            <v>hrly Rate (USA)</v>
          </cell>
        </row>
        <row r="15">
          <cell r="A15">
            <v>50</v>
          </cell>
          <cell r="B15">
            <v>26</v>
          </cell>
          <cell r="C15">
            <v>20</v>
          </cell>
        </row>
        <row r="16">
          <cell r="A16">
            <v>100</v>
          </cell>
          <cell r="B16">
            <v>26</v>
          </cell>
          <cell r="C16">
            <v>22.53</v>
          </cell>
        </row>
        <row r="17">
          <cell r="A17">
            <v>250</v>
          </cell>
          <cell r="B17">
            <v>36.369999999999997</v>
          </cell>
          <cell r="C17">
            <v>34</v>
          </cell>
        </row>
        <row r="18">
          <cell r="A18">
            <v>375</v>
          </cell>
          <cell r="B18">
            <v>39.49</v>
          </cell>
          <cell r="C18">
            <v>42.8</v>
          </cell>
        </row>
        <row r="19">
          <cell r="A19">
            <v>500</v>
          </cell>
          <cell r="B19">
            <v>44.69</v>
          </cell>
          <cell r="C19">
            <v>48.44</v>
          </cell>
        </row>
        <row r="20">
          <cell r="A20">
            <v>750</v>
          </cell>
          <cell r="B20">
            <v>57.16</v>
          </cell>
          <cell r="C20">
            <v>61.95</v>
          </cell>
        </row>
        <row r="21">
          <cell r="A21">
            <v>1000</v>
          </cell>
          <cell r="B21">
            <v>65.47</v>
          </cell>
          <cell r="C21">
            <v>70.959999999999994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04 Bridge1"/>
      <sheetName val="P04 Bridge2"/>
      <sheetName val="P04 Bridge"/>
      <sheetName val="P05 Bridge"/>
      <sheetName val="P06 Bridge"/>
      <sheetName val="P07 Bridge"/>
      <sheetName val="Oppama_IS"/>
      <sheetName val="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37529</v>
          </cell>
        </row>
        <row r="2">
          <cell r="A2">
            <v>37559</v>
          </cell>
        </row>
        <row r="3">
          <cell r="A3">
            <v>37589</v>
          </cell>
        </row>
        <row r="4">
          <cell r="A4">
            <v>37619</v>
          </cell>
        </row>
        <row r="5">
          <cell r="A5">
            <v>37649</v>
          </cell>
        </row>
        <row r="6">
          <cell r="A6">
            <v>37679</v>
          </cell>
        </row>
        <row r="7">
          <cell r="A7">
            <v>37709</v>
          </cell>
        </row>
        <row r="8">
          <cell r="A8">
            <v>37739</v>
          </cell>
        </row>
        <row r="9">
          <cell r="A9">
            <v>37769</v>
          </cell>
        </row>
        <row r="10">
          <cell r="A10">
            <v>37799</v>
          </cell>
        </row>
        <row r="11">
          <cell r="A11">
            <v>37829</v>
          </cell>
        </row>
        <row r="12">
          <cell r="A12">
            <v>37859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"/>
      <sheetName val="YTD"/>
      <sheetName val="Actual"/>
      <sheetName val="JUNFOR"/>
      <sheetName val="MARFOR"/>
      <sheetName val="DECFOR"/>
      <sheetName val="Profit Plan"/>
      <sheetName val="Month"/>
      <sheetName val="Graph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>
        <row r="1">
          <cell r="A1">
            <v>37925</v>
          </cell>
        </row>
        <row r="2">
          <cell r="A2">
            <v>37955</v>
          </cell>
        </row>
        <row r="3">
          <cell r="A3">
            <v>37986</v>
          </cell>
        </row>
        <row r="4">
          <cell r="A4">
            <v>38017</v>
          </cell>
        </row>
        <row r="5">
          <cell r="A5">
            <v>38046</v>
          </cell>
        </row>
        <row r="6">
          <cell r="A6">
            <v>38077</v>
          </cell>
        </row>
        <row r="7">
          <cell r="A7">
            <v>38107</v>
          </cell>
        </row>
        <row r="8">
          <cell r="A8">
            <v>38138</v>
          </cell>
        </row>
        <row r="9">
          <cell r="A9">
            <v>38168</v>
          </cell>
        </row>
        <row r="10">
          <cell r="A10">
            <v>38199</v>
          </cell>
        </row>
        <row r="11">
          <cell r="A11">
            <v>38230</v>
          </cell>
        </row>
        <row r="12">
          <cell r="A12">
            <v>38260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AQ"/>
      <sheetName val="Write Access"/>
      <sheetName val="CODE TABLE"/>
      <sheetName val="5-03 Previous Ranking"/>
      <sheetName val="ParetoVehicleReport 2 "/>
      <sheetName val="COOPER &amp; SRE"/>
    </sheetNames>
    <sheetDataSet>
      <sheetData sheetId="0"/>
      <sheetData sheetId="1"/>
      <sheetData sheetId="2"/>
      <sheetData sheetId="3">
        <row r="2">
          <cell r="A2" t="str">
            <v>E29</v>
          </cell>
          <cell r="B2">
            <v>1</v>
          </cell>
        </row>
        <row r="3">
          <cell r="A3" t="str">
            <v>T90</v>
          </cell>
          <cell r="B3">
            <v>2</v>
          </cell>
        </row>
        <row r="4">
          <cell r="A4" t="str">
            <v>G07</v>
          </cell>
          <cell r="B4">
            <v>3</v>
          </cell>
        </row>
        <row r="5">
          <cell r="A5" t="str">
            <v>P01</v>
          </cell>
          <cell r="B5">
            <v>4</v>
          </cell>
        </row>
        <row r="6">
          <cell r="A6" t="str">
            <v>N18</v>
          </cell>
          <cell r="B6">
            <v>5</v>
          </cell>
        </row>
        <row r="7">
          <cell r="A7" t="str">
            <v>P09</v>
          </cell>
          <cell r="B7">
            <v>6</v>
          </cell>
        </row>
        <row r="8">
          <cell r="A8" t="str">
            <v>L29</v>
          </cell>
          <cell r="B8">
            <v>7</v>
          </cell>
        </row>
        <row r="9">
          <cell r="A9" t="str">
            <v>F19</v>
          </cell>
          <cell r="B9">
            <v>8</v>
          </cell>
        </row>
        <row r="10">
          <cell r="A10" t="str">
            <v>N12</v>
          </cell>
          <cell r="B10">
            <v>9</v>
          </cell>
        </row>
        <row r="11">
          <cell r="A11" t="str">
            <v>S25</v>
          </cell>
          <cell r="B11">
            <v>10</v>
          </cell>
        </row>
        <row r="12">
          <cell r="A12" t="str">
            <v>N11</v>
          </cell>
          <cell r="B12">
            <v>11</v>
          </cell>
        </row>
        <row r="13">
          <cell r="A13" t="str">
            <v>D02</v>
          </cell>
          <cell r="B13">
            <v>12</v>
          </cell>
        </row>
        <row r="14">
          <cell r="A14" t="str">
            <v>D50</v>
          </cell>
          <cell r="B14">
            <v>13</v>
          </cell>
        </row>
        <row r="15">
          <cell r="A15" t="str">
            <v>D36</v>
          </cell>
          <cell r="B15">
            <v>14</v>
          </cell>
        </row>
        <row r="16">
          <cell r="A16" t="str">
            <v>N25</v>
          </cell>
          <cell r="B16">
            <v>15</v>
          </cell>
        </row>
        <row r="17">
          <cell r="A17" t="str">
            <v>D13</v>
          </cell>
          <cell r="B17">
            <v>16</v>
          </cell>
        </row>
        <row r="18">
          <cell r="A18" t="str">
            <v>N51</v>
          </cell>
          <cell r="B18">
            <v>17</v>
          </cell>
        </row>
        <row r="19">
          <cell r="A19" t="str">
            <v>R02</v>
          </cell>
          <cell r="B19">
            <v>18</v>
          </cell>
        </row>
        <row r="20">
          <cell r="A20" t="str">
            <v>B66</v>
          </cell>
          <cell r="B20">
            <v>19</v>
          </cell>
        </row>
        <row r="21">
          <cell r="A21" t="str">
            <v>D21</v>
          </cell>
          <cell r="B21">
            <v>20</v>
          </cell>
        </row>
        <row r="22">
          <cell r="A22" t="str">
            <v>A07</v>
          </cell>
          <cell r="B22">
            <v>21</v>
          </cell>
        </row>
        <row r="23">
          <cell r="A23" t="str">
            <v>G09</v>
          </cell>
          <cell r="B23">
            <v>22</v>
          </cell>
        </row>
        <row r="24">
          <cell r="A24" t="str">
            <v>L86</v>
          </cell>
          <cell r="B24">
            <v>23</v>
          </cell>
        </row>
        <row r="25">
          <cell r="A25" t="str">
            <v>N50</v>
          </cell>
          <cell r="B25">
            <v>24</v>
          </cell>
        </row>
        <row r="26">
          <cell r="A26" t="str">
            <v>L65</v>
          </cell>
          <cell r="B26">
            <v>25</v>
          </cell>
        </row>
        <row r="27">
          <cell r="A27" t="str">
            <v>H26</v>
          </cell>
          <cell r="B27">
            <v>26</v>
          </cell>
        </row>
        <row r="28">
          <cell r="A28" t="str">
            <v>R22</v>
          </cell>
          <cell r="B28">
            <v>27</v>
          </cell>
        </row>
        <row r="29">
          <cell r="A29" t="str">
            <v>L26</v>
          </cell>
          <cell r="B29">
            <v>28</v>
          </cell>
        </row>
        <row r="30">
          <cell r="A30" t="str">
            <v>N22</v>
          </cell>
          <cell r="B30">
            <v>29</v>
          </cell>
        </row>
        <row r="31">
          <cell r="A31" t="str">
            <v>D41</v>
          </cell>
          <cell r="B31">
            <v>30</v>
          </cell>
        </row>
        <row r="32">
          <cell r="A32" t="str">
            <v>P24</v>
          </cell>
          <cell r="B32">
            <v>31</v>
          </cell>
        </row>
        <row r="33">
          <cell r="A33" t="str">
            <v>A85</v>
          </cell>
          <cell r="B33">
            <v>32</v>
          </cell>
        </row>
        <row r="34">
          <cell r="A34" t="str">
            <v>N33</v>
          </cell>
          <cell r="B34">
            <v>33</v>
          </cell>
        </row>
        <row r="35">
          <cell r="A35" t="str">
            <v>N17</v>
          </cell>
          <cell r="B35">
            <v>34</v>
          </cell>
        </row>
        <row r="36">
          <cell r="A36" t="str">
            <v>B02</v>
          </cell>
          <cell r="B36">
            <v>35</v>
          </cell>
        </row>
        <row r="37">
          <cell r="A37" t="str">
            <v>N59</v>
          </cell>
          <cell r="B37">
            <v>36</v>
          </cell>
        </row>
        <row r="38">
          <cell r="A38" t="str">
            <v>L72</v>
          </cell>
          <cell r="B38">
            <v>37</v>
          </cell>
        </row>
        <row r="39">
          <cell r="A39" t="str">
            <v>D11</v>
          </cell>
          <cell r="B39">
            <v>38</v>
          </cell>
        </row>
        <row r="40">
          <cell r="A40" t="str">
            <v>B01</v>
          </cell>
          <cell r="B40">
            <v>39</v>
          </cell>
        </row>
        <row r="41">
          <cell r="A41" t="str">
            <v>F06</v>
          </cell>
          <cell r="B41">
            <v>40</v>
          </cell>
        </row>
        <row r="42">
          <cell r="A42" t="str">
            <v>TC8</v>
          </cell>
          <cell r="B42">
            <v>41</v>
          </cell>
        </row>
        <row r="43">
          <cell r="A43" t="str">
            <v>TC1</v>
          </cell>
          <cell r="B43">
            <v>42</v>
          </cell>
        </row>
        <row r="44">
          <cell r="A44" t="str">
            <v>D10</v>
          </cell>
          <cell r="B44">
            <v>43</v>
          </cell>
        </row>
        <row r="45">
          <cell r="A45" t="str">
            <v>G02</v>
          </cell>
          <cell r="B45">
            <v>44</v>
          </cell>
        </row>
        <row r="46">
          <cell r="A46" t="str">
            <v>TB8</v>
          </cell>
          <cell r="B46">
            <v>45</v>
          </cell>
        </row>
        <row r="47">
          <cell r="A47" t="str">
            <v>TB3</v>
          </cell>
          <cell r="B47">
            <v>46</v>
          </cell>
        </row>
        <row r="48">
          <cell r="A48" t="str">
            <v>B64</v>
          </cell>
          <cell r="B48">
            <v>47</v>
          </cell>
        </row>
        <row r="49">
          <cell r="A49" t="str">
            <v>C02</v>
          </cell>
          <cell r="B49">
            <v>48</v>
          </cell>
        </row>
        <row r="50">
          <cell r="A50" t="str">
            <v>N58</v>
          </cell>
          <cell r="B50">
            <v>49</v>
          </cell>
        </row>
        <row r="51">
          <cell r="A51" t="str">
            <v>TB6</v>
          </cell>
          <cell r="B51">
            <v>50</v>
          </cell>
        </row>
        <row r="52">
          <cell r="A52" t="str">
            <v>L66</v>
          </cell>
          <cell r="B52">
            <v>51</v>
          </cell>
        </row>
        <row r="53">
          <cell r="A53" t="str">
            <v>TB2</v>
          </cell>
          <cell r="B53">
            <v>52</v>
          </cell>
        </row>
        <row r="54">
          <cell r="A54" t="str">
            <v>L87</v>
          </cell>
          <cell r="B54">
            <v>53</v>
          </cell>
        </row>
        <row r="55">
          <cell r="A55" t="str">
            <v>TA8</v>
          </cell>
          <cell r="B55">
            <v>54</v>
          </cell>
        </row>
        <row r="56">
          <cell r="A56" t="str">
            <v>H19</v>
          </cell>
          <cell r="B56">
            <v>55</v>
          </cell>
        </row>
        <row r="57">
          <cell r="A57" t="str">
            <v>P66</v>
          </cell>
          <cell r="B57">
            <v>56</v>
          </cell>
        </row>
        <row r="58">
          <cell r="A58" t="str">
            <v>B63</v>
          </cell>
          <cell r="B58">
            <v>57</v>
          </cell>
        </row>
        <row r="59">
          <cell r="A59" t="str">
            <v>P22</v>
          </cell>
          <cell r="B59">
            <v>58</v>
          </cell>
        </row>
        <row r="60">
          <cell r="A60" t="str">
            <v>TA7</v>
          </cell>
          <cell r="B60">
            <v>59</v>
          </cell>
        </row>
        <row r="61">
          <cell r="A61" t="str">
            <v>B65</v>
          </cell>
          <cell r="B61">
            <v>60</v>
          </cell>
        </row>
        <row r="62">
          <cell r="A62" t="str">
            <v>A06</v>
          </cell>
          <cell r="B62">
            <v>61</v>
          </cell>
        </row>
        <row r="63">
          <cell r="A63" t="str">
            <v>TA5</v>
          </cell>
          <cell r="B63">
            <v>62</v>
          </cell>
        </row>
        <row r="64">
          <cell r="A64" t="str">
            <v>H44</v>
          </cell>
          <cell r="B64">
            <v>63</v>
          </cell>
        </row>
        <row r="65">
          <cell r="A65" t="str">
            <v>P59</v>
          </cell>
          <cell r="B65">
            <v>64</v>
          </cell>
        </row>
        <row r="66">
          <cell r="A66" t="str">
            <v>TA4</v>
          </cell>
          <cell r="B66">
            <v>65</v>
          </cell>
        </row>
        <row r="67">
          <cell r="A67" t="str">
            <v>B19</v>
          </cell>
          <cell r="B67">
            <v>66</v>
          </cell>
        </row>
        <row r="68">
          <cell r="A68" t="str">
            <v>N27</v>
          </cell>
          <cell r="B68">
            <v>67</v>
          </cell>
        </row>
        <row r="69">
          <cell r="A69" t="str">
            <v>C05</v>
          </cell>
          <cell r="B69">
            <v>68</v>
          </cell>
        </row>
        <row r="70">
          <cell r="A70" t="str">
            <v>D03</v>
          </cell>
          <cell r="B70">
            <v>69</v>
          </cell>
        </row>
        <row r="71">
          <cell r="A71" t="str">
            <v>G29</v>
          </cell>
          <cell r="B71">
            <v>70</v>
          </cell>
        </row>
        <row r="72">
          <cell r="A72" t="str">
            <v>TA3</v>
          </cell>
          <cell r="B72">
            <v>71</v>
          </cell>
        </row>
        <row r="73">
          <cell r="A73" t="str">
            <v>T55</v>
          </cell>
          <cell r="B73">
            <v>72</v>
          </cell>
        </row>
        <row r="74">
          <cell r="A74" t="str">
            <v>J03</v>
          </cell>
          <cell r="B74">
            <v>73</v>
          </cell>
        </row>
        <row r="75">
          <cell r="A75" t="str">
            <v>H25</v>
          </cell>
          <cell r="B75">
            <v>74</v>
          </cell>
        </row>
        <row r="76">
          <cell r="A76" t="str">
            <v>F20</v>
          </cell>
          <cell r="B76">
            <v>75</v>
          </cell>
        </row>
        <row r="77">
          <cell r="A77" t="str">
            <v>P83</v>
          </cell>
          <cell r="B77">
            <v>76</v>
          </cell>
        </row>
        <row r="78">
          <cell r="A78" t="str">
            <v>TA2</v>
          </cell>
          <cell r="B78">
            <v>77</v>
          </cell>
        </row>
        <row r="79">
          <cell r="A79" t="str">
            <v>B73</v>
          </cell>
          <cell r="B79">
            <v>78</v>
          </cell>
        </row>
        <row r="80">
          <cell r="A80" t="str">
            <v>L68</v>
          </cell>
          <cell r="B80">
            <v>79</v>
          </cell>
        </row>
        <row r="81">
          <cell r="A81" t="str">
            <v>TA1</v>
          </cell>
          <cell r="B81">
            <v>80</v>
          </cell>
        </row>
        <row r="82">
          <cell r="A82" t="str">
            <v>L25</v>
          </cell>
          <cell r="B82">
            <v>81</v>
          </cell>
        </row>
        <row r="83">
          <cell r="A83" t="str">
            <v>S26</v>
          </cell>
          <cell r="B83">
            <v>82</v>
          </cell>
        </row>
        <row r="84">
          <cell r="A84" t="str">
            <v>T54</v>
          </cell>
          <cell r="B84">
            <v>83</v>
          </cell>
        </row>
        <row r="85">
          <cell r="A85" t="str">
            <v>S50</v>
          </cell>
          <cell r="B85">
            <v>84</v>
          </cell>
        </row>
        <row r="86">
          <cell r="A86" t="str">
            <v>F12</v>
          </cell>
          <cell r="B86">
            <v>85</v>
          </cell>
        </row>
        <row r="87">
          <cell r="A87" t="str">
            <v>R29</v>
          </cell>
          <cell r="B87">
            <v>86</v>
          </cell>
        </row>
        <row r="88">
          <cell r="A88" t="str">
            <v>R09</v>
          </cell>
          <cell r="B88">
            <v>87</v>
          </cell>
        </row>
        <row r="89">
          <cell r="A89" t="str">
            <v>S52</v>
          </cell>
          <cell r="B89">
            <v>88</v>
          </cell>
        </row>
        <row r="90">
          <cell r="A90" t="str">
            <v>F07</v>
          </cell>
          <cell r="B90">
            <v>89</v>
          </cell>
        </row>
        <row r="91">
          <cell r="A91" t="str">
            <v>N40</v>
          </cell>
          <cell r="B91">
            <v>90</v>
          </cell>
        </row>
        <row r="92">
          <cell r="A92" t="str">
            <v>B15</v>
          </cell>
          <cell r="B92">
            <v>91</v>
          </cell>
        </row>
        <row r="93">
          <cell r="A93" t="str">
            <v>P23</v>
          </cell>
          <cell r="B93">
            <v>92</v>
          </cell>
        </row>
        <row r="94">
          <cell r="A94" t="str">
            <v>E23</v>
          </cell>
          <cell r="B94">
            <v>93</v>
          </cell>
        </row>
        <row r="95">
          <cell r="A95" t="str">
            <v>C50</v>
          </cell>
          <cell r="B95">
            <v>94</v>
          </cell>
        </row>
        <row r="96">
          <cell r="A96" t="str">
            <v>T53</v>
          </cell>
          <cell r="B96">
            <v>95</v>
          </cell>
        </row>
        <row r="97">
          <cell r="A97" t="str">
            <v>S40</v>
          </cell>
          <cell r="B97">
            <v>96</v>
          </cell>
        </row>
        <row r="98">
          <cell r="A98" t="str">
            <v>N24</v>
          </cell>
          <cell r="B98">
            <v>97</v>
          </cell>
        </row>
        <row r="99">
          <cell r="A99" t="str">
            <v>F04</v>
          </cell>
          <cell r="B99">
            <v>98</v>
          </cell>
        </row>
        <row r="100">
          <cell r="A100" t="str">
            <v>C09</v>
          </cell>
          <cell r="B100">
            <v>99</v>
          </cell>
        </row>
        <row r="101">
          <cell r="A101" t="str">
            <v>A16</v>
          </cell>
          <cell r="B101">
            <v>100</v>
          </cell>
        </row>
        <row r="102">
          <cell r="A102" t="str">
            <v>C20</v>
          </cell>
          <cell r="B102">
            <v>101</v>
          </cell>
        </row>
        <row r="103">
          <cell r="A103" t="str">
            <v>B43</v>
          </cell>
          <cell r="B103">
            <v>102</v>
          </cell>
        </row>
        <row r="104">
          <cell r="A104" t="str">
            <v>A15</v>
          </cell>
          <cell r="B104">
            <v>103</v>
          </cell>
        </row>
        <row r="105">
          <cell r="A105" t="str">
            <v>W05</v>
          </cell>
          <cell r="B105">
            <v>104</v>
          </cell>
        </row>
        <row r="106">
          <cell r="A106" t="str">
            <v>A04</v>
          </cell>
          <cell r="B106">
            <v>105</v>
          </cell>
        </row>
        <row r="107">
          <cell r="A107" t="str">
            <v>G32</v>
          </cell>
          <cell r="B107">
            <v>106</v>
          </cell>
        </row>
        <row r="108">
          <cell r="A108" t="str">
            <v>D42</v>
          </cell>
          <cell r="B108">
            <v>107</v>
          </cell>
        </row>
        <row r="109">
          <cell r="A109" t="str">
            <v>L30</v>
          </cell>
          <cell r="B109">
            <v>108</v>
          </cell>
        </row>
        <row r="110">
          <cell r="A110" t="str">
            <v>B95</v>
          </cell>
          <cell r="B110">
            <v>109</v>
          </cell>
        </row>
        <row r="111">
          <cell r="A111" t="str">
            <v>J04</v>
          </cell>
          <cell r="B111">
            <v>110</v>
          </cell>
        </row>
        <row r="112">
          <cell r="A112" t="str">
            <v>F09</v>
          </cell>
          <cell r="B112">
            <v>111</v>
          </cell>
        </row>
        <row r="113">
          <cell r="A113" t="str">
            <v>H20</v>
          </cell>
          <cell r="B113">
            <v>112</v>
          </cell>
        </row>
        <row r="114">
          <cell r="A114" t="str">
            <v>C01</v>
          </cell>
          <cell r="B114">
            <v>113</v>
          </cell>
        </row>
        <row r="115">
          <cell r="A115" t="str">
            <v>L23</v>
          </cell>
          <cell r="B115">
            <v>114</v>
          </cell>
        </row>
        <row r="116">
          <cell r="A116" t="str">
            <v>L15</v>
          </cell>
          <cell r="B116">
            <v>115</v>
          </cell>
        </row>
        <row r="117">
          <cell r="A117" t="str">
            <v>S03</v>
          </cell>
          <cell r="B117">
            <v>116</v>
          </cell>
        </row>
        <row r="118">
          <cell r="A118" t="str">
            <v>C19</v>
          </cell>
          <cell r="B118">
            <v>117</v>
          </cell>
        </row>
        <row r="119">
          <cell r="A119" t="str">
            <v>E35</v>
          </cell>
          <cell r="B119">
            <v>118</v>
          </cell>
        </row>
        <row r="120">
          <cell r="A120" t="str">
            <v>B09</v>
          </cell>
          <cell r="B120">
            <v>119</v>
          </cell>
        </row>
        <row r="121">
          <cell r="A121" t="str">
            <v>H16</v>
          </cell>
          <cell r="B121">
            <v>120</v>
          </cell>
        </row>
        <row r="122">
          <cell r="A122" t="str">
            <v>P69</v>
          </cell>
          <cell r="B122">
            <v>121</v>
          </cell>
        </row>
        <row r="123">
          <cell r="A123" t="str">
            <v>F41</v>
          </cell>
          <cell r="B123">
            <v>122</v>
          </cell>
        </row>
        <row r="124">
          <cell r="A124" t="str">
            <v>C18</v>
          </cell>
          <cell r="B124">
            <v>123</v>
          </cell>
        </row>
        <row r="125">
          <cell r="A125" t="str">
            <v>P67</v>
          </cell>
          <cell r="B125">
            <v>124</v>
          </cell>
        </row>
        <row r="126">
          <cell r="A126" t="str">
            <v>S15</v>
          </cell>
          <cell r="B126">
            <v>125</v>
          </cell>
        </row>
        <row r="127">
          <cell r="A127" t="str">
            <v>G31</v>
          </cell>
          <cell r="B127">
            <v>126</v>
          </cell>
        </row>
        <row r="128">
          <cell r="A128" t="str">
            <v>R01</v>
          </cell>
          <cell r="B128">
            <v>127</v>
          </cell>
        </row>
        <row r="129">
          <cell r="A129" t="str">
            <v>H62</v>
          </cell>
          <cell r="B129">
            <v>128</v>
          </cell>
        </row>
        <row r="130">
          <cell r="A130" t="str">
            <v>A87</v>
          </cell>
          <cell r="B130">
            <v>129</v>
          </cell>
        </row>
        <row r="131">
          <cell r="A131" t="str">
            <v>G30</v>
          </cell>
          <cell r="B131">
            <v>130</v>
          </cell>
        </row>
        <row r="132">
          <cell r="A132" t="str">
            <v>B53</v>
          </cell>
          <cell r="B132">
            <v>131</v>
          </cell>
        </row>
        <row r="133">
          <cell r="A133" t="str">
            <v>H02</v>
          </cell>
          <cell r="B133">
            <v>132</v>
          </cell>
        </row>
        <row r="134">
          <cell r="A134" t="str">
            <v>F25</v>
          </cell>
          <cell r="B134">
            <v>133</v>
          </cell>
        </row>
        <row r="135">
          <cell r="A135" t="str">
            <v>L22</v>
          </cell>
          <cell r="B135">
            <v>134</v>
          </cell>
        </row>
        <row r="136">
          <cell r="A136" t="str">
            <v>B74</v>
          </cell>
          <cell r="B136">
            <v>135</v>
          </cell>
        </row>
        <row r="137">
          <cell r="A137" t="str">
            <v>L69</v>
          </cell>
          <cell r="B137">
            <v>136</v>
          </cell>
        </row>
        <row r="138">
          <cell r="A138" t="str">
            <v>B05</v>
          </cell>
          <cell r="B138">
            <v>137</v>
          </cell>
        </row>
        <row r="139">
          <cell r="A139" t="str">
            <v>F13</v>
          </cell>
          <cell r="B139">
            <v>138</v>
          </cell>
        </row>
        <row r="140">
          <cell r="A140" t="str">
            <v>L85</v>
          </cell>
          <cell r="B140">
            <v>139</v>
          </cell>
        </row>
        <row r="141">
          <cell r="A141" t="str">
            <v>C08</v>
          </cell>
          <cell r="B141">
            <v>140</v>
          </cell>
        </row>
        <row r="142">
          <cell r="A142" t="str">
            <v>F05</v>
          </cell>
          <cell r="B142">
            <v>141</v>
          </cell>
        </row>
        <row r="143">
          <cell r="A143" t="str">
            <v>H21</v>
          </cell>
          <cell r="B143">
            <v>142</v>
          </cell>
        </row>
        <row r="144">
          <cell r="A144" t="str">
            <v>B69</v>
          </cell>
          <cell r="B144">
            <v>143</v>
          </cell>
        </row>
        <row r="145">
          <cell r="A145" t="str">
            <v>R03</v>
          </cell>
          <cell r="B145">
            <v>144</v>
          </cell>
        </row>
        <row r="146">
          <cell r="A146" t="str">
            <v>N23</v>
          </cell>
          <cell r="B146">
            <v>145</v>
          </cell>
        </row>
        <row r="147">
          <cell r="A147" t="str">
            <v>N43</v>
          </cell>
          <cell r="B147">
            <v>146</v>
          </cell>
        </row>
        <row r="148">
          <cell r="A148" t="str">
            <v>C04</v>
          </cell>
          <cell r="B148">
            <v>147</v>
          </cell>
        </row>
        <row r="149">
          <cell r="A149" t="str">
            <v>P51</v>
          </cell>
          <cell r="B149">
            <v>148</v>
          </cell>
        </row>
        <row r="150">
          <cell r="A150" t="str">
            <v>S09</v>
          </cell>
          <cell r="B150">
            <v>149</v>
          </cell>
        </row>
        <row r="151">
          <cell r="A151" t="str">
            <v>S55</v>
          </cell>
          <cell r="B151">
            <v>150</v>
          </cell>
        </row>
        <row r="152">
          <cell r="A152" t="str">
            <v>S06</v>
          </cell>
          <cell r="B152">
            <v>151</v>
          </cell>
        </row>
        <row r="153">
          <cell r="A153" t="str">
            <v>C03</v>
          </cell>
          <cell r="B153">
            <v>152</v>
          </cell>
        </row>
        <row r="154">
          <cell r="A154" t="str">
            <v>H04</v>
          </cell>
          <cell r="B154">
            <v>153</v>
          </cell>
        </row>
        <row r="155">
          <cell r="A155" t="str">
            <v>E50</v>
          </cell>
          <cell r="B155">
            <v>154</v>
          </cell>
        </row>
        <row r="156">
          <cell r="A156" t="str">
            <v>D35</v>
          </cell>
          <cell r="B156">
            <v>155</v>
          </cell>
        </row>
        <row r="157">
          <cell r="A157" t="str">
            <v>H05</v>
          </cell>
          <cell r="B157">
            <v>156</v>
          </cell>
        </row>
        <row r="158">
          <cell r="A158" t="str">
            <v>B80</v>
          </cell>
          <cell r="B158">
            <v>157</v>
          </cell>
        </row>
        <row r="159">
          <cell r="A159" t="str">
            <v>C10</v>
          </cell>
          <cell r="B159">
            <v>158</v>
          </cell>
        </row>
        <row r="160">
          <cell r="A160" t="str">
            <v>H07</v>
          </cell>
          <cell r="B160">
            <v>159</v>
          </cell>
        </row>
        <row r="161">
          <cell r="A161" t="str">
            <v>R23</v>
          </cell>
          <cell r="B161">
            <v>160</v>
          </cell>
        </row>
        <row r="162">
          <cell r="A162" t="str">
            <v>H45</v>
          </cell>
          <cell r="B162">
            <v>161</v>
          </cell>
        </row>
        <row r="163">
          <cell r="A163" t="str">
            <v>C06</v>
          </cell>
          <cell r="B163">
            <v>162</v>
          </cell>
        </row>
        <row r="164">
          <cell r="A164" t="str">
            <v>A02</v>
          </cell>
          <cell r="B164">
            <v>163</v>
          </cell>
        </row>
        <row r="165">
          <cell r="A165" t="str">
            <v>F30</v>
          </cell>
          <cell r="B165">
            <v>164</v>
          </cell>
        </row>
        <row r="166">
          <cell r="A166" t="str">
            <v>B42</v>
          </cell>
          <cell r="B166">
            <v>165</v>
          </cell>
        </row>
        <row r="167">
          <cell r="A167" t="str">
            <v>R24</v>
          </cell>
          <cell r="B167">
            <v>166</v>
          </cell>
        </row>
        <row r="168">
          <cell r="A168" t="str">
            <v>M05</v>
          </cell>
          <cell r="B168">
            <v>167</v>
          </cell>
        </row>
        <row r="169">
          <cell r="A169" t="str">
            <v>H06</v>
          </cell>
          <cell r="B169">
            <v>168</v>
          </cell>
        </row>
        <row r="170">
          <cell r="A170" t="str">
            <v>H15</v>
          </cell>
          <cell r="B170">
            <v>169</v>
          </cell>
        </row>
        <row r="171">
          <cell r="A171" t="str">
            <v>C25</v>
          </cell>
          <cell r="B171">
            <v>170</v>
          </cell>
        </row>
        <row r="172">
          <cell r="A172" t="str">
            <v>S53</v>
          </cell>
          <cell r="B172">
            <v>171</v>
          </cell>
        </row>
        <row r="173">
          <cell r="A173" t="str">
            <v>L08</v>
          </cell>
          <cell r="B173">
            <v>172</v>
          </cell>
        </row>
        <row r="174">
          <cell r="A174" t="str">
            <v>L07</v>
          </cell>
          <cell r="B174">
            <v>173</v>
          </cell>
        </row>
        <row r="175">
          <cell r="A175" t="str">
            <v>F36</v>
          </cell>
          <cell r="B175">
            <v>174</v>
          </cell>
        </row>
        <row r="176">
          <cell r="A176" t="str">
            <v>R10</v>
          </cell>
          <cell r="B176">
            <v>175</v>
          </cell>
        </row>
        <row r="177">
          <cell r="A177" t="str">
            <v>L20</v>
          </cell>
          <cell r="B177">
            <v>176</v>
          </cell>
        </row>
        <row r="178">
          <cell r="A178" t="str">
            <v>F81</v>
          </cell>
          <cell r="B178">
            <v>177</v>
          </cell>
        </row>
        <row r="179">
          <cell r="A179" t="str">
            <v>W03</v>
          </cell>
          <cell r="B179">
            <v>178</v>
          </cell>
        </row>
        <row r="180">
          <cell r="A180" t="str">
            <v>R31</v>
          </cell>
          <cell r="B180">
            <v>179</v>
          </cell>
        </row>
        <row r="181">
          <cell r="A181" t="str">
            <v>L63</v>
          </cell>
          <cell r="B181">
            <v>180</v>
          </cell>
        </row>
        <row r="182">
          <cell r="A182" t="str">
            <v>R21</v>
          </cell>
          <cell r="B182">
            <v>181</v>
          </cell>
        </row>
        <row r="183">
          <cell r="A183" t="str">
            <v>B06</v>
          </cell>
          <cell r="B183">
            <v>182</v>
          </cell>
        </row>
        <row r="184">
          <cell r="A184" t="str">
            <v>R06</v>
          </cell>
          <cell r="B184">
            <v>183</v>
          </cell>
        </row>
        <row r="185">
          <cell r="A185" t="str">
            <v>N57</v>
          </cell>
          <cell r="B185">
            <v>184</v>
          </cell>
        </row>
        <row r="186">
          <cell r="A186" t="str">
            <v>B07</v>
          </cell>
          <cell r="B186">
            <v>185</v>
          </cell>
        </row>
        <row r="187">
          <cell r="A187" t="str">
            <v>H24</v>
          </cell>
          <cell r="B187">
            <v>186</v>
          </cell>
        </row>
        <row r="188">
          <cell r="A188" t="str">
            <v>G05</v>
          </cell>
          <cell r="B188">
            <v>187</v>
          </cell>
        </row>
        <row r="189">
          <cell r="A189" t="str">
            <v>P68</v>
          </cell>
          <cell r="B189">
            <v>188</v>
          </cell>
        </row>
        <row r="190">
          <cell r="A190" t="str">
            <v>A25</v>
          </cell>
          <cell r="B190">
            <v>189</v>
          </cell>
        </row>
        <row r="191">
          <cell r="A191" t="str">
            <v>A34</v>
          </cell>
          <cell r="B191">
            <v>190</v>
          </cell>
        </row>
        <row r="192">
          <cell r="A192" t="str">
            <v>S54</v>
          </cell>
          <cell r="B192">
            <v>191</v>
          </cell>
        </row>
        <row r="193">
          <cell r="A193" t="str">
            <v>N31</v>
          </cell>
          <cell r="B193">
            <v>192</v>
          </cell>
        </row>
        <row r="194">
          <cell r="A194" t="str">
            <v>B54</v>
          </cell>
          <cell r="B194">
            <v>193</v>
          </cell>
        </row>
        <row r="195">
          <cell r="A195" t="str">
            <v>C15</v>
          </cell>
          <cell r="B195">
            <v>194</v>
          </cell>
        </row>
        <row r="196">
          <cell r="A196" t="str">
            <v>L14</v>
          </cell>
          <cell r="B196">
            <v>195</v>
          </cell>
        </row>
        <row r="197">
          <cell r="A197" t="str">
            <v>B44</v>
          </cell>
          <cell r="B197">
            <v>196</v>
          </cell>
        </row>
        <row r="198">
          <cell r="A198" t="str">
            <v>T52</v>
          </cell>
          <cell r="B198">
            <v>197</v>
          </cell>
        </row>
        <row r="199">
          <cell r="A199" t="str">
            <v>T50</v>
          </cell>
          <cell r="B199">
            <v>198</v>
          </cell>
        </row>
        <row r="200">
          <cell r="A200" t="str">
            <v>H22</v>
          </cell>
          <cell r="B200">
            <v>199</v>
          </cell>
        </row>
        <row r="201">
          <cell r="A201" t="str">
            <v>L17</v>
          </cell>
          <cell r="B201">
            <v>200</v>
          </cell>
        </row>
        <row r="202">
          <cell r="A202" t="str">
            <v>A60</v>
          </cell>
          <cell r="B202">
            <v>201</v>
          </cell>
        </row>
        <row r="203">
          <cell r="A203" t="str">
            <v>B45</v>
          </cell>
          <cell r="B203">
            <v>202</v>
          </cell>
        </row>
        <row r="204">
          <cell r="A204" t="str">
            <v>C07</v>
          </cell>
          <cell r="B204">
            <v>203</v>
          </cell>
        </row>
        <row r="205">
          <cell r="A205" t="str">
            <v>S39</v>
          </cell>
          <cell r="B205">
            <v>204</v>
          </cell>
        </row>
        <row r="206">
          <cell r="A206" t="str">
            <v>S21</v>
          </cell>
          <cell r="B206">
            <v>205</v>
          </cell>
        </row>
        <row r="207">
          <cell r="A207" t="str">
            <v>T51</v>
          </cell>
          <cell r="B207">
            <v>206</v>
          </cell>
        </row>
        <row r="208">
          <cell r="A208" t="str">
            <v>R26</v>
          </cell>
          <cell r="B208">
            <v>207</v>
          </cell>
        </row>
        <row r="209">
          <cell r="A209" t="str">
            <v>E68</v>
          </cell>
          <cell r="B209">
            <v>208</v>
          </cell>
        </row>
        <row r="210">
          <cell r="A210" t="str">
            <v>F10</v>
          </cell>
          <cell r="B210">
            <v>209</v>
          </cell>
        </row>
        <row r="211">
          <cell r="A211" t="str">
            <v>F35</v>
          </cell>
          <cell r="B211">
            <v>210</v>
          </cell>
        </row>
        <row r="212">
          <cell r="A212" t="str">
            <v>C13</v>
          </cell>
          <cell r="B212">
            <v>211</v>
          </cell>
        </row>
        <row r="213">
          <cell r="A213" t="str">
            <v>L13</v>
          </cell>
          <cell r="B213">
            <v>212</v>
          </cell>
        </row>
        <row r="214">
          <cell r="A214" t="str">
            <v>C14</v>
          </cell>
          <cell r="B214">
            <v>213</v>
          </cell>
        </row>
        <row r="215">
          <cell r="A215" t="str">
            <v>A59</v>
          </cell>
          <cell r="B215">
            <v>214</v>
          </cell>
        </row>
        <row r="216">
          <cell r="A216" t="str">
            <v>C16</v>
          </cell>
          <cell r="B216">
            <v>215</v>
          </cell>
        </row>
        <row r="217">
          <cell r="A217" t="str">
            <v>B62</v>
          </cell>
          <cell r="B217">
            <v>216</v>
          </cell>
        </row>
        <row r="218">
          <cell r="A218" t="str">
            <v>A37</v>
          </cell>
          <cell r="B218">
            <v>217</v>
          </cell>
        </row>
        <row r="219">
          <cell r="A219" t="str">
            <v>F82</v>
          </cell>
          <cell r="B219">
            <v>218</v>
          </cell>
        </row>
        <row r="220">
          <cell r="A220" t="str">
            <v>B81</v>
          </cell>
          <cell r="B220">
            <v>219</v>
          </cell>
        </row>
        <row r="221">
          <cell r="A221" t="str">
            <v>F37</v>
          </cell>
          <cell r="B221">
            <v>220</v>
          </cell>
        </row>
        <row r="222">
          <cell r="A222" t="str">
            <v>F11</v>
          </cell>
          <cell r="B222">
            <v>221</v>
          </cell>
        </row>
        <row r="223">
          <cell r="A223" t="str">
            <v>C26</v>
          </cell>
          <cell r="B223">
            <v>222</v>
          </cell>
        </row>
        <row r="224">
          <cell r="A224" t="str">
            <v>S51</v>
          </cell>
          <cell r="B224">
            <v>223</v>
          </cell>
        </row>
        <row r="225">
          <cell r="A225" t="str">
            <v>S04</v>
          </cell>
          <cell r="B225">
            <v>224</v>
          </cell>
        </row>
        <row r="226">
          <cell r="A226" t="str">
            <v>C17</v>
          </cell>
          <cell r="B226">
            <v>225</v>
          </cell>
        </row>
        <row r="227">
          <cell r="A227" t="str">
            <v>T12</v>
          </cell>
          <cell r="B227">
            <v>226</v>
          </cell>
        </row>
        <row r="228">
          <cell r="A228" t="str">
            <v>C12</v>
          </cell>
          <cell r="B228">
            <v>227</v>
          </cell>
        </row>
        <row r="229">
          <cell r="A229" t="str">
            <v>S17</v>
          </cell>
          <cell r="B229">
            <v>228</v>
          </cell>
        </row>
        <row r="230">
          <cell r="A230" t="str">
            <v>R04</v>
          </cell>
          <cell r="B230">
            <v>229</v>
          </cell>
        </row>
        <row r="231">
          <cell r="A231" t="str">
            <v>F15</v>
          </cell>
          <cell r="B231">
            <v>230</v>
          </cell>
        </row>
        <row r="232">
          <cell r="A232" t="str">
            <v>A40</v>
          </cell>
          <cell r="B232">
            <v>231</v>
          </cell>
        </row>
        <row r="233">
          <cell r="A233" t="str">
            <v>C11</v>
          </cell>
          <cell r="B233">
            <v>232</v>
          </cell>
        </row>
        <row r="234">
          <cell r="A234" t="str">
            <v>B82</v>
          </cell>
          <cell r="B234">
            <v>233</v>
          </cell>
        </row>
        <row r="235">
          <cell r="A235" t="str">
            <v>W10</v>
          </cell>
          <cell r="B235">
            <v>234</v>
          </cell>
        </row>
        <row r="236">
          <cell r="A236" t="str">
            <v>B75</v>
          </cell>
          <cell r="B236">
            <v>235</v>
          </cell>
        </row>
        <row r="237">
          <cell r="A237" t="str">
            <v>A88</v>
          </cell>
          <cell r="B237">
            <v>236</v>
          </cell>
        </row>
        <row r="238">
          <cell r="A238" t="str">
            <v>L06</v>
          </cell>
          <cell r="B238">
            <v>237</v>
          </cell>
        </row>
        <row r="239">
          <cell r="A239" t="str">
            <v>R30</v>
          </cell>
          <cell r="B239">
            <v>238</v>
          </cell>
        </row>
        <row r="240">
          <cell r="A240" t="str">
            <v>C24</v>
          </cell>
          <cell r="B240">
            <v>239</v>
          </cell>
        </row>
        <row r="241">
          <cell r="A241" t="str">
            <v>N42</v>
          </cell>
          <cell r="B241">
            <v>240</v>
          </cell>
        </row>
        <row r="242">
          <cell r="A242" t="str">
            <v>A33</v>
          </cell>
          <cell r="B242">
            <v>241</v>
          </cell>
        </row>
        <row r="243">
          <cell r="A243" t="str">
            <v>C27</v>
          </cell>
          <cell r="B243">
            <v>242</v>
          </cell>
        </row>
        <row r="244">
          <cell r="A244" t="str">
            <v>S10</v>
          </cell>
          <cell r="B244">
            <v>243</v>
          </cell>
        </row>
        <row r="245">
          <cell r="A245" t="str">
            <v>N41</v>
          </cell>
          <cell r="B245">
            <v>244</v>
          </cell>
        </row>
        <row r="246">
          <cell r="A246" t="str">
            <v>T02</v>
          </cell>
          <cell r="B246">
            <v>245</v>
          </cell>
        </row>
        <row r="247">
          <cell r="A247" t="str">
            <v>B78</v>
          </cell>
          <cell r="B247">
            <v>246</v>
          </cell>
        </row>
        <row r="248">
          <cell r="A248" t="str">
            <v>N30</v>
          </cell>
          <cell r="B248">
            <v>247</v>
          </cell>
        </row>
        <row r="249">
          <cell r="A249" t="str">
            <v>T13</v>
          </cell>
          <cell r="B249">
            <v>248</v>
          </cell>
        </row>
        <row r="250">
          <cell r="A250" t="str">
            <v>B84</v>
          </cell>
          <cell r="B250">
            <v>249</v>
          </cell>
        </row>
        <row r="251">
          <cell r="A251" t="str">
            <v>F34</v>
          </cell>
          <cell r="B251">
            <v>250</v>
          </cell>
        </row>
        <row r="252">
          <cell r="A252" t="str">
            <v>A17</v>
          </cell>
          <cell r="B252">
            <v>251</v>
          </cell>
        </row>
        <row r="253">
          <cell r="A253" t="str">
            <v>P31</v>
          </cell>
          <cell r="B253">
            <v>252</v>
          </cell>
        </row>
        <row r="254">
          <cell r="A254" t="str">
            <v>N32</v>
          </cell>
          <cell r="B254">
            <v>253</v>
          </cell>
        </row>
        <row r="255">
          <cell r="A255" t="str">
            <v>A18</v>
          </cell>
          <cell r="B255">
            <v>254</v>
          </cell>
        </row>
        <row r="256">
          <cell r="A256" t="str">
            <v>R50</v>
          </cell>
          <cell r="B256">
            <v>255</v>
          </cell>
        </row>
        <row r="257">
          <cell r="A257" t="str">
            <v>M06</v>
          </cell>
          <cell r="B257">
            <v>256</v>
          </cell>
        </row>
        <row r="258">
          <cell r="A258" t="str">
            <v>S38</v>
          </cell>
          <cell r="B258">
            <v>257</v>
          </cell>
        </row>
        <row r="259">
          <cell r="A259" t="str">
            <v>L09</v>
          </cell>
          <cell r="B259">
            <v>258</v>
          </cell>
        </row>
        <row r="260">
          <cell r="A260" t="str">
            <v>B85</v>
          </cell>
          <cell r="B260">
            <v>259</v>
          </cell>
        </row>
        <row r="261">
          <cell r="A261" t="str">
            <v>L18</v>
          </cell>
          <cell r="B261">
            <v>260</v>
          </cell>
        </row>
        <row r="262">
          <cell r="A262" t="str">
            <v>A32</v>
          </cell>
          <cell r="B262">
            <v>261</v>
          </cell>
        </row>
        <row r="263">
          <cell r="A263" t="str">
            <v>F33</v>
          </cell>
          <cell r="B263">
            <v>262</v>
          </cell>
        </row>
        <row r="264">
          <cell r="A264" t="str">
            <v>E65</v>
          </cell>
          <cell r="B264">
            <v>263</v>
          </cell>
        </row>
        <row r="265">
          <cell r="A265" t="str">
            <v>M10</v>
          </cell>
          <cell r="B265">
            <v>264</v>
          </cell>
        </row>
        <row r="266">
          <cell r="A266" t="str">
            <v>A27</v>
          </cell>
          <cell r="B266">
            <v>265</v>
          </cell>
        </row>
        <row r="267">
          <cell r="A267" t="str">
            <v>R51</v>
          </cell>
          <cell r="B267">
            <v>266</v>
          </cell>
        </row>
        <row r="268">
          <cell r="A268" t="str">
            <v>H50</v>
          </cell>
          <cell r="B268">
            <v>267</v>
          </cell>
        </row>
        <row r="269">
          <cell r="A269" t="str">
            <v>A30</v>
          </cell>
          <cell r="B269">
            <v>268</v>
          </cell>
        </row>
        <row r="270">
          <cell r="A270" t="str">
            <v>E26</v>
          </cell>
          <cell r="B270">
            <v>269</v>
          </cell>
        </row>
        <row r="271">
          <cell r="A271" t="str">
            <v>A26</v>
          </cell>
          <cell r="B271">
            <v>270</v>
          </cell>
        </row>
        <row r="272">
          <cell r="A272" t="str">
            <v>L19</v>
          </cell>
          <cell r="B272">
            <v>271</v>
          </cell>
        </row>
        <row r="273">
          <cell r="A273" t="str">
            <v>F38</v>
          </cell>
          <cell r="B273">
            <v>272</v>
          </cell>
        </row>
        <row r="274">
          <cell r="A274" t="str">
            <v>A31</v>
          </cell>
          <cell r="B274">
            <v>273</v>
          </cell>
        </row>
        <row r="275">
          <cell r="A275" t="str">
            <v>B91</v>
          </cell>
          <cell r="B275">
            <v>274</v>
          </cell>
        </row>
        <row r="276">
          <cell r="A276" t="str">
            <v>B47</v>
          </cell>
          <cell r="B276">
            <v>275</v>
          </cell>
        </row>
        <row r="277">
          <cell r="A277" t="str">
            <v>E40</v>
          </cell>
          <cell r="B277">
            <v>276</v>
          </cell>
        </row>
        <row r="278">
          <cell r="A278" t="str">
            <v>N44U</v>
          </cell>
          <cell r="B278">
            <v>277</v>
          </cell>
        </row>
        <row r="279">
          <cell r="A279" t="str">
            <v>T22</v>
          </cell>
          <cell r="B279">
            <v>278</v>
          </cell>
        </row>
        <row r="280">
          <cell r="A280" t="str">
            <v>T14</v>
          </cell>
          <cell r="B280">
            <v>279</v>
          </cell>
        </row>
        <row r="281">
          <cell r="A281" t="str">
            <v>B90</v>
          </cell>
          <cell r="B281">
            <v>280</v>
          </cell>
        </row>
        <row r="282">
          <cell r="A282" t="str">
            <v>W06</v>
          </cell>
          <cell r="B282">
            <v>281</v>
          </cell>
        </row>
        <row r="283">
          <cell r="A283" t="str">
            <v>P82</v>
          </cell>
          <cell r="B283">
            <v>282</v>
          </cell>
        </row>
        <row r="284">
          <cell r="A284" t="str">
            <v>B94</v>
          </cell>
          <cell r="B284">
            <v>283</v>
          </cell>
        </row>
        <row r="285">
          <cell r="A285" t="str">
            <v>G10</v>
          </cell>
          <cell r="B285">
            <v>284</v>
          </cell>
        </row>
        <row r="286">
          <cell r="A286" t="str">
            <v>B92</v>
          </cell>
          <cell r="B286">
            <v>285</v>
          </cell>
        </row>
        <row r="287">
          <cell r="A287" t="str">
            <v>T11</v>
          </cell>
          <cell r="B287">
            <v>286</v>
          </cell>
        </row>
        <row r="288">
          <cell r="A288" t="str">
            <v>S08</v>
          </cell>
          <cell r="B288">
            <v>287</v>
          </cell>
        </row>
        <row r="289">
          <cell r="A289" t="str">
            <v>D33</v>
          </cell>
          <cell r="B289">
            <v>288</v>
          </cell>
        </row>
        <row r="290">
          <cell r="A290" t="str">
            <v>S12</v>
          </cell>
          <cell r="B290">
            <v>289</v>
          </cell>
        </row>
        <row r="291">
          <cell r="A291" t="str">
            <v>E69</v>
          </cell>
          <cell r="B291">
            <v>290</v>
          </cell>
        </row>
        <row r="292">
          <cell r="A292" t="str">
            <v>S07</v>
          </cell>
          <cell r="B292">
            <v>291</v>
          </cell>
        </row>
        <row r="293">
          <cell r="A293" t="str">
            <v>S19</v>
          </cell>
          <cell r="B293">
            <v>292</v>
          </cell>
        </row>
        <row r="294">
          <cell r="A294" t="str">
            <v>R08</v>
          </cell>
          <cell r="B294">
            <v>293</v>
          </cell>
        </row>
        <row r="295">
          <cell r="A295" t="str">
            <v>T03</v>
          </cell>
          <cell r="B295">
            <v>294</v>
          </cell>
        </row>
        <row r="296">
          <cell r="A296" t="str">
            <v>B04</v>
          </cell>
          <cell r="B296">
            <v>295</v>
          </cell>
        </row>
        <row r="297">
          <cell r="A297" t="str">
            <v>T05</v>
          </cell>
          <cell r="B297">
            <v>296</v>
          </cell>
        </row>
        <row r="298">
          <cell r="A298" t="str">
            <v>B50</v>
          </cell>
          <cell r="B298">
            <v>297</v>
          </cell>
        </row>
        <row r="299">
          <cell r="A299" t="str">
            <v>L10</v>
          </cell>
          <cell r="B299">
            <v>298</v>
          </cell>
        </row>
        <row r="300">
          <cell r="A300" t="str">
            <v>T15</v>
          </cell>
          <cell r="B300">
            <v>299</v>
          </cell>
        </row>
        <row r="301">
          <cell r="A301" t="str">
            <v>L16</v>
          </cell>
          <cell r="B301">
            <v>300</v>
          </cell>
        </row>
        <row r="302">
          <cell r="A302" t="str">
            <v>F40</v>
          </cell>
          <cell r="B302">
            <v>301</v>
          </cell>
        </row>
        <row r="303">
          <cell r="A303" t="str">
            <v>S18U</v>
          </cell>
          <cell r="B303">
            <v>302</v>
          </cell>
        </row>
        <row r="304">
          <cell r="A304" t="str">
            <v>T01</v>
          </cell>
          <cell r="B304">
            <v>303</v>
          </cell>
        </row>
        <row r="305">
          <cell r="A305" t="str">
            <v>R32</v>
          </cell>
          <cell r="B305">
            <v>304</v>
          </cell>
        </row>
        <row r="306">
          <cell r="A306" t="str">
            <v>R11</v>
          </cell>
          <cell r="B306">
            <v>305</v>
          </cell>
        </row>
        <row r="307">
          <cell r="A307" t="str">
            <v>E36</v>
          </cell>
          <cell r="B307">
            <v>306</v>
          </cell>
        </row>
        <row r="308">
          <cell r="A308" t="str">
            <v>T21</v>
          </cell>
          <cell r="B308">
            <v>307</v>
          </cell>
        </row>
        <row r="309">
          <cell r="A309" t="str">
            <v>R05</v>
          </cell>
          <cell r="B309">
            <v>308</v>
          </cell>
        </row>
        <row r="310">
          <cell r="A310" t="str">
            <v>F39</v>
          </cell>
          <cell r="B310">
            <v>309</v>
          </cell>
        </row>
        <row r="311">
          <cell r="A311" t="str">
            <v>W04</v>
          </cell>
          <cell r="B311">
            <v>310</v>
          </cell>
        </row>
        <row r="312">
          <cell r="A312" t="str">
            <v>A86</v>
          </cell>
          <cell r="B312">
            <v>311</v>
          </cell>
        </row>
        <row r="313">
          <cell r="A313" t="str">
            <v>T25</v>
          </cell>
          <cell r="B313">
            <v>312</v>
          </cell>
        </row>
        <row r="314">
          <cell r="A314" t="str">
            <v>R28</v>
          </cell>
          <cell r="B314">
            <v>313</v>
          </cell>
        </row>
        <row r="315">
          <cell r="A315" t="str">
            <v>T23</v>
          </cell>
          <cell r="B315">
            <v>314</v>
          </cell>
        </row>
        <row r="316">
          <cell r="A316" t="str">
            <v>S16</v>
          </cell>
          <cell r="B316">
            <v>315</v>
          </cell>
        </row>
        <row r="317">
          <cell r="A317" t="str">
            <v>R25</v>
          </cell>
          <cell r="B317">
            <v>316</v>
          </cell>
        </row>
        <row r="318">
          <cell r="A318" t="str">
            <v>H08</v>
          </cell>
          <cell r="B318">
            <v>317</v>
          </cell>
        </row>
        <row r="319">
          <cell r="A319" t="str">
            <v>B46</v>
          </cell>
          <cell r="B319">
            <v>318</v>
          </cell>
        </row>
        <row r="320">
          <cell r="A320" t="str">
            <v>B83</v>
          </cell>
          <cell r="B320">
            <v>319</v>
          </cell>
        </row>
        <row r="321">
          <cell r="A321" t="str">
            <v>T04</v>
          </cell>
          <cell r="B321">
            <v>320</v>
          </cell>
        </row>
        <row r="322">
          <cell r="A322" t="str">
            <v>B93</v>
          </cell>
          <cell r="B322">
            <v>321</v>
          </cell>
        </row>
        <row r="323">
          <cell r="A323" t="str">
            <v>T24</v>
          </cell>
          <cell r="B323">
            <v>322</v>
          </cell>
        </row>
      </sheetData>
      <sheetData sheetId="4"/>
      <sheetData sheetId="5">
        <row r="3">
          <cell r="B3" t="str">
            <v>INVOICE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QRAM"/>
    </sheetNames>
    <definedNames>
      <definedName name="Print_QRAM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 1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AQ"/>
      <sheetName val="CYSPEND"/>
      <sheetName val="Write Access"/>
      <sheetName val="WAVE1 TGW"/>
      <sheetName val="LTIS GQRS"/>
      <sheetName val="HTIS GQRS"/>
      <sheetName val="WARRANTY (HTIS_LTIS)"/>
      <sheetName val="Total Vehicle"/>
      <sheetName val="LTIS (AWS Data)"/>
      <sheetName val="HTIS (AWS Data)"/>
      <sheetName val="CODE TABLE"/>
    </sheetNames>
    <sheetDataSet>
      <sheetData sheetId="0"/>
      <sheetData sheetId="1"/>
      <sheetData sheetId="2"/>
      <sheetData sheetId="3"/>
      <sheetData sheetId="4">
        <row r="3">
          <cell r="C3" t="str">
            <v xml:space="preserve"> Unusual transmission noise </v>
          </cell>
          <cell r="D3">
            <v>39</v>
          </cell>
          <cell r="E3">
            <v>0.83</v>
          </cell>
        </row>
        <row r="4">
          <cell r="C4" t="str">
            <v xml:space="preserve"> Engine hesitates/surges </v>
          </cell>
          <cell r="D4">
            <v>50</v>
          </cell>
          <cell r="E4">
            <v>0.81</v>
          </cell>
        </row>
        <row r="5">
          <cell r="C5" t="str">
            <v xml:space="preserve"> Mldgs/ext.trim poorly aligned or fit </v>
          </cell>
          <cell r="D5">
            <v>31</v>
          </cell>
          <cell r="E5">
            <v>0.53</v>
          </cell>
        </row>
        <row r="6">
          <cell r="C6" t="str">
            <v xml:space="preserve"> Engine idles </v>
          </cell>
          <cell r="D6">
            <v>40</v>
          </cell>
          <cell r="E6">
            <v>0.52</v>
          </cell>
        </row>
        <row r="7">
          <cell r="C7" t="str">
            <v xml:space="preserve"> Scratched Paint </v>
          </cell>
          <cell r="D7">
            <v>60</v>
          </cell>
          <cell r="E7">
            <v>0.51</v>
          </cell>
        </row>
        <row r="8">
          <cell r="C8" t="str">
            <v xml:space="preserve"> Difficult to change gears </v>
          </cell>
          <cell r="D8">
            <v>37</v>
          </cell>
          <cell r="E8">
            <v>0.51</v>
          </cell>
        </row>
        <row r="9">
          <cell r="C9" t="str">
            <v xml:space="preserve"> Chipped Paint </v>
          </cell>
          <cell r="D9">
            <v>71</v>
          </cell>
          <cell r="E9">
            <v>0.45</v>
          </cell>
        </row>
        <row r="10">
          <cell r="C10" t="str">
            <v xml:space="preserve"> Window squeak/rattle/scrape </v>
          </cell>
          <cell r="D10">
            <v>114</v>
          </cell>
          <cell r="E10">
            <v>0.39</v>
          </cell>
        </row>
        <row r="11">
          <cell r="C11" t="str">
            <v xml:space="preserve"> WL-around front side door/window </v>
          </cell>
          <cell r="D11">
            <v>103</v>
          </cell>
          <cell r="E11">
            <v>0.39</v>
          </cell>
        </row>
        <row r="12">
          <cell r="C12" t="str">
            <v xml:space="preserve"> Harsh ride </v>
          </cell>
          <cell r="D12">
            <v>17</v>
          </cell>
          <cell r="E12">
            <v>0.38</v>
          </cell>
        </row>
        <row r="13">
          <cell r="C13" t="str">
            <v xml:space="preserve"> Unusual engine noise </v>
          </cell>
          <cell r="D13">
            <v>39</v>
          </cell>
          <cell r="E13">
            <v>0.37</v>
          </cell>
        </row>
        <row r="14">
          <cell r="C14" t="str">
            <v xml:space="preserve"> Dents/dings </v>
          </cell>
          <cell r="D14">
            <v>43</v>
          </cell>
          <cell r="E14">
            <v>0.36</v>
          </cell>
        </row>
        <row r="15">
          <cell r="C15" t="str">
            <v xml:space="preserve"> WN-around front side door/window </v>
          </cell>
          <cell r="D15">
            <v>55</v>
          </cell>
          <cell r="E15">
            <v>0.34</v>
          </cell>
        </row>
        <row r="16">
          <cell r="C16" t="str">
            <v xml:space="preserve"> Seat belt coil/uncoil troubles </v>
          </cell>
          <cell r="D16">
            <v>80</v>
          </cell>
          <cell r="E16">
            <v>0.32</v>
          </cell>
        </row>
        <row r="17">
          <cell r="C17" t="str">
            <v xml:space="preserve"> Interior moldings fit poorly </v>
          </cell>
          <cell r="D17">
            <v>15</v>
          </cell>
          <cell r="E17">
            <v>0.3</v>
          </cell>
        </row>
        <row r="18">
          <cell r="C18" t="str">
            <v xml:space="preserve"> Air conditioner </v>
          </cell>
          <cell r="D18">
            <v>31</v>
          </cell>
          <cell r="E18">
            <v>0.28000000000000003</v>
          </cell>
        </row>
        <row r="19">
          <cell r="C19" t="str">
            <v xml:space="preserve"> WN-around sun/moon/t-top/conv. roof </v>
          </cell>
          <cell r="D19">
            <v>27</v>
          </cell>
          <cell r="E19">
            <v>0.25</v>
          </cell>
        </row>
        <row r="20">
          <cell r="C20" t="str">
            <v xml:space="preserve"> Constant pull/drift to one side </v>
          </cell>
          <cell r="D20">
            <v>34</v>
          </cell>
          <cell r="E20">
            <v>0.24</v>
          </cell>
        </row>
        <row r="21">
          <cell r="C21" t="str">
            <v xml:space="preserve"> Fits poorly </v>
          </cell>
          <cell r="D21">
            <v>23</v>
          </cell>
          <cell r="E21">
            <v>0.24</v>
          </cell>
        </row>
        <row r="22">
          <cell r="C22" t="str">
            <v xml:space="preserve"> Ip-scratched/scuffed </v>
          </cell>
          <cell r="D22">
            <v>14</v>
          </cell>
          <cell r="E22">
            <v>0.24</v>
          </cell>
        </row>
        <row r="23">
          <cell r="C23" t="str">
            <v xml:space="preserve"> Door-scratched/scuffed </v>
          </cell>
          <cell r="D23">
            <v>11</v>
          </cell>
          <cell r="E23">
            <v>0.24</v>
          </cell>
        </row>
        <row r="24">
          <cell r="C24" t="str">
            <v xml:space="preserve"> Clutch req. too much or uneven effort </v>
          </cell>
          <cell r="D24">
            <v>18</v>
          </cell>
          <cell r="E24">
            <v>0.23</v>
          </cell>
        </row>
        <row r="25">
          <cell r="C25" t="str">
            <v xml:space="preserve"> Mldgs/ext.trim loose/missing </v>
          </cell>
          <cell r="D25">
            <v>15</v>
          </cell>
          <cell r="E25">
            <v>0.23</v>
          </cell>
        </row>
        <row r="26">
          <cell r="C26" t="str">
            <v xml:space="preserve"> Shifts rough or jerky while driving </v>
          </cell>
          <cell r="D26">
            <v>24</v>
          </cell>
          <cell r="E26">
            <v>0.22</v>
          </cell>
        </row>
        <row r="27">
          <cell r="C27" t="str">
            <v xml:space="preserve"> Other engine troubles </v>
          </cell>
          <cell r="D27">
            <v>16</v>
          </cell>
          <cell r="E27">
            <v>0.22</v>
          </cell>
        </row>
        <row r="28">
          <cell r="C28" t="str">
            <v xml:space="preserve"> Front side door squeaks and rattles </v>
          </cell>
          <cell r="D28">
            <v>35</v>
          </cell>
          <cell r="E28">
            <v>0.21</v>
          </cell>
        </row>
        <row r="29">
          <cell r="C29" t="str">
            <v xml:space="preserve"> Clutch chatters/grabs/slips/jerks </v>
          </cell>
          <cell r="D29">
            <v>28</v>
          </cell>
          <cell r="E29">
            <v>0.21</v>
          </cell>
        </row>
        <row r="30">
          <cell r="C30" t="str">
            <v xml:space="preserve"> Seat-loose/poor fit/warped/wrinkled </v>
          </cell>
          <cell r="D30">
            <v>12</v>
          </cell>
          <cell r="E30">
            <v>0.21</v>
          </cell>
        </row>
        <row r="31">
          <cell r="C31" t="str">
            <v xml:space="preserve"> Excessive free play/wander </v>
          </cell>
          <cell r="D31">
            <v>5</v>
          </cell>
          <cell r="E31">
            <v>0.21</v>
          </cell>
        </row>
        <row r="32">
          <cell r="C32" t="str">
            <v xml:space="preserve"> Vehicle vibrates while driving </v>
          </cell>
          <cell r="D32">
            <v>12</v>
          </cell>
          <cell r="E32">
            <v>0.2</v>
          </cell>
        </row>
        <row r="33">
          <cell r="C33" t="str">
            <v xml:space="preserve"> Front underbody vehicle ext. sqk/rtl </v>
          </cell>
          <cell r="D33">
            <v>13</v>
          </cell>
          <cell r="E33">
            <v>0.19</v>
          </cell>
        </row>
        <row r="34">
          <cell r="C34" t="str">
            <v xml:space="preserve"> Mushy ride </v>
          </cell>
          <cell r="D34">
            <v>3</v>
          </cell>
          <cell r="E34">
            <v>0.19</v>
          </cell>
        </row>
        <row r="35">
          <cell r="C35" t="str">
            <v xml:space="preserve"> Seat-holes/tears/snags/cracks/cuts </v>
          </cell>
          <cell r="D35">
            <v>16</v>
          </cell>
          <cell r="E35">
            <v>0.18</v>
          </cell>
        </row>
        <row r="36">
          <cell r="C36" t="str">
            <v xml:space="preserve"> Rear underbody vehicle ext. sqk/rtl </v>
          </cell>
          <cell r="D36">
            <v>13</v>
          </cell>
          <cell r="E36">
            <v>0.15</v>
          </cell>
        </row>
        <row r="37">
          <cell r="C37" t="str">
            <v xml:space="preserve"> Excess pressure required </v>
          </cell>
          <cell r="D37">
            <v>11</v>
          </cell>
          <cell r="E37">
            <v>0.15</v>
          </cell>
        </row>
        <row r="38">
          <cell r="C38" t="str">
            <v xml:space="preserve"> Front seat loose </v>
          </cell>
          <cell r="D38">
            <v>10</v>
          </cell>
          <cell r="E38">
            <v>0.15</v>
          </cell>
        </row>
        <row r="39">
          <cell r="C39" t="str">
            <v xml:space="preserve"> Other brake troubles </v>
          </cell>
          <cell r="D39">
            <v>11</v>
          </cell>
          <cell r="E39">
            <v>0.14000000000000001</v>
          </cell>
        </row>
        <row r="40">
          <cell r="C40" t="str">
            <v xml:space="preserve"> Roof-loose/poor fit/warped/wrinkled </v>
          </cell>
          <cell r="D40">
            <v>6</v>
          </cell>
          <cell r="E40">
            <v>0.14000000000000001</v>
          </cell>
        </row>
        <row r="41">
          <cell r="C41" t="str">
            <v xml:space="preserve"> Window opening/closing troubles-pow </v>
          </cell>
          <cell r="D41">
            <v>27</v>
          </cell>
          <cell r="E41">
            <v>0.13</v>
          </cell>
        </row>
        <row r="42">
          <cell r="C42" t="str">
            <v xml:space="preserve"> Hard to close </v>
          </cell>
          <cell r="D42">
            <v>20</v>
          </cell>
          <cell r="E42">
            <v>0.13</v>
          </cell>
        </row>
        <row r="43">
          <cell r="C43" t="str">
            <v xml:space="preserve"> Brakes grab or lock up </v>
          </cell>
          <cell r="D43">
            <v>11</v>
          </cell>
          <cell r="E43">
            <v>0.13</v>
          </cell>
        </row>
        <row r="44">
          <cell r="C44" t="str">
            <v xml:space="preserve"> Thin/No Paint </v>
          </cell>
          <cell r="D44">
            <v>11</v>
          </cell>
          <cell r="E44">
            <v>0.13</v>
          </cell>
        </row>
        <row r="45">
          <cell r="C45" t="str">
            <v xml:space="preserve"> Faded/Dull Paint </v>
          </cell>
          <cell r="D45">
            <v>11</v>
          </cell>
          <cell r="E45">
            <v>0.13</v>
          </cell>
        </row>
        <row r="46">
          <cell r="C46" t="str">
            <v xml:space="preserve"> Tape player/cd </v>
          </cell>
          <cell r="D46">
            <v>16</v>
          </cell>
          <cell r="E46">
            <v>0.12</v>
          </cell>
        </row>
        <row r="47">
          <cell r="C47" t="str">
            <v xml:space="preserve"> Stained/Spotted Paint </v>
          </cell>
          <cell r="D47">
            <v>13</v>
          </cell>
          <cell r="E47">
            <v>0.12</v>
          </cell>
        </row>
        <row r="48">
          <cell r="C48" t="str">
            <v xml:space="preserve"> Vibration/shudder while braking </v>
          </cell>
          <cell r="D48">
            <v>13</v>
          </cell>
          <cell r="E48">
            <v>0.12</v>
          </cell>
        </row>
        <row r="49">
          <cell r="C49" t="str">
            <v xml:space="preserve"> Engine belt breaking/slippng/squealng </v>
          </cell>
          <cell r="D49">
            <v>7</v>
          </cell>
          <cell r="E49">
            <v>0.12</v>
          </cell>
        </row>
        <row r="50">
          <cell r="C50" t="str">
            <v xml:space="preserve"> Instrument panel/dashboard squeaks </v>
          </cell>
          <cell r="D50">
            <v>30</v>
          </cell>
          <cell r="E50">
            <v>0.11</v>
          </cell>
        </row>
        <row r="51">
          <cell r="C51" t="str">
            <v xml:space="preserve"> Crpt-loose/poor fit/warped/wrinkled </v>
          </cell>
          <cell r="D51">
            <v>17</v>
          </cell>
          <cell r="E51">
            <v>0.11</v>
          </cell>
        </row>
        <row r="52">
          <cell r="C52" t="str">
            <v xml:space="preserve"> WL-around rear side door/window </v>
          </cell>
          <cell r="D52">
            <v>16</v>
          </cell>
          <cell r="E52">
            <v>0.11</v>
          </cell>
        </row>
        <row r="53">
          <cell r="C53" t="str">
            <v xml:space="preserve"> Cigarette lighter/powerpoint trouble </v>
          </cell>
          <cell r="D53">
            <v>15</v>
          </cell>
          <cell r="E53">
            <v>0.11</v>
          </cell>
        </row>
        <row r="54">
          <cell r="C54" t="str">
            <v xml:space="preserve"> Steering wheel vibration/shimmy </v>
          </cell>
          <cell r="D54">
            <v>12</v>
          </cell>
          <cell r="E54">
            <v>0.11</v>
          </cell>
        </row>
        <row r="55">
          <cell r="C55" t="str">
            <v xml:space="preserve"> Engine would not start </v>
          </cell>
          <cell r="D55">
            <v>10</v>
          </cell>
          <cell r="E55">
            <v>0.11</v>
          </cell>
        </row>
        <row r="56">
          <cell r="C56" t="str">
            <v xml:space="preserve"> Seat-excessive wear </v>
          </cell>
          <cell r="D56">
            <v>6</v>
          </cell>
          <cell r="E56">
            <v>0.11</v>
          </cell>
        </row>
        <row r="57">
          <cell r="C57" t="str">
            <v xml:space="preserve"> Gear changes take too long to complete </v>
          </cell>
          <cell r="D57">
            <v>22</v>
          </cell>
          <cell r="E57">
            <v>0.1</v>
          </cell>
        </row>
        <row r="58">
          <cell r="C58" t="str">
            <v xml:space="preserve"> Body panel hinge squeak </v>
          </cell>
          <cell r="D58">
            <v>14</v>
          </cell>
          <cell r="E58">
            <v>0.1</v>
          </cell>
        </row>
        <row r="59">
          <cell r="C59" t="str">
            <v xml:space="preserve"> Noisy brakes </v>
          </cell>
          <cell r="D59">
            <v>10</v>
          </cell>
          <cell r="E59">
            <v>0.1</v>
          </cell>
        </row>
        <row r="60">
          <cell r="C60" t="str">
            <v xml:space="preserve"> Ip-loose/poor fit/warped/wrinkled </v>
          </cell>
          <cell r="D60">
            <v>7</v>
          </cell>
          <cell r="E60">
            <v>0.1</v>
          </cell>
        </row>
        <row r="61">
          <cell r="C61" t="str">
            <v xml:space="preserve"> Ashtray troubles </v>
          </cell>
          <cell r="D61">
            <v>19</v>
          </cell>
          <cell r="E61">
            <v>0.09</v>
          </cell>
        </row>
        <row r="62">
          <cell r="C62" t="str">
            <v xml:space="preserve"> Shifts occur too early/late/often </v>
          </cell>
          <cell r="D62">
            <v>15</v>
          </cell>
          <cell r="E62">
            <v>0.09</v>
          </cell>
        </row>
        <row r="63">
          <cell r="C63" t="str">
            <v xml:space="preserve"> Check engine light troubles </v>
          </cell>
          <cell r="D63">
            <v>10</v>
          </cell>
          <cell r="E63">
            <v>0.09</v>
          </cell>
        </row>
        <row r="64">
          <cell r="C64" t="str">
            <v xml:space="preserve"> Stereo/radio sound quality </v>
          </cell>
          <cell r="D64">
            <v>10</v>
          </cell>
          <cell r="E64">
            <v>0.09</v>
          </cell>
        </row>
        <row r="65">
          <cell r="C65" t="str">
            <v xml:space="preserve"> Unevn Clr/Clr Dif.Btwn Bdy Pnls </v>
          </cell>
          <cell r="D65">
            <v>9</v>
          </cell>
          <cell r="E65">
            <v>0.09</v>
          </cell>
        </row>
        <row r="66">
          <cell r="C66" t="str">
            <v xml:space="preserve"> Other lighting troubles ** </v>
          </cell>
          <cell r="D66">
            <v>25</v>
          </cell>
          <cell r="E66">
            <v>0.08</v>
          </cell>
        </row>
        <row r="67">
          <cell r="C67" t="str">
            <v xml:space="preserve"> Vehicle pulls left while braking </v>
          </cell>
          <cell r="D67">
            <v>19</v>
          </cell>
          <cell r="E67">
            <v>0.08</v>
          </cell>
        </row>
        <row r="68">
          <cell r="C68" t="str">
            <v xml:space="preserve"> Other squeaks and rattles </v>
          </cell>
          <cell r="D68">
            <v>12</v>
          </cell>
          <cell r="E68">
            <v>0.08</v>
          </cell>
        </row>
        <row r="69">
          <cell r="C69" t="str">
            <v xml:space="preserve"> Other handling and ride </v>
          </cell>
          <cell r="D69">
            <v>12</v>
          </cell>
          <cell r="E69">
            <v>0.08</v>
          </cell>
        </row>
        <row r="70">
          <cell r="C70" t="str">
            <v xml:space="preserve"> Center floor console sqks and rtls </v>
          </cell>
          <cell r="D70">
            <v>7</v>
          </cell>
          <cell r="E70">
            <v>0.08</v>
          </cell>
        </row>
        <row r="71">
          <cell r="C71" t="str">
            <v xml:space="preserve"> Transmission fluid leaks </v>
          </cell>
          <cell r="D71">
            <v>6</v>
          </cell>
          <cell r="E71">
            <v>0.08</v>
          </cell>
        </row>
        <row r="72">
          <cell r="C72" t="str">
            <v xml:space="preserve"> Door-holes/tears/snags/cracks/cuts </v>
          </cell>
          <cell r="D72">
            <v>5</v>
          </cell>
          <cell r="E72">
            <v>0.08</v>
          </cell>
        </row>
        <row r="73">
          <cell r="C73" t="str">
            <v xml:space="preserve"> Ip-holes/tears/snags/cracks/cuts </v>
          </cell>
          <cell r="D73">
            <v>3</v>
          </cell>
          <cell r="E73">
            <v>0.08</v>
          </cell>
        </row>
        <row r="74">
          <cell r="C74" t="str">
            <v xml:space="preserve"> Speakers </v>
          </cell>
          <cell r="D74">
            <v>21</v>
          </cell>
          <cell r="E74">
            <v>7.0000000000000007E-2</v>
          </cell>
        </row>
        <row r="75">
          <cell r="C75" t="str">
            <v xml:space="preserve"> Difficult or slow to start </v>
          </cell>
          <cell r="D75">
            <v>19</v>
          </cell>
          <cell r="E75">
            <v>7.0000000000000007E-2</v>
          </cell>
        </row>
        <row r="76">
          <cell r="C76" t="str">
            <v xml:space="preserve"> Other electrical and accessory trouble </v>
          </cell>
          <cell r="D76">
            <v>4</v>
          </cell>
          <cell r="E76">
            <v>7.0000000000000007E-2</v>
          </cell>
        </row>
        <row r="77">
          <cell r="C77" t="str">
            <v xml:space="preserve"> Rear seat loose </v>
          </cell>
          <cell r="D77">
            <v>3</v>
          </cell>
          <cell r="E77">
            <v>7.0000000000000007E-2</v>
          </cell>
        </row>
        <row r="78">
          <cell r="C78" t="str">
            <v xml:space="preserve"> Engine stalls </v>
          </cell>
          <cell r="D78">
            <v>14</v>
          </cell>
          <cell r="E78">
            <v>0.06</v>
          </cell>
        </row>
        <row r="79">
          <cell r="C79" t="str">
            <v xml:space="preserve"> Sags/Runs In Paint </v>
          </cell>
          <cell r="D79">
            <v>11</v>
          </cell>
          <cell r="E79">
            <v>0.06</v>
          </cell>
        </row>
        <row r="80">
          <cell r="C80" t="str">
            <v xml:space="preserve"> Other Exterior Paint Troubles </v>
          </cell>
          <cell r="D80">
            <v>7</v>
          </cell>
          <cell r="E80">
            <v>0.06</v>
          </cell>
        </row>
        <row r="81">
          <cell r="C81" t="str">
            <v xml:space="preserve"> Steering req. extra or uneven effort </v>
          </cell>
          <cell r="D81">
            <v>3</v>
          </cell>
          <cell r="E81">
            <v>0.06</v>
          </cell>
        </row>
        <row r="82">
          <cell r="C82" t="str">
            <v xml:space="preserve"> Windshield defrosting/defogging </v>
          </cell>
          <cell r="D82">
            <v>28</v>
          </cell>
          <cell r="E82">
            <v>0.05</v>
          </cell>
        </row>
        <row r="83">
          <cell r="C83" t="str">
            <v xml:space="preserve"> Vehicle pulls right while braking </v>
          </cell>
          <cell r="D83">
            <v>27</v>
          </cell>
          <cell r="E83">
            <v>0.05</v>
          </cell>
        </row>
        <row r="84">
          <cell r="C84" t="str">
            <v xml:space="preserve"> WL-around sun/moon/t-top/conv. roof </v>
          </cell>
          <cell r="D84">
            <v>23</v>
          </cell>
          <cell r="E84">
            <v>0.05</v>
          </cell>
        </row>
        <row r="85">
          <cell r="C85" t="str">
            <v xml:space="preserve"> Front seat squeaks and rattles </v>
          </cell>
          <cell r="D85">
            <v>21</v>
          </cell>
          <cell r="E85">
            <v>0.05</v>
          </cell>
        </row>
        <row r="86">
          <cell r="C86" t="str">
            <v xml:space="preserve"> Other temperature control troubles </v>
          </cell>
          <cell r="D86">
            <v>15</v>
          </cell>
          <cell r="E86">
            <v>0.05</v>
          </cell>
        </row>
        <row r="87">
          <cell r="C87" t="str">
            <v xml:space="preserve"> Other body/ext. trim troubles </v>
          </cell>
          <cell r="D87">
            <v>14</v>
          </cell>
          <cell r="E87">
            <v>0.05</v>
          </cell>
        </row>
        <row r="88">
          <cell r="C88" t="str">
            <v xml:space="preserve"> Shifts rough or jerky from park </v>
          </cell>
          <cell r="D88">
            <v>12</v>
          </cell>
          <cell r="E88">
            <v>0.05</v>
          </cell>
        </row>
        <row r="89">
          <cell r="C89" t="str">
            <v xml:space="preserve"> Other warning lights </v>
          </cell>
          <cell r="D89">
            <v>12</v>
          </cell>
          <cell r="E89">
            <v>0.05</v>
          </cell>
        </row>
        <row r="90">
          <cell r="C90" t="str">
            <v xml:space="preserve"> Front seat manual control adjustment </v>
          </cell>
          <cell r="D90">
            <v>10</v>
          </cell>
          <cell r="E90">
            <v>0.05</v>
          </cell>
        </row>
        <row r="91">
          <cell r="C91" t="str">
            <v xml:space="preserve"> Headlight aim/alignment </v>
          </cell>
          <cell r="D91">
            <v>9</v>
          </cell>
          <cell r="E91">
            <v>0.05</v>
          </cell>
        </row>
        <row r="92">
          <cell r="C92" t="str">
            <v xml:space="preserve"> Stereo/radio reception </v>
          </cell>
          <cell r="D92">
            <v>7</v>
          </cell>
          <cell r="E92">
            <v>0.05</v>
          </cell>
        </row>
        <row r="93">
          <cell r="C93" t="str">
            <v xml:space="preserve"> Exhaust system troubles </v>
          </cell>
          <cell r="D93">
            <v>7</v>
          </cell>
          <cell r="E93">
            <v>0.05</v>
          </cell>
        </row>
        <row r="94">
          <cell r="C94" t="str">
            <v xml:space="preserve"> Seat-faded/discolored/soiled </v>
          </cell>
          <cell r="D94">
            <v>6</v>
          </cell>
          <cell r="E94">
            <v>0.05</v>
          </cell>
        </row>
        <row r="95">
          <cell r="C95" t="str">
            <v xml:space="preserve"> Seat-scratched/scuffed </v>
          </cell>
          <cell r="D95">
            <v>5</v>
          </cell>
          <cell r="E95">
            <v>0.05</v>
          </cell>
        </row>
        <row r="96">
          <cell r="C96" t="str">
            <v xml:space="preserve"> Seat-splitting seams </v>
          </cell>
          <cell r="D96">
            <v>4</v>
          </cell>
          <cell r="E96">
            <v>0.05</v>
          </cell>
        </row>
        <row r="97">
          <cell r="C97" t="str">
            <v xml:space="preserve"> WN-around rear side door/window </v>
          </cell>
          <cell r="D97">
            <v>11</v>
          </cell>
          <cell r="E97">
            <v>0.04</v>
          </cell>
        </row>
        <row r="98">
          <cell r="C98" t="str">
            <v xml:space="preserve"> Peeled Paint </v>
          </cell>
          <cell r="D98">
            <v>10</v>
          </cell>
          <cell r="E98">
            <v>0.04</v>
          </cell>
        </row>
        <row r="99">
          <cell r="C99" t="str">
            <v xml:space="preserve"> Sun/moon/t-top/conv. diff to opn/cls </v>
          </cell>
          <cell r="D99">
            <v>10</v>
          </cell>
          <cell r="E99">
            <v>0.04</v>
          </cell>
        </row>
        <row r="100">
          <cell r="C100" t="str">
            <v xml:space="preserve"> M-other manual transmission troubles </v>
          </cell>
          <cell r="D100">
            <v>9</v>
          </cell>
          <cell r="E100">
            <v>0.04</v>
          </cell>
        </row>
        <row r="101">
          <cell r="C101" t="str">
            <v xml:space="preserve"> Heater </v>
          </cell>
          <cell r="D101">
            <v>8</v>
          </cell>
          <cell r="E101">
            <v>0.04</v>
          </cell>
        </row>
        <row r="102">
          <cell r="C102" t="str">
            <v xml:space="preserve"> Paint Spray Over Body Finish </v>
          </cell>
          <cell r="D102">
            <v>7</v>
          </cell>
          <cell r="E102">
            <v>0.04</v>
          </cell>
        </row>
        <row r="103">
          <cell r="C103" t="str">
            <v xml:space="preserve"> Dirt In Paint </v>
          </cell>
          <cell r="D103">
            <v>7</v>
          </cell>
          <cell r="E103">
            <v>0.04</v>
          </cell>
        </row>
        <row r="104">
          <cell r="C104" t="str">
            <v xml:space="preserve"> Hard to open </v>
          </cell>
          <cell r="D104">
            <v>7</v>
          </cell>
          <cell r="E104">
            <v>0.04</v>
          </cell>
        </row>
        <row r="105">
          <cell r="C105" t="str">
            <v xml:space="preserve"> Brake pedal spongy </v>
          </cell>
          <cell r="D105">
            <v>6</v>
          </cell>
          <cell r="E105">
            <v>0.04</v>
          </cell>
        </row>
        <row r="106">
          <cell r="C106" t="str">
            <v xml:space="preserve"> WN-around trnk ld/htch/tgate </v>
          </cell>
          <cell r="D106">
            <v>4</v>
          </cell>
          <cell r="E106">
            <v>0.04</v>
          </cell>
        </row>
        <row r="107">
          <cell r="C107" t="str">
            <v xml:space="preserve"> Back window defrosting/defogging </v>
          </cell>
          <cell r="D107">
            <v>19</v>
          </cell>
          <cell r="E107">
            <v>0.03</v>
          </cell>
        </row>
        <row r="108">
          <cell r="C108" t="str">
            <v xml:space="preserve"> Sqk around sun/moon/t-top/conv. roof </v>
          </cell>
          <cell r="D108">
            <v>14</v>
          </cell>
          <cell r="E108">
            <v>0.03</v>
          </cell>
        </row>
        <row r="109">
          <cell r="C109" t="str">
            <v xml:space="preserve"> Bmpr-chipped </v>
          </cell>
          <cell r="D109">
            <v>13</v>
          </cell>
          <cell r="E109">
            <v>0.03</v>
          </cell>
        </row>
        <row r="110">
          <cell r="C110" t="str">
            <v xml:space="preserve"> Other audio troubles ** </v>
          </cell>
          <cell r="D110">
            <v>9</v>
          </cell>
          <cell r="E110">
            <v>0.03</v>
          </cell>
        </row>
        <row r="111">
          <cell r="C111" t="str">
            <v xml:space="preserve"> Front seat power control adjustment </v>
          </cell>
          <cell r="D111">
            <v>8</v>
          </cell>
          <cell r="E111">
            <v>0.03</v>
          </cell>
        </row>
        <row r="112">
          <cell r="C112" t="str">
            <v xml:space="preserve"> Fuel gauge </v>
          </cell>
          <cell r="D112">
            <v>8</v>
          </cell>
          <cell r="E112">
            <v>0.03</v>
          </cell>
        </row>
        <row r="113">
          <cell r="C113" t="str">
            <v xml:space="preserve"> Other wind noise troubles </v>
          </cell>
          <cell r="D113">
            <v>6</v>
          </cell>
          <cell r="E113">
            <v>0.03</v>
          </cell>
        </row>
        <row r="114">
          <cell r="C114" t="str">
            <v xml:space="preserve"> Crpt-holes/tears/snags/cracks/cuts </v>
          </cell>
          <cell r="D114">
            <v>6</v>
          </cell>
          <cell r="E114">
            <v>0.03</v>
          </cell>
        </row>
        <row r="115">
          <cell r="C115" t="str">
            <v xml:space="preserve"> Steering wheel spokes not correctly </v>
          </cell>
          <cell r="D115">
            <v>4</v>
          </cell>
          <cell r="E115">
            <v>0.03</v>
          </cell>
        </row>
        <row r="116">
          <cell r="C116" t="str">
            <v xml:space="preserve"> Crpt-excessive wear </v>
          </cell>
          <cell r="D116">
            <v>3</v>
          </cell>
          <cell r="E116">
            <v>0.03</v>
          </cell>
        </row>
        <row r="117">
          <cell r="C117" t="str">
            <v xml:space="preserve"> Con-loose/poor fit/warped/wrinkled </v>
          </cell>
          <cell r="D117">
            <v>2</v>
          </cell>
          <cell r="E117">
            <v>0.03</v>
          </cell>
        </row>
        <row r="118">
          <cell r="C118" t="str">
            <v xml:space="preserve"> Mldgs/ext.trim corroded </v>
          </cell>
          <cell r="D118">
            <v>2</v>
          </cell>
          <cell r="E118">
            <v>0.03</v>
          </cell>
        </row>
        <row r="119">
          <cell r="C119" t="str">
            <v xml:space="preserve"> Interior lights not working </v>
          </cell>
          <cell r="D119">
            <v>2</v>
          </cell>
          <cell r="E119">
            <v>0.03</v>
          </cell>
        </row>
        <row r="120">
          <cell r="C120" t="str">
            <v xml:space="preserve"> Other restraint troubles ** </v>
          </cell>
          <cell r="D120">
            <v>22</v>
          </cell>
          <cell r="E120">
            <v>0.02</v>
          </cell>
        </row>
        <row r="121">
          <cell r="C121" t="str">
            <v xml:space="preserve"> Heater. defroster. or ac noise trouble </v>
          </cell>
          <cell r="D121">
            <v>18</v>
          </cell>
          <cell r="E121">
            <v>0.02</v>
          </cell>
        </row>
        <row r="122">
          <cell r="C122" t="str">
            <v xml:space="preserve"> Other interior troubles </v>
          </cell>
          <cell r="D122">
            <v>15</v>
          </cell>
          <cell r="E122">
            <v>0.02</v>
          </cell>
        </row>
        <row r="123">
          <cell r="C123" t="str">
            <v xml:space="preserve"> A-other automatic transmission troubles </v>
          </cell>
          <cell r="D123">
            <v>10</v>
          </cell>
          <cell r="E123">
            <v>0.02</v>
          </cell>
        </row>
        <row r="124">
          <cell r="C124" t="str">
            <v xml:space="preserve"> Steering noisy </v>
          </cell>
          <cell r="D124">
            <v>10</v>
          </cell>
          <cell r="E124">
            <v>0.02</v>
          </cell>
        </row>
        <row r="125">
          <cell r="C125" t="str">
            <v xml:space="preserve"> Other ip/console troubles ** </v>
          </cell>
          <cell r="D125">
            <v>9</v>
          </cell>
          <cell r="E125">
            <v>0.02</v>
          </cell>
        </row>
        <row r="126">
          <cell r="C126" t="str">
            <v xml:space="preserve"> Anti-theft/alarm system </v>
          </cell>
          <cell r="D126">
            <v>8</v>
          </cell>
          <cell r="E126">
            <v>0.02</v>
          </cell>
        </row>
        <row r="127">
          <cell r="C127" t="str">
            <v xml:space="preserve"> Cupholder troubles </v>
          </cell>
          <cell r="D127">
            <v>6</v>
          </cell>
          <cell r="E127">
            <v>0.02</v>
          </cell>
        </row>
        <row r="128">
          <cell r="C128" t="str">
            <v xml:space="preserve"> Engine leaks oil </v>
          </cell>
          <cell r="D128">
            <v>5</v>
          </cell>
          <cell r="E128">
            <v>0.02</v>
          </cell>
        </row>
        <row r="129">
          <cell r="C129" t="str">
            <v xml:space="preserve"> Glove box door squeaks and rattles </v>
          </cell>
          <cell r="D129">
            <v>5</v>
          </cell>
          <cell r="E129">
            <v>0.02</v>
          </cell>
        </row>
        <row r="130">
          <cell r="C130" t="str">
            <v xml:space="preserve"> Glove box door gaps/fits poorly/dif </v>
          </cell>
          <cell r="D130">
            <v>4</v>
          </cell>
          <cell r="E130">
            <v>0.02</v>
          </cell>
        </row>
        <row r="131">
          <cell r="C131" t="str">
            <v xml:space="preserve"> Door-loose/poor fit/warped/wrinkled </v>
          </cell>
          <cell r="D131">
            <v>4</v>
          </cell>
          <cell r="E131">
            <v>0.02</v>
          </cell>
        </row>
        <row r="132">
          <cell r="C132" t="str">
            <v xml:space="preserve"> Door-faded/discolored/soiled </v>
          </cell>
          <cell r="D132">
            <v>4</v>
          </cell>
          <cell r="E132">
            <v>0.02</v>
          </cell>
        </row>
        <row r="133">
          <cell r="C133" t="str">
            <v xml:space="preserve"> Weak or low electrical power </v>
          </cell>
          <cell r="D133">
            <v>3</v>
          </cell>
          <cell r="E133">
            <v>0.02</v>
          </cell>
        </row>
        <row r="134">
          <cell r="C134" t="str">
            <v xml:space="preserve"> Crpt-faded/discolored/soiled </v>
          </cell>
          <cell r="D134">
            <v>2</v>
          </cell>
          <cell r="E134">
            <v>0.02</v>
          </cell>
        </row>
        <row r="135">
          <cell r="C135" t="str">
            <v xml:space="preserve"> Underbody Rust/Corrosion </v>
          </cell>
          <cell r="D135">
            <v>2</v>
          </cell>
          <cell r="E135">
            <v>0.02</v>
          </cell>
        </row>
        <row r="136">
          <cell r="C136" t="str">
            <v xml:space="preserve"> Other rear vehicle ext. sqk/rtl </v>
          </cell>
          <cell r="D136">
            <v>2</v>
          </cell>
          <cell r="E136">
            <v>0.02</v>
          </cell>
        </row>
        <row r="137">
          <cell r="C137" t="str">
            <v xml:space="preserve"> Fuel tank leak/odor </v>
          </cell>
          <cell r="D137">
            <v>2</v>
          </cell>
          <cell r="E137">
            <v>0.02</v>
          </cell>
        </row>
        <row r="138">
          <cell r="C138" t="str">
            <v xml:space="preserve"> Con-holes/tears/ snags/cracks/cuts </v>
          </cell>
          <cell r="D138">
            <v>2</v>
          </cell>
          <cell r="E138">
            <v>0.02</v>
          </cell>
        </row>
        <row r="139">
          <cell r="C139" t="str">
            <v xml:space="preserve"> Excessive oil consumption </v>
          </cell>
          <cell r="D139">
            <v>1</v>
          </cell>
          <cell r="E139">
            <v>0.02</v>
          </cell>
        </row>
        <row r="140">
          <cell r="C140" t="str">
            <v xml:space="preserve"> Wiring troubles ** </v>
          </cell>
          <cell r="D140">
            <v>0</v>
          </cell>
          <cell r="E140">
            <v>0.02</v>
          </cell>
        </row>
        <row r="141">
          <cell r="C141" t="str">
            <v xml:space="preserve"> Air conditioner/heater/defroster odor </v>
          </cell>
          <cell r="D141">
            <v>14</v>
          </cell>
          <cell r="E141">
            <v>0.01</v>
          </cell>
        </row>
        <row r="142">
          <cell r="C142" t="str">
            <v xml:space="preserve"> Side window defrosting/defogging </v>
          </cell>
          <cell r="D142">
            <v>11</v>
          </cell>
          <cell r="E142">
            <v>0.01</v>
          </cell>
        </row>
        <row r="143">
          <cell r="C143" t="str">
            <v xml:space="preserve"> Bmpr-scratched </v>
          </cell>
          <cell r="D143">
            <v>10</v>
          </cell>
          <cell r="E143">
            <v>0.01</v>
          </cell>
        </row>
        <row r="144">
          <cell r="C144" t="str">
            <v xml:space="preserve"> WL-around trnk ld/htch/tgate </v>
          </cell>
          <cell r="D144">
            <v>9</v>
          </cell>
          <cell r="E144">
            <v>0.01</v>
          </cell>
        </row>
        <row r="145">
          <cell r="C145" t="str">
            <v xml:space="preserve"> WN-around windshield </v>
          </cell>
          <cell r="D145">
            <v>8</v>
          </cell>
          <cell r="E145">
            <v>0.01</v>
          </cell>
        </row>
        <row r="146">
          <cell r="C146" t="str">
            <v xml:space="preserve"> Sun/moon/t-top/conv. fits poorly </v>
          </cell>
          <cell r="D146">
            <v>8</v>
          </cell>
          <cell r="E146">
            <v>0.01</v>
          </cell>
        </row>
        <row r="147">
          <cell r="C147" t="str">
            <v xml:space="preserve"> WL-around back window </v>
          </cell>
          <cell r="D147">
            <v>8</v>
          </cell>
          <cell r="E147">
            <v>0.01</v>
          </cell>
        </row>
        <row r="148">
          <cell r="C148" t="str">
            <v xml:space="preserve"> Other mechanism troubles ** </v>
          </cell>
          <cell r="D148">
            <v>7</v>
          </cell>
          <cell r="E148">
            <v>0.01</v>
          </cell>
        </row>
        <row r="149">
          <cell r="C149" t="str">
            <v xml:space="preserve"> Detail Paint Or Tape Stripes Coming </v>
          </cell>
          <cell r="D149">
            <v>7</v>
          </cell>
          <cell r="E149">
            <v>0.01</v>
          </cell>
        </row>
        <row r="150">
          <cell r="C150" t="str">
            <v xml:space="preserve"> Ignition switch </v>
          </cell>
          <cell r="D150">
            <v>7</v>
          </cell>
          <cell r="E150">
            <v>0.01</v>
          </cell>
        </row>
        <row r="151">
          <cell r="C151" t="str">
            <v xml:space="preserve"> Front windshield wipers </v>
          </cell>
          <cell r="D151">
            <v>5</v>
          </cell>
          <cell r="E151">
            <v>0.01</v>
          </cell>
        </row>
        <row r="152">
          <cell r="C152" t="str">
            <v xml:space="preserve"> Register/vent adjustment troubles </v>
          </cell>
          <cell r="D152">
            <v>5</v>
          </cell>
          <cell r="E152">
            <v>0.01</v>
          </cell>
        </row>
        <row r="153">
          <cell r="C153" t="str">
            <v xml:space="preserve"> WN-around back window </v>
          </cell>
          <cell r="D153">
            <v>5</v>
          </cell>
          <cell r="E153">
            <v>0.01</v>
          </cell>
        </row>
        <row r="154">
          <cell r="C154" t="str">
            <v xml:space="preserve"> Wheel/hubcap condition </v>
          </cell>
          <cell r="D154">
            <v>5</v>
          </cell>
          <cell r="E154">
            <v>0.01</v>
          </cell>
        </row>
        <row r="155">
          <cell r="C155" t="str">
            <v xml:space="preserve"> WL-around windshield </v>
          </cell>
          <cell r="D155">
            <v>4</v>
          </cell>
          <cell r="E155">
            <v>0.01</v>
          </cell>
        </row>
        <row r="156">
          <cell r="C156" t="str">
            <v xml:space="preserve"> Trnk-loose/poor fit/warped/wrinkled </v>
          </cell>
          <cell r="D156">
            <v>4</v>
          </cell>
          <cell r="E156">
            <v>0.01</v>
          </cell>
        </row>
        <row r="157">
          <cell r="C157" t="str">
            <v xml:space="preserve"> Sun visor troubles </v>
          </cell>
          <cell r="D157">
            <v>4</v>
          </cell>
          <cell r="E157">
            <v>0.01</v>
          </cell>
        </row>
        <row r="158">
          <cell r="C158" t="str">
            <v xml:space="preserve"> Other clutch troubles ** </v>
          </cell>
          <cell r="D158">
            <v>4</v>
          </cell>
          <cell r="E158">
            <v>0.01</v>
          </cell>
        </row>
        <row r="159">
          <cell r="C159" t="str">
            <v xml:space="preserve"> Other seating troubles ** </v>
          </cell>
          <cell r="D159">
            <v>4</v>
          </cell>
          <cell r="E159">
            <v>0.01</v>
          </cell>
        </row>
        <row r="160">
          <cell r="C160" t="str">
            <v xml:space="preserve"> Slow fuel tank fill/spitback </v>
          </cell>
          <cell r="D160">
            <v>3</v>
          </cell>
          <cell r="E160">
            <v>0.01</v>
          </cell>
        </row>
        <row r="161">
          <cell r="C161" t="str">
            <v xml:space="preserve"> Glass broken/chipped/cracked/distorted </v>
          </cell>
          <cell r="D161">
            <v>3</v>
          </cell>
          <cell r="E161">
            <v>0.01</v>
          </cell>
        </row>
        <row r="162">
          <cell r="C162" t="str">
            <v xml:space="preserve"> Improper tire wear </v>
          </cell>
          <cell r="D162">
            <v>2</v>
          </cell>
          <cell r="E162">
            <v>0.01</v>
          </cell>
        </row>
        <row r="163">
          <cell r="C163" t="str">
            <v xml:space="preserve"> Air bag (srs) troubles </v>
          </cell>
          <cell r="D163">
            <v>2</v>
          </cell>
          <cell r="E163">
            <v>0.01</v>
          </cell>
        </row>
        <row r="164">
          <cell r="C164" t="str">
            <v xml:space="preserve"> Other lock troubles ** </v>
          </cell>
          <cell r="D164">
            <v>2</v>
          </cell>
          <cell r="E164">
            <v>0.01</v>
          </cell>
        </row>
        <row r="165">
          <cell r="C165" t="str">
            <v xml:space="preserve"> Interior door lock troubles-power </v>
          </cell>
          <cell r="D165">
            <v>2</v>
          </cell>
          <cell r="E165">
            <v>0.01</v>
          </cell>
        </row>
        <row r="166">
          <cell r="C166" t="str">
            <v xml:space="preserve"> Exterior mirror troubles </v>
          </cell>
          <cell r="D166">
            <v>2</v>
          </cell>
          <cell r="E166">
            <v>0.01</v>
          </cell>
        </row>
        <row r="167">
          <cell r="C167" t="str">
            <v xml:space="preserve"> Fuel-filler door troubles </v>
          </cell>
          <cell r="D167">
            <v>2</v>
          </cell>
          <cell r="E167">
            <v>0.01</v>
          </cell>
        </row>
        <row r="168">
          <cell r="C168" t="str">
            <v xml:space="preserve"> Ip-faded/discolored/soiled </v>
          </cell>
          <cell r="D168">
            <v>1</v>
          </cell>
          <cell r="E168">
            <v>0.01</v>
          </cell>
        </row>
        <row r="169">
          <cell r="C169" t="str">
            <v xml:space="preserve"> Trnk-holes/tears/snags/cracks/cuts </v>
          </cell>
          <cell r="D169">
            <v>1</v>
          </cell>
          <cell r="E169">
            <v>0.01</v>
          </cell>
        </row>
        <row r="170">
          <cell r="C170" t="str">
            <v xml:space="preserve"> Door-blistered/bubbled/peeled </v>
          </cell>
          <cell r="D170">
            <v>1</v>
          </cell>
          <cell r="E170">
            <v>0.01</v>
          </cell>
        </row>
        <row r="171">
          <cell r="C171" t="str">
            <v xml:space="preserve"> Con-scratched/scuffed </v>
          </cell>
          <cell r="D171">
            <v>1</v>
          </cell>
          <cell r="E171">
            <v>0.01</v>
          </cell>
        </row>
        <row r="172">
          <cell r="C172" t="str">
            <v xml:space="preserve"> Ip-blistered/bubbled/peeled </v>
          </cell>
          <cell r="D172">
            <v>1</v>
          </cell>
          <cell r="E172">
            <v>0.01</v>
          </cell>
        </row>
        <row r="173">
          <cell r="C173" t="str">
            <v xml:space="preserve"> Remote/keyless entry </v>
          </cell>
          <cell r="D173">
            <v>16</v>
          </cell>
          <cell r="E173">
            <v>0</v>
          </cell>
        </row>
        <row r="174">
          <cell r="C174" t="str">
            <v xml:space="preserve"> Other chassis troubles ** </v>
          </cell>
          <cell r="D174">
            <v>15</v>
          </cell>
          <cell r="E174">
            <v>0</v>
          </cell>
        </row>
        <row r="175">
          <cell r="C175" t="str">
            <v xml:space="preserve"> Exterior door lock troubles-power </v>
          </cell>
          <cell r="D175">
            <v>12</v>
          </cell>
          <cell r="E175">
            <v>0</v>
          </cell>
        </row>
        <row r="176">
          <cell r="C176" t="str">
            <v xml:space="preserve"> Exterior lights not working </v>
          </cell>
          <cell r="D176">
            <v>7</v>
          </cell>
          <cell r="E176">
            <v>0</v>
          </cell>
        </row>
        <row r="177">
          <cell r="C177" t="str">
            <v xml:space="preserve"> Door squeaks and rattles-unspec. ** </v>
          </cell>
          <cell r="D177">
            <v>7</v>
          </cell>
          <cell r="E177">
            <v>0</v>
          </cell>
        </row>
        <row r="178">
          <cell r="C178" t="str">
            <v xml:space="preserve"> Speedometer </v>
          </cell>
          <cell r="D178">
            <v>6</v>
          </cell>
          <cell r="E178">
            <v>0</v>
          </cell>
        </row>
        <row r="179">
          <cell r="C179" t="str">
            <v xml:space="preserve"> Bumper dents/dings </v>
          </cell>
          <cell r="D179">
            <v>6</v>
          </cell>
          <cell r="E179">
            <v>0</v>
          </cell>
        </row>
        <row r="180">
          <cell r="C180" t="str">
            <v xml:space="preserve"> Rear seat squeaks and rattles </v>
          </cell>
          <cell r="D180">
            <v>6</v>
          </cell>
          <cell r="E180">
            <v>0</v>
          </cell>
        </row>
        <row r="181">
          <cell r="C181" t="str">
            <v xml:space="preserve">unspec. ** </v>
          </cell>
          <cell r="D181">
            <v>5</v>
          </cell>
          <cell r="E181">
            <v>0</v>
          </cell>
        </row>
        <row r="182">
          <cell r="C182" t="str">
            <v xml:space="preserve"> Other gasket/sealing troubles ** </v>
          </cell>
          <cell r="D182">
            <v>5</v>
          </cell>
          <cell r="E182">
            <v>0</v>
          </cell>
        </row>
        <row r="183">
          <cell r="C183" t="str">
            <v xml:space="preserve"> Front windshield washers </v>
          </cell>
          <cell r="D183">
            <v>5</v>
          </cell>
          <cell r="E183">
            <v>0</v>
          </cell>
        </row>
        <row r="184">
          <cell r="C184" t="str">
            <v xml:space="preserve"> Steering wheel. steering col sqk/rtl </v>
          </cell>
          <cell r="D184">
            <v>4</v>
          </cell>
          <cell r="E184">
            <v>0</v>
          </cell>
        </row>
        <row r="185">
          <cell r="C185" t="str">
            <v xml:space="preserve"> Dead battery </v>
          </cell>
          <cell r="D185">
            <v>4</v>
          </cell>
          <cell r="E185">
            <v>0</v>
          </cell>
        </row>
        <row r="186">
          <cell r="C186" t="str">
            <v xml:space="preserve"> Other front vehicle ext. sqk/rtl </v>
          </cell>
          <cell r="D186">
            <v>4</v>
          </cell>
          <cell r="E186">
            <v>0</v>
          </cell>
        </row>
        <row r="187">
          <cell r="C187" t="str">
            <v xml:space="preserve"> Body Rust/Corrosion </v>
          </cell>
          <cell r="D187">
            <v>3</v>
          </cell>
          <cell r="E187">
            <v>0</v>
          </cell>
        </row>
        <row r="188">
          <cell r="C188" t="str">
            <v xml:space="preserve"> Window opening/closing troubles-man </v>
          </cell>
          <cell r="D188">
            <v>3</v>
          </cell>
          <cell r="E188">
            <v>0</v>
          </cell>
        </row>
        <row r="189">
          <cell r="C189" t="str">
            <v xml:space="preserve"> Abs warning light troubles </v>
          </cell>
          <cell r="D189">
            <v>3</v>
          </cell>
          <cell r="E189">
            <v>0</v>
          </cell>
        </row>
        <row r="190">
          <cell r="C190" t="str">
            <v xml:space="preserve"> Other glass troubles ** </v>
          </cell>
          <cell r="D190">
            <v>3</v>
          </cell>
          <cell r="E190">
            <v>0</v>
          </cell>
        </row>
        <row r="191">
          <cell r="C191" t="str">
            <v xml:space="preserve"> Power steering fluid leaks </v>
          </cell>
          <cell r="D191">
            <v>3</v>
          </cell>
          <cell r="E191">
            <v>0</v>
          </cell>
        </row>
        <row r="192">
          <cell r="C192" t="str">
            <v xml:space="preserve"> Bmpr-peeled </v>
          </cell>
          <cell r="D192">
            <v>2</v>
          </cell>
          <cell r="E192">
            <v>0</v>
          </cell>
        </row>
        <row r="193">
          <cell r="C193" t="str">
            <v xml:space="preserve"> Parking brake troubles </v>
          </cell>
          <cell r="D193">
            <v>2</v>
          </cell>
          <cell r="E193">
            <v>0</v>
          </cell>
        </row>
        <row r="194">
          <cell r="C194" t="str">
            <v xml:space="preserve"> Trnk ld/htch/tgate/cargo dr sqk/rtl </v>
          </cell>
          <cell r="D194">
            <v>2</v>
          </cell>
          <cell r="E194">
            <v>0</v>
          </cell>
        </row>
        <row r="195">
          <cell r="C195" t="str">
            <v xml:space="preserve"> Bmpr-stained/spotted </v>
          </cell>
          <cell r="D195">
            <v>2</v>
          </cell>
          <cell r="E195">
            <v>0</v>
          </cell>
        </row>
        <row r="196">
          <cell r="C196" t="str">
            <v xml:space="preserve"> Other water leak troubles </v>
          </cell>
          <cell r="D196">
            <v>2</v>
          </cell>
          <cell r="E196">
            <v>0</v>
          </cell>
        </row>
        <row r="197">
          <cell r="C197" t="str">
            <v xml:space="preserve"> Bmpr-faded/dull </v>
          </cell>
          <cell r="D197">
            <v>2</v>
          </cell>
          <cell r="E197">
            <v>0</v>
          </cell>
        </row>
        <row r="198">
          <cell r="C198" t="str">
            <v xml:space="preserve"> Vehicle pulls while braking-unspec.** </v>
          </cell>
          <cell r="D198">
            <v>2</v>
          </cell>
          <cell r="E198">
            <v>0</v>
          </cell>
        </row>
        <row r="199">
          <cell r="C199" t="str">
            <v xml:space="preserve"> Seat belt soiled/dirty </v>
          </cell>
          <cell r="D199">
            <v>2</v>
          </cell>
          <cell r="E199">
            <v>0</v>
          </cell>
        </row>
        <row r="200">
          <cell r="C200" t="str">
            <v xml:space="preserve"> Overhead console squeaks and rattle </v>
          </cell>
          <cell r="D200">
            <v>2</v>
          </cell>
          <cell r="E200">
            <v>0</v>
          </cell>
        </row>
        <row r="201">
          <cell r="C201" t="str">
            <v xml:space="preserve"> Automatic speed/cruise control </v>
          </cell>
          <cell r="D201">
            <v>2</v>
          </cell>
          <cell r="E201">
            <v>0</v>
          </cell>
        </row>
        <row r="202">
          <cell r="C202" t="str">
            <v xml:space="preserve"> Horn </v>
          </cell>
          <cell r="D202">
            <v>2</v>
          </cell>
          <cell r="E202">
            <v>0</v>
          </cell>
        </row>
        <row r="203">
          <cell r="C203" t="str">
            <v xml:space="preserve"> Power supply troubles ** </v>
          </cell>
          <cell r="D203">
            <v>2</v>
          </cell>
          <cell r="E203">
            <v>0</v>
          </cell>
        </row>
        <row r="204">
          <cell r="C204" t="str">
            <v xml:space="preserve"> Other wiper/washer troubles ** </v>
          </cell>
          <cell r="D204">
            <v>2</v>
          </cell>
          <cell r="E204">
            <v>0</v>
          </cell>
        </row>
        <row r="205">
          <cell r="C205" t="str">
            <v xml:space="preserve">unspec. ** </v>
          </cell>
          <cell r="D205">
            <v>2</v>
          </cell>
          <cell r="E205">
            <v>0</v>
          </cell>
        </row>
        <row r="206">
          <cell r="C206" t="str">
            <v xml:space="preserve"> Other bumper troubles ** </v>
          </cell>
          <cell r="D206">
            <v>2</v>
          </cell>
          <cell r="E206">
            <v>0</v>
          </cell>
        </row>
        <row r="207">
          <cell r="C207" t="str">
            <v xml:space="preserve"> Rear windshield wipers (car/suv/van) </v>
          </cell>
          <cell r="D207">
            <v>2</v>
          </cell>
          <cell r="E207">
            <v>0</v>
          </cell>
        </row>
        <row r="208">
          <cell r="C208" t="str">
            <v xml:space="preserve"> Rear windshield washers(car/suv/van) </v>
          </cell>
          <cell r="D208">
            <v>2</v>
          </cell>
          <cell r="E208">
            <v>0</v>
          </cell>
        </row>
        <row r="209">
          <cell r="C209" t="str">
            <v xml:space="preserve"> Cellular phone troubles </v>
          </cell>
          <cell r="D209">
            <v>2</v>
          </cell>
          <cell r="E209">
            <v>0</v>
          </cell>
        </row>
        <row r="210">
          <cell r="C210" t="str">
            <v xml:space="preserve"> Rear seat(s) adjustment/operation trb </v>
          </cell>
          <cell r="D210">
            <v>2</v>
          </cell>
          <cell r="E210">
            <v>0</v>
          </cell>
        </row>
        <row r="211">
          <cell r="C211" t="str">
            <v xml:space="preserve"> Other body panel troubles ** </v>
          </cell>
          <cell r="D211">
            <v>1</v>
          </cell>
          <cell r="E211">
            <v>0</v>
          </cell>
        </row>
        <row r="212">
          <cell r="C212" t="str">
            <v xml:space="preserve"> Con-faded/discolored/soiled </v>
          </cell>
          <cell r="D212">
            <v>1</v>
          </cell>
          <cell r="E212">
            <v>0</v>
          </cell>
        </row>
        <row r="213">
          <cell r="C213" t="str">
            <v xml:space="preserve"> WL-around side door/window-unspec. ** </v>
          </cell>
          <cell r="D213">
            <v>1</v>
          </cell>
          <cell r="E213">
            <v>0</v>
          </cell>
        </row>
        <row r="214">
          <cell r="C214" t="str">
            <v xml:space="preserve"> Rear side door squeaks and rattles </v>
          </cell>
          <cell r="D214">
            <v>1</v>
          </cell>
          <cell r="E214">
            <v>0</v>
          </cell>
        </row>
        <row r="215">
          <cell r="C215" t="str">
            <v xml:space="preserve"> A/c water leak/condensation trouble ** </v>
          </cell>
          <cell r="D215">
            <v>1</v>
          </cell>
          <cell r="E215">
            <v>0</v>
          </cell>
        </row>
        <row r="216">
          <cell r="C216" t="str">
            <v xml:space="preserve"> Interior mirror trouble </v>
          </cell>
          <cell r="D216">
            <v>1</v>
          </cell>
          <cell r="E216">
            <v>0</v>
          </cell>
        </row>
        <row r="217">
          <cell r="C217" t="str">
            <v xml:space="preserve"> Exterior door handle troubles </v>
          </cell>
          <cell r="D217">
            <v>1</v>
          </cell>
          <cell r="E217">
            <v>0</v>
          </cell>
        </row>
        <row r="218">
          <cell r="C218" t="str">
            <v xml:space="preserve"> WN-around side door/window-unspec. ** </v>
          </cell>
          <cell r="D218">
            <v>1</v>
          </cell>
          <cell r="E218">
            <v>0</v>
          </cell>
        </row>
        <row r="219">
          <cell r="C219" t="str">
            <v xml:space="preserve"> Roof-holes/tears/snags/cracks/cuts </v>
          </cell>
          <cell r="D219">
            <v>1</v>
          </cell>
          <cell r="E219">
            <v>0</v>
          </cell>
        </row>
        <row r="220">
          <cell r="C220" t="str">
            <v xml:space="preserve"> Bmpr-dirt in paint </v>
          </cell>
          <cell r="D220">
            <v>1</v>
          </cell>
          <cell r="E220">
            <v>0</v>
          </cell>
        </row>
        <row r="221">
          <cell r="C221" t="str">
            <v xml:space="preserve"> Other fuel system ** </v>
          </cell>
          <cell r="D221">
            <v>1</v>
          </cell>
          <cell r="E221">
            <v>0</v>
          </cell>
        </row>
        <row r="222">
          <cell r="C222" t="str">
            <v xml:space="preserve"> Clock </v>
          </cell>
          <cell r="D222">
            <v>1</v>
          </cell>
          <cell r="E222">
            <v>0</v>
          </cell>
        </row>
        <row r="223">
          <cell r="C223" t="str">
            <v xml:space="preserve"> Engine overheats/radiator troubles </v>
          </cell>
          <cell r="D223">
            <v>1</v>
          </cell>
          <cell r="E223">
            <v>0</v>
          </cell>
        </row>
        <row r="224">
          <cell r="C224" t="str">
            <v xml:space="preserve"> Other axle/transfer case troubles ** </v>
          </cell>
          <cell r="D224">
            <v>1</v>
          </cell>
          <cell r="E224">
            <v>0</v>
          </cell>
        </row>
        <row r="225">
          <cell r="C225" t="str">
            <v xml:space="preserve"> Bmpr-sags/runs </v>
          </cell>
          <cell r="D225">
            <v>1</v>
          </cell>
          <cell r="E225">
            <v>0</v>
          </cell>
        </row>
        <row r="226">
          <cell r="C226" t="str">
            <v xml:space="preserve"> Bumper fits poorly </v>
          </cell>
          <cell r="D226">
            <v>1</v>
          </cell>
          <cell r="E226">
            <v>0</v>
          </cell>
        </row>
        <row r="227">
          <cell r="C227" t="str">
            <v xml:space="preserve"> Exterior door lock troubles-manual </v>
          </cell>
          <cell r="D227">
            <v>1</v>
          </cell>
          <cell r="E227">
            <v>0</v>
          </cell>
        </row>
        <row r="228">
          <cell r="C228" t="str">
            <v xml:space="preserve"> Bmpr-uneven color/color diff </v>
          </cell>
          <cell r="D228">
            <v>1</v>
          </cell>
          <cell r="E228">
            <v>0</v>
          </cell>
        </row>
        <row r="229">
          <cell r="C229" t="str">
            <v xml:space="preserve"> Roof-scratched/scuffed </v>
          </cell>
          <cell r="D229">
            <v>1</v>
          </cell>
          <cell r="E229">
            <v>0</v>
          </cell>
        </row>
        <row r="230">
          <cell r="C230" t="str">
            <v xml:space="preserve"> Door ajar warning lights </v>
          </cell>
          <cell r="D230">
            <v>1</v>
          </cell>
          <cell r="E230">
            <v>0</v>
          </cell>
        </row>
        <row r="231">
          <cell r="C231" t="str">
            <v xml:space="preserve"> Bmpr-thin/no paint </v>
          </cell>
          <cell r="D231">
            <v>1</v>
          </cell>
          <cell r="E231">
            <v>0</v>
          </cell>
        </row>
        <row r="232">
          <cell r="C232" t="str">
            <v xml:space="preserve"> Interior odor </v>
          </cell>
          <cell r="D232">
            <v>1</v>
          </cell>
          <cell r="E232">
            <v>0</v>
          </cell>
        </row>
        <row r="233">
          <cell r="C233" t="str">
            <v xml:space="preserve"> Eng. Compartment Rst/Corrosion </v>
          </cell>
          <cell r="D233">
            <v>1</v>
          </cell>
          <cell r="E233">
            <v>0</v>
          </cell>
        </row>
        <row r="234">
          <cell r="C234" t="str">
            <v xml:space="preserve"> Roof-faded/discolored/soiled </v>
          </cell>
          <cell r="D234">
            <v>0</v>
          </cell>
          <cell r="E234">
            <v>0</v>
          </cell>
        </row>
        <row r="235">
          <cell r="C235" t="str">
            <v xml:space="preserve"> Difficult to operate shift lever </v>
          </cell>
          <cell r="D235">
            <v>0</v>
          </cell>
          <cell r="E235">
            <v>0</v>
          </cell>
        </row>
        <row r="236">
          <cell r="C236" t="str">
            <v xml:space="preserve"> Interior door handle troubles </v>
          </cell>
          <cell r="D236">
            <v>0</v>
          </cell>
          <cell r="E236">
            <v>0</v>
          </cell>
        </row>
        <row r="237">
          <cell r="C237" t="str">
            <v xml:space="preserve"> Brake fluid leak </v>
          </cell>
          <cell r="D237">
            <v>0</v>
          </cell>
          <cell r="E237">
            <v>0</v>
          </cell>
        </row>
        <row r="238">
          <cell r="C238" t="str">
            <v xml:space="preserve"> Bmpr-paint spray over body finish </v>
          </cell>
          <cell r="D238">
            <v>0</v>
          </cell>
          <cell r="E238">
            <v>0</v>
          </cell>
        </row>
        <row r="239">
          <cell r="C239" t="str">
            <v xml:space="preserve"> Trnk-scratched/scuffed </v>
          </cell>
          <cell r="D239">
            <v>0</v>
          </cell>
          <cell r="E239">
            <v>0</v>
          </cell>
        </row>
        <row r="240">
          <cell r="C240" t="str">
            <v xml:space="preserve"> Crpt-scratched/scuffed </v>
          </cell>
          <cell r="D240">
            <v>0</v>
          </cell>
          <cell r="E240">
            <v>0</v>
          </cell>
        </row>
        <row r="241">
          <cell r="C241" t="str">
            <v xml:space="preserve"> Steering gear/pump troubles ** </v>
          </cell>
          <cell r="D241">
            <v>0</v>
          </cell>
          <cell r="E241">
            <v>0</v>
          </cell>
        </row>
        <row r="242">
          <cell r="C242" t="str">
            <v xml:space="preserve"> Other engine light troubles ** </v>
          </cell>
          <cell r="D242">
            <v>0</v>
          </cell>
          <cell r="E242">
            <v>0</v>
          </cell>
        </row>
        <row r="243">
          <cell r="C243" t="str">
            <v xml:space="preserve"> Pickup cab-to-box alignment </v>
          </cell>
          <cell r="D243">
            <v>0</v>
          </cell>
          <cell r="E243">
            <v>0</v>
          </cell>
        </row>
        <row r="244">
          <cell r="C244" t="str">
            <v xml:space="preserve"> Bmpr-rust/corrosion </v>
          </cell>
          <cell r="D244">
            <v>0</v>
          </cell>
          <cell r="E244">
            <v>0</v>
          </cell>
        </row>
        <row r="245">
          <cell r="C245" t="str">
            <v xml:space="preserve"> Interior door lock troubles-manual </v>
          </cell>
          <cell r="D245">
            <v>0</v>
          </cell>
          <cell r="E245">
            <v>0</v>
          </cell>
        </row>
        <row r="246">
          <cell r="C246" t="str">
            <v xml:space="preserve"> WN-around sliding rear window </v>
          </cell>
          <cell r="D246">
            <v>0</v>
          </cell>
          <cell r="E246">
            <v>0</v>
          </cell>
        </row>
        <row r="247">
          <cell r="C247" t="str">
            <v xml:space="preserve"> WN-around non-sliding rear window </v>
          </cell>
          <cell r="D247">
            <v>0</v>
          </cell>
          <cell r="E247">
            <v>0</v>
          </cell>
        </row>
        <row r="248">
          <cell r="C248" t="str">
            <v xml:space="preserve"> WL-around sliding rear window </v>
          </cell>
          <cell r="D248">
            <v>0</v>
          </cell>
          <cell r="E248">
            <v>0</v>
          </cell>
        </row>
        <row r="249">
          <cell r="C249" t="str">
            <v xml:space="preserve"> WL-around non-sliding rear window </v>
          </cell>
          <cell r="D249">
            <v>0</v>
          </cell>
          <cell r="E249">
            <v>0</v>
          </cell>
        </row>
        <row r="250">
          <cell r="C250" t="str">
            <v xml:space="preserve"> Other mirror troubles ** </v>
          </cell>
          <cell r="D250">
            <v>0</v>
          </cell>
          <cell r="E250">
            <v>0</v>
          </cell>
        </row>
        <row r="251">
          <cell r="C251" t="str">
            <v xml:space="preserve"> Door-excessive wear </v>
          </cell>
          <cell r="D251">
            <v>0</v>
          </cell>
          <cell r="E251">
            <v>0</v>
          </cell>
        </row>
        <row r="252">
          <cell r="C252" t="str">
            <v xml:space="preserve"> Door-splitting seams </v>
          </cell>
          <cell r="D252">
            <v>0</v>
          </cell>
          <cell r="E252">
            <v>0</v>
          </cell>
        </row>
        <row r="253">
          <cell r="C253" t="str">
            <v xml:space="preserve"> Ip-excessive wear </v>
          </cell>
          <cell r="D253">
            <v>0</v>
          </cell>
          <cell r="E253">
            <v>0</v>
          </cell>
        </row>
        <row r="254">
          <cell r="C254" t="str">
            <v xml:space="preserve"> Con-blistered/bubbled/peeled </v>
          </cell>
          <cell r="D254">
            <v>0</v>
          </cell>
          <cell r="E254">
            <v>0</v>
          </cell>
        </row>
        <row r="255">
          <cell r="C255" t="str">
            <v xml:space="preserve"> Con-excessive wear </v>
          </cell>
          <cell r="D255">
            <v>0</v>
          </cell>
          <cell r="E255">
            <v>0</v>
          </cell>
        </row>
        <row r="256">
          <cell r="C256" t="str">
            <v xml:space="preserve"> Roof-excessive wear </v>
          </cell>
          <cell r="D256">
            <v>0</v>
          </cell>
          <cell r="E256">
            <v>0</v>
          </cell>
        </row>
        <row r="257">
          <cell r="C257" t="str">
            <v xml:space="preserve"> Roof-splitting seams </v>
          </cell>
          <cell r="D257">
            <v>0</v>
          </cell>
          <cell r="E257">
            <v>0</v>
          </cell>
        </row>
        <row r="258">
          <cell r="C258" t="str">
            <v xml:space="preserve"> Crpt-splitting seams </v>
          </cell>
          <cell r="D258">
            <v>0</v>
          </cell>
          <cell r="E258">
            <v>0</v>
          </cell>
        </row>
        <row r="259">
          <cell r="C259" t="str">
            <v xml:space="preserve"> Trnk-faded/discolored/soiled </v>
          </cell>
          <cell r="D259">
            <v>0</v>
          </cell>
          <cell r="E259">
            <v>0</v>
          </cell>
        </row>
        <row r="260">
          <cell r="C260" t="str">
            <v xml:space="preserve"> Trnk-excessive wear </v>
          </cell>
          <cell r="D260">
            <v>0</v>
          </cell>
          <cell r="E260">
            <v>0</v>
          </cell>
        </row>
        <row r="261">
          <cell r="C261" t="str">
            <v xml:space="preserve"> Trnk-splitting seams </v>
          </cell>
          <cell r="D261">
            <v>0</v>
          </cell>
          <cell r="E261">
            <v>0</v>
          </cell>
        </row>
        <row r="262">
          <cell r="C262" t="str">
            <v xml:space="preserve"> Third row seat loose </v>
          </cell>
          <cell r="D262">
            <v>0</v>
          </cell>
          <cell r="E262">
            <v>0</v>
          </cell>
        </row>
        <row r="263">
          <cell r="C263" t="str">
            <v xml:space="preserve"> Integrated child safety seat trouble </v>
          </cell>
          <cell r="D263">
            <v>0</v>
          </cell>
          <cell r="E263">
            <v>0</v>
          </cell>
        </row>
        <row r="264">
          <cell r="C264" t="str">
            <v xml:space="preserve"> Third row seat squeaks and rattles </v>
          </cell>
          <cell r="D264">
            <v>0</v>
          </cell>
          <cell r="E264">
            <v>0</v>
          </cell>
        </row>
        <row r="265">
          <cell r="C265" t="str">
            <v xml:space="preserve">unspec. ** </v>
          </cell>
          <cell r="D265">
            <v>0</v>
          </cell>
          <cell r="E265">
            <v>0</v>
          </cell>
        </row>
        <row r="266">
          <cell r="C266" t="str">
            <v xml:space="preserve"> Air bag warning lights </v>
          </cell>
          <cell r="D266">
            <v>0</v>
          </cell>
          <cell r="E266">
            <v>0</v>
          </cell>
        </row>
        <row r="267">
          <cell r="C267" t="str">
            <v xml:space="preserve"> Electronic module troubles ** </v>
          </cell>
          <cell r="D267">
            <v>0</v>
          </cell>
          <cell r="E267">
            <v>0</v>
          </cell>
        </row>
        <row r="268">
          <cell r="C268" t="str">
            <v xml:space="preserve"> Engine runs with the key off </v>
          </cell>
          <cell r="D268">
            <v>0</v>
          </cell>
          <cell r="E268">
            <v>0</v>
          </cell>
        </row>
        <row r="269">
          <cell r="C269" t="str">
            <v xml:space="preserve"> Undetermined engine leak ** </v>
          </cell>
          <cell r="D269">
            <v>0</v>
          </cell>
          <cell r="E269">
            <v>0</v>
          </cell>
        </row>
        <row r="270">
          <cell r="C270" t="str">
            <v xml:space="preserve"> A-4-wheel/all-wheel drive troubles </v>
          </cell>
          <cell r="D270">
            <v>0</v>
          </cell>
          <cell r="E270">
            <v>0</v>
          </cell>
        </row>
        <row r="271">
          <cell r="C271" t="str">
            <v xml:space="preserve"> M-4-wheel/all-wheel drive troubles </v>
          </cell>
          <cell r="D271">
            <v>0</v>
          </cell>
          <cell r="E27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通知"/>
      <sheetName val="i354北米SEATKIT"/>
      <sheetName val="a354北米SEATKIT(AT)"/>
      <sheetName val="a354北米SEATKIT(MT)"/>
      <sheetName val="87003･6Y900-21"/>
      <sheetName val="87003･6Y900-22"/>
      <sheetName val="Controls"/>
      <sheetName val="転記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sc by Cause Report "/>
      <sheetName val="Description Report"/>
      <sheetName val="Cause Report"/>
      <sheetName val="percofTot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LYTotalClaimCnt</v>
          </cell>
          <cell r="B1" t="str">
            <v>VRT Description</v>
          </cell>
          <cell r="C1" t="str">
            <v>Expr1</v>
          </cell>
          <cell r="D1" t="str">
            <v>FPS_01</v>
          </cell>
          <cell r="E1" t="str">
            <v>FPS_02</v>
          </cell>
          <cell r="F1" t="str">
            <v>OP_01</v>
          </cell>
          <cell r="G1" t="str">
            <v>OP_02</v>
          </cell>
          <cell r="H1" t="str">
            <v>CCC_01</v>
          </cell>
          <cell r="I1" t="str">
            <v>CCC_02</v>
          </cell>
          <cell r="J1" t="str">
            <v>CCC_03</v>
          </cell>
          <cell r="K1" t="str">
            <v>VFG_01</v>
          </cell>
          <cell r="L1" t="str">
            <v>VFG_02</v>
          </cell>
          <cell r="M1" t="str">
            <v>Design</v>
          </cell>
          <cell r="N1" t="str">
            <v>Supplier</v>
          </cell>
          <cell r="O1" t="str">
            <v>Manufacturing</v>
          </cell>
          <cell r="P1" t="str">
            <v>VRT_CD</v>
          </cell>
          <cell r="Q1" t="str">
            <v>MDL_YR</v>
          </cell>
          <cell r="R1" t="str">
            <v>Plant Description</v>
          </cell>
          <cell r="S1" t="str">
            <v>Vehicle Description</v>
          </cell>
          <cell r="T1" t="str">
            <v>Claim Description</v>
          </cell>
          <cell r="U1" t="str">
            <v>Total Of Claim Number</v>
          </cell>
          <cell r="V1" t="str">
            <v>2004-02</v>
          </cell>
          <cell r="W1" t="str">
            <v>2004-03</v>
          </cell>
          <cell r="X1" t="str">
            <v>2004-04</v>
          </cell>
          <cell r="Y1" t="str">
            <v>2004-05</v>
          </cell>
          <cell r="Z1" t="str">
            <v>2004-06</v>
          </cell>
          <cell r="AA1" t="str">
            <v>2004-07</v>
          </cell>
          <cell r="AB1" t="str">
            <v>2004-08</v>
          </cell>
          <cell r="AC1" t="str">
            <v>2004-09</v>
          </cell>
        </row>
        <row r="2">
          <cell r="A2">
            <v>0</v>
          </cell>
          <cell r="B2" t="str">
            <v>ALL VRTS</v>
          </cell>
          <cell r="H2" t="str">
            <v>D21</v>
          </cell>
          <cell r="I2" t="str">
            <v>G29</v>
          </cell>
          <cell r="K2" t="str">
            <v>V42</v>
          </cell>
          <cell r="L2" t="str">
            <v>V83</v>
          </cell>
          <cell r="M2">
            <v>-1</v>
          </cell>
          <cell r="N2">
            <v>-1</v>
          </cell>
          <cell r="O2">
            <v>0</v>
          </cell>
          <cell r="P2" t="str">
            <v>ALL</v>
          </cell>
          <cell r="Q2">
            <v>2004</v>
          </cell>
          <cell r="R2" t="str">
            <v>DEARBORN PLANT BUILD</v>
          </cell>
          <cell r="S2" t="str">
            <v>P221/P397</v>
          </cell>
          <cell r="T2" t="str">
            <v>ENGINE STALLS</v>
          </cell>
          <cell r="U2">
            <v>612</v>
          </cell>
          <cell r="Y2">
            <v>2</v>
          </cell>
          <cell r="Z2">
            <v>4</v>
          </cell>
          <cell r="AA2">
            <v>4</v>
          </cell>
          <cell r="AB2">
            <v>348</v>
          </cell>
          <cell r="AC2">
            <v>254</v>
          </cell>
        </row>
        <row r="3">
          <cell r="A3">
            <v>0</v>
          </cell>
          <cell r="B3" t="str">
            <v>ALL VRTS</v>
          </cell>
          <cell r="C3" t="str">
            <v>X</v>
          </cell>
          <cell r="D3" t="str">
            <v>7330</v>
          </cell>
          <cell r="E3" t="str">
            <v>6420</v>
          </cell>
          <cell r="F3" t="str">
            <v>M12</v>
          </cell>
          <cell r="G3" t="str">
            <v>C2W08B</v>
          </cell>
          <cell r="H3" t="str">
            <v>N25</v>
          </cell>
          <cell r="I3" t="str">
            <v>N24</v>
          </cell>
          <cell r="J3" t="str">
            <v>TB3</v>
          </cell>
          <cell r="K3" t="str">
            <v>V89</v>
          </cell>
          <cell r="L3" t="str">
            <v>V88</v>
          </cell>
          <cell r="M3">
            <v>0</v>
          </cell>
          <cell r="N3">
            <v>-1</v>
          </cell>
          <cell r="O3">
            <v>0</v>
          </cell>
          <cell r="P3" t="str">
            <v>ALL</v>
          </cell>
          <cell r="Q3">
            <v>2004</v>
          </cell>
          <cell r="R3" t="str">
            <v>DEARBORN PLANT BUILD</v>
          </cell>
          <cell r="S3" t="str">
            <v>P221/P397</v>
          </cell>
          <cell r="T3" t="str">
            <v>VEHICLE VIBRATES</v>
          </cell>
          <cell r="U3">
            <v>295</v>
          </cell>
          <cell r="W3">
            <v>3</v>
          </cell>
          <cell r="X3">
            <v>37</v>
          </cell>
          <cell r="Y3">
            <v>21</v>
          </cell>
          <cell r="Z3">
            <v>40</v>
          </cell>
          <cell r="AA3">
            <v>35</v>
          </cell>
          <cell r="AB3">
            <v>107</v>
          </cell>
          <cell r="AC3">
            <v>52</v>
          </cell>
        </row>
        <row r="4">
          <cell r="A4">
            <v>0</v>
          </cell>
          <cell r="B4" t="str">
            <v>ALL VRTS</v>
          </cell>
          <cell r="D4" t="str">
            <v>6500</v>
          </cell>
          <cell r="F4" t="str">
            <v>C4W22R</v>
          </cell>
          <cell r="G4" t="str">
            <v>CEW46R</v>
          </cell>
          <cell r="H4" t="str">
            <v>E29</v>
          </cell>
          <cell r="I4" t="str">
            <v>G29</v>
          </cell>
          <cell r="K4" t="str">
            <v>V44</v>
          </cell>
          <cell r="L4" t="str">
            <v>V83</v>
          </cell>
          <cell r="M4">
            <v>-1</v>
          </cell>
          <cell r="N4">
            <v>-1</v>
          </cell>
          <cell r="O4">
            <v>0</v>
          </cell>
          <cell r="P4" t="str">
            <v>ALL</v>
          </cell>
          <cell r="Q4">
            <v>2004</v>
          </cell>
          <cell r="R4" t="str">
            <v>DEARBORN PLANT BUILD</v>
          </cell>
          <cell r="S4" t="str">
            <v>P221/P397</v>
          </cell>
          <cell r="T4" t="str">
            <v>CHECK ENGINE LIGHT</v>
          </cell>
          <cell r="U4">
            <v>161</v>
          </cell>
          <cell r="W4">
            <v>8</v>
          </cell>
          <cell r="X4">
            <v>4</v>
          </cell>
          <cell r="Y4">
            <v>8</v>
          </cell>
          <cell r="Z4">
            <v>25</v>
          </cell>
          <cell r="AA4">
            <v>10</v>
          </cell>
          <cell r="AB4">
            <v>53</v>
          </cell>
          <cell r="AC4">
            <v>53</v>
          </cell>
        </row>
        <row r="5">
          <cell r="A5">
            <v>0</v>
          </cell>
          <cell r="B5" t="str">
            <v>ALL VRTS</v>
          </cell>
          <cell r="H5" t="str">
            <v>C02</v>
          </cell>
          <cell r="I5" t="str">
            <v>C05</v>
          </cell>
          <cell r="J5" t="str">
            <v>C20</v>
          </cell>
          <cell r="K5" t="str">
            <v>V79</v>
          </cell>
          <cell r="M5">
            <v>0</v>
          </cell>
          <cell r="N5">
            <v>0</v>
          </cell>
          <cell r="O5">
            <v>-1</v>
          </cell>
          <cell r="P5" t="str">
            <v>ALL</v>
          </cell>
          <cell r="Q5">
            <v>2004</v>
          </cell>
          <cell r="R5" t="str">
            <v>DEARBORN PLANT BUILD</v>
          </cell>
          <cell r="S5" t="str">
            <v>P221/P397</v>
          </cell>
          <cell r="T5" t="str">
            <v>AC Improper Function</v>
          </cell>
          <cell r="U5">
            <v>110</v>
          </cell>
          <cell r="X5">
            <v>13</v>
          </cell>
          <cell r="Y5">
            <v>18</v>
          </cell>
          <cell r="Z5">
            <v>20</v>
          </cell>
          <cell r="AA5">
            <v>7</v>
          </cell>
          <cell r="AB5">
            <v>43</v>
          </cell>
          <cell r="AC5">
            <v>9</v>
          </cell>
        </row>
        <row r="6">
          <cell r="A6">
            <v>0</v>
          </cell>
          <cell r="B6" t="str">
            <v>ALL VRTS</v>
          </cell>
          <cell r="D6" t="str">
            <v>Trim 3 Team 4</v>
          </cell>
          <cell r="F6" t="str">
            <v>T3E24R</v>
          </cell>
          <cell r="H6" t="str">
            <v>A07</v>
          </cell>
          <cell r="I6" t="str">
            <v>A06</v>
          </cell>
          <cell r="J6" t="str">
            <v>A02</v>
          </cell>
          <cell r="K6" t="str">
            <v>V81</v>
          </cell>
          <cell r="M6">
            <v>0</v>
          </cell>
          <cell r="N6">
            <v>-1</v>
          </cell>
          <cell r="O6">
            <v>0</v>
          </cell>
          <cell r="P6" t="str">
            <v>ALL</v>
          </cell>
          <cell r="Q6">
            <v>2004</v>
          </cell>
          <cell r="R6" t="str">
            <v>DEARBORN PLANT BUILD</v>
          </cell>
          <cell r="S6" t="str">
            <v>P221/P397</v>
          </cell>
          <cell r="T6" t="str">
            <v>Radio Improper Function</v>
          </cell>
          <cell r="U6">
            <v>95</v>
          </cell>
          <cell r="V6">
            <v>1</v>
          </cell>
          <cell r="W6">
            <v>5</v>
          </cell>
          <cell r="X6">
            <v>4</v>
          </cell>
          <cell r="Y6">
            <v>5</v>
          </cell>
          <cell r="Z6">
            <v>12</v>
          </cell>
          <cell r="AA6">
            <v>13</v>
          </cell>
          <cell r="AB6">
            <v>45</v>
          </cell>
          <cell r="AC6">
            <v>10</v>
          </cell>
        </row>
        <row r="7">
          <cell r="A7">
            <v>0</v>
          </cell>
          <cell r="B7" t="str">
            <v>ALL VRTS</v>
          </cell>
          <cell r="D7" t="str">
            <v>5590</v>
          </cell>
          <cell r="F7" t="str">
            <v>T4E24R</v>
          </cell>
          <cell r="H7" t="str">
            <v>T53</v>
          </cell>
          <cell r="I7" t="str">
            <v>B73</v>
          </cell>
          <cell r="J7" t="str">
            <v>T55</v>
          </cell>
          <cell r="K7" t="str">
            <v>V74</v>
          </cell>
          <cell r="M7">
            <v>0</v>
          </cell>
          <cell r="N7">
            <v>-1</v>
          </cell>
          <cell r="O7">
            <v>0</v>
          </cell>
          <cell r="P7" t="str">
            <v>ALL</v>
          </cell>
          <cell r="Q7">
            <v>2004</v>
          </cell>
          <cell r="R7" t="str">
            <v>DEARBORN PLANT BUILD</v>
          </cell>
          <cell r="S7" t="str">
            <v>P221/P397</v>
          </cell>
          <cell r="T7" t="str">
            <v>MOONROOF</v>
          </cell>
          <cell r="U7">
            <v>77</v>
          </cell>
          <cell r="W7">
            <v>1</v>
          </cell>
          <cell r="X7">
            <v>2</v>
          </cell>
          <cell r="Y7">
            <v>3</v>
          </cell>
          <cell r="Z7">
            <v>20</v>
          </cell>
          <cell r="AA7">
            <v>17</v>
          </cell>
          <cell r="AB7">
            <v>21</v>
          </cell>
          <cell r="AC7">
            <v>13</v>
          </cell>
        </row>
        <row r="8">
          <cell r="A8">
            <v>0</v>
          </cell>
          <cell r="B8" t="str">
            <v>ALL VRTS</v>
          </cell>
          <cell r="H8" t="str">
            <v>F1*</v>
          </cell>
          <cell r="I8" t="str">
            <v>F2*</v>
          </cell>
          <cell r="J8" t="str">
            <v>A99</v>
          </cell>
          <cell r="K8" t="str">
            <v>V00</v>
          </cell>
          <cell r="M8">
            <v>-1</v>
          </cell>
          <cell r="N8">
            <v>-1</v>
          </cell>
          <cell r="O8">
            <v>-1</v>
          </cell>
          <cell r="P8" t="str">
            <v>ALL</v>
          </cell>
          <cell r="Q8">
            <v>2004</v>
          </cell>
          <cell r="R8" t="str">
            <v>DEARBORN PLANT BUILD</v>
          </cell>
          <cell r="S8" t="str">
            <v>P221/P397</v>
          </cell>
          <cell r="T8" t="str">
            <v>Industrial Fallout</v>
          </cell>
          <cell r="U8">
            <v>59</v>
          </cell>
          <cell r="X8">
            <v>5</v>
          </cell>
          <cell r="Y8">
            <v>6</v>
          </cell>
          <cell r="Z8">
            <v>7</v>
          </cell>
          <cell r="AA8">
            <v>14</v>
          </cell>
          <cell r="AB8">
            <v>22</v>
          </cell>
          <cell r="AC8">
            <v>5</v>
          </cell>
        </row>
        <row r="9">
          <cell r="A9">
            <v>0</v>
          </cell>
          <cell r="B9" t="str">
            <v>ALL VRTS</v>
          </cell>
          <cell r="H9" t="str">
            <v>F20</v>
          </cell>
          <cell r="I9" t="str">
            <v>F07</v>
          </cell>
          <cell r="J9" t="str">
            <v>F04</v>
          </cell>
          <cell r="K9" t="str">
            <v>V33</v>
          </cell>
          <cell r="M9">
            <v>0</v>
          </cell>
          <cell r="N9">
            <v>0</v>
          </cell>
          <cell r="O9">
            <v>-1</v>
          </cell>
          <cell r="P9" t="str">
            <v>ALL</v>
          </cell>
          <cell r="Q9">
            <v>2004</v>
          </cell>
          <cell r="R9" t="str">
            <v>DEARBORN PLANT BUILD</v>
          </cell>
          <cell r="S9" t="str">
            <v>P221/P397</v>
          </cell>
          <cell r="T9" t="str">
            <v>Dirt in Paint</v>
          </cell>
          <cell r="U9">
            <v>52</v>
          </cell>
          <cell r="X9">
            <v>1</v>
          </cell>
          <cell r="Y9">
            <v>2</v>
          </cell>
          <cell r="Z9">
            <v>10</v>
          </cell>
          <cell r="AA9">
            <v>12</v>
          </cell>
          <cell r="AB9">
            <v>18</v>
          </cell>
          <cell r="AC9">
            <v>9</v>
          </cell>
        </row>
        <row r="10">
          <cell r="A10">
            <v>0</v>
          </cell>
          <cell r="B10" t="str">
            <v>ALL VRTS</v>
          </cell>
          <cell r="H10" t="str">
            <v>L10</v>
          </cell>
          <cell r="I10" t="str">
            <v>L15</v>
          </cell>
          <cell r="K10" t="str">
            <v>V07</v>
          </cell>
          <cell r="M10">
            <v>-1</v>
          </cell>
          <cell r="N10">
            <v>-1</v>
          </cell>
          <cell r="O10">
            <v>0</v>
          </cell>
          <cell r="P10" t="str">
            <v>ALL</v>
          </cell>
          <cell r="Q10">
            <v>2004</v>
          </cell>
          <cell r="R10" t="str">
            <v>DEARBORN PLANT BUILD</v>
          </cell>
          <cell r="S10" t="str">
            <v>P221/P397</v>
          </cell>
          <cell r="T10" t="str">
            <v xml:space="preserve"> FUEL FILLER DOOR FUNCTION</v>
          </cell>
          <cell r="U10">
            <v>49</v>
          </cell>
          <cell r="X10">
            <v>18</v>
          </cell>
          <cell r="Y10">
            <v>16</v>
          </cell>
          <cell r="Z10">
            <v>5</v>
          </cell>
          <cell r="AA10">
            <v>6</v>
          </cell>
          <cell r="AB10">
            <v>2</v>
          </cell>
          <cell r="AC10">
            <v>2</v>
          </cell>
        </row>
        <row r="11">
          <cell r="A11">
            <v>0</v>
          </cell>
          <cell r="B11" t="str">
            <v>ALL VRTS</v>
          </cell>
          <cell r="D11" t="str">
            <v>6500</v>
          </cell>
          <cell r="E11" t="str">
            <v>6570</v>
          </cell>
          <cell r="F11" t="str">
            <v>C4E21L</v>
          </cell>
          <cell r="G11" t="str">
            <v>C7W09L</v>
          </cell>
          <cell r="H11" t="str">
            <v>L72</v>
          </cell>
          <cell r="K11" t="str">
            <v>V44</v>
          </cell>
          <cell r="M11">
            <v>0</v>
          </cell>
          <cell r="N11">
            <v>-1</v>
          </cell>
          <cell r="O11">
            <v>0</v>
          </cell>
          <cell r="P11" t="str">
            <v>ALL</v>
          </cell>
          <cell r="Q11">
            <v>2004</v>
          </cell>
          <cell r="R11" t="str">
            <v>DEARBORN PLANT BUILD</v>
          </cell>
          <cell r="S11" t="str">
            <v>P221/P397</v>
          </cell>
          <cell r="T11" t="str">
            <v>TRANSMISSION LEAKS</v>
          </cell>
          <cell r="U11">
            <v>44</v>
          </cell>
          <cell r="X11">
            <v>1</v>
          </cell>
          <cell r="Y11">
            <v>2</v>
          </cell>
          <cell r="Z11">
            <v>3</v>
          </cell>
          <cell r="AA11">
            <v>12</v>
          </cell>
          <cell r="AB11">
            <v>20</v>
          </cell>
          <cell r="AC11">
            <v>6</v>
          </cell>
        </row>
        <row r="12">
          <cell r="A12">
            <v>0</v>
          </cell>
          <cell r="B12" t="str">
            <v>ALL VRTS</v>
          </cell>
          <cell r="D12" t="str">
            <v>6570</v>
          </cell>
          <cell r="E12" t="str">
            <v>5560</v>
          </cell>
          <cell r="F12" t="str">
            <v>C7W01</v>
          </cell>
          <cell r="G12" t="str">
            <v>T-IPA</v>
          </cell>
          <cell r="H12" t="str">
            <v>P51</v>
          </cell>
          <cell r="I12" t="str">
            <v>P59</v>
          </cell>
          <cell r="K12" t="str">
            <v>V48</v>
          </cell>
          <cell r="M12">
            <v>0</v>
          </cell>
          <cell r="N12">
            <v>0</v>
          </cell>
          <cell r="O12">
            <v>-1</v>
          </cell>
          <cell r="P12" t="str">
            <v>ALL</v>
          </cell>
          <cell r="Q12">
            <v>2004</v>
          </cell>
          <cell r="R12" t="str">
            <v>DEARBORN PLANT BUILD</v>
          </cell>
          <cell r="S12" t="str">
            <v>P221/P397</v>
          </cell>
          <cell r="T12" t="str">
            <v>DIFFICULT TO OPERATE SHIFT</v>
          </cell>
          <cell r="U12">
            <v>43</v>
          </cell>
          <cell r="X12">
            <v>5</v>
          </cell>
          <cell r="Y12">
            <v>3</v>
          </cell>
          <cell r="Z12">
            <v>1</v>
          </cell>
          <cell r="AA12">
            <v>8</v>
          </cell>
          <cell r="AB12">
            <v>21</v>
          </cell>
          <cell r="AC12">
            <v>5</v>
          </cell>
        </row>
        <row r="13">
          <cell r="A13">
            <v>0</v>
          </cell>
          <cell r="B13" t="str">
            <v>ALL VRTS</v>
          </cell>
          <cell r="D13" t="str">
            <v>5340</v>
          </cell>
          <cell r="E13" t="str">
            <v>5330</v>
          </cell>
          <cell r="F13" t="str">
            <v>TDE27-L</v>
          </cell>
          <cell r="G13" t="str">
            <v>TDE29-L</v>
          </cell>
          <cell r="H13" t="str">
            <v>G07</v>
          </cell>
          <cell r="I13" t="str">
            <v>G05</v>
          </cell>
          <cell r="J13" t="str">
            <v>L07</v>
          </cell>
          <cell r="K13" t="str">
            <v>V09</v>
          </cell>
          <cell r="L13" t="str">
            <v>V07</v>
          </cell>
          <cell r="M13">
            <v>0</v>
          </cell>
          <cell r="N13">
            <v>0</v>
          </cell>
          <cell r="O13">
            <v>-1</v>
          </cell>
          <cell r="P13" t="str">
            <v>ALL</v>
          </cell>
          <cell r="Q13">
            <v>2004</v>
          </cell>
          <cell r="R13" t="str">
            <v>DEARBORN PLANT BUILD</v>
          </cell>
          <cell r="S13" t="str">
            <v>P221/P397</v>
          </cell>
          <cell r="T13" t="str">
            <v>WINDOW FUNCTION</v>
          </cell>
          <cell r="U13">
            <v>42</v>
          </cell>
          <cell r="W13">
            <v>1</v>
          </cell>
          <cell r="X13">
            <v>6</v>
          </cell>
          <cell r="Y13">
            <v>3</v>
          </cell>
          <cell r="Z13">
            <v>2</v>
          </cell>
          <cell r="AA13">
            <v>5</v>
          </cell>
          <cell r="AB13">
            <v>16</v>
          </cell>
          <cell r="AC13">
            <v>9</v>
          </cell>
        </row>
        <row r="14">
          <cell r="A14">
            <v>0</v>
          </cell>
          <cell r="B14" t="str">
            <v>ALL VRTS</v>
          </cell>
          <cell r="D14" t="str">
            <v>5420</v>
          </cell>
          <cell r="F14" t="str">
            <v>T518M</v>
          </cell>
          <cell r="H14" t="str">
            <v>K03</v>
          </cell>
          <cell r="I14" t="str">
            <v>K02</v>
          </cell>
          <cell r="K14" t="str">
            <v>V44</v>
          </cell>
          <cell r="M14">
            <v>0</v>
          </cell>
          <cell r="N14">
            <v>-1</v>
          </cell>
          <cell r="O14">
            <v>0</v>
          </cell>
          <cell r="P14" t="str">
            <v>ALL</v>
          </cell>
          <cell r="Q14">
            <v>2004</v>
          </cell>
          <cell r="R14" t="str">
            <v>DEARBORN PLANT BUILD</v>
          </cell>
          <cell r="S14" t="str">
            <v>P221/P397</v>
          </cell>
          <cell r="T14" t="str">
            <v xml:space="preserve"> DRIVESHAFT NOISE</v>
          </cell>
          <cell r="U14">
            <v>41</v>
          </cell>
          <cell r="W14">
            <v>1</v>
          </cell>
          <cell r="X14">
            <v>2</v>
          </cell>
          <cell r="Y14">
            <v>2</v>
          </cell>
          <cell r="Z14">
            <v>8</v>
          </cell>
          <cell r="AA14">
            <v>8</v>
          </cell>
          <cell r="AB14">
            <v>15</v>
          </cell>
          <cell r="AC14">
            <v>5</v>
          </cell>
        </row>
        <row r="15">
          <cell r="A15">
            <v>0</v>
          </cell>
          <cell r="B15" t="str">
            <v>ALL VRTS</v>
          </cell>
          <cell r="D15" t="str">
            <v>Repair</v>
          </cell>
          <cell r="F15" t="str">
            <v>Repair</v>
          </cell>
          <cell r="G15" t="str">
            <v>NA</v>
          </cell>
          <cell r="H15" t="str">
            <v>W05</v>
          </cell>
          <cell r="K15" t="str">
            <v>V16</v>
          </cell>
          <cell r="M15">
            <v>0</v>
          </cell>
          <cell r="N15">
            <v>0</v>
          </cell>
          <cell r="O15">
            <v>-1</v>
          </cell>
          <cell r="P15" t="str">
            <v>ALL</v>
          </cell>
          <cell r="Q15">
            <v>2004</v>
          </cell>
          <cell r="R15" t="str">
            <v>DEARBORN PLANT BUILD</v>
          </cell>
          <cell r="S15" t="str">
            <v>P221/P397</v>
          </cell>
          <cell r="T15" t="str">
            <v>Wipers INOP</v>
          </cell>
          <cell r="U15">
            <v>40</v>
          </cell>
          <cell r="X15">
            <v>2</v>
          </cell>
          <cell r="Y15">
            <v>6</v>
          </cell>
          <cell r="Z15">
            <v>6</v>
          </cell>
          <cell r="AA15">
            <v>4</v>
          </cell>
          <cell r="AB15">
            <v>10</v>
          </cell>
          <cell r="AC15">
            <v>12</v>
          </cell>
        </row>
        <row r="16">
          <cell r="A16">
            <v>0</v>
          </cell>
          <cell r="B16" t="str">
            <v>ALL VRTS</v>
          </cell>
          <cell r="H16" t="str">
            <v>P59</v>
          </cell>
          <cell r="I16" t="str">
            <v>P83</v>
          </cell>
          <cell r="J16" t="str">
            <v>P66</v>
          </cell>
          <cell r="K16" t="str">
            <v>V48</v>
          </cell>
          <cell r="M16">
            <v>0</v>
          </cell>
          <cell r="N16">
            <v>-1</v>
          </cell>
          <cell r="O16">
            <v>0</v>
          </cell>
          <cell r="P16" t="str">
            <v>ALL</v>
          </cell>
          <cell r="Q16">
            <v>2004</v>
          </cell>
          <cell r="R16" t="str">
            <v>DEARBORN PLANT BUILD</v>
          </cell>
          <cell r="S16" t="str">
            <v>P221/P397</v>
          </cell>
          <cell r="T16" t="str">
            <v>OTHER AUTO.TRANS</v>
          </cell>
          <cell r="U16">
            <v>38</v>
          </cell>
          <cell r="W16">
            <v>1</v>
          </cell>
          <cell r="X16">
            <v>3</v>
          </cell>
          <cell r="Y16">
            <v>3</v>
          </cell>
          <cell r="Z16">
            <v>4</v>
          </cell>
          <cell r="AA16">
            <v>9</v>
          </cell>
          <cell r="AB16">
            <v>10</v>
          </cell>
          <cell r="AC16">
            <v>8</v>
          </cell>
        </row>
        <row r="17">
          <cell r="A17">
            <v>0</v>
          </cell>
          <cell r="B17" t="str">
            <v>ALL VRTS</v>
          </cell>
          <cell r="C17" t="str">
            <v>X</v>
          </cell>
          <cell r="D17" t="str">
            <v>7330</v>
          </cell>
          <cell r="E17" t="str">
            <v>6370</v>
          </cell>
          <cell r="F17" t="str">
            <v>M12</v>
          </cell>
          <cell r="G17" t="str">
            <v>C1E17F</v>
          </cell>
          <cell r="H17" t="str">
            <v>H26</v>
          </cell>
          <cell r="I17" t="str">
            <v>H25</v>
          </cell>
          <cell r="J17" t="str">
            <v>H62</v>
          </cell>
          <cell r="K17" t="str">
            <v>V89</v>
          </cell>
          <cell r="L17" t="str">
            <v>V21</v>
          </cell>
          <cell r="M17">
            <v>0</v>
          </cell>
          <cell r="N17">
            <v>0</v>
          </cell>
          <cell r="O17">
            <v>-1</v>
          </cell>
          <cell r="P17" t="str">
            <v>ALL</v>
          </cell>
          <cell r="Q17">
            <v>2004</v>
          </cell>
          <cell r="R17" t="str">
            <v>DEARBORN PLANT BUILD</v>
          </cell>
          <cell r="S17" t="str">
            <v>P221/P397</v>
          </cell>
          <cell r="T17" t="str">
            <v>ALIGNMENT, PULLS/DRIFTS</v>
          </cell>
          <cell r="U17">
            <v>37</v>
          </cell>
          <cell r="X17">
            <v>2</v>
          </cell>
          <cell r="Y17">
            <v>3</v>
          </cell>
          <cell r="Z17">
            <v>2</v>
          </cell>
          <cell r="AA17">
            <v>4</v>
          </cell>
          <cell r="AB17">
            <v>20</v>
          </cell>
          <cell r="AC17">
            <v>6</v>
          </cell>
        </row>
        <row r="18">
          <cell r="A18">
            <v>0</v>
          </cell>
          <cell r="B18" t="str">
            <v>ALL VRTS</v>
          </cell>
          <cell r="D18" t="str">
            <v>Repair</v>
          </cell>
          <cell r="E18" t="str">
            <v>Trim 3 Team 4</v>
          </cell>
          <cell r="F18" t="str">
            <v>NA</v>
          </cell>
          <cell r="G18" t="str">
            <v>T3E24R</v>
          </cell>
          <cell r="H18" t="str">
            <v>C20</v>
          </cell>
          <cell r="I18" t="str">
            <v>C05</v>
          </cell>
          <cell r="J18" t="str">
            <v>C09</v>
          </cell>
          <cell r="K18" t="str">
            <v>V79</v>
          </cell>
          <cell r="M18">
            <v>0</v>
          </cell>
          <cell r="N18">
            <v>-1</v>
          </cell>
          <cell r="O18">
            <v>0</v>
          </cell>
          <cell r="P18" t="str">
            <v>ALL</v>
          </cell>
          <cell r="Q18">
            <v>2004</v>
          </cell>
          <cell r="R18" t="str">
            <v>DEARBORN PLANT BUILD</v>
          </cell>
          <cell r="S18" t="str">
            <v>P221/P397</v>
          </cell>
          <cell r="T18" t="str">
            <v>Blower Inop</v>
          </cell>
          <cell r="U18">
            <v>37</v>
          </cell>
          <cell r="W18">
            <v>1</v>
          </cell>
          <cell r="X18">
            <v>4</v>
          </cell>
          <cell r="Y18">
            <v>2</v>
          </cell>
          <cell r="Z18">
            <v>9</v>
          </cell>
          <cell r="AA18">
            <v>6</v>
          </cell>
          <cell r="AB18">
            <v>9</v>
          </cell>
          <cell r="AC18">
            <v>6</v>
          </cell>
        </row>
        <row r="19">
          <cell r="A19">
            <v>0</v>
          </cell>
          <cell r="B19" t="str">
            <v>ALL VRTS</v>
          </cell>
          <cell r="C19" t="str">
            <v>X</v>
          </cell>
          <cell r="D19" t="str">
            <v>6380</v>
          </cell>
          <cell r="F19" t="str">
            <v>C1E41F</v>
          </cell>
          <cell r="H19" t="str">
            <v>N17</v>
          </cell>
          <cell r="I19" t="str">
            <v>N27</v>
          </cell>
          <cell r="J19" t="str">
            <v>H20</v>
          </cell>
          <cell r="K19" t="str">
            <v>V21</v>
          </cell>
          <cell r="M19">
            <v>0</v>
          </cell>
          <cell r="N19">
            <v>-1</v>
          </cell>
          <cell r="O19">
            <v>0</v>
          </cell>
          <cell r="P19" t="str">
            <v>ALL</v>
          </cell>
          <cell r="Q19">
            <v>2004</v>
          </cell>
          <cell r="R19" t="str">
            <v>DEARBORN PLANT BUILD</v>
          </cell>
          <cell r="S19" t="str">
            <v>P221/P397</v>
          </cell>
          <cell r="T19" t="str">
            <v>BRAKES, NOISY</v>
          </cell>
          <cell r="U19">
            <v>33</v>
          </cell>
          <cell r="X19">
            <v>2</v>
          </cell>
          <cell r="Y19">
            <v>1</v>
          </cell>
          <cell r="Z19">
            <v>1</v>
          </cell>
          <cell r="AA19">
            <v>4</v>
          </cell>
          <cell r="AB19">
            <v>17</v>
          </cell>
          <cell r="AC19">
            <v>8</v>
          </cell>
        </row>
        <row r="20">
          <cell r="A20">
            <v>0</v>
          </cell>
          <cell r="B20" t="str">
            <v>ALL VRTS</v>
          </cell>
          <cell r="D20" t="str">
            <v>Trim 4 5580-2-G</v>
          </cell>
          <cell r="F20" t="str">
            <v>T4W01-09L</v>
          </cell>
          <cell r="H20" t="str">
            <v>G02</v>
          </cell>
          <cell r="K20" t="str">
            <v>V09</v>
          </cell>
          <cell r="M20">
            <v>0</v>
          </cell>
          <cell r="N20">
            <v>-1</v>
          </cell>
          <cell r="O20">
            <v>0</v>
          </cell>
          <cell r="P20" t="str">
            <v>ALL</v>
          </cell>
          <cell r="Q20">
            <v>2004</v>
          </cell>
          <cell r="R20" t="str">
            <v>DEARBORN PLANT BUILD</v>
          </cell>
          <cell r="S20" t="str">
            <v>P221/P397</v>
          </cell>
          <cell r="T20" t="str">
            <v>WINDSHIELD DEFECTIVE</v>
          </cell>
          <cell r="U20">
            <v>32</v>
          </cell>
          <cell r="V20">
            <v>1</v>
          </cell>
          <cell r="W20">
            <v>2</v>
          </cell>
          <cell r="X20">
            <v>2</v>
          </cell>
          <cell r="Y20">
            <v>3</v>
          </cell>
          <cell r="Z20">
            <v>3</v>
          </cell>
          <cell r="AA20">
            <v>5</v>
          </cell>
          <cell r="AB20">
            <v>13</v>
          </cell>
          <cell r="AC20">
            <v>3</v>
          </cell>
        </row>
        <row r="21">
          <cell r="A21">
            <v>0</v>
          </cell>
          <cell r="B21" t="str">
            <v>ALL VRTS</v>
          </cell>
          <cell r="H21" t="str">
            <v>C25</v>
          </cell>
          <cell r="I21" t="str">
            <v>C27</v>
          </cell>
          <cell r="J21" t="str">
            <v>A85</v>
          </cell>
          <cell r="K21" t="str">
            <v>V19</v>
          </cell>
          <cell r="M21">
            <v>0</v>
          </cell>
          <cell r="N21">
            <v>0</v>
          </cell>
          <cell r="O21">
            <v>-1</v>
          </cell>
          <cell r="P21" t="str">
            <v>ALL</v>
          </cell>
          <cell r="Q21">
            <v>2004</v>
          </cell>
          <cell r="R21" t="str">
            <v>DEARBORN PLANT BUILD</v>
          </cell>
          <cell r="S21" t="str">
            <v>P221/P397</v>
          </cell>
          <cell r="T21" t="str">
            <v>Battery Dead</v>
          </cell>
          <cell r="U21">
            <v>31</v>
          </cell>
          <cell r="W21">
            <v>1</v>
          </cell>
          <cell r="X21">
            <v>5</v>
          </cell>
          <cell r="Y21">
            <v>1</v>
          </cell>
          <cell r="Z21">
            <v>2</v>
          </cell>
          <cell r="AA21">
            <v>6</v>
          </cell>
          <cell r="AB21">
            <v>14</v>
          </cell>
          <cell r="AC21">
            <v>2</v>
          </cell>
        </row>
        <row r="22">
          <cell r="A22">
            <v>0</v>
          </cell>
          <cell r="B22" t="str">
            <v>ALL VRTS</v>
          </cell>
          <cell r="H22" t="str">
            <v>A85</v>
          </cell>
          <cell r="I22" t="str">
            <v>G32</v>
          </cell>
          <cell r="J22" t="str">
            <v>A37</v>
          </cell>
          <cell r="K22" t="str">
            <v>V83</v>
          </cell>
          <cell r="L22" t="str">
            <v>V17</v>
          </cell>
          <cell r="M22">
            <v>0</v>
          </cell>
          <cell r="N22">
            <v>-1</v>
          </cell>
          <cell r="O22">
            <v>0</v>
          </cell>
          <cell r="P22" t="str">
            <v>ALL</v>
          </cell>
          <cell r="Q22">
            <v>2004</v>
          </cell>
          <cell r="R22" t="str">
            <v>DEARBORN PLANT BUILD</v>
          </cell>
          <cell r="S22" t="str">
            <v>P221/P397</v>
          </cell>
          <cell r="T22" t="str">
            <v>Cluster INOP</v>
          </cell>
          <cell r="U22">
            <v>31</v>
          </cell>
          <cell r="Y22">
            <v>3</v>
          </cell>
          <cell r="Z22">
            <v>6</v>
          </cell>
          <cell r="AA22">
            <v>9</v>
          </cell>
          <cell r="AB22">
            <v>11</v>
          </cell>
          <cell r="AC22">
            <v>2</v>
          </cell>
        </row>
        <row r="23">
          <cell r="A23">
            <v>0</v>
          </cell>
          <cell r="B23" t="str">
            <v>ALL VRTS</v>
          </cell>
          <cell r="D23" t="str">
            <v>unsure</v>
          </cell>
          <cell r="F23" t="str">
            <v>C2W28B</v>
          </cell>
          <cell r="H23" t="str">
            <v>N51</v>
          </cell>
          <cell r="I23" t="str">
            <v>N59</v>
          </cell>
          <cell r="J23" t="str">
            <v>N42</v>
          </cell>
          <cell r="K23" t="str">
            <v>V39</v>
          </cell>
          <cell r="M23">
            <v>0</v>
          </cell>
          <cell r="N23">
            <v>0</v>
          </cell>
          <cell r="O23">
            <v>-1</v>
          </cell>
          <cell r="P23" t="str">
            <v>ALL</v>
          </cell>
          <cell r="Q23">
            <v>2004</v>
          </cell>
          <cell r="R23" t="str">
            <v>DEARBORN PLANT BUILD</v>
          </cell>
          <cell r="S23" t="str">
            <v>P221/P397</v>
          </cell>
          <cell r="T23" t="str">
            <v>Squeak/Rattle Vehicle Exterior Rear</v>
          </cell>
          <cell r="U23">
            <v>31</v>
          </cell>
          <cell r="X23">
            <v>1</v>
          </cell>
          <cell r="Z23">
            <v>2</v>
          </cell>
          <cell r="AA23">
            <v>8</v>
          </cell>
          <cell r="AB23">
            <v>15</v>
          </cell>
          <cell r="AC23">
            <v>5</v>
          </cell>
        </row>
        <row r="24">
          <cell r="A24">
            <v>0</v>
          </cell>
          <cell r="B24" t="str">
            <v>ALL VRTS</v>
          </cell>
          <cell r="D24" t="str">
            <v>Chassis 4 Team 1</v>
          </cell>
          <cell r="E24" t="str">
            <v>Chassis 7 Team 1</v>
          </cell>
          <cell r="F24" t="str">
            <v>C7E06R</v>
          </cell>
          <cell r="G24" t="str">
            <v>C4E07L</v>
          </cell>
          <cell r="H24" t="str">
            <v>L26</v>
          </cell>
          <cell r="I24" t="str">
            <v>L29</v>
          </cell>
          <cell r="J24" t="str">
            <v>L30</v>
          </cell>
          <cell r="K24" t="str">
            <v>V77</v>
          </cell>
          <cell r="M24">
            <v>0</v>
          </cell>
          <cell r="N24">
            <v>0</v>
          </cell>
          <cell r="O24">
            <v>-1</v>
          </cell>
          <cell r="P24" t="str">
            <v>ALL</v>
          </cell>
          <cell r="Q24">
            <v>2004</v>
          </cell>
          <cell r="R24" t="str">
            <v>DEARBORN PLANT BUILD</v>
          </cell>
          <cell r="S24" t="str">
            <v>P221/P397</v>
          </cell>
          <cell r="T24" t="str">
            <v>Tail Lights INOP</v>
          </cell>
          <cell r="U24">
            <v>31</v>
          </cell>
          <cell r="W24">
            <v>1</v>
          </cell>
          <cell r="X24">
            <v>3</v>
          </cell>
          <cell r="Y24">
            <v>2</v>
          </cell>
          <cell r="Z24">
            <v>2</v>
          </cell>
          <cell r="AA24">
            <v>3</v>
          </cell>
          <cell r="AB24">
            <v>16</v>
          </cell>
          <cell r="AC24">
            <v>4</v>
          </cell>
        </row>
        <row r="25">
          <cell r="A25">
            <v>0</v>
          </cell>
          <cell r="B25" t="str">
            <v>ALL VRTS</v>
          </cell>
          <cell r="D25" t="str">
            <v>unsure</v>
          </cell>
          <cell r="E25" t="str">
            <v>…</v>
          </cell>
          <cell r="F25" t="str">
            <v>T3E22R</v>
          </cell>
          <cell r="G25" t="str">
            <v>T3E26R</v>
          </cell>
          <cell r="H25" t="str">
            <v>N33</v>
          </cell>
          <cell r="I25" t="str">
            <v>N50</v>
          </cell>
          <cell r="J25" t="str">
            <v>N31</v>
          </cell>
          <cell r="K25" t="str">
            <v>V39</v>
          </cell>
          <cell r="M25">
            <v>0</v>
          </cell>
          <cell r="N25">
            <v>0</v>
          </cell>
          <cell r="O25">
            <v>-1</v>
          </cell>
          <cell r="P25" t="str">
            <v>ALL</v>
          </cell>
          <cell r="Q25">
            <v>2004</v>
          </cell>
          <cell r="R25" t="str">
            <v>DEARBORN PLANT BUILD</v>
          </cell>
          <cell r="S25" t="str">
            <v>P221/P397</v>
          </cell>
          <cell r="T25" t="str">
            <v>Instrument Panel/Dashboard Squeak/Rattle</v>
          </cell>
          <cell r="U25">
            <v>29</v>
          </cell>
          <cell r="W25">
            <v>1</v>
          </cell>
          <cell r="X25">
            <v>3</v>
          </cell>
          <cell r="Z25">
            <v>1</v>
          </cell>
          <cell r="AA25">
            <v>3</v>
          </cell>
          <cell r="AB25">
            <v>13</v>
          </cell>
          <cell r="AC25">
            <v>8</v>
          </cell>
        </row>
        <row r="26">
          <cell r="A26">
            <v>0</v>
          </cell>
          <cell r="B26" t="str">
            <v>ALL VRTS</v>
          </cell>
          <cell r="C26" t="str">
            <v>X</v>
          </cell>
          <cell r="D26" t="str">
            <v>6480</v>
          </cell>
          <cell r="E26" t="str">
            <v>6450</v>
          </cell>
          <cell r="F26" t="str">
            <v>IC4E01L</v>
          </cell>
          <cell r="G26" t="str">
            <v>C2E47F</v>
          </cell>
          <cell r="H26" t="str">
            <v>H19</v>
          </cell>
          <cell r="I26" t="str">
            <v>H20</v>
          </cell>
          <cell r="J26" t="str">
            <v>E35</v>
          </cell>
          <cell r="K26" t="str">
            <v>V21</v>
          </cell>
          <cell r="M26">
            <v>0</v>
          </cell>
          <cell r="N26">
            <v>-1</v>
          </cell>
          <cell r="O26">
            <v>0</v>
          </cell>
          <cell r="P26" t="str">
            <v>ALL</v>
          </cell>
          <cell r="Q26">
            <v>2004</v>
          </cell>
          <cell r="R26" t="str">
            <v>DEARBORN PLANT BUILD</v>
          </cell>
          <cell r="S26" t="str">
            <v>P221/P397</v>
          </cell>
          <cell r="T26" t="str">
            <v>Brakes ABS Light On</v>
          </cell>
          <cell r="U26">
            <v>28</v>
          </cell>
          <cell r="X26">
            <v>1</v>
          </cell>
          <cell r="Y26">
            <v>1</v>
          </cell>
          <cell r="Z26">
            <v>2</v>
          </cell>
          <cell r="AA26">
            <v>6</v>
          </cell>
          <cell r="AB26">
            <v>11</v>
          </cell>
          <cell r="AC26">
            <v>7</v>
          </cell>
        </row>
        <row r="27">
          <cell r="A27">
            <v>0</v>
          </cell>
          <cell r="B27" t="str">
            <v>ALL VRTS</v>
          </cell>
          <cell r="H27" t="str">
            <v>L26</v>
          </cell>
          <cell r="I27" t="str">
            <v>L25</v>
          </cell>
          <cell r="J27" t="str">
            <v>L22</v>
          </cell>
          <cell r="K27" t="str">
            <v>V77</v>
          </cell>
          <cell r="M27">
            <v>0</v>
          </cell>
          <cell r="N27">
            <v>-1</v>
          </cell>
          <cell r="O27">
            <v>0</v>
          </cell>
          <cell r="P27" t="str">
            <v>ALL</v>
          </cell>
          <cell r="Q27">
            <v>2004</v>
          </cell>
          <cell r="R27" t="str">
            <v>DEARBORN PLANT BUILD</v>
          </cell>
          <cell r="S27" t="str">
            <v>P221/P397</v>
          </cell>
          <cell r="T27" t="str">
            <v>Headlamps INOP</v>
          </cell>
          <cell r="U27">
            <v>28</v>
          </cell>
          <cell r="V27">
            <v>1</v>
          </cell>
          <cell r="W27">
            <v>1</v>
          </cell>
          <cell r="X27">
            <v>3</v>
          </cell>
          <cell r="Y27">
            <v>2</v>
          </cell>
          <cell r="Z27">
            <v>2</v>
          </cell>
          <cell r="AA27">
            <v>5</v>
          </cell>
          <cell r="AB27">
            <v>11</v>
          </cell>
          <cell r="AC27">
            <v>3</v>
          </cell>
        </row>
        <row r="28">
          <cell r="A28">
            <v>0</v>
          </cell>
          <cell r="B28" t="str">
            <v>ALL VRTS</v>
          </cell>
          <cell r="H28" t="str">
            <v>F99</v>
          </cell>
          <cell r="K28" t="str">
            <v>V99</v>
          </cell>
          <cell r="M28">
            <v>0</v>
          </cell>
          <cell r="N28">
            <v>0</v>
          </cell>
          <cell r="O28">
            <v>-1</v>
          </cell>
          <cell r="P28" t="str">
            <v>ALL</v>
          </cell>
          <cell r="Q28">
            <v>2004</v>
          </cell>
          <cell r="R28" t="str">
            <v>DEARBORN PLANT BUILD</v>
          </cell>
          <cell r="S28" t="str">
            <v>P221/P397</v>
          </cell>
          <cell r="T28" t="str">
            <v>Washer Bottle fluid insufficient</v>
          </cell>
          <cell r="U28">
            <v>28</v>
          </cell>
          <cell r="X28">
            <v>1</v>
          </cell>
          <cell r="Z28">
            <v>6</v>
          </cell>
          <cell r="AA28">
            <v>2</v>
          </cell>
          <cell r="AB28">
            <v>5</v>
          </cell>
          <cell r="AC28">
            <v>14</v>
          </cell>
        </row>
        <row r="29">
          <cell r="A29">
            <v>0</v>
          </cell>
          <cell r="B29" t="str">
            <v>ALL VRTS</v>
          </cell>
          <cell r="C29" t="str">
            <v>X</v>
          </cell>
          <cell r="D29" t="str">
            <v>6450</v>
          </cell>
          <cell r="E29" t="str">
            <v>6440</v>
          </cell>
          <cell r="F29" t="str">
            <v>C2E45F</v>
          </cell>
          <cell r="G29" t="str">
            <v>C2E47F</v>
          </cell>
          <cell r="H29" t="str">
            <v>H15</v>
          </cell>
          <cell r="I29" t="str">
            <v>H20</v>
          </cell>
          <cell r="J29" t="str">
            <v>L63</v>
          </cell>
          <cell r="K29" t="str">
            <v>V21</v>
          </cell>
          <cell r="M29">
            <v>0</v>
          </cell>
          <cell r="N29">
            <v>-1</v>
          </cell>
          <cell r="O29">
            <v>0</v>
          </cell>
          <cell r="P29" t="str">
            <v>ALL</v>
          </cell>
          <cell r="Q29">
            <v>2004</v>
          </cell>
          <cell r="R29" t="str">
            <v>DEARBORN PLANT BUILD</v>
          </cell>
          <cell r="S29" t="str">
            <v>P221/P397</v>
          </cell>
          <cell r="T29" t="str">
            <v>BRAKES, SOFT PEDAL</v>
          </cell>
          <cell r="U29">
            <v>25</v>
          </cell>
          <cell r="X29">
            <v>1</v>
          </cell>
          <cell r="Z29">
            <v>6</v>
          </cell>
          <cell r="AA29">
            <v>3</v>
          </cell>
          <cell r="AB29">
            <v>9</v>
          </cell>
          <cell r="AC29">
            <v>6</v>
          </cell>
        </row>
        <row r="30">
          <cell r="A30">
            <v>0</v>
          </cell>
          <cell r="B30" t="str">
            <v>ALL VRTS</v>
          </cell>
          <cell r="D30" t="str">
            <v>6360</v>
          </cell>
          <cell r="E30" t="str">
            <v>6500</v>
          </cell>
          <cell r="F30" t="str">
            <v>C4W22R</v>
          </cell>
          <cell r="G30" t="str">
            <v>CEE23L</v>
          </cell>
          <cell r="H30" t="str">
            <v>N12</v>
          </cell>
          <cell r="I30" t="str">
            <v>N11</v>
          </cell>
          <cell r="K30" t="str">
            <v>V49</v>
          </cell>
          <cell r="M30">
            <v>-1</v>
          </cell>
          <cell r="N30">
            <v>-1</v>
          </cell>
          <cell r="O30">
            <v>0</v>
          </cell>
          <cell r="P30" t="str">
            <v>ALL</v>
          </cell>
          <cell r="Q30">
            <v>2004</v>
          </cell>
          <cell r="R30" t="str">
            <v>DEARBORN PLANT BUILD</v>
          </cell>
          <cell r="S30" t="str">
            <v>P221/P397</v>
          </cell>
          <cell r="T30" t="str">
            <v>ENGINE NOISE</v>
          </cell>
          <cell r="U30">
            <v>25</v>
          </cell>
          <cell r="W30">
            <v>1</v>
          </cell>
          <cell r="X30">
            <v>2</v>
          </cell>
          <cell r="Y30">
            <v>2</v>
          </cell>
          <cell r="Z30">
            <v>1</v>
          </cell>
          <cell r="AA30">
            <v>6</v>
          </cell>
          <cell r="AB30">
            <v>9</v>
          </cell>
          <cell r="AC30">
            <v>4</v>
          </cell>
        </row>
        <row r="31">
          <cell r="A31">
            <v>0</v>
          </cell>
          <cell r="B31" t="str">
            <v>ALL VRTS</v>
          </cell>
          <cell r="D31" t="str">
            <v>5540</v>
          </cell>
          <cell r="E31" t="str">
            <v>5550</v>
          </cell>
          <cell r="F31" t="str">
            <v>T3E15L</v>
          </cell>
          <cell r="G31" t="str">
            <v>T3E22R</v>
          </cell>
          <cell r="H31" t="str">
            <v>B95</v>
          </cell>
          <cell r="I31" t="str">
            <v>B53</v>
          </cell>
          <cell r="J31" t="str">
            <v>B81</v>
          </cell>
          <cell r="K31" t="str">
            <v>V71</v>
          </cell>
          <cell r="M31">
            <v>0</v>
          </cell>
          <cell r="N31">
            <v>-1</v>
          </cell>
          <cell r="O31">
            <v>0</v>
          </cell>
          <cell r="P31" t="str">
            <v>ALL</v>
          </cell>
          <cell r="Q31">
            <v>2004</v>
          </cell>
          <cell r="R31" t="str">
            <v>DEARBORN PLANT BUILD</v>
          </cell>
          <cell r="S31" t="str">
            <v>P221/P397</v>
          </cell>
          <cell r="T31" t="str">
            <v>I/P  TROUBLES</v>
          </cell>
          <cell r="U31">
            <v>25</v>
          </cell>
          <cell r="X31">
            <v>5</v>
          </cell>
          <cell r="Z31">
            <v>1</v>
          </cell>
          <cell r="AA31">
            <v>2</v>
          </cell>
          <cell r="AB31">
            <v>13</v>
          </cell>
          <cell r="AC31">
            <v>4</v>
          </cell>
        </row>
        <row r="32">
          <cell r="A32">
            <v>0</v>
          </cell>
          <cell r="B32" t="str">
            <v>ALL VRTS</v>
          </cell>
          <cell r="D32" t="str">
            <v>5340</v>
          </cell>
          <cell r="E32" t="str">
            <v>53502A</v>
          </cell>
          <cell r="F32" t="str">
            <v>TDE31-l</v>
          </cell>
          <cell r="G32" t="str">
            <v>TDE27-L</v>
          </cell>
          <cell r="H32" t="str">
            <v>L06</v>
          </cell>
          <cell r="I32" t="str">
            <v>L23</v>
          </cell>
          <cell r="J32" t="str">
            <v>L07</v>
          </cell>
          <cell r="K32" t="str">
            <v>V07</v>
          </cell>
          <cell r="M32">
            <v>-1</v>
          </cell>
          <cell r="N32">
            <v>0</v>
          </cell>
          <cell r="O32">
            <v>-1</v>
          </cell>
          <cell r="P32" t="str">
            <v>ALL</v>
          </cell>
          <cell r="Q32">
            <v>2004</v>
          </cell>
          <cell r="R32" t="str">
            <v>DEARBORN PLANT BUILD</v>
          </cell>
          <cell r="S32" t="str">
            <v>P221/P397</v>
          </cell>
          <cell r="T32" t="str">
            <v>DOOR LOCK INOP WITH KEY</v>
          </cell>
          <cell r="U32">
            <v>24</v>
          </cell>
          <cell r="W32">
            <v>3</v>
          </cell>
          <cell r="X32">
            <v>4</v>
          </cell>
          <cell r="Y32">
            <v>3</v>
          </cell>
          <cell r="Z32">
            <v>5</v>
          </cell>
          <cell r="AA32">
            <v>3</v>
          </cell>
          <cell r="AB32">
            <v>3</v>
          </cell>
          <cell r="AC32">
            <v>3</v>
          </cell>
        </row>
        <row r="33">
          <cell r="A33">
            <v>0</v>
          </cell>
          <cell r="B33" t="str">
            <v>ALL VRTS</v>
          </cell>
          <cell r="D33" t="str">
            <v>6530</v>
          </cell>
          <cell r="F33" t="str">
            <v>C5W02R</v>
          </cell>
          <cell r="H33" t="str">
            <v>S15</v>
          </cell>
          <cell r="I33" t="str">
            <v>S50</v>
          </cell>
          <cell r="J33" t="str">
            <v>S52</v>
          </cell>
          <cell r="K33" t="str">
            <v>V03</v>
          </cell>
          <cell r="L33" t="str">
            <v>V74</v>
          </cell>
          <cell r="M33">
            <v>0</v>
          </cell>
          <cell r="N33">
            <v>-1</v>
          </cell>
          <cell r="O33">
            <v>0</v>
          </cell>
          <cell r="P33" t="str">
            <v>ALL</v>
          </cell>
          <cell r="Q33">
            <v>2004</v>
          </cell>
          <cell r="R33" t="str">
            <v>DEARBORN PLANT BUILD</v>
          </cell>
          <cell r="S33" t="str">
            <v>P221/P397</v>
          </cell>
          <cell r="T33" t="str">
            <v>SEATS</v>
          </cell>
          <cell r="U33">
            <v>23</v>
          </cell>
          <cell r="X33">
            <v>2</v>
          </cell>
          <cell r="Y33">
            <v>3</v>
          </cell>
          <cell r="Z33">
            <v>5</v>
          </cell>
          <cell r="AA33">
            <v>4</v>
          </cell>
          <cell r="AB33">
            <v>8</v>
          </cell>
          <cell r="AC33">
            <v>1</v>
          </cell>
        </row>
        <row r="34">
          <cell r="A34">
            <v>0</v>
          </cell>
          <cell r="B34" t="str">
            <v>ALL VRTS</v>
          </cell>
          <cell r="D34" t="str">
            <v>unsure</v>
          </cell>
          <cell r="F34" t="str">
            <v>C1E35F</v>
          </cell>
          <cell r="G34" t="str">
            <v>CEW20R</v>
          </cell>
          <cell r="H34" t="str">
            <v>N50</v>
          </cell>
          <cell r="I34" t="str">
            <v>N51</v>
          </cell>
          <cell r="J34" t="str">
            <v>N59</v>
          </cell>
          <cell r="K34" t="str">
            <v>V39</v>
          </cell>
          <cell r="M34">
            <v>0</v>
          </cell>
          <cell r="N34">
            <v>0</v>
          </cell>
          <cell r="O34">
            <v>-1</v>
          </cell>
          <cell r="P34" t="str">
            <v>ALL</v>
          </cell>
          <cell r="Q34">
            <v>2004</v>
          </cell>
          <cell r="R34" t="str">
            <v>DEARBORN PLANT BUILD</v>
          </cell>
          <cell r="S34" t="str">
            <v>P221/P397</v>
          </cell>
          <cell r="T34" t="str">
            <v>Squeak/Rattle Vehicle Exterior Front</v>
          </cell>
          <cell r="U34">
            <v>23</v>
          </cell>
          <cell r="X34">
            <v>2</v>
          </cell>
          <cell r="Y34">
            <v>3</v>
          </cell>
          <cell r="Z34">
            <v>3</v>
          </cell>
          <cell r="AA34">
            <v>4</v>
          </cell>
          <cell r="AB34">
            <v>6</v>
          </cell>
          <cell r="AC34">
            <v>5</v>
          </cell>
        </row>
        <row r="35">
          <cell r="A35">
            <v>0</v>
          </cell>
          <cell r="B35" t="str">
            <v>ALL VRTS</v>
          </cell>
          <cell r="D35" t="str">
            <v>5510</v>
          </cell>
          <cell r="F35" t="str">
            <v>T2W33L</v>
          </cell>
          <cell r="G35" t="str">
            <v>T2E34R</v>
          </cell>
          <cell r="H35" t="str">
            <v>T51</v>
          </cell>
          <cell r="K35" t="str">
            <v>V74</v>
          </cell>
          <cell r="M35">
            <v>0</v>
          </cell>
          <cell r="N35">
            <v>-1</v>
          </cell>
          <cell r="O35">
            <v>0</v>
          </cell>
          <cell r="P35" t="str">
            <v>ALL</v>
          </cell>
          <cell r="Q35">
            <v>2004</v>
          </cell>
          <cell r="R35" t="str">
            <v>DEARBORN PLANT BUILD</v>
          </cell>
          <cell r="S35" t="str">
            <v>P221/P397</v>
          </cell>
          <cell r="T35" t="str">
            <v>SUNVISOR/DEFECTIVE</v>
          </cell>
          <cell r="U35">
            <v>23</v>
          </cell>
          <cell r="Z35">
            <v>1</v>
          </cell>
          <cell r="AA35">
            <v>6</v>
          </cell>
          <cell r="AB35">
            <v>8</v>
          </cell>
          <cell r="AC35">
            <v>8</v>
          </cell>
        </row>
        <row r="36">
          <cell r="A36">
            <v>0</v>
          </cell>
          <cell r="B36" t="str">
            <v>ALL VRTS</v>
          </cell>
          <cell r="D36" t="str">
            <v>FSELECT</v>
          </cell>
          <cell r="E36" t="str">
            <v>6430</v>
          </cell>
          <cell r="F36" t="str">
            <v>C2E29FL</v>
          </cell>
          <cell r="G36" t="str">
            <v>CFE02R</v>
          </cell>
          <cell r="H36" t="str">
            <v>K03</v>
          </cell>
          <cell r="I36" t="str">
            <v>K02</v>
          </cell>
          <cell r="K36" t="str">
            <v>V44</v>
          </cell>
          <cell r="M36">
            <v>0</v>
          </cell>
          <cell r="N36">
            <v>-1</v>
          </cell>
          <cell r="O36">
            <v>0</v>
          </cell>
          <cell r="P36" t="str">
            <v>ALL</v>
          </cell>
          <cell r="Q36">
            <v>2004</v>
          </cell>
          <cell r="R36" t="str">
            <v>DEARBORN PLANT BUILD</v>
          </cell>
          <cell r="S36" t="str">
            <v>P221/P397</v>
          </cell>
          <cell r="T36" t="str">
            <v>AXLE VIBRATION</v>
          </cell>
          <cell r="U36">
            <v>22</v>
          </cell>
          <cell r="W36">
            <v>1</v>
          </cell>
          <cell r="X36">
            <v>1</v>
          </cell>
          <cell r="Y36">
            <v>1</v>
          </cell>
          <cell r="Z36">
            <v>5</v>
          </cell>
          <cell r="AA36">
            <v>4</v>
          </cell>
          <cell r="AB36">
            <v>7</v>
          </cell>
          <cell r="AC36">
            <v>3</v>
          </cell>
        </row>
        <row r="37">
          <cell r="A37">
            <v>0</v>
          </cell>
          <cell r="B37" t="str">
            <v>ALL VRTS</v>
          </cell>
          <cell r="D37" t="str">
            <v>6580</v>
          </cell>
          <cell r="E37" t="str">
            <v>6360</v>
          </cell>
          <cell r="F37" t="str">
            <v>C7W25L</v>
          </cell>
          <cell r="G37" t="str">
            <v>CEW46R</v>
          </cell>
          <cell r="H37" t="str">
            <v>D02</v>
          </cell>
          <cell r="I37" t="str">
            <v>D03</v>
          </cell>
          <cell r="K37" t="str">
            <v>V43</v>
          </cell>
          <cell r="M37">
            <v>-1</v>
          </cell>
          <cell r="N37">
            <v>-1</v>
          </cell>
          <cell r="O37">
            <v>0</v>
          </cell>
          <cell r="P37" t="str">
            <v>ALL</v>
          </cell>
          <cell r="Q37">
            <v>2004</v>
          </cell>
          <cell r="R37" t="str">
            <v>DEARBORN PLANT BUILD</v>
          </cell>
          <cell r="S37" t="str">
            <v>P221/P397</v>
          </cell>
          <cell r="T37" t="str">
            <v>ENGINE WON'T START</v>
          </cell>
          <cell r="U37">
            <v>22</v>
          </cell>
          <cell r="W37">
            <v>1</v>
          </cell>
          <cell r="X37">
            <v>1</v>
          </cell>
          <cell r="Y37">
            <v>2</v>
          </cell>
          <cell r="Z37">
            <v>1</v>
          </cell>
          <cell r="AA37">
            <v>3</v>
          </cell>
          <cell r="AB37">
            <v>13</v>
          </cell>
          <cell r="AC37">
            <v>1</v>
          </cell>
        </row>
        <row r="38">
          <cell r="A38">
            <v>0</v>
          </cell>
          <cell r="B38" t="str">
            <v>ALL VRTS</v>
          </cell>
          <cell r="D38" t="str">
            <v>6540</v>
          </cell>
          <cell r="E38" t="str">
            <v>6440</v>
          </cell>
          <cell r="F38" t="str">
            <v>C5E23L</v>
          </cell>
          <cell r="G38" t="str">
            <v>C2E49F</v>
          </cell>
          <cell r="H38" t="str">
            <v>D50</v>
          </cell>
          <cell r="I38" t="str">
            <v>E19</v>
          </cell>
          <cell r="J38" t="str">
            <v>E20</v>
          </cell>
          <cell r="K38" t="str">
            <v>V44</v>
          </cell>
          <cell r="M38">
            <v>0</v>
          </cell>
          <cell r="N38">
            <v>-1</v>
          </cell>
          <cell r="O38">
            <v>0</v>
          </cell>
          <cell r="P38" t="str">
            <v>ALL</v>
          </cell>
          <cell r="Q38">
            <v>2004</v>
          </cell>
          <cell r="R38" t="str">
            <v>DEARBORN PLANT BUILD</v>
          </cell>
          <cell r="S38" t="str">
            <v>P221/P397</v>
          </cell>
          <cell r="T38" t="str">
            <v>OTHER ENGINE TROUBLES</v>
          </cell>
          <cell r="U38">
            <v>22</v>
          </cell>
          <cell r="X38">
            <v>5</v>
          </cell>
          <cell r="Y38">
            <v>1</v>
          </cell>
          <cell r="Z38">
            <v>2</v>
          </cell>
          <cell r="AA38">
            <v>4</v>
          </cell>
          <cell r="AB38">
            <v>7</v>
          </cell>
          <cell r="AC38">
            <v>3</v>
          </cell>
        </row>
        <row r="39">
          <cell r="A39">
            <v>0</v>
          </cell>
          <cell r="B39" t="str">
            <v>ALL VRTS</v>
          </cell>
          <cell r="H39" t="str">
            <v>F05</v>
          </cell>
          <cell r="I39" t="str">
            <v>F07</v>
          </cell>
          <cell r="J39" t="str">
            <v>F06</v>
          </cell>
          <cell r="K39" t="str">
            <v>V33</v>
          </cell>
          <cell r="M39">
            <v>0</v>
          </cell>
          <cell r="N39">
            <v>0</v>
          </cell>
          <cell r="O39">
            <v>-1</v>
          </cell>
          <cell r="P39" t="str">
            <v>ALL</v>
          </cell>
          <cell r="Q39">
            <v>2004</v>
          </cell>
          <cell r="R39" t="str">
            <v>DEARBORN PLANT BUILD</v>
          </cell>
          <cell r="S39" t="str">
            <v>P221/P397</v>
          </cell>
          <cell r="T39" t="str">
            <v>Sags, Runs &amp; Drips</v>
          </cell>
          <cell r="U39">
            <v>21</v>
          </cell>
          <cell r="X39">
            <v>1</v>
          </cell>
          <cell r="Y39">
            <v>2</v>
          </cell>
          <cell r="Z39">
            <v>1</v>
          </cell>
          <cell r="AA39">
            <v>4</v>
          </cell>
          <cell r="AB39">
            <v>11</v>
          </cell>
          <cell r="AC39">
            <v>2</v>
          </cell>
        </row>
        <row r="40">
          <cell r="A40">
            <v>0</v>
          </cell>
          <cell r="B40" t="str">
            <v>ALL VRTS</v>
          </cell>
          <cell r="H40" t="str">
            <v>B53</v>
          </cell>
          <cell r="I40" t="str">
            <v>B95</v>
          </cell>
          <cell r="K40" t="str">
            <v>V71</v>
          </cell>
          <cell r="M40">
            <v>0</v>
          </cell>
          <cell r="N40">
            <v>-1</v>
          </cell>
          <cell r="O40">
            <v>0</v>
          </cell>
          <cell r="P40" t="str">
            <v>ALL</v>
          </cell>
          <cell r="Q40">
            <v>2004</v>
          </cell>
          <cell r="R40" t="str">
            <v>DEARBORN PLANT BUILD</v>
          </cell>
          <cell r="S40" t="str">
            <v>P221/P397</v>
          </cell>
          <cell r="T40" t="str">
            <v>STEERING COLUMN</v>
          </cell>
          <cell r="U40">
            <v>20</v>
          </cell>
          <cell r="AA40">
            <v>1</v>
          </cell>
          <cell r="AB40">
            <v>17</v>
          </cell>
          <cell r="AC40">
            <v>2</v>
          </cell>
        </row>
        <row r="41">
          <cell r="A41">
            <v>0</v>
          </cell>
          <cell r="B41" t="str">
            <v>ALL VRTS</v>
          </cell>
          <cell r="D41" t="str">
            <v>5390</v>
          </cell>
          <cell r="F41" t="str">
            <v>TBE10-B</v>
          </cell>
          <cell r="G41" t="str">
            <v>TBE14-B</v>
          </cell>
          <cell r="H41" t="str">
            <v>L15</v>
          </cell>
          <cell r="I41" t="str">
            <v>L06</v>
          </cell>
          <cell r="J41" t="str">
            <v>L23</v>
          </cell>
          <cell r="K41" t="str">
            <v>V07</v>
          </cell>
          <cell r="M41">
            <v>0</v>
          </cell>
          <cell r="N41">
            <v>0</v>
          </cell>
          <cell r="O41">
            <v>-1</v>
          </cell>
          <cell r="P41" t="str">
            <v>ALL</v>
          </cell>
          <cell r="Q41">
            <v>2004</v>
          </cell>
          <cell r="R41" t="str">
            <v>DEARBORN PLANT BUILD</v>
          </cell>
          <cell r="S41" t="str">
            <v>P221/P397</v>
          </cell>
          <cell r="T41" t="str">
            <v>TAIL GATE FUNCTION</v>
          </cell>
          <cell r="U41">
            <v>20</v>
          </cell>
          <cell r="X41">
            <v>2</v>
          </cell>
          <cell r="Y41">
            <v>2</v>
          </cell>
          <cell r="Z41">
            <v>5</v>
          </cell>
          <cell r="AA41">
            <v>4</v>
          </cell>
          <cell r="AB41">
            <v>5</v>
          </cell>
          <cell r="AC41">
            <v>2</v>
          </cell>
        </row>
        <row r="42">
          <cell r="A42">
            <v>0</v>
          </cell>
          <cell r="B42" t="str">
            <v>ALL VRTS</v>
          </cell>
          <cell r="H42" t="str">
            <v>F12</v>
          </cell>
          <cell r="I42" t="str">
            <v>F10</v>
          </cell>
          <cell r="J42" t="str">
            <v>F30</v>
          </cell>
          <cell r="K42" t="str">
            <v>V33</v>
          </cell>
          <cell r="M42">
            <v>0</v>
          </cell>
          <cell r="N42">
            <v>0</v>
          </cell>
          <cell r="O42">
            <v>-1</v>
          </cell>
          <cell r="P42" t="str">
            <v>ALL</v>
          </cell>
          <cell r="Q42">
            <v>2004</v>
          </cell>
          <cell r="R42" t="str">
            <v>DEARBORN PLANT BUILD</v>
          </cell>
          <cell r="S42" t="str">
            <v>P221/P397</v>
          </cell>
          <cell r="T42" t="str">
            <v>Poor Repair</v>
          </cell>
          <cell r="U42">
            <v>19</v>
          </cell>
          <cell r="Y42">
            <v>3</v>
          </cell>
          <cell r="Z42">
            <v>3</v>
          </cell>
          <cell r="AA42">
            <v>6</v>
          </cell>
          <cell r="AB42">
            <v>4</v>
          </cell>
          <cell r="AC42">
            <v>3</v>
          </cell>
        </row>
        <row r="43">
          <cell r="A43">
            <v>0</v>
          </cell>
          <cell r="B43" t="str">
            <v>ALL VRTS</v>
          </cell>
          <cell r="H43" t="str">
            <v>F05</v>
          </cell>
          <cell r="I43" t="str">
            <v>F30</v>
          </cell>
          <cell r="J43" t="str">
            <v>F04</v>
          </cell>
          <cell r="K43" t="str">
            <v>V33</v>
          </cell>
          <cell r="M43">
            <v>0</v>
          </cell>
          <cell r="N43">
            <v>0</v>
          </cell>
          <cell r="O43">
            <v>-1</v>
          </cell>
          <cell r="P43" t="str">
            <v>ALL</v>
          </cell>
          <cell r="Q43">
            <v>2004</v>
          </cell>
          <cell r="R43" t="str">
            <v>DEARBORN PLANT BUILD</v>
          </cell>
          <cell r="S43" t="str">
            <v>P221/P397</v>
          </cell>
          <cell r="T43" t="str">
            <v>Poor Spot Repar</v>
          </cell>
          <cell r="U43">
            <v>19</v>
          </cell>
          <cell r="X43">
            <v>2</v>
          </cell>
          <cell r="Y43">
            <v>1</v>
          </cell>
          <cell r="Z43">
            <v>3</v>
          </cell>
          <cell r="AA43">
            <v>1</v>
          </cell>
          <cell r="AB43">
            <v>11</v>
          </cell>
          <cell r="AC43">
            <v>1</v>
          </cell>
        </row>
        <row r="44">
          <cell r="A44">
            <v>0</v>
          </cell>
          <cell r="B44" t="str">
            <v>ALL VRTS</v>
          </cell>
          <cell r="C44" t="str">
            <v>X</v>
          </cell>
          <cell r="H44" t="str">
            <v>TA3</v>
          </cell>
          <cell r="I44" t="str">
            <v>TB3</v>
          </cell>
          <cell r="J44" t="str">
            <v>TC8</v>
          </cell>
          <cell r="K44" t="str">
            <v>V88</v>
          </cell>
          <cell r="M44">
            <v>0</v>
          </cell>
          <cell r="N44">
            <v>-1</v>
          </cell>
          <cell r="O44">
            <v>0</v>
          </cell>
          <cell r="P44" t="str">
            <v>ALL</v>
          </cell>
          <cell r="Q44">
            <v>2004</v>
          </cell>
          <cell r="R44" t="str">
            <v>DEARBORN PLANT BUILD</v>
          </cell>
          <cell r="S44" t="str">
            <v>P221/P397</v>
          </cell>
          <cell r="T44" t="str">
            <v>TIRES, DEFECTIVE</v>
          </cell>
          <cell r="U44">
            <v>19</v>
          </cell>
          <cell r="X44">
            <v>6</v>
          </cell>
          <cell r="Y44">
            <v>2</v>
          </cell>
          <cell r="Z44">
            <v>4</v>
          </cell>
          <cell r="AA44">
            <v>1</v>
          </cell>
          <cell r="AB44">
            <v>5</v>
          </cell>
          <cell r="AC44">
            <v>1</v>
          </cell>
        </row>
        <row r="45">
          <cell r="A45">
            <v>0</v>
          </cell>
          <cell r="B45" t="str">
            <v>ALL VRTS</v>
          </cell>
          <cell r="D45" t="str">
            <v>unsure</v>
          </cell>
          <cell r="F45" t="str">
            <v>TDW28R</v>
          </cell>
          <cell r="G45" t="str">
            <v>TDE27L</v>
          </cell>
          <cell r="H45" t="str">
            <v>N40</v>
          </cell>
          <cell r="I45" t="str">
            <v>G09</v>
          </cell>
          <cell r="J45" t="str">
            <v>N59</v>
          </cell>
          <cell r="K45" t="str">
            <v>V39</v>
          </cell>
          <cell r="M45">
            <v>0</v>
          </cell>
          <cell r="N45">
            <v>0</v>
          </cell>
          <cell r="O45">
            <v>-1</v>
          </cell>
          <cell r="P45" t="str">
            <v>ALL</v>
          </cell>
          <cell r="Q45">
            <v>2004</v>
          </cell>
          <cell r="R45" t="str">
            <v>DEARBORN PLANT BUILD</v>
          </cell>
          <cell r="S45" t="str">
            <v>P221/P397</v>
          </cell>
          <cell r="T45" t="str">
            <v>Front Side Door Squeak/Rattle</v>
          </cell>
          <cell r="U45">
            <v>18</v>
          </cell>
          <cell r="X45">
            <v>2</v>
          </cell>
          <cell r="Z45">
            <v>2</v>
          </cell>
          <cell r="AA45">
            <v>2</v>
          </cell>
          <cell r="AB45">
            <v>6</v>
          </cell>
          <cell r="AC45">
            <v>6</v>
          </cell>
        </row>
        <row r="46">
          <cell r="A46">
            <v>0</v>
          </cell>
          <cell r="B46" t="str">
            <v>ALL VRTS</v>
          </cell>
          <cell r="D46" t="str">
            <v>6360</v>
          </cell>
          <cell r="E46" t="str">
            <v>6340</v>
          </cell>
          <cell r="F46" t="str">
            <v>CEW44R</v>
          </cell>
          <cell r="G46" t="str">
            <v>CEW06R</v>
          </cell>
          <cell r="H46" t="str">
            <v>E42</v>
          </cell>
          <cell r="I46" t="str">
            <v>E41</v>
          </cell>
          <cell r="K46" t="str">
            <v>V44</v>
          </cell>
          <cell r="M46">
            <v>0</v>
          </cell>
          <cell r="N46">
            <v>0</v>
          </cell>
          <cell r="O46">
            <v>-1</v>
          </cell>
          <cell r="P46" t="str">
            <v>ALL</v>
          </cell>
          <cell r="Q46">
            <v>2004</v>
          </cell>
          <cell r="R46" t="str">
            <v>DEARBORN PLANT BUILD</v>
          </cell>
          <cell r="S46" t="str">
            <v>P221/P397</v>
          </cell>
          <cell r="T46" t="str">
            <v xml:space="preserve"> EXHAUST NOISE</v>
          </cell>
          <cell r="U46">
            <v>17</v>
          </cell>
          <cell r="Z46">
            <v>5</v>
          </cell>
          <cell r="AA46">
            <v>2</v>
          </cell>
          <cell r="AB46">
            <v>6</v>
          </cell>
          <cell r="AC46">
            <v>4</v>
          </cell>
        </row>
        <row r="47">
          <cell r="A47">
            <v>0</v>
          </cell>
          <cell r="B47" t="str">
            <v>ALL VRTS</v>
          </cell>
          <cell r="D47" t="str">
            <v>5310</v>
          </cell>
          <cell r="F47" t="str">
            <v>TDW48R</v>
          </cell>
          <cell r="G47" t="str">
            <v>TDW48R/TDE47L</v>
          </cell>
          <cell r="H47" t="str">
            <v>B43</v>
          </cell>
          <cell r="I47" t="str">
            <v>B44</v>
          </cell>
          <cell r="J47" t="str">
            <v>B45</v>
          </cell>
          <cell r="K47" t="str">
            <v>V73</v>
          </cell>
          <cell r="M47">
            <v>0</v>
          </cell>
          <cell r="N47">
            <v>0</v>
          </cell>
          <cell r="O47">
            <v>-1</v>
          </cell>
          <cell r="P47" t="str">
            <v>ALL</v>
          </cell>
          <cell r="Q47">
            <v>2004</v>
          </cell>
          <cell r="R47" t="str">
            <v>DEARBORN PLANT BUILD</v>
          </cell>
          <cell r="S47" t="str">
            <v>P221/P397</v>
          </cell>
          <cell r="T47" t="str">
            <v>DOOR PANEL</v>
          </cell>
          <cell r="U47">
            <v>17</v>
          </cell>
          <cell r="X47">
            <v>1</v>
          </cell>
          <cell r="Y47">
            <v>1</v>
          </cell>
          <cell r="Z47">
            <v>4</v>
          </cell>
          <cell r="AA47">
            <v>6</v>
          </cell>
          <cell r="AB47">
            <v>4</v>
          </cell>
          <cell r="AC47">
            <v>1</v>
          </cell>
        </row>
        <row r="48">
          <cell r="A48">
            <v>0</v>
          </cell>
          <cell r="B48" t="str">
            <v>ALL VRTS</v>
          </cell>
          <cell r="D48" t="str">
            <v>6490</v>
          </cell>
          <cell r="F48" t="str">
            <v>C4W09L</v>
          </cell>
          <cell r="G48" t="str">
            <v>C4E7L / C4W8R</v>
          </cell>
          <cell r="H48" t="str">
            <v>T53</v>
          </cell>
          <cell r="I48" t="str">
            <v>B75</v>
          </cell>
          <cell r="J48" t="str">
            <v>B74</v>
          </cell>
          <cell r="K48" t="str">
            <v>V74</v>
          </cell>
          <cell r="M48">
            <v>0</v>
          </cell>
          <cell r="N48">
            <v>0</v>
          </cell>
          <cell r="O48">
            <v>-1</v>
          </cell>
          <cell r="P48" t="str">
            <v>ALL</v>
          </cell>
          <cell r="Q48">
            <v>2004</v>
          </cell>
          <cell r="R48" t="str">
            <v>DEARBORN PLANT BUILD</v>
          </cell>
          <cell r="S48" t="str">
            <v>P221/P397</v>
          </cell>
          <cell r="T48" t="str">
            <v>SILL PLATES</v>
          </cell>
          <cell r="U48">
            <v>17</v>
          </cell>
          <cell r="X48">
            <v>1</v>
          </cell>
          <cell r="Y48">
            <v>1</v>
          </cell>
          <cell r="Z48">
            <v>4</v>
          </cell>
          <cell r="AA48">
            <v>1</v>
          </cell>
          <cell r="AB48">
            <v>10</v>
          </cell>
        </row>
        <row r="49">
          <cell r="A49">
            <v>0</v>
          </cell>
          <cell r="B49" t="str">
            <v>ALL VRTS</v>
          </cell>
          <cell r="D49" t="str">
            <v>5380</v>
          </cell>
          <cell r="F49" t="str">
            <v>TDW54R</v>
          </cell>
          <cell r="H49" t="str">
            <v>A99</v>
          </cell>
          <cell r="K49" t="str">
            <v>V99</v>
          </cell>
          <cell r="M49">
            <v>0</v>
          </cell>
          <cell r="N49">
            <v>-1</v>
          </cell>
          <cell r="O49">
            <v>0</v>
          </cell>
          <cell r="P49" t="str">
            <v>ALL</v>
          </cell>
          <cell r="Q49">
            <v>2004</v>
          </cell>
          <cell r="R49" t="str">
            <v>DEARBORN PLANT BUILD</v>
          </cell>
          <cell r="S49" t="str">
            <v>P221/P397</v>
          </cell>
          <cell r="T49" t="str">
            <v>Invalid Claim</v>
          </cell>
          <cell r="U49">
            <v>16</v>
          </cell>
          <cell r="X49">
            <v>3</v>
          </cell>
          <cell r="AA49">
            <v>2</v>
          </cell>
          <cell r="AB49">
            <v>8</v>
          </cell>
          <cell r="AC49">
            <v>3</v>
          </cell>
        </row>
        <row r="50">
          <cell r="A50">
            <v>0</v>
          </cell>
          <cell r="B50" t="str">
            <v>ALL VRTS</v>
          </cell>
          <cell r="D50" t="str">
            <v>unsure</v>
          </cell>
          <cell r="F50" t="str">
            <v>T2E18R</v>
          </cell>
          <cell r="H50" t="str">
            <v>R04</v>
          </cell>
          <cell r="I50" t="str">
            <v>R10</v>
          </cell>
          <cell r="J50" t="str">
            <v>R02</v>
          </cell>
          <cell r="K50" t="str">
            <v>V37</v>
          </cell>
          <cell r="M50">
            <v>0</v>
          </cell>
          <cell r="N50">
            <v>-1</v>
          </cell>
          <cell r="O50">
            <v>0</v>
          </cell>
          <cell r="P50" t="str">
            <v>ALL</v>
          </cell>
          <cell r="Q50">
            <v>2004</v>
          </cell>
          <cell r="R50" t="str">
            <v>DEARBORN PLANT BUILD</v>
          </cell>
          <cell r="S50" t="str">
            <v>P221/P397</v>
          </cell>
          <cell r="T50" t="str">
            <v>Water Leak Around Back Window</v>
          </cell>
          <cell r="U50">
            <v>16</v>
          </cell>
          <cell r="X50">
            <v>3</v>
          </cell>
          <cell r="Y50">
            <v>1</v>
          </cell>
          <cell r="Z50">
            <v>1</v>
          </cell>
          <cell r="AA50">
            <v>1</v>
          </cell>
          <cell r="AB50">
            <v>9</v>
          </cell>
          <cell r="AC50">
            <v>1</v>
          </cell>
        </row>
        <row r="51">
          <cell r="A51">
            <v>0</v>
          </cell>
          <cell r="B51" t="str">
            <v>ALL VRTS</v>
          </cell>
          <cell r="H51" t="str">
            <v>C27</v>
          </cell>
          <cell r="I51" t="str">
            <v>A85</v>
          </cell>
          <cell r="J51" t="str">
            <v>A88</v>
          </cell>
          <cell r="K51" t="str">
            <v>V19</v>
          </cell>
          <cell r="M51">
            <v>0</v>
          </cell>
          <cell r="N51">
            <v>-1</v>
          </cell>
          <cell r="O51">
            <v>-1</v>
          </cell>
          <cell r="P51" t="str">
            <v>ALL</v>
          </cell>
          <cell r="Q51">
            <v>2004</v>
          </cell>
          <cell r="R51" t="str">
            <v>DEARBORN PLANT BUILD</v>
          </cell>
          <cell r="S51" t="str">
            <v>P221/P397</v>
          </cell>
          <cell r="T51" t="str">
            <v>Windows Inop</v>
          </cell>
          <cell r="U51">
            <v>16</v>
          </cell>
          <cell r="Z51">
            <v>3</v>
          </cell>
          <cell r="AA51">
            <v>4</v>
          </cell>
          <cell r="AB51">
            <v>6</v>
          </cell>
          <cell r="AC51">
            <v>3</v>
          </cell>
        </row>
        <row r="52">
          <cell r="A52">
            <v>0</v>
          </cell>
          <cell r="B52" t="str">
            <v>ALL VRTS</v>
          </cell>
          <cell r="C52" t="str">
            <v>X</v>
          </cell>
          <cell r="D52" t="str">
            <v>7330</v>
          </cell>
          <cell r="F52" t="str">
            <v>M12</v>
          </cell>
          <cell r="H52" t="str">
            <v>H24</v>
          </cell>
          <cell r="I52" t="str">
            <v>H25</v>
          </cell>
          <cell r="J52" t="str">
            <v>H62</v>
          </cell>
          <cell r="K52" t="str">
            <v>V89</v>
          </cell>
          <cell r="M52">
            <v>0</v>
          </cell>
          <cell r="N52">
            <v>0</v>
          </cell>
          <cell r="O52">
            <v>-1</v>
          </cell>
          <cell r="P52" t="str">
            <v>ALL</v>
          </cell>
          <cell r="Q52">
            <v>2004</v>
          </cell>
          <cell r="R52" t="str">
            <v>DEARBORN PLANT BUILD</v>
          </cell>
          <cell r="S52" t="str">
            <v>P221/P397</v>
          </cell>
          <cell r="T52" t="str">
            <v>CLEAR VISION</v>
          </cell>
          <cell r="U52">
            <v>15</v>
          </cell>
          <cell r="Z52">
            <v>1</v>
          </cell>
          <cell r="AA52">
            <v>1</v>
          </cell>
          <cell r="AB52">
            <v>10</v>
          </cell>
          <cell r="AC52">
            <v>3</v>
          </cell>
        </row>
        <row r="53">
          <cell r="A53">
            <v>0</v>
          </cell>
          <cell r="B53" t="str">
            <v>ALL VRTS</v>
          </cell>
          <cell r="D53" t="str">
            <v>5360-2-A</v>
          </cell>
          <cell r="F53" t="str">
            <v>TDW40R</v>
          </cell>
          <cell r="H53" t="str">
            <v>A85</v>
          </cell>
          <cell r="I53" t="str">
            <v>A88</v>
          </cell>
          <cell r="K53" t="str">
            <v>V17</v>
          </cell>
          <cell r="L53" t="str">
            <v>V19</v>
          </cell>
          <cell r="M53">
            <v>0</v>
          </cell>
          <cell r="N53">
            <v>0</v>
          </cell>
          <cell r="O53">
            <v>-1</v>
          </cell>
          <cell r="P53" t="str">
            <v>ALL</v>
          </cell>
          <cell r="Q53">
            <v>2004</v>
          </cell>
          <cell r="R53" t="str">
            <v>DEARBORN PLANT BUILD</v>
          </cell>
          <cell r="S53" t="str">
            <v>P221/P397</v>
          </cell>
          <cell r="T53" t="str">
            <v>Mirror INOP</v>
          </cell>
          <cell r="U53">
            <v>15</v>
          </cell>
          <cell r="X53">
            <v>2</v>
          </cell>
          <cell r="Z53">
            <v>4</v>
          </cell>
          <cell r="AA53">
            <v>4</v>
          </cell>
          <cell r="AB53">
            <v>2</v>
          </cell>
          <cell r="AC53">
            <v>3</v>
          </cell>
        </row>
        <row r="54">
          <cell r="A54">
            <v>0</v>
          </cell>
          <cell r="B54" t="str">
            <v>ALL VRTS</v>
          </cell>
          <cell r="D54" t="str">
            <v>6500</v>
          </cell>
          <cell r="F54" t="str">
            <v>C4W22R</v>
          </cell>
          <cell r="H54" t="str">
            <v>K02</v>
          </cell>
          <cell r="I54" t="str">
            <v>K03</v>
          </cell>
          <cell r="J54" t="str">
            <v>L86</v>
          </cell>
          <cell r="K54" t="str">
            <v>V44</v>
          </cell>
          <cell r="M54">
            <v>0</v>
          </cell>
          <cell r="N54">
            <v>-1</v>
          </cell>
          <cell r="O54">
            <v>0</v>
          </cell>
          <cell r="P54" t="str">
            <v>ALL</v>
          </cell>
          <cell r="Q54">
            <v>2004</v>
          </cell>
          <cell r="R54" t="str">
            <v>DEARBORN PLANT BUILD</v>
          </cell>
          <cell r="S54" t="str">
            <v>P221/P397</v>
          </cell>
          <cell r="T54" t="str">
            <v>OTHER AXLE/TRANSFER CASE</v>
          </cell>
          <cell r="U54">
            <v>15</v>
          </cell>
          <cell r="W54">
            <v>1</v>
          </cell>
          <cell r="X54">
            <v>2</v>
          </cell>
          <cell r="Z54">
            <v>3</v>
          </cell>
          <cell r="AA54">
            <v>4</v>
          </cell>
          <cell r="AB54">
            <v>4</v>
          </cell>
          <cell r="AC54">
            <v>1</v>
          </cell>
        </row>
        <row r="55">
          <cell r="A55">
            <v>0</v>
          </cell>
          <cell r="B55" t="str">
            <v>ALL VRTS</v>
          </cell>
          <cell r="H55" t="str">
            <v>F13</v>
          </cell>
          <cell r="I55" t="str">
            <v>F12</v>
          </cell>
          <cell r="J55" t="str">
            <v>F30</v>
          </cell>
          <cell r="K55" t="str">
            <v>V33</v>
          </cell>
          <cell r="M55">
            <v>0</v>
          </cell>
          <cell r="N55">
            <v>0</v>
          </cell>
          <cell r="O55">
            <v>-1</v>
          </cell>
          <cell r="P55" t="str">
            <v>ALL</v>
          </cell>
          <cell r="Q55">
            <v>2004</v>
          </cell>
          <cell r="R55" t="str">
            <v>DEARBORN PLANT BUILD</v>
          </cell>
          <cell r="S55" t="str">
            <v>P221/P397</v>
          </cell>
          <cell r="T55" t="str">
            <v>Polish Mark</v>
          </cell>
          <cell r="U55">
            <v>15</v>
          </cell>
          <cell r="X55">
            <v>1</v>
          </cell>
          <cell r="Y55">
            <v>2</v>
          </cell>
          <cell r="Z55">
            <v>3</v>
          </cell>
          <cell r="AA55">
            <v>2</v>
          </cell>
          <cell r="AB55">
            <v>5</v>
          </cell>
          <cell r="AC55">
            <v>2</v>
          </cell>
        </row>
        <row r="56">
          <cell r="A56">
            <v>0</v>
          </cell>
          <cell r="B56" t="str">
            <v>ALL VRTS</v>
          </cell>
          <cell r="H56" t="str">
            <v>L26</v>
          </cell>
          <cell r="I56" t="str">
            <v>L29</v>
          </cell>
          <cell r="J56" t="str">
            <v>G29</v>
          </cell>
          <cell r="K56" t="str">
            <v>V77</v>
          </cell>
          <cell r="M56">
            <v>0</v>
          </cell>
          <cell r="N56">
            <v>0</v>
          </cell>
          <cell r="O56">
            <v>-1</v>
          </cell>
          <cell r="P56" t="str">
            <v>ALL</v>
          </cell>
          <cell r="Q56">
            <v>2004</v>
          </cell>
          <cell r="R56" t="str">
            <v>DEARBORN PLANT BUILD</v>
          </cell>
          <cell r="S56" t="str">
            <v>P221/P397</v>
          </cell>
          <cell r="T56" t="str">
            <v>Brake Lite on in Cluster</v>
          </cell>
          <cell r="U56">
            <v>14</v>
          </cell>
          <cell r="X56">
            <v>1</v>
          </cell>
          <cell r="Y56">
            <v>2</v>
          </cell>
          <cell r="Z56">
            <v>1</v>
          </cell>
          <cell r="AA56">
            <v>1</v>
          </cell>
          <cell r="AB56">
            <v>7</v>
          </cell>
          <cell r="AC56">
            <v>2</v>
          </cell>
        </row>
        <row r="57">
          <cell r="A57">
            <v>0</v>
          </cell>
          <cell r="B57" t="str">
            <v>ALL VRTS</v>
          </cell>
          <cell r="H57" t="str">
            <v>A85</v>
          </cell>
          <cell r="I57" t="str">
            <v>C27</v>
          </cell>
          <cell r="J57" t="str">
            <v>A34</v>
          </cell>
          <cell r="K57" t="str">
            <v>V19</v>
          </cell>
          <cell r="L57" t="str">
            <v>V17</v>
          </cell>
          <cell r="M57">
            <v>0</v>
          </cell>
          <cell r="N57">
            <v>-1</v>
          </cell>
          <cell r="O57">
            <v>-1</v>
          </cell>
          <cell r="P57" t="str">
            <v>ALL</v>
          </cell>
          <cell r="Q57">
            <v>2004</v>
          </cell>
          <cell r="R57" t="str">
            <v>DEARBORN PLANT BUILD</v>
          </cell>
          <cell r="S57" t="str">
            <v>P221/P397</v>
          </cell>
          <cell r="T57" t="str">
            <v>Cruise Control INOP</v>
          </cell>
          <cell r="U57">
            <v>14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3</v>
          </cell>
          <cell r="AB57">
            <v>4</v>
          </cell>
          <cell r="AC57">
            <v>3</v>
          </cell>
        </row>
        <row r="58">
          <cell r="A58">
            <v>0</v>
          </cell>
          <cell r="B58" t="str">
            <v>ALL VRTS</v>
          </cell>
          <cell r="H58" t="str">
            <v>A88</v>
          </cell>
          <cell r="I58" t="str">
            <v>A85</v>
          </cell>
          <cell r="J58" t="str">
            <v>L29</v>
          </cell>
          <cell r="K58" t="str">
            <v>V17</v>
          </cell>
          <cell r="M58">
            <v>0</v>
          </cell>
          <cell r="N58">
            <v>0</v>
          </cell>
          <cell r="O58">
            <v>-1</v>
          </cell>
          <cell r="P58" t="str">
            <v>ALL</v>
          </cell>
          <cell r="Q58">
            <v>2004</v>
          </cell>
          <cell r="R58" t="str">
            <v>DEARBORN PLANT BUILD</v>
          </cell>
          <cell r="S58" t="str">
            <v>P221/P397</v>
          </cell>
          <cell r="T58" t="str">
            <v>Door Lock  INOP</v>
          </cell>
          <cell r="U58">
            <v>14</v>
          </cell>
          <cell r="W58">
            <v>1</v>
          </cell>
          <cell r="X58">
            <v>6</v>
          </cell>
          <cell r="Y58">
            <v>2</v>
          </cell>
          <cell r="Z58">
            <v>4</v>
          </cell>
          <cell r="AB58">
            <v>1</v>
          </cell>
        </row>
        <row r="59">
          <cell r="A59">
            <v>0</v>
          </cell>
          <cell r="B59" t="str">
            <v>ALL VRTS</v>
          </cell>
          <cell r="H59" t="str">
            <v>A34</v>
          </cell>
          <cell r="K59" t="str">
            <v>V83</v>
          </cell>
          <cell r="M59">
            <v>0</v>
          </cell>
          <cell r="N59">
            <v>-1</v>
          </cell>
          <cell r="O59">
            <v>-1</v>
          </cell>
          <cell r="P59" t="str">
            <v>ALL</v>
          </cell>
          <cell r="Q59">
            <v>2004</v>
          </cell>
          <cell r="R59" t="str">
            <v>DEARBORN PLANT BUILD</v>
          </cell>
          <cell r="S59" t="str">
            <v>P221/P397</v>
          </cell>
          <cell r="T59" t="str">
            <v>Horn INOP.</v>
          </cell>
          <cell r="U59">
            <v>13</v>
          </cell>
          <cell r="W59">
            <v>1</v>
          </cell>
          <cell r="X59">
            <v>1</v>
          </cell>
          <cell r="Z59">
            <v>1</v>
          </cell>
          <cell r="AB59">
            <v>6</v>
          </cell>
          <cell r="AC59">
            <v>4</v>
          </cell>
        </row>
        <row r="60">
          <cell r="A60">
            <v>0</v>
          </cell>
          <cell r="B60" t="str">
            <v>ALL VRTS</v>
          </cell>
          <cell r="D60" t="str">
            <v>34602C</v>
          </cell>
          <cell r="F60" t="str">
            <v>Final Fitters</v>
          </cell>
          <cell r="H60" t="str">
            <v>B02</v>
          </cell>
          <cell r="I60" t="str">
            <v>B15</v>
          </cell>
          <cell r="J60" t="str">
            <v>B19</v>
          </cell>
          <cell r="K60" t="str">
            <v>V31</v>
          </cell>
          <cell r="M60">
            <v>0</v>
          </cell>
          <cell r="N60">
            <v>0</v>
          </cell>
          <cell r="O60">
            <v>-1</v>
          </cell>
          <cell r="P60" t="str">
            <v>ALL</v>
          </cell>
          <cell r="Q60">
            <v>2004</v>
          </cell>
          <cell r="R60" t="str">
            <v>DEARBORN PLANT BUILD</v>
          </cell>
          <cell r="S60" t="str">
            <v>P221/P397</v>
          </cell>
          <cell r="T60" t="str">
            <v>SC Door - Fit - Effort- LH Front</v>
          </cell>
          <cell r="U60">
            <v>13</v>
          </cell>
          <cell r="X60">
            <v>2</v>
          </cell>
          <cell r="AB60">
            <v>10</v>
          </cell>
          <cell r="AC60">
            <v>1</v>
          </cell>
        </row>
        <row r="61">
          <cell r="A61">
            <v>0</v>
          </cell>
          <cell r="B61" t="str">
            <v>ALL VRTS</v>
          </cell>
          <cell r="H61" t="str">
            <v>F19</v>
          </cell>
          <cell r="I61" t="str">
            <v>F04</v>
          </cell>
          <cell r="J61" t="str">
            <v>F06</v>
          </cell>
          <cell r="K61" t="str">
            <v>V33</v>
          </cell>
          <cell r="M61">
            <v>0</v>
          </cell>
          <cell r="N61">
            <v>0</v>
          </cell>
          <cell r="O61">
            <v>-1</v>
          </cell>
          <cell r="P61" t="str">
            <v>ALL</v>
          </cell>
          <cell r="Q61">
            <v>2004</v>
          </cell>
          <cell r="R61" t="str">
            <v>DEARBORN PLANT BUILD</v>
          </cell>
          <cell r="S61" t="str">
            <v>P221/P397</v>
          </cell>
          <cell r="T61" t="str">
            <v>Scratch</v>
          </cell>
          <cell r="U61">
            <v>13</v>
          </cell>
          <cell r="Z61">
            <v>2</v>
          </cell>
          <cell r="AA61">
            <v>4</v>
          </cell>
          <cell r="AB61">
            <v>5</v>
          </cell>
          <cell r="AC61">
            <v>2</v>
          </cell>
        </row>
        <row r="62">
          <cell r="A62">
            <v>0</v>
          </cell>
          <cell r="B62" t="str">
            <v>ALL VRTS</v>
          </cell>
          <cell r="H62" t="str">
            <v>F04</v>
          </cell>
          <cell r="K62" t="str">
            <v>V33</v>
          </cell>
          <cell r="M62">
            <v>0</v>
          </cell>
          <cell r="N62">
            <v>0</v>
          </cell>
          <cell r="O62">
            <v>-1</v>
          </cell>
          <cell r="P62" t="str">
            <v>ALL</v>
          </cell>
          <cell r="Q62">
            <v>2004</v>
          </cell>
          <cell r="R62" t="str">
            <v>DEARBORN PLANT BUILD</v>
          </cell>
          <cell r="S62" t="str">
            <v>P221/P397</v>
          </cell>
          <cell r="T62" t="str">
            <v>Thin/No Paint</v>
          </cell>
          <cell r="U62">
            <v>13</v>
          </cell>
          <cell r="X62">
            <v>1</v>
          </cell>
          <cell r="Z62">
            <v>3</v>
          </cell>
          <cell r="AA62">
            <v>4</v>
          </cell>
          <cell r="AB62">
            <v>3</v>
          </cell>
          <cell r="AC62">
            <v>2</v>
          </cell>
        </row>
        <row r="63">
          <cell r="A63">
            <v>0</v>
          </cell>
          <cell r="B63" t="str">
            <v>ALL VRTS</v>
          </cell>
          <cell r="D63" t="str">
            <v>34602C</v>
          </cell>
          <cell r="E63" t="str">
            <v>34502C</v>
          </cell>
          <cell r="F63" t="str">
            <v>Final Fitters</v>
          </cell>
          <cell r="G63" t="str">
            <v>Metal Finishers</v>
          </cell>
          <cell r="H63" t="str">
            <v>B15</v>
          </cell>
          <cell r="I63" t="str">
            <v>B02</v>
          </cell>
          <cell r="J63" t="str">
            <v>B05</v>
          </cell>
          <cell r="K63" t="str">
            <v>V31</v>
          </cell>
          <cell r="M63">
            <v>0</v>
          </cell>
          <cell r="N63">
            <v>0</v>
          </cell>
          <cell r="O63">
            <v>-1</v>
          </cell>
          <cell r="P63" t="str">
            <v>ALL</v>
          </cell>
          <cell r="Q63">
            <v>2004</v>
          </cell>
          <cell r="R63" t="str">
            <v>DEARBORN PLANT BUILD</v>
          </cell>
          <cell r="S63" t="str">
            <v>P221/P397</v>
          </cell>
          <cell r="T63" t="str">
            <v xml:space="preserve"> SC Door- Fit- Effort - RH Front</v>
          </cell>
          <cell r="U63">
            <v>12</v>
          </cell>
          <cell r="Y63">
            <v>1</v>
          </cell>
          <cell r="Z63">
            <v>1</v>
          </cell>
          <cell r="AA63">
            <v>2</v>
          </cell>
          <cell r="AB63">
            <v>6</v>
          </cell>
          <cell r="AC63">
            <v>2</v>
          </cell>
        </row>
        <row r="64">
          <cell r="A64">
            <v>0</v>
          </cell>
          <cell r="B64" t="str">
            <v>ALL VRTS</v>
          </cell>
          <cell r="D64" t="str">
            <v>6570</v>
          </cell>
          <cell r="F64" t="str">
            <v>C7W09L</v>
          </cell>
          <cell r="H64" t="str">
            <v>P59</v>
          </cell>
          <cell r="K64" t="str">
            <v>V48</v>
          </cell>
          <cell r="M64">
            <v>0</v>
          </cell>
          <cell r="N64">
            <v>0</v>
          </cell>
          <cell r="O64">
            <v>-1</v>
          </cell>
          <cell r="P64" t="str">
            <v>ALL</v>
          </cell>
          <cell r="Q64">
            <v>2004</v>
          </cell>
          <cell r="R64" t="str">
            <v>DEARBORN PLANT BUILD</v>
          </cell>
          <cell r="S64" t="str">
            <v>P221/P397</v>
          </cell>
          <cell r="T64" t="str">
            <v>INSUFFICIENT TRANSFLUID</v>
          </cell>
          <cell r="U64">
            <v>12</v>
          </cell>
          <cell r="X64">
            <v>2</v>
          </cell>
          <cell r="AA64">
            <v>5</v>
          </cell>
          <cell r="AB64">
            <v>2</v>
          </cell>
          <cell r="AC64">
            <v>3</v>
          </cell>
        </row>
        <row r="65">
          <cell r="A65">
            <v>0</v>
          </cell>
          <cell r="B65" t="str">
            <v>ALL VRTS</v>
          </cell>
          <cell r="D65" t="str">
            <v>unsure</v>
          </cell>
          <cell r="F65" t="str">
            <v>Paint</v>
          </cell>
          <cell r="H65" t="str">
            <v>R10</v>
          </cell>
          <cell r="I65" t="str">
            <v>R02</v>
          </cell>
          <cell r="J65" t="str">
            <v>R01</v>
          </cell>
          <cell r="K65" t="str">
            <v>V37</v>
          </cell>
          <cell r="M65">
            <v>0</v>
          </cell>
          <cell r="N65">
            <v>0</v>
          </cell>
          <cell r="O65">
            <v>-1</v>
          </cell>
          <cell r="P65" t="str">
            <v>ALL</v>
          </cell>
          <cell r="Q65">
            <v>2004</v>
          </cell>
          <cell r="R65" t="str">
            <v>DEARBORN PLANT BUILD</v>
          </cell>
          <cell r="S65" t="str">
            <v>P221/P397</v>
          </cell>
          <cell r="T65" t="str">
            <v>Other Water Leaks (Sealing Only)</v>
          </cell>
          <cell r="U65">
            <v>12</v>
          </cell>
          <cell r="Z65">
            <v>1</v>
          </cell>
          <cell r="AA65">
            <v>2</v>
          </cell>
          <cell r="AB65">
            <v>3</v>
          </cell>
          <cell r="AC65">
            <v>6</v>
          </cell>
        </row>
        <row r="66">
          <cell r="A66">
            <v>0</v>
          </cell>
          <cell r="B66" t="str">
            <v>ALL VRTS</v>
          </cell>
          <cell r="D66" t="str">
            <v xml:space="preserve"> door line 5360-2-A</v>
          </cell>
          <cell r="F66" t="str">
            <v>TDE37L</v>
          </cell>
          <cell r="H66" t="str">
            <v>M05</v>
          </cell>
          <cell r="I66" t="str">
            <v>M10</v>
          </cell>
          <cell r="K66" t="str">
            <v>V13</v>
          </cell>
          <cell r="M66">
            <v>0</v>
          </cell>
          <cell r="N66">
            <v>-1</v>
          </cell>
          <cell r="O66">
            <v>0</v>
          </cell>
          <cell r="P66" t="str">
            <v>ALL</v>
          </cell>
          <cell r="Q66">
            <v>2004</v>
          </cell>
          <cell r="R66" t="str">
            <v>DEARBORN PLANT BUILD</v>
          </cell>
          <cell r="S66" t="str">
            <v>P221/P397</v>
          </cell>
          <cell r="T66" t="str">
            <v>POWER MIRROR  / INOP</v>
          </cell>
          <cell r="U66">
            <v>12</v>
          </cell>
          <cell r="Z66">
            <v>1</v>
          </cell>
          <cell r="AB66">
            <v>7</v>
          </cell>
          <cell r="AC66">
            <v>4</v>
          </cell>
        </row>
        <row r="67">
          <cell r="A67">
            <v>0</v>
          </cell>
          <cell r="B67" t="str">
            <v>ALL VRTS</v>
          </cell>
          <cell r="D67" t="str">
            <v>6500</v>
          </cell>
          <cell r="E67" t="str">
            <v>5530</v>
          </cell>
          <cell r="F67" t="str">
            <v>C4W22R</v>
          </cell>
          <cell r="G67" t="str">
            <v>C4E19L</v>
          </cell>
          <cell r="H67" t="str">
            <v>S40</v>
          </cell>
          <cell r="I67" t="str">
            <v>S25</v>
          </cell>
          <cell r="K67" t="str">
            <v>V05</v>
          </cell>
          <cell r="M67">
            <v>0</v>
          </cell>
          <cell r="N67">
            <v>0</v>
          </cell>
          <cell r="O67">
            <v>-1</v>
          </cell>
          <cell r="P67" t="str">
            <v>ALL</v>
          </cell>
          <cell r="Q67">
            <v>2004</v>
          </cell>
          <cell r="R67" t="str">
            <v>DEARBORN PLANT BUILD</v>
          </cell>
          <cell r="S67" t="str">
            <v>P221/P397</v>
          </cell>
          <cell r="T67" t="str">
            <v>SEATBELT</v>
          </cell>
          <cell r="U67">
            <v>12</v>
          </cell>
          <cell r="Y67">
            <v>1</v>
          </cell>
          <cell r="AA67">
            <v>3</v>
          </cell>
          <cell r="AB67">
            <v>4</v>
          </cell>
          <cell r="AC67">
            <v>4</v>
          </cell>
        </row>
        <row r="68">
          <cell r="A68">
            <v>0</v>
          </cell>
          <cell r="B68" t="str">
            <v>ALL VRTS</v>
          </cell>
          <cell r="D68" t="str">
            <v>box Line 5410-2-B</v>
          </cell>
          <cell r="E68" t="str">
            <v>Trim 3 5560-2-F</v>
          </cell>
          <cell r="F68" t="str">
            <v>TBE38B</v>
          </cell>
          <cell r="G68" t="str">
            <v>T3E34R</v>
          </cell>
          <cell r="H68" t="str">
            <v>B66</v>
          </cell>
          <cell r="I68" t="str">
            <v>B62</v>
          </cell>
          <cell r="J68" t="str">
            <v>B63</v>
          </cell>
          <cell r="K68" t="str">
            <v>V75</v>
          </cell>
          <cell r="M68">
            <v>0</v>
          </cell>
          <cell r="N68">
            <v>0</v>
          </cell>
          <cell r="O68">
            <v>-1</v>
          </cell>
          <cell r="P68" t="str">
            <v>ALL</v>
          </cell>
          <cell r="Q68">
            <v>2004</v>
          </cell>
          <cell r="R68" t="str">
            <v>DEARBORN PLANT BUILD</v>
          </cell>
          <cell r="S68" t="str">
            <v>P221/P397</v>
          </cell>
          <cell r="T68" t="str">
            <v>WHEEL LIP MOLDING / MISMATCH</v>
          </cell>
          <cell r="U68">
            <v>12</v>
          </cell>
          <cell r="Z68">
            <v>2</v>
          </cell>
          <cell r="AA68">
            <v>6</v>
          </cell>
          <cell r="AB68">
            <v>3</v>
          </cell>
          <cell r="AC68">
            <v>1</v>
          </cell>
        </row>
        <row r="69">
          <cell r="A69">
            <v>0</v>
          </cell>
          <cell r="B69" t="str">
            <v>ALL VRTS</v>
          </cell>
          <cell r="D69" t="str">
            <v>6340</v>
          </cell>
          <cell r="F69" t="str">
            <v>CEW04R</v>
          </cell>
          <cell r="H69" t="str">
            <v>L65</v>
          </cell>
          <cell r="K69" t="str">
            <v>V44</v>
          </cell>
          <cell r="M69">
            <v>0</v>
          </cell>
          <cell r="N69">
            <v>-1</v>
          </cell>
          <cell r="O69">
            <v>0</v>
          </cell>
          <cell r="P69" t="str">
            <v>ALL</v>
          </cell>
          <cell r="Q69">
            <v>2004</v>
          </cell>
          <cell r="R69" t="str">
            <v>DEARBORN PLANT BUILD</v>
          </cell>
          <cell r="S69" t="str">
            <v>P221/P397</v>
          </cell>
          <cell r="T69" t="str">
            <v xml:space="preserve"> OIL LEAK</v>
          </cell>
          <cell r="U69">
            <v>11</v>
          </cell>
          <cell r="X69">
            <v>2</v>
          </cell>
          <cell r="Y69">
            <v>1</v>
          </cell>
          <cell r="Z69">
            <v>3</v>
          </cell>
          <cell r="AA69">
            <v>2</v>
          </cell>
          <cell r="AB69">
            <v>1</v>
          </cell>
          <cell r="AC69">
            <v>2</v>
          </cell>
        </row>
        <row r="70">
          <cell r="A70">
            <v>0</v>
          </cell>
          <cell r="B70" t="str">
            <v>ALL VRTS</v>
          </cell>
          <cell r="D70" t="str">
            <v>5550</v>
          </cell>
          <cell r="F70" t="str">
            <v>T3W25L</v>
          </cell>
          <cell r="G70" t="str">
            <v>T3E26R</v>
          </cell>
          <cell r="H70" t="str">
            <v>T55</v>
          </cell>
          <cell r="I70" t="str">
            <v>T53</v>
          </cell>
          <cell r="J70" t="str">
            <v>T90</v>
          </cell>
          <cell r="K70" t="str">
            <v>V74</v>
          </cell>
          <cell r="M70">
            <v>0</v>
          </cell>
          <cell r="N70">
            <v>-1</v>
          </cell>
          <cell r="O70">
            <v>0</v>
          </cell>
          <cell r="P70" t="str">
            <v>ALL</v>
          </cell>
          <cell r="Q70">
            <v>2004</v>
          </cell>
          <cell r="R70" t="str">
            <v>DEARBORN PLANT BUILD</v>
          </cell>
          <cell r="S70" t="str">
            <v>P221/P397</v>
          </cell>
          <cell r="T70" t="str">
            <v>A-PILLAR</v>
          </cell>
          <cell r="U70">
            <v>11</v>
          </cell>
          <cell r="W70">
            <v>1</v>
          </cell>
          <cell r="X70">
            <v>2</v>
          </cell>
          <cell r="Y70">
            <v>3</v>
          </cell>
          <cell r="Z70">
            <v>2</v>
          </cell>
          <cell r="AA70">
            <v>1</v>
          </cell>
          <cell r="AB70">
            <v>1</v>
          </cell>
          <cell r="AC70">
            <v>1</v>
          </cell>
        </row>
        <row r="71">
          <cell r="A71">
            <v>0</v>
          </cell>
          <cell r="B71" t="str">
            <v>ALL VRTS</v>
          </cell>
          <cell r="H71" t="str">
            <v>D36</v>
          </cell>
          <cell r="I71" t="str">
            <v>D41</v>
          </cell>
          <cell r="K71" t="str">
            <v>V41</v>
          </cell>
          <cell r="M71">
            <v>-1</v>
          </cell>
          <cell r="N71">
            <v>-1</v>
          </cell>
          <cell r="O71">
            <v>0</v>
          </cell>
          <cell r="P71" t="str">
            <v>ALL</v>
          </cell>
          <cell r="Q71">
            <v>2004</v>
          </cell>
          <cell r="R71" t="str">
            <v>DEARBORN PLANT BUILD</v>
          </cell>
          <cell r="S71" t="str">
            <v>P221/P397</v>
          </cell>
          <cell r="T71" t="str">
            <v>ENGINE HESITATES</v>
          </cell>
          <cell r="U71">
            <v>11</v>
          </cell>
          <cell r="Z71">
            <v>2</v>
          </cell>
          <cell r="AA71">
            <v>2</v>
          </cell>
          <cell r="AB71">
            <v>4</v>
          </cell>
          <cell r="AC71">
            <v>3</v>
          </cell>
        </row>
        <row r="72">
          <cell r="A72">
            <v>0</v>
          </cell>
          <cell r="B72" t="str">
            <v>ALL VRTS</v>
          </cell>
          <cell r="D72" t="str">
            <v>Trim 4 5580-2-G</v>
          </cell>
          <cell r="E72" t="str">
            <v>Trim 4 5590-2-G</v>
          </cell>
          <cell r="F72" t="str">
            <v>T4W012R</v>
          </cell>
          <cell r="G72" t="str">
            <v>T4W14 L</v>
          </cell>
          <cell r="H72" t="str">
            <v>B63</v>
          </cell>
          <cell r="I72" t="str">
            <v>B66</v>
          </cell>
          <cell r="J72" t="str">
            <v>B64</v>
          </cell>
          <cell r="K72" t="str">
            <v>V75</v>
          </cell>
          <cell r="M72">
            <v>0</v>
          </cell>
          <cell r="N72">
            <v>0</v>
          </cell>
          <cell r="O72">
            <v>-1</v>
          </cell>
          <cell r="P72" t="str">
            <v>ALL</v>
          </cell>
          <cell r="Q72">
            <v>2004</v>
          </cell>
          <cell r="R72" t="str">
            <v>DEARBORN PLANT BUILD</v>
          </cell>
          <cell r="S72" t="str">
            <v>P221/P397</v>
          </cell>
          <cell r="T72" t="str">
            <v>Roof Ditch Molding / Loose</v>
          </cell>
          <cell r="U72">
            <v>11</v>
          </cell>
          <cell r="Z72">
            <v>2</v>
          </cell>
          <cell r="AA72">
            <v>1</v>
          </cell>
          <cell r="AB72">
            <v>4</v>
          </cell>
          <cell r="AC72">
            <v>4</v>
          </cell>
        </row>
        <row r="73">
          <cell r="A73">
            <v>0</v>
          </cell>
          <cell r="B73" t="str">
            <v>ALL VRTS</v>
          </cell>
          <cell r="C73" t="str">
            <v>X</v>
          </cell>
          <cell r="D73" t="str">
            <v>6360</v>
          </cell>
          <cell r="E73" t="str">
            <v>6450</v>
          </cell>
          <cell r="F73" t="str">
            <v>CEE37L</v>
          </cell>
          <cell r="G73" t="str">
            <v>C2E41F</v>
          </cell>
          <cell r="H73" t="str">
            <v>L68</v>
          </cell>
          <cell r="I73" t="str">
            <v>H22</v>
          </cell>
          <cell r="K73" t="str">
            <v>V87</v>
          </cell>
          <cell r="M73">
            <v>0</v>
          </cell>
          <cell r="N73">
            <v>-1</v>
          </cell>
          <cell r="O73">
            <v>0</v>
          </cell>
          <cell r="P73" t="str">
            <v>ALL</v>
          </cell>
          <cell r="Q73">
            <v>2004</v>
          </cell>
          <cell r="R73" t="str">
            <v>DEARBORN PLANT BUILD</v>
          </cell>
          <cell r="S73" t="str">
            <v>P221/P397</v>
          </cell>
          <cell r="T73" t="str">
            <v>STEERING, LEAKS</v>
          </cell>
          <cell r="U73">
            <v>11</v>
          </cell>
          <cell r="Y73">
            <v>1</v>
          </cell>
          <cell r="Z73">
            <v>4</v>
          </cell>
          <cell r="AA73">
            <v>2</v>
          </cell>
          <cell r="AB73">
            <v>2</v>
          </cell>
          <cell r="AC73">
            <v>2</v>
          </cell>
        </row>
        <row r="74">
          <cell r="A74">
            <v>0</v>
          </cell>
          <cell r="B74" t="str">
            <v>ALL VRTS</v>
          </cell>
          <cell r="D74" t="str">
            <v>6500</v>
          </cell>
          <cell r="F74" t="str">
            <v>C4W20R</v>
          </cell>
          <cell r="H74" t="str">
            <v>S39</v>
          </cell>
          <cell r="I74" t="str">
            <v>S38</v>
          </cell>
          <cell r="K74" t="str">
            <v>V05</v>
          </cell>
          <cell r="M74">
            <v>0</v>
          </cell>
          <cell r="N74">
            <v>-1</v>
          </cell>
          <cell r="O74">
            <v>0</v>
          </cell>
          <cell r="P74" t="str">
            <v>ALL</v>
          </cell>
          <cell r="Q74">
            <v>2004</v>
          </cell>
          <cell r="R74" t="str">
            <v>DEARBORN PLANT BUILD</v>
          </cell>
          <cell r="S74" t="str">
            <v>P221/P397</v>
          </cell>
          <cell r="T74" t="str">
            <v>AIR BAG LIGHT ON</v>
          </cell>
          <cell r="U74">
            <v>10</v>
          </cell>
          <cell r="X74">
            <v>3</v>
          </cell>
          <cell r="Z74">
            <v>1</v>
          </cell>
          <cell r="AA74">
            <v>2</v>
          </cell>
          <cell r="AB74">
            <v>2</v>
          </cell>
          <cell r="AC74">
            <v>2</v>
          </cell>
        </row>
        <row r="75">
          <cell r="A75">
            <v>0</v>
          </cell>
          <cell r="B75" t="str">
            <v>ALL VRTS</v>
          </cell>
          <cell r="H75" t="str">
            <v>E69</v>
          </cell>
          <cell r="I75" t="str">
            <v>D50</v>
          </cell>
          <cell r="K75" t="str">
            <v>V44</v>
          </cell>
          <cell r="M75">
            <v>0</v>
          </cell>
          <cell r="N75">
            <v>-1</v>
          </cell>
          <cell r="O75">
            <v>0</v>
          </cell>
          <cell r="P75" t="str">
            <v>ALL</v>
          </cell>
          <cell r="Q75">
            <v>2004</v>
          </cell>
          <cell r="R75" t="str">
            <v>DEARBORN PLANT BUILD</v>
          </cell>
          <cell r="S75" t="str">
            <v>P221/P397</v>
          </cell>
          <cell r="T75" t="str">
            <v>ENGINE OIL LEVEL</v>
          </cell>
          <cell r="U75">
            <v>10</v>
          </cell>
          <cell r="W75">
            <v>1</v>
          </cell>
          <cell r="Z75">
            <v>2</v>
          </cell>
          <cell r="AA75">
            <v>1</v>
          </cell>
          <cell r="AB75">
            <v>2</v>
          </cell>
          <cell r="AC75">
            <v>4</v>
          </cell>
        </row>
        <row r="76">
          <cell r="A76">
            <v>0</v>
          </cell>
          <cell r="B76" t="str">
            <v>ALL VRTS</v>
          </cell>
          <cell r="H76" t="str">
            <v>L29</v>
          </cell>
          <cell r="I76" t="str">
            <v>L26</v>
          </cell>
          <cell r="J76" t="str">
            <v>L25</v>
          </cell>
          <cell r="K76" t="str">
            <v>V77</v>
          </cell>
          <cell r="M76">
            <v>0</v>
          </cell>
          <cell r="N76">
            <v>-1</v>
          </cell>
          <cell r="O76">
            <v>0</v>
          </cell>
          <cell r="P76" t="str">
            <v>ALL</v>
          </cell>
          <cell r="Q76">
            <v>2004</v>
          </cell>
          <cell r="R76" t="str">
            <v>DEARBORN PLANT BUILD</v>
          </cell>
          <cell r="S76" t="str">
            <v>P221/P397</v>
          </cell>
          <cell r="T76" t="str">
            <v>Fog Lights INOP</v>
          </cell>
          <cell r="U76">
            <v>10</v>
          </cell>
          <cell r="Y76">
            <v>1</v>
          </cell>
          <cell r="Z76">
            <v>3</v>
          </cell>
          <cell r="AA76">
            <v>1</v>
          </cell>
          <cell r="AB76">
            <v>1</v>
          </cell>
          <cell r="AC76">
            <v>4</v>
          </cell>
        </row>
        <row r="77">
          <cell r="A77">
            <v>0</v>
          </cell>
          <cell r="B77" t="str">
            <v>ALL VRTS</v>
          </cell>
          <cell r="C77" t="str">
            <v>X</v>
          </cell>
          <cell r="D77" t="str">
            <v>6480</v>
          </cell>
          <cell r="F77" t="str">
            <v>C4E11L</v>
          </cell>
          <cell r="H77" t="str">
            <v>H04</v>
          </cell>
          <cell r="I77" t="str">
            <v>H20</v>
          </cell>
          <cell r="J77" t="str">
            <v>H02</v>
          </cell>
          <cell r="K77" t="str">
            <v>V21</v>
          </cell>
          <cell r="M77">
            <v>0</v>
          </cell>
          <cell r="N77">
            <v>-1</v>
          </cell>
          <cell r="O77">
            <v>-1</v>
          </cell>
          <cell r="P77" t="str">
            <v>ALL</v>
          </cell>
          <cell r="Q77">
            <v>2004</v>
          </cell>
          <cell r="R77" t="str">
            <v>DEARBORN PLANT BUILD</v>
          </cell>
          <cell r="S77" t="str">
            <v>P221/P397</v>
          </cell>
          <cell r="T77" t="str">
            <v>PARK BRAKE, INOP.</v>
          </cell>
          <cell r="U77">
            <v>10</v>
          </cell>
          <cell r="Y77">
            <v>1</v>
          </cell>
          <cell r="Z77">
            <v>2</v>
          </cell>
          <cell r="AA77">
            <v>2</v>
          </cell>
          <cell r="AB77">
            <v>2</v>
          </cell>
          <cell r="AC77">
            <v>3</v>
          </cell>
        </row>
        <row r="78">
          <cell r="A78">
            <v>0</v>
          </cell>
          <cell r="B78" t="str">
            <v>ALL VRTS</v>
          </cell>
          <cell r="C78" t="str">
            <v>X</v>
          </cell>
          <cell r="D78" t="str">
            <v>6370</v>
          </cell>
          <cell r="E78" t="str">
            <v>6400</v>
          </cell>
          <cell r="F78" t="str">
            <v>C1E11F</v>
          </cell>
          <cell r="G78" t="str">
            <v>C1E13F - LOWER CONTROL ARM LOOSE (TL#1)</v>
          </cell>
          <cell r="H78" t="str">
            <v>N58</v>
          </cell>
          <cell r="I78" t="str">
            <v>C50</v>
          </cell>
          <cell r="J78" t="str">
            <v>E35</v>
          </cell>
          <cell r="K78" t="str">
            <v>V87</v>
          </cell>
          <cell r="L78" t="str">
            <v>V89</v>
          </cell>
          <cell r="M78">
            <v>0</v>
          </cell>
          <cell r="N78">
            <v>-1</v>
          </cell>
          <cell r="O78">
            <v>0</v>
          </cell>
          <cell r="P78" t="str">
            <v>ALL</v>
          </cell>
          <cell r="Q78">
            <v>2004</v>
          </cell>
          <cell r="R78" t="str">
            <v>DEARBORN PLANT BUILD</v>
          </cell>
          <cell r="S78" t="str">
            <v>P221/P397</v>
          </cell>
          <cell r="T78" t="str">
            <v>STEERING, NOISE</v>
          </cell>
          <cell r="U78">
            <v>10</v>
          </cell>
          <cell r="X78">
            <v>2</v>
          </cell>
          <cell r="AB78">
            <v>4</v>
          </cell>
          <cell r="AC78">
            <v>4</v>
          </cell>
        </row>
        <row r="79">
          <cell r="A79">
            <v>0</v>
          </cell>
          <cell r="B79" t="str">
            <v>ALL VRTS</v>
          </cell>
          <cell r="D79" t="str">
            <v>6520</v>
          </cell>
          <cell r="E79" t="str">
            <v>6540</v>
          </cell>
          <cell r="F79" t="str">
            <v>C5E05L</v>
          </cell>
          <cell r="G79" t="str">
            <v>C5E19L</v>
          </cell>
          <cell r="H79" t="str">
            <v>B91</v>
          </cell>
          <cell r="I79" t="str">
            <v>B92</v>
          </cell>
          <cell r="J79" t="str">
            <v>T50</v>
          </cell>
          <cell r="K79" t="str">
            <v>V71</v>
          </cell>
          <cell r="L79" t="str">
            <v>V74</v>
          </cell>
          <cell r="M79">
            <v>0</v>
          </cell>
          <cell r="N79">
            <v>-1</v>
          </cell>
          <cell r="O79">
            <v>-1</v>
          </cell>
          <cell r="P79" t="str">
            <v>ALL</v>
          </cell>
          <cell r="Q79">
            <v>2004</v>
          </cell>
          <cell r="R79" t="str">
            <v>DEARBORN PLANT BUILD</v>
          </cell>
          <cell r="S79" t="str">
            <v>P221/P397</v>
          </cell>
          <cell r="T79" t="str">
            <v>CENTER CONSOLE</v>
          </cell>
          <cell r="U79">
            <v>9</v>
          </cell>
          <cell r="Y79">
            <v>2</v>
          </cell>
          <cell r="AA79">
            <v>2</v>
          </cell>
          <cell r="AB79">
            <v>3</v>
          </cell>
          <cell r="AC79">
            <v>2</v>
          </cell>
        </row>
        <row r="80">
          <cell r="A80">
            <v>0</v>
          </cell>
          <cell r="B80" t="str">
            <v>ALL VRTS</v>
          </cell>
          <cell r="H80" t="str">
            <v>M05</v>
          </cell>
          <cell r="I80" t="str">
            <v>B66</v>
          </cell>
          <cell r="J80" t="str">
            <v>M10</v>
          </cell>
          <cell r="K80" t="str">
            <v>V13</v>
          </cell>
          <cell r="L80" t="str">
            <v>V75</v>
          </cell>
          <cell r="M80">
            <v>0</v>
          </cell>
          <cell r="N80">
            <v>-1</v>
          </cell>
          <cell r="O80">
            <v>0</v>
          </cell>
          <cell r="P80" t="str">
            <v>ALL</v>
          </cell>
          <cell r="Q80">
            <v>2004</v>
          </cell>
          <cell r="R80" t="str">
            <v>DEARBORN PLANT BUILD</v>
          </cell>
          <cell r="S80" t="str">
            <v>P221/P397</v>
          </cell>
          <cell r="T80" t="str">
            <v>Door Mirror/ defective</v>
          </cell>
          <cell r="U80">
            <v>9</v>
          </cell>
          <cell r="AA80">
            <v>3</v>
          </cell>
          <cell r="AB80">
            <v>4</v>
          </cell>
          <cell r="AC80">
            <v>2</v>
          </cell>
        </row>
        <row r="81">
          <cell r="A81">
            <v>0</v>
          </cell>
          <cell r="B81" t="str">
            <v>ALL VRTS</v>
          </cell>
          <cell r="H81" t="str">
            <v>A99</v>
          </cell>
          <cell r="K81" t="str">
            <v>V99</v>
          </cell>
          <cell r="M81">
            <v>0</v>
          </cell>
          <cell r="N81">
            <v>-1</v>
          </cell>
          <cell r="O81">
            <v>0</v>
          </cell>
          <cell r="P81" t="str">
            <v>ALL</v>
          </cell>
          <cell r="Q81">
            <v>2004</v>
          </cell>
          <cell r="R81" t="str">
            <v>DEARBORN PLANT BUILD</v>
          </cell>
          <cell r="S81" t="str">
            <v>P221/P397</v>
          </cell>
          <cell r="T81" t="str">
            <v>Transport damage</v>
          </cell>
          <cell r="U81">
            <v>9</v>
          </cell>
          <cell r="X81">
            <v>1</v>
          </cell>
          <cell r="Y81">
            <v>1</v>
          </cell>
          <cell r="AA81">
            <v>4</v>
          </cell>
          <cell r="AB81">
            <v>2</v>
          </cell>
          <cell r="AC81">
            <v>1</v>
          </cell>
        </row>
        <row r="82">
          <cell r="A82">
            <v>0</v>
          </cell>
          <cell r="B82" t="str">
            <v>ALL VRTS</v>
          </cell>
          <cell r="H82" t="str">
            <v>F19</v>
          </cell>
          <cell r="I82" t="str">
            <v>F04</v>
          </cell>
          <cell r="J82" t="str">
            <v>F06</v>
          </cell>
          <cell r="K82" t="str">
            <v>V33</v>
          </cell>
          <cell r="M82">
            <v>0</v>
          </cell>
          <cell r="N82">
            <v>0</v>
          </cell>
          <cell r="O82">
            <v>-1</v>
          </cell>
          <cell r="P82" t="str">
            <v>ALL</v>
          </cell>
          <cell r="Q82">
            <v>2004</v>
          </cell>
          <cell r="R82" t="str">
            <v>DEARBORN PLANT BUILD</v>
          </cell>
          <cell r="S82" t="str">
            <v>P221/P397</v>
          </cell>
          <cell r="T82" t="str">
            <v>Chipped Paint</v>
          </cell>
          <cell r="U82">
            <v>8</v>
          </cell>
          <cell r="Y82">
            <v>1</v>
          </cell>
          <cell r="Z82">
            <v>2</v>
          </cell>
          <cell r="AA82">
            <v>2</v>
          </cell>
          <cell r="AB82">
            <v>2</v>
          </cell>
          <cell r="AC82">
            <v>1</v>
          </cell>
        </row>
        <row r="83">
          <cell r="A83">
            <v>0</v>
          </cell>
          <cell r="B83" t="str">
            <v>ALL VRTS</v>
          </cell>
          <cell r="D83" t="str">
            <v>34502C</v>
          </cell>
          <cell r="F83" t="str">
            <v>Metal Finishers</v>
          </cell>
          <cell r="H83" t="str">
            <v>B01</v>
          </cell>
          <cell r="K83" t="str">
            <v>V31</v>
          </cell>
          <cell r="M83">
            <v>0</v>
          </cell>
          <cell r="N83">
            <v>0</v>
          </cell>
          <cell r="O83">
            <v>-1</v>
          </cell>
          <cell r="P83" t="str">
            <v>ALL</v>
          </cell>
          <cell r="Q83">
            <v>2004</v>
          </cell>
          <cell r="R83" t="str">
            <v>DEARBORN PLANT BUILD</v>
          </cell>
          <cell r="S83" t="str">
            <v>P221/P397</v>
          </cell>
          <cell r="T83" t="str">
            <v>Door - Surface LH Front</v>
          </cell>
          <cell r="U83">
            <v>8</v>
          </cell>
          <cell r="X83">
            <v>1</v>
          </cell>
          <cell r="Z83">
            <v>1</v>
          </cell>
          <cell r="AA83">
            <v>1</v>
          </cell>
          <cell r="AB83">
            <v>4</v>
          </cell>
          <cell r="AC83">
            <v>1</v>
          </cell>
        </row>
        <row r="84">
          <cell r="A84">
            <v>0</v>
          </cell>
          <cell r="B84" t="str">
            <v>ALL VRTS</v>
          </cell>
          <cell r="H84" t="str">
            <v>A18</v>
          </cell>
          <cell r="I84" t="str">
            <v>A06</v>
          </cell>
          <cell r="J84" t="str">
            <v>A07</v>
          </cell>
          <cell r="K84" t="str">
            <v>V81</v>
          </cell>
          <cell r="M84">
            <v>-1</v>
          </cell>
          <cell r="N84">
            <v>-1</v>
          </cell>
          <cell r="O84">
            <v>0</v>
          </cell>
          <cell r="P84" t="str">
            <v>ALL</v>
          </cell>
          <cell r="Q84">
            <v>2004</v>
          </cell>
          <cell r="R84" t="str">
            <v>DEARBORN PLANT BUILD</v>
          </cell>
          <cell r="S84" t="str">
            <v>P221/P397</v>
          </cell>
          <cell r="T84" t="str">
            <v>DVD INOP</v>
          </cell>
          <cell r="U84">
            <v>8</v>
          </cell>
          <cell r="Z84">
            <v>2</v>
          </cell>
          <cell r="AA84">
            <v>3</v>
          </cell>
          <cell r="AB84">
            <v>3</v>
          </cell>
        </row>
        <row r="85">
          <cell r="A85">
            <v>0</v>
          </cell>
          <cell r="B85" t="str">
            <v>ALL VRTS</v>
          </cell>
          <cell r="D85" t="str">
            <v>5590</v>
          </cell>
          <cell r="F85" t="str">
            <v>T4W27L</v>
          </cell>
          <cell r="G85" t="str">
            <v>T4W29L</v>
          </cell>
          <cell r="H85" t="str">
            <v>S27</v>
          </cell>
          <cell r="K85" t="str">
            <v>V05</v>
          </cell>
          <cell r="M85">
            <v>0</v>
          </cell>
          <cell r="N85">
            <v>-1</v>
          </cell>
          <cell r="O85">
            <v>0</v>
          </cell>
          <cell r="P85" t="str">
            <v>ALL</v>
          </cell>
          <cell r="Q85">
            <v>2004</v>
          </cell>
          <cell r="R85" t="str">
            <v>DEARBORN PLANT BUILD</v>
          </cell>
          <cell r="S85" t="str">
            <v>P221/P397</v>
          </cell>
          <cell r="T85" t="str">
            <v>STEERING WHEEL</v>
          </cell>
          <cell r="U85">
            <v>8</v>
          </cell>
          <cell r="X85">
            <v>2</v>
          </cell>
          <cell r="Y85">
            <v>2</v>
          </cell>
          <cell r="Z85">
            <v>1</v>
          </cell>
          <cell r="AB85">
            <v>3</v>
          </cell>
        </row>
        <row r="86">
          <cell r="A86">
            <v>0</v>
          </cell>
          <cell r="B86" t="str">
            <v>ALL VRTS</v>
          </cell>
          <cell r="D86" t="str">
            <v>34602C</v>
          </cell>
          <cell r="E86" t="str">
            <v>34502C</v>
          </cell>
          <cell r="F86" t="str">
            <v>Final Fitters</v>
          </cell>
          <cell r="G86" t="str">
            <v>Metal Finishers</v>
          </cell>
          <cell r="H86" t="str">
            <v>B05</v>
          </cell>
          <cell r="I86" t="str">
            <v>B02</v>
          </cell>
          <cell r="J86" t="str">
            <v>B15</v>
          </cell>
          <cell r="K86" t="str">
            <v>V31</v>
          </cell>
          <cell r="M86">
            <v>0</v>
          </cell>
          <cell r="N86">
            <v>0</v>
          </cell>
          <cell r="O86">
            <v>-1</v>
          </cell>
          <cell r="P86" t="str">
            <v>ALL</v>
          </cell>
          <cell r="Q86">
            <v>2004</v>
          </cell>
          <cell r="R86" t="str">
            <v>DEARBORN PLANT BUILD</v>
          </cell>
          <cell r="S86" t="str">
            <v>P221/P397</v>
          </cell>
          <cell r="T86" t="str">
            <v xml:space="preserve"> CC Door- Fit- Effort - LH Front</v>
          </cell>
          <cell r="U86">
            <v>7</v>
          </cell>
          <cell r="Z86">
            <v>2</v>
          </cell>
          <cell r="AA86">
            <v>1</v>
          </cell>
          <cell r="AB86">
            <v>3</v>
          </cell>
          <cell r="AC86">
            <v>1</v>
          </cell>
        </row>
        <row r="87">
          <cell r="A87">
            <v>0</v>
          </cell>
          <cell r="B87" t="str">
            <v>ALL VRTS</v>
          </cell>
          <cell r="D87" t="str">
            <v>6360</v>
          </cell>
          <cell r="F87" t="str">
            <v>CEW44R</v>
          </cell>
          <cell r="H87" t="str">
            <v>E42</v>
          </cell>
          <cell r="I87" t="str">
            <v>E41</v>
          </cell>
          <cell r="K87" t="str">
            <v>V44</v>
          </cell>
          <cell r="M87">
            <v>0</v>
          </cell>
          <cell r="N87">
            <v>0</v>
          </cell>
          <cell r="O87">
            <v>-1</v>
          </cell>
          <cell r="P87" t="str">
            <v>ALL</v>
          </cell>
          <cell r="Q87">
            <v>2004</v>
          </cell>
          <cell r="R87" t="str">
            <v>DEARBORN PLANT BUILD</v>
          </cell>
          <cell r="S87" t="str">
            <v>P221/P397</v>
          </cell>
          <cell r="T87" t="str">
            <v xml:space="preserve"> EXHAUST LEAK</v>
          </cell>
          <cell r="U87">
            <v>7</v>
          </cell>
          <cell r="X87">
            <v>2</v>
          </cell>
          <cell r="Z87">
            <v>1</v>
          </cell>
          <cell r="AB87">
            <v>3</v>
          </cell>
          <cell r="AC87">
            <v>1</v>
          </cell>
        </row>
        <row r="88">
          <cell r="A88">
            <v>0</v>
          </cell>
          <cell r="B88" t="str">
            <v>ALL VRTS</v>
          </cell>
          <cell r="H88" t="str">
            <v>A87</v>
          </cell>
          <cell r="I88" t="str">
            <v>A85</v>
          </cell>
          <cell r="K88" t="str">
            <v>V17</v>
          </cell>
          <cell r="M88">
            <v>0</v>
          </cell>
          <cell r="N88">
            <v>0</v>
          </cell>
          <cell r="O88">
            <v>-1</v>
          </cell>
          <cell r="P88" t="str">
            <v>ALL</v>
          </cell>
          <cell r="Q88">
            <v>2004</v>
          </cell>
          <cell r="R88" t="str">
            <v>DEARBORN PLANT BUILD</v>
          </cell>
          <cell r="S88" t="str">
            <v>P221/P397</v>
          </cell>
          <cell r="T88" t="str">
            <v>Cigar INOP</v>
          </cell>
          <cell r="U88">
            <v>7</v>
          </cell>
          <cell r="AA88">
            <v>2</v>
          </cell>
          <cell r="AB88">
            <v>3</v>
          </cell>
          <cell r="AC88">
            <v>2</v>
          </cell>
        </row>
        <row r="89">
          <cell r="A89">
            <v>0</v>
          </cell>
          <cell r="B89" t="str">
            <v>ALL VRTS</v>
          </cell>
          <cell r="D89" t="str">
            <v>Trim2 Team 4</v>
          </cell>
          <cell r="F89" t="str">
            <v>T2W35L</v>
          </cell>
          <cell r="H89" t="str">
            <v>L25</v>
          </cell>
          <cell r="I89" t="str">
            <v>L29</v>
          </cell>
          <cell r="J89" t="str">
            <v>L26</v>
          </cell>
          <cell r="K89" t="str">
            <v>V77</v>
          </cell>
          <cell r="M89">
            <v>0</v>
          </cell>
          <cell r="N89">
            <v>0</v>
          </cell>
          <cell r="O89">
            <v>-1</v>
          </cell>
          <cell r="P89" t="str">
            <v>ALL</v>
          </cell>
          <cell r="Q89">
            <v>2004</v>
          </cell>
          <cell r="R89" t="str">
            <v>DEARBORN PLANT BUILD</v>
          </cell>
          <cell r="S89" t="str">
            <v>P221/P397</v>
          </cell>
          <cell r="T89" t="str">
            <v>Dome Light INOP.</v>
          </cell>
          <cell r="U89">
            <v>7</v>
          </cell>
          <cell r="X89">
            <v>1</v>
          </cell>
          <cell r="Y89">
            <v>1</v>
          </cell>
          <cell r="Z89">
            <v>2</v>
          </cell>
          <cell r="AA89">
            <v>1</v>
          </cell>
          <cell r="AB89">
            <v>1</v>
          </cell>
          <cell r="AC89">
            <v>1</v>
          </cell>
        </row>
        <row r="90">
          <cell r="A90">
            <v>0</v>
          </cell>
          <cell r="B90" t="str">
            <v>ALL VRTS</v>
          </cell>
          <cell r="D90" t="str">
            <v>5330</v>
          </cell>
          <cell r="E90" t="str">
            <v>5340</v>
          </cell>
          <cell r="F90" t="str">
            <v>TDE17-L</v>
          </cell>
          <cell r="G90" t="str">
            <v>TWD20-R</v>
          </cell>
          <cell r="H90" t="str">
            <v>L15</v>
          </cell>
          <cell r="I90" t="str">
            <v>L16</v>
          </cell>
          <cell r="J90" t="str">
            <v>L17</v>
          </cell>
          <cell r="K90" t="str">
            <v>V07</v>
          </cell>
          <cell r="M90">
            <v>0</v>
          </cell>
          <cell r="N90">
            <v>0</v>
          </cell>
          <cell r="O90">
            <v>-1</v>
          </cell>
          <cell r="P90" t="str">
            <v>ALL</v>
          </cell>
          <cell r="Q90">
            <v>2004</v>
          </cell>
          <cell r="R90" t="str">
            <v>DEARBORN PLANT BUILD</v>
          </cell>
          <cell r="S90" t="str">
            <v>P221/P397</v>
          </cell>
          <cell r="T90" t="str">
            <v>DOOR HANDLE INOP</v>
          </cell>
          <cell r="U90">
            <v>7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2</v>
          </cell>
        </row>
        <row r="91">
          <cell r="A91">
            <v>0</v>
          </cell>
          <cell r="B91" t="str">
            <v>ALL VRTS</v>
          </cell>
          <cell r="H91" t="str">
            <v>L20</v>
          </cell>
          <cell r="I91" t="str">
            <v>L07</v>
          </cell>
          <cell r="J91" t="str">
            <v>L08</v>
          </cell>
          <cell r="K91" t="str">
            <v>V07</v>
          </cell>
          <cell r="M91">
            <v>0</v>
          </cell>
          <cell r="N91">
            <v>-1</v>
          </cell>
          <cell r="O91">
            <v>0</v>
          </cell>
          <cell r="P91" t="str">
            <v>ALL</v>
          </cell>
          <cell r="Q91">
            <v>2004</v>
          </cell>
          <cell r="R91" t="str">
            <v>DEARBORN PLANT BUILD</v>
          </cell>
          <cell r="S91" t="str">
            <v>P221/P397</v>
          </cell>
          <cell r="T91" t="str">
            <v>KEYLESS ENTRY PAD FUNCTION</v>
          </cell>
          <cell r="U91">
            <v>7</v>
          </cell>
          <cell r="W91">
            <v>2</v>
          </cell>
          <cell r="Z91">
            <v>1</v>
          </cell>
          <cell r="AA91">
            <v>1</v>
          </cell>
          <cell r="AB91">
            <v>1</v>
          </cell>
          <cell r="AC91">
            <v>2</v>
          </cell>
        </row>
        <row r="92">
          <cell r="A92">
            <v>0</v>
          </cell>
          <cell r="B92" t="str">
            <v>ALL VRTS</v>
          </cell>
          <cell r="H92" t="str">
            <v>F12</v>
          </cell>
          <cell r="I92" t="str">
            <v>F11</v>
          </cell>
          <cell r="J92" t="str">
            <v>F20</v>
          </cell>
          <cell r="K92" t="str">
            <v>V33</v>
          </cell>
          <cell r="M92">
            <v>0</v>
          </cell>
          <cell r="N92">
            <v>0</v>
          </cell>
          <cell r="O92">
            <v>-1</v>
          </cell>
          <cell r="P92" t="str">
            <v>ALL</v>
          </cell>
          <cell r="Q92">
            <v>2004</v>
          </cell>
          <cell r="R92" t="str">
            <v>DEARBORN PLANT BUILD</v>
          </cell>
          <cell r="S92" t="str">
            <v>P221/P397</v>
          </cell>
          <cell r="T92" t="str">
            <v>Rail Dust</v>
          </cell>
          <cell r="U92">
            <v>7</v>
          </cell>
          <cell r="X92">
            <v>1</v>
          </cell>
          <cell r="Y92">
            <v>1</v>
          </cell>
          <cell r="AA92">
            <v>2</v>
          </cell>
          <cell r="AB92">
            <v>3</v>
          </cell>
        </row>
        <row r="93">
          <cell r="A93">
            <v>0</v>
          </cell>
          <cell r="B93" t="str">
            <v>ALL VRTS</v>
          </cell>
          <cell r="H93" t="str">
            <v>L88</v>
          </cell>
          <cell r="K93" t="str">
            <v>V44</v>
          </cell>
          <cell r="M93">
            <v>-1</v>
          </cell>
          <cell r="N93">
            <v>-1</v>
          </cell>
          <cell r="O93">
            <v>0</v>
          </cell>
          <cell r="P93" t="str">
            <v>ALL</v>
          </cell>
          <cell r="Q93">
            <v>2004</v>
          </cell>
          <cell r="R93" t="str">
            <v>DEARBORN PLANT BUILD</v>
          </cell>
          <cell r="S93" t="str">
            <v>P221/P397</v>
          </cell>
          <cell r="T93" t="str">
            <v>REAR AXLE LEAK</v>
          </cell>
          <cell r="U93">
            <v>7</v>
          </cell>
          <cell r="AA93">
            <v>1</v>
          </cell>
          <cell r="AB93">
            <v>4</v>
          </cell>
          <cell r="AC93">
            <v>2</v>
          </cell>
        </row>
        <row r="94">
          <cell r="A94">
            <v>0</v>
          </cell>
          <cell r="B94" t="str">
            <v>ALL VRTS</v>
          </cell>
          <cell r="D94" t="str">
            <v>34602C</v>
          </cell>
          <cell r="F94" t="str">
            <v>Final Fitters</v>
          </cell>
          <cell r="H94" t="str">
            <v>B02</v>
          </cell>
          <cell r="I94" t="str">
            <v>B15</v>
          </cell>
          <cell r="J94" t="str">
            <v>B05</v>
          </cell>
          <cell r="K94" t="str">
            <v>V31</v>
          </cell>
          <cell r="M94">
            <v>0</v>
          </cell>
          <cell r="N94">
            <v>0</v>
          </cell>
          <cell r="O94">
            <v>-1</v>
          </cell>
          <cell r="P94" t="str">
            <v>ALL</v>
          </cell>
          <cell r="Q94">
            <v>2004</v>
          </cell>
          <cell r="R94" t="str">
            <v>DEARBORN PLANT BUILD</v>
          </cell>
          <cell r="S94" t="str">
            <v>P221/P397</v>
          </cell>
          <cell r="T94" t="str">
            <v>SC Door - Fit - Effort - LH Rear</v>
          </cell>
          <cell r="U94">
            <v>7</v>
          </cell>
          <cell r="AB94">
            <v>5</v>
          </cell>
          <cell r="AC94">
            <v>2</v>
          </cell>
        </row>
        <row r="95">
          <cell r="A95">
            <v>0</v>
          </cell>
          <cell r="B95" t="str">
            <v>ALL VRTS</v>
          </cell>
          <cell r="D95" t="str">
            <v>5590-2-G</v>
          </cell>
          <cell r="E95" t="str">
            <v>unsure</v>
          </cell>
          <cell r="F95" t="str">
            <v>T4W31L</v>
          </cell>
          <cell r="G95" t="str">
            <v>TW04L</v>
          </cell>
          <cell r="H95" t="str">
            <v>N57</v>
          </cell>
          <cell r="I95" t="str">
            <v>N59</v>
          </cell>
          <cell r="K95" t="str">
            <v>V39</v>
          </cell>
          <cell r="M95">
            <v>0</v>
          </cell>
          <cell r="N95">
            <v>0</v>
          </cell>
          <cell r="O95">
            <v>-1</v>
          </cell>
          <cell r="P95" t="str">
            <v>ALL</v>
          </cell>
          <cell r="Q95">
            <v>2004</v>
          </cell>
          <cell r="R95" t="str">
            <v>DEARBORN PLANT BUILD</v>
          </cell>
          <cell r="S95" t="str">
            <v>P221/P397</v>
          </cell>
          <cell r="T95" t="str">
            <v>Steering Column/Wheel Squeak/Rattle</v>
          </cell>
          <cell r="U95">
            <v>7</v>
          </cell>
          <cell r="W95">
            <v>1</v>
          </cell>
          <cell r="Y95">
            <v>1</v>
          </cell>
          <cell r="AA95">
            <v>3</v>
          </cell>
          <cell r="AB95">
            <v>2</v>
          </cell>
        </row>
        <row r="96">
          <cell r="A96">
            <v>0</v>
          </cell>
          <cell r="B96" t="str">
            <v>ALL VRTS</v>
          </cell>
          <cell r="D96" t="str">
            <v>5480</v>
          </cell>
          <cell r="F96" t="str">
            <v>T212RB</v>
          </cell>
          <cell r="H96" t="str">
            <v>J04</v>
          </cell>
          <cell r="I96" t="str">
            <v>J03</v>
          </cell>
          <cell r="J96" t="str">
            <v>L15</v>
          </cell>
          <cell r="K96" t="str">
            <v>V09</v>
          </cell>
          <cell r="M96">
            <v>0</v>
          </cell>
          <cell r="N96">
            <v>-1</v>
          </cell>
          <cell r="O96">
            <v>0</v>
          </cell>
          <cell r="P96" t="str">
            <v>ALL</v>
          </cell>
          <cell r="Q96">
            <v>2004</v>
          </cell>
          <cell r="R96" t="str">
            <v>DEARBORN PLANT BUILD</v>
          </cell>
          <cell r="S96" t="str">
            <v>P221/P397</v>
          </cell>
          <cell r="T96" t="str">
            <v>SUN ROOF FUNCTION</v>
          </cell>
          <cell r="U96">
            <v>7</v>
          </cell>
          <cell r="AB96">
            <v>1</v>
          </cell>
          <cell r="AC96">
            <v>6</v>
          </cell>
        </row>
        <row r="97">
          <cell r="A97">
            <v>0</v>
          </cell>
          <cell r="B97" t="str">
            <v>ALL VRTS</v>
          </cell>
          <cell r="H97" t="str">
            <v>L26</v>
          </cell>
          <cell r="K97" t="str">
            <v>V77</v>
          </cell>
          <cell r="M97">
            <v>0</v>
          </cell>
          <cell r="N97">
            <v>0</v>
          </cell>
          <cell r="O97">
            <v>-1</v>
          </cell>
          <cell r="P97" t="str">
            <v>ALL</v>
          </cell>
          <cell r="Q97">
            <v>2004</v>
          </cell>
          <cell r="R97" t="str">
            <v>DEARBORN PLANT BUILD</v>
          </cell>
          <cell r="S97" t="str">
            <v>P221/P397</v>
          </cell>
          <cell r="T97" t="str">
            <v>Trailer Plug INOP</v>
          </cell>
          <cell r="U97">
            <v>7</v>
          </cell>
          <cell r="V97">
            <v>1</v>
          </cell>
          <cell r="Z97">
            <v>2</v>
          </cell>
          <cell r="AB97">
            <v>1</v>
          </cell>
          <cell r="AC97">
            <v>3</v>
          </cell>
        </row>
        <row r="98">
          <cell r="A98">
            <v>0</v>
          </cell>
          <cell r="B98" t="str">
            <v>ALL VRTS</v>
          </cell>
          <cell r="H98" t="str">
            <v>L30</v>
          </cell>
          <cell r="I98" t="str">
            <v>L26</v>
          </cell>
          <cell r="J98" t="str">
            <v>L29</v>
          </cell>
          <cell r="K98" t="str">
            <v>V77</v>
          </cell>
          <cell r="M98">
            <v>0</v>
          </cell>
          <cell r="N98">
            <v>-1</v>
          </cell>
          <cell r="O98">
            <v>0</v>
          </cell>
          <cell r="P98" t="str">
            <v>ALL</v>
          </cell>
          <cell r="Q98">
            <v>2004</v>
          </cell>
          <cell r="R98" t="str">
            <v>DEARBORN PLANT BUILD</v>
          </cell>
          <cell r="S98" t="str">
            <v>P221/P397</v>
          </cell>
          <cell r="T98" t="str">
            <v>Turn Signal Inop</v>
          </cell>
          <cell r="U98">
            <v>7</v>
          </cell>
          <cell r="Z98">
            <v>2</v>
          </cell>
          <cell r="AA98">
            <v>2</v>
          </cell>
          <cell r="AB98">
            <v>2</v>
          </cell>
          <cell r="AC98">
            <v>1</v>
          </cell>
        </row>
        <row r="99">
          <cell r="A99">
            <v>0</v>
          </cell>
          <cell r="B99" t="str">
            <v>ALL VRTS</v>
          </cell>
          <cell r="H99" t="str">
            <v>D13</v>
          </cell>
          <cell r="I99" t="str">
            <v>D10</v>
          </cell>
          <cell r="K99" t="str">
            <v>V40</v>
          </cell>
          <cell r="M99">
            <v>-1</v>
          </cell>
          <cell r="N99">
            <v>-1</v>
          </cell>
          <cell r="O99">
            <v>0</v>
          </cell>
          <cell r="P99" t="str">
            <v>ALL</v>
          </cell>
          <cell r="Q99">
            <v>2004</v>
          </cell>
          <cell r="R99" t="str">
            <v>DEARBORN PLANT BUILD</v>
          </cell>
          <cell r="S99" t="str">
            <v>P221/P397</v>
          </cell>
          <cell r="T99" t="str">
            <v xml:space="preserve"> ROUGH IDLE</v>
          </cell>
          <cell r="U99">
            <v>6</v>
          </cell>
          <cell r="X99">
            <v>3</v>
          </cell>
          <cell r="Z99">
            <v>1</v>
          </cell>
          <cell r="AB99">
            <v>2</v>
          </cell>
        </row>
        <row r="100">
          <cell r="A100">
            <v>0</v>
          </cell>
          <cell r="B100" t="str">
            <v>ALL VRTS</v>
          </cell>
          <cell r="H100" t="str">
            <v>G32</v>
          </cell>
          <cell r="I100" t="str">
            <v>A85</v>
          </cell>
          <cell r="K100" t="str">
            <v>V17</v>
          </cell>
          <cell r="M100">
            <v>0</v>
          </cell>
          <cell r="N100">
            <v>-1</v>
          </cell>
          <cell r="O100">
            <v>0</v>
          </cell>
          <cell r="P100" t="str">
            <v>ALL</v>
          </cell>
          <cell r="Q100">
            <v>2004</v>
          </cell>
          <cell r="R100" t="str">
            <v>DEARBORN PLANT BUILD</v>
          </cell>
          <cell r="S100" t="str">
            <v>P221/P397</v>
          </cell>
          <cell r="T100" t="str">
            <v>Air Bag INOP</v>
          </cell>
          <cell r="U100">
            <v>6</v>
          </cell>
          <cell r="AB100">
            <v>5</v>
          </cell>
          <cell r="AC100">
            <v>1</v>
          </cell>
        </row>
        <row r="101">
          <cell r="A101">
            <v>0</v>
          </cell>
          <cell r="B101" t="str">
            <v>ALL VRTS</v>
          </cell>
          <cell r="D101" t="str">
            <v>Trim 1 5450 -D</v>
          </cell>
          <cell r="E101" t="str">
            <v>Trim 1 5440 -D</v>
          </cell>
          <cell r="F101" t="str">
            <v>T1W07L</v>
          </cell>
          <cell r="G101" t="str">
            <v>T1E02R</v>
          </cell>
          <cell r="H101" t="str">
            <v>B63</v>
          </cell>
          <cell r="I101" t="str">
            <v>B66</v>
          </cell>
          <cell r="J101" t="str">
            <v>B64</v>
          </cell>
          <cell r="K101" t="str">
            <v>V75</v>
          </cell>
          <cell r="M101">
            <v>0</v>
          </cell>
          <cell r="N101">
            <v>0</v>
          </cell>
          <cell r="O101">
            <v>-1</v>
          </cell>
          <cell r="P101" t="str">
            <v>ALL</v>
          </cell>
          <cell r="Q101">
            <v>2004</v>
          </cell>
          <cell r="R101" t="str">
            <v>DEARBORN PLANT BUILD</v>
          </cell>
          <cell r="S101" t="str">
            <v>P221/P397</v>
          </cell>
          <cell r="T101" t="str">
            <v>B PILLAR APPLIQUE / DEFECTIVE</v>
          </cell>
          <cell r="U101">
            <v>6</v>
          </cell>
          <cell r="Z101">
            <v>2</v>
          </cell>
          <cell r="AB101">
            <v>2</v>
          </cell>
          <cell r="AC101">
            <v>2</v>
          </cell>
        </row>
        <row r="102">
          <cell r="A102">
            <v>0</v>
          </cell>
          <cell r="B102" t="str">
            <v>ALL VRTS</v>
          </cell>
          <cell r="D102" t="str">
            <v>34502C</v>
          </cell>
          <cell r="F102" t="str">
            <v>Metal Finishers</v>
          </cell>
          <cell r="H102" t="str">
            <v>B01</v>
          </cell>
          <cell r="K102" t="str">
            <v>V31</v>
          </cell>
          <cell r="M102">
            <v>0</v>
          </cell>
          <cell r="N102">
            <v>0</v>
          </cell>
          <cell r="O102">
            <v>-1</v>
          </cell>
          <cell r="P102" t="str">
            <v>ALL</v>
          </cell>
          <cell r="Q102">
            <v>2004</v>
          </cell>
          <cell r="R102" t="str">
            <v>DEARBORN PLANT BUILD</v>
          </cell>
          <cell r="S102" t="str">
            <v>P221/P397</v>
          </cell>
          <cell r="T102" t="str">
            <v>Box - Surface</v>
          </cell>
          <cell r="U102">
            <v>6</v>
          </cell>
          <cell r="AA102">
            <v>1</v>
          </cell>
          <cell r="AB102">
            <v>4</v>
          </cell>
          <cell r="AC102">
            <v>1</v>
          </cell>
        </row>
        <row r="103">
          <cell r="A103">
            <v>0</v>
          </cell>
          <cell r="B103" t="str">
            <v>ALL VRTS</v>
          </cell>
          <cell r="C103" t="str">
            <v>X</v>
          </cell>
          <cell r="H103" t="str">
            <v>H20</v>
          </cell>
          <cell r="I103" t="str">
            <v>H02</v>
          </cell>
          <cell r="K103" t="str">
            <v>V21</v>
          </cell>
          <cell r="M103">
            <v>-1</v>
          </cell>
          <cell r="N103">
            <v>-1</v>
          </cell>
          <cell r="O103">
            <v>0</v>
          </cell>
          <cell r="P103" t="str">
            <v>ALL</v>
          </cell>
          <cell r="Q103">
            <v>2004</v>
          </cell>
          <cell r="R103" t="str">
            <v>DEARBORN PLANT BUILD</v>
          </cell>
          <cell r="S103" t="str">
            <v>P221/P397</v>
          </cell>
          <cell r="T103" t="str">
            <v>BRAKES, EXCESSIVE DUST</v>
          </cell>
          <cell r="U103">
            <v>6</v>
          </cell>
          <cell r="Z103">
            <v>2</v>
          </cell>
          <cell r="AA103">
            <v>1</v>
          </cell>
          <cell r="AB103">
            <v>2</v>
          </cell>
          <cell r="AC103">
            <v>1</v>
          </cell>
        </row>
        <row r="104">
          <cell r="A104">
            <v>0</v>
          </cell>
          <cell r="B104" t="str">
            <v>ALL VRTS</v>
          </cell>
          <cell r="C104" t="str">
            <v>X</v>
          </cell>
          <cell r="D104" t="str">
            <v>6440</v>
          </cell>
          <cell r="F104" t="str">
            <v>C2E45F</v>
          </cell>
          <cell r="H104" t="str">
            <v>H19</v>
          </cell>
          <cell r="I104" t="str">
            <v>L63</v>
          </cell>
          <cell r="K104" t="str">
            <v>V21</v>
          </cell>
          <cell r="M104">
            <v>0</v>
          </cell>
          <cell r="N104">
            <v>-1</v>
          </cell>
          <cell r="O104">
            <v>0</v>
          </cell>
          <cell r="P104" t="str">
            <v>ALL</v>
          </cell>
          <cell r="Q104">
            <v>2004</v>
          </cell>
          <cell r="R104" t="str">
            <v>DEARBORN PLANT BUILD</v>
          </cell>
          <cell r="S104" t="str">
            <v>P221/P397</v>
          </cell>
          <cell r="T104" t="str">
            <v>BRAKES,ABS LIGHT ON</v>
          </cell>
          <cell r="U104">
            <v>6</v>
          </cell>
          <cell r="W104">
            <v>1</v>
          </cell>
          <cell r="Y104">
            <v>1</v>
          </cell>
          <cell r="AA104">
            <v>2</v>
          </cell>
          <cell r="AB104">
            <v>2</v>
          </cell>
        </row>
        <row r="105">
          <cell r="A105">
            <v>0</v>
          </cell>
          <cell r="B105" t="str">
            <v>ALL VRTS</v>
          </cell>
          <cell r="D105" t="str">
            <v>34602C</v>
          </cell>
          <cell r="F105" t="str">
            <v>Final Fitters</v>
          </cell>
          <cell r="H105" t="str">
            <v>B02</v>
          </cell>
          <cell r="I105" t="str">
            <v>B15</v>
          </cell>
          <cell r="K105" t="str">
            <v>V31</v>
          </cell>
          <cell r="M105">
            <v>0</v>
          </cell>
          <cell r="N105">
            <v>0</v>
          </cell>
          <cell r="O105">
            <v>-1</v>
          </cell>
          <cell r="P105" t="str">
            <v>ALL</v>
          </cell>
          <cell r="Q105">
            <v>2004</v>
          </cell>
          <cell r="R105" t="str">
            <v>DEARBORN PLANT BUILD</v>
          </cell>
          <cell r="S105" t="str">
            <v>P221/P397</v>
          </cell>
          <cell r="T105" t="str">
            <v>CC Door - Fit - Effort - RH Rear</v>
          </cell>
          <cell r="U105">
            <v>6</v>
          </cell>
          <cell r="AA105">
            <v>1</v>
          </cell>
          <cell r="AB105">
            <v>5</v>
          </cell>
        </row>
        <row r="106">
          <cell r="A106">
            <v>0</v>
          </cell>
          <cell r="B106" t="str">
            <v>ALL VRTS</v>
          </cell>
          <cell r="D106" t="str">
            <v>34602C</v>
          </cell>
          <cell r="F106" t="str">
            <v>Final Fitters</v>
          </cell>
          <cell r="H106" t="str">
            <v>B05</v>
          </cell>
          <cell r="I106" t="str">
            <v>B15</v>
          </cell>
          <cell r="J106" t="str">
            <v>B02</v>
          </cell>
          <cell r="K106" t="str">
            <v>V31</v>
          </cell>
          <cell r="M106">
            <v>0</v>
          </cell>
          <cell r="N106">
            <v>0</v>
          </cell>
          <cell r="O106">
            <v>-1</v>
          </cell>
          <cell r="P106" t="str">
            <v>ALL</v>
          </cell>
          <cell r="Q106">
            <v>2004</v>
          </cell>
          <cell r="R106" t="str">
            <v>DEARBORN PLANT BUILD</v>
          </cell>
          <cell r="S106" t="str">
            <v>P221/P397</v>
          </cell>
          <cell r="T106" t="str">
            <v>CC Door- Fit-Effort - LH Rear</v>
          </cell>
          <cell r="U106">
            <v>6</v>
          </cell>
          <cell r="Z106">
            <v>1</v>
          </cell>
          <cell r="AA106">
            <v>1</v>
          </cell>
          <cell r="AB106">
            <v>2</v>
          </cell>
          <cell r="AC106">
            <v>2</v>
          </cell>
        </row>
        <row r="107">
          <cell r="A107">
            <v>0</v>
          </cell>
          <cell r="B107" t="str">
            <v>ALL VRTS</v>
          </cell>
          <cell r="D107" t="str">
            <v>5350</v>
          </cell>
          <cell r="F107" t="str">
            <v>TDE31-I</v>
          </cell>
          <cell r="G107" t="str">
            <v>TDE31-l</v>
          </cell>
          <cell r="H107" t="str">
            <v>L15</v>
          </cell>
          <cell r="I107" t="str">
            <v>L07</v>
          </cell>
          <cell r="K107" t="str">
            <v>V07</v>
          </cell>
          <cell r="M107">
            <v>0</v>
          </cell>
          <cell r="N107">
            <v>-1</v>
          </cell>
          <cell r="O107">
            <v>-1</v>
          </cell>
          <cell r="P107" t="str">
            <v>ALL</v>
          </cell>
          <cell r="Q107">
            <v>2004</v>
          </cell>
          <cell r="R107" t="str">
            <v>DEARBORN PLANT BUILD</v>
          </cell>
          <cell r="S107" t="str">
            <v>P221/P397</v>
          </cell>
          <cell r="T107" t="str">
            <v>DOOR STRIKER RUSTY</v>
          </cell>
          <cell r="U107">
            <v>6</v>
          </cell>
          <cell r="W107">
            <v>1</v>
          </cell>
          <cell r="X107">
            <v>5</v>
          </cell>
        </row>
        <row r="108">
          <cell r="A108">
            <v>0</v>
          </cell>
          <cell r="B108" t="str">
            <v>ALL VRTS</v>
          </cell>
          <cell r="D108" t="str">
            <v>5340</v>
          </cell>
          <cell r="E108" t="str">
            <v>5310</v>
          </cell>
          <cell r="F108" t="str">
            <v>TDW24R</v>
          </cell>
          <cell r="G108" t="str">
            <v>TDE21L</v>
          </cell>
          <cell r="H108" t="str">
            <v>T53</v>
          </cell>
          <cell r="I108" t="str">
            <v>T90</v>
          </cell>
          <cell r="K108" t="str">
            <v>V74</v>
          </cell>
          <cell r="M108">
            <v>0</v>
          </cell>
          <cell r="N108">
            <v>0</v>
          </cell>
          <cell r="O108">
            <v>-1</v>
          </cell>
          <cell r="P108" t="str">
            <v>ALL</v>
          </cell>
          <cell r="Q108">
            <v>2004</v>
          </cell>
          <cell r="R108" t="str">
            <v>DEARBORN PLANT BUILD</v>
          </cell>
          <cell r="S108" t="str">
            <v>P221/P397</v>
          </cell>
          <cell r="T108" t="str">
            <v>DOORS</v>
          </cell>
          <cell r="U108">
            <v>6</v>
          </cell>
          <cell r="Z108">
            <v>2</v>
          </cell>
          <cell r="AA108">
            <v>3</v>
          </cell>
          <cell r="AC108">
            <v>1</v>
          </cell>
        </row>
        <row r="109">
          <cell r="A109">
            <v>0</v>
          </cell>
          <cell r="B109" t="str">
            <v>ALL VRTS</v>
          </cell>
          <cell r="D109" t="str">
            <v>5510</v>
          </cell>
          <cell r="E109" t="str">
            <v>6500</v>
          </cell>
          <cell r="F109" t="str">
            <v>T2E32R/T2W31L</v>
          </cell>
          <cell r="G109" t="str">
            <v>C4W20R</v>
          </cell>
          <cell r="H109" t="str">
            <v>B73</v>
          </cell>
          <cell r="K109" t="str">
            <v>V74</v>
          </cell>
          <cell r="M109">
            <v>0</v>
          </cell>
          <cell r="N109">
            <v>0</v>
          </cell>
          <cell r="O109">
            <v>-1</v>
          </cell>
          <cell r="P109" t="str">
            <v>ALL</v>
          </cell>
          <cell r="Q109">
            <v>2004</v>
          </cell>
          <cell r="R109" t="str">
            <v>DEARBORN PLANT BUILD</v>
          </cell>
          <cell r="S109" t="str">
            <v>P221/P397</v>
          </cell>
          <cell r="T109" t="str">
            <v>HEADLINER MISPOSITIONED</v>
          </cell>
          <cell r="U109">
            <v>6</v>
          </cell>
          <cell r="X109">
            <v>2</v>
          </cell>
          <cell r="Y109">
            <v>3</v>
          </cell>
          <cell r="AC109">
            <v>1</v>
          </cell>
        </row>
        <row r="110">
          <cell r="A110">
            <v>0</v>
          </cell>
          <cell r="B110" t="str">
            <v>ALL VRTS</v>
          </cell>
          <cell r="H110" t="str">
            <v>A85</v>
          </cell>
          <cell r="K110" t="str">
            <v>V19</v>
          </cell>
          <cell r="M110">
            <v>0</v>
          </cell>
          <cell r="N110">
            <v>0</v>
          </cell>
          <cell r="O110">
            <v>-1</v>
          </cell>
          <cell r="P110" t="str">
            <v>ALL</v>
          </cell>
          <cell r="Q110">
            <v>2004</v>
          </cell>
          <cell r="R110" t="str">
            <v>DEARBORN PLANT BUILD</v>
          </cell>
          <cell r="S110" t="str">
            <v>P221/P397</v>
          </cell>
          <cell r="T110" t="str">
            <v>Keyless Remote INOP</v>
          </cell>
          <cell r="U110">
            <v>6</v>
          </cell>
          <cell r="AA110">
            <v>1</v>
          </cell>
          <cell r="AB110">
            <v>5</v>
          </cell>
        </row>
        <row r="111">
          <cell r="A111">
            <v>0</v>
          </cell>
          <cell r="B111" t="str">
            <v>ALL VRTS</v>
          </cell>
          <cell r="D111" t="str">
            <v>34502C</v>
          </cell>
          <cell r="F111" t="str">
            <v>Metal Finishers</v>
          </cell>
          <cell r="H111" t="str">
            <v>B01</v>
          </cell>
          <cell r="K111" t="str">
            <v>V31</v>
          </cell>
          <cell r="M111">
            <v>-1</v>
          </cell>
          <cell r="N111">
            <v>0</v>
          </cell>
          <cell r="O111">
            <v>0</v>
          </cell>
          <cell r="P111" t="str">
            <v>ALL</v>
          </cell>
          <cell r="Q111">
            <v>2004</v>
          </cell>
          <cell r="R111" t="str">
            <v>DEARBORN PLANT BUILD</v>
          </cell>
          <cell r="S111" t="str">
            <v>P221/P397</v>
          </cell>
          <cell r="T111" t="str">
            <v>Roof - Surface</v>
          </cell>
          <cell r="U111">
            <v>6</v>
          </cell>
          <cell r="Z111">
            <v>1</v>
          </cell>
          <cell r="AA111">
            <v>4</v>
          </cell>
          <cell r="AB111">
            <v>1</v>
          </cell>
        </row>
        <row r="112">
          <cell r="A112">
            <v>0</v>
          </cell>
          <cell r="B112" t="str">
            <v>ALL VRTS</v>
          </cell>
          <cell r="D112" t="str">
            <v>Trim Box 5390-2-B</v>
          </cell>
          <cell r="E112" t="str">
            <v>Box Line 5400-2-B</v>
          </cell>
          <cell r="F112" t="str">
            <v>TBE16B</v>
          </cell>
          <cell r="G112" t="str">
            <v>TBE 26B</v>
          </cell>
          <cell r="H112" t="str">
            <v>B64</v>
          </cell>
          <cell r="I112" t="str">
            <v>B62</v>
          </cell>
          <cell r="J112" t="str">
            <v>B63</v>
          </cell>
          <cell r="K112" t="str">
            <v>V75</v>
          </cell>
          <cell r="M112">
            <v>0</v>
          </cell>
          <cell r="N112">
            <v>0</v>
          </cell>
          <cell r="O112">
            <v>-1</v>
          </cell>
          <cell r="P112" t="str">
            <v>ALL</v>
          </cell>
          <cell r="Q112">
            <v>2004</v>
          </cell>
          <cell r="R112" t="str">
            <v>DEARBORN PLANT BUILD</v>
          </cell>
          <cell r="S112" t="str">
            <v>P221/P397</v>
          </cell>
          <cell r="T112" t="str">
            <v>TAILGATE MOLDING / WARPED</v>
          </cell>
          <cell r="U112">
            <v>6</v>
          </cell>
          <cell r="X112">
            <v>1</v>
          </cell>
          <cell r="Y112">
            <v>1</v>
          </cell>
          <cell r="AA112">
            <v>1</v>
          </cell>
          <cell r="AB112">
            <v>3</v>
          </cell>
        </row>
        <row r="113">
          <cell r="A113">
            <v>0</v>
          </cell>
          <cell r="B113" t="str">
            <v>ALL VRTS</v>
          </cell>
          <cell r="H113" t="str">
            <v>A85</v>
          </cell>
          <cell r="I113" t="str">
            <v>C27</v>
          </cell>
          <cell r="K113" t="str">
            <v>V19</v>
          </cell>
          <cell r="M113">
            <v>0</v>
          </cell>
          <cell r="N113">
            <v>0</v>
          </cell>
          <cell r="O113">
            <v>-1</v>
          </cell>
          <cell r="P113" t="str">
            <v>ALL</v>
          </cell>
          <cell r="Q113">
            <v>2004</v>
          </cell>
          <cell r="R113" t="str">
            <v>DEARBORN PLANT BUILD</v>
          </cell>
          <cell r="S113" t="str">
            <v>P221/P397</v>
          </cell>
          <cell r="T113" t="str">
            <v>Vehicle won't start.</v>
          </cell>
          <cell r="U113">
            <v>6</v>
          </cell>
          <cell r="X113">
            <v>1</v>
          </cell>
          <cell r="Z113">
            <v>1</v>
          </cell>
          <cell r="AB113">
            <v>3</v>
          </cell>
          <cell r="AC113">
            <v>1</v>
          </cell>
        </row>
        <row r="114">
          <cell r="A114">
            <v>0</v>
          </cell>
          <cell r="B114" t="str">
            <v>ALL VRTS</v>
          </cell>
          <cell r="D114" t="str">
            <v>unsure</v>
          </cell>
          <cell r="F114" t="str">
            <v>TDE27L</v>
          </cell>
          <cell r="H114" t="str">
            <v>G09</v>
          </cell>
          <cell r="I114" t="str">
            <v>N51</v>
          </cell>
          <cell r="K114" t="str">
            <v>V39</v>
          </cell>
          <cell r="M114">
            <v>0</v>
          </cell>
          <cell r="N114">
            <v>-1</v>
          </cell>
          <cell r="O114">
            <v>-1</v>
          </cell>
          <cell r="P114" t="str">
            <v>ALL</v>
          </cell>
          <cell r="Q114">
            <v>2004</v>
          </cell>
          <cell r="R114" t="str">
            <v>DEARBORN PLANT BUILD</v>
          </cell>
          <cell r="S114" t="str">
            <v>P221/P397</v>
          </cell>
          <cell r="T114" t="str">
            <v>Window Squeak/Rattle/Scrape</v>
          </cell>
          <cell r="U114">
            <v>6</v>
          </cell>
          <cell r="Z114">
            <v>3</v>
          </cell>
          <cell r="AB114">
            <v>3</v>
          </cell>
        </row>
        <row r="115">
          <cell r="A115">
            <v>0</v>
          </cell>
          <cell r="B115" t="str">
            <v>ALL VRTS</v>
          </cell>
          <cell r="D115" t="str">
            <v>34602C</v>
          </cell>
          <cell r="F115" t="str">
            <v>Final Fitters</v>
          </cell>
          <cell r="H115" t="str">
            <v>B02</v>
          </cell>
          <cell r="I115" t="str">
            <v>B05</v>
          </cell>
          <cell r="J115" t="str">
            <v>B19</v>
          </cell>
          <cell r="K115" t="str">
            <v>V31</v>
          </cell>
          <cell r="M115">
            <v>0</v>
          </cell>
          <cell r="N115">
            <v>0</v>
          </cell>
          <cell r="O115">
            <v>-1</v>
          </cell>
          <cell r="P115" t="str">
            <v>ALL</v>
          </cell>
          <cell r="Q115">
            <v>2004</v>
          </cell>
          <cell r="R115" t="str">
            <v>DEARBORN PLANT BUILD</v>
          </cell>
          <cell r="S115" t="str">
            <v>P221/P397</v>
          </cell>
          <cell r="T115" t="str">
            <v xml:space="preserve"> SC Door- Fit - Effort- RH Rear</v>
          </cell>
          <cell r="U115">
            <v>5</v>
          </cell>
          <cell r="X115">
            <v>1</v>
          </cell>
          <cell r="Z115">
            <v>1</v>
          </cell>
          <cell r="AA115">
            <v>1</v>
          </cell>
          <cell r="AC115">
            <v>2</v>
          </cell>
        </row>
        <row r="116">
          <cell r="A116">
            <v>0</v>
          </cell>
          <cell r="B116" t="str">
            <v>ALL VRTS</v>
          </cell>
          <cell r="D116" t="str">
            <v>door line 5340-2-A</v>
          </cell>
          <cell r="E116" t="str">
            <v>door line 5350-2-A</v>
          </cell>
          <cell r="F116" t="str">
            <v>TDW24R</v>
          </cell>
          <cell r="G116" t="str">
            <v>TDW32R</v>
          </cell>
          <cell r="H116" t="str">
            <v>B62</v>
          </cell>
          <cell r="I116" t="str">
            <v>B64</v>
          </cell>
          <cell r="J116" t="str">
            <v>B66</v>
          </cell>
          <cell r="K116" t="str">
            <v>V75</v>
          </cell>
          <cell r="M116">
            <v>0</v>
          </cell>
          <cell r="N116">
            <v>0</v>
          </cell>
          <cell r="O116">
            <v>-1</v>
          </cell>
          <cell r="P116" t="str">
            <v>ALL</v>
          </cell>
          <cell r="Q116">
            <v>2004</v>
          </cell>
          <cell r="R116" t="str">
            <v>DEARBORN PLANT BUILD</v>
          </cell>
          <cell r="S116" t="str">
            <v>P221/P397</v>
          </cell>
          <cell r="T116" t="str">
            <v>BELT MOLDING / DEFECTIVE</v>
          </cell>
          <cell r="U116">
            <v>5</v>
          </cell>
          <cell r="X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</row>
        <row r="117">
          <cell r="A117">
            <v>0</v>
          </cell>
          <cell r="B117" t="str">
            <v>ALL VRTS</v>
          </cell>
          <cell r="D117" t="str">
            <v>34602C</v>
          </cell>
          <cell r="F117" t="str">
            <v>Final Fitters</v>
          </cell>
          <cell r="H117" t="str">
            <v>B02</v>
          </cell>
          <cell r="I117" t="str">
            <v>B05</v>
          </cell>
          <cell r="K117" t="str">
            <v>V31</v>
          </cell>
          <cell r="M117">
            <v>0</v>
          </cell>
          <cell r="N117">
            <v>0</v>
          </cell>
          <cell r="O117">
            <v>-1</v>
          </cell>
          <cell r="P117" t="str">
            <v>ALL</v>
          </cell>
          <cell r="Q117">
            <v>2004</v>
          </cell>
          <cell r="R117" t="str">
            <v>DEARBORN PLANT BUILD</v>
          </cell>
          <cell r="S117" t="str">
            <v>P221/P397</v>
          </cell>
          <cell r="T117" t="str">
            <v>CC Door - Fit - Effort - RH Front</v>
          </cell>
          <cell r="U117">
            <v>5</v>
          </cell>
          <cell r="AB117">
            <v>5</v>
          </cell>
        </row>
        <row r="118">
          <cell r="A118">
            <v>0</v>
          </cell>
          <cell r="B118" t="str">
            <v>ALL VRTS</v>
          </cell>
          <cell r="D118" t="str">
            <v>5430</v>
          </cell>
          <cell r="F118" t="str">
            <v>T513M</v>
          </cell>
          <cell r="H118" t="str">
            <v>L87</v>
          </cell>
          <cell r="K118" t="str">
            <v>V44</v>
          </cell>
          <cell r="M118">
            <v>0</v>
          </cell>
          <cell r="N118">
            <v>-1</v>
          </cell>
          <cell r="O118">
            <v>0</v>
          </cell>
          <cell r="P118" t="str">
            <v>ALL</v>
          </cell>
          <cell r="Q118">
            <v>2004</v>
          </cell>
          <cell r="R118" t="str">
            <v>DEARBORN PLANT BUILD</v>
          </cell>
          <cell r="S118" t="str">
            <v>P221/P397</v>
          </cell>
          <cell r="T118" t="str">
            <v>COOLANT LEAK</v>
          </cell>
          <cell r="U118">
            <v>5</v>
          </cell>
          <cell r="AA118">
            <v>1</v>
          </cell>
          <cell r="AB118">
            <v>2</v>
          </cell>
          <cell r="AC118">
            <v>2</v>
          </cell>
        </row>
        <row r="119">
          <cell r="A119">
            <v>0</v>
          </cell>
          <cell r="B119" t="str">
            <v>ALL VRTS</v>
          </cell>
          <cell r="D119" t="str">
            <v>34502C</v>
          </cell>
          <cell r="F119" t="str">
            <v>Metal Finishers</v>
          </cell>
          <cell r="H119" t="str">
            <v>B01</v>
          </cell>
          <cell r="K119" t="str">
            <v>V31</v>
          </cell>
          <cell r="M119">
            <v>0</v>
          </cell>
          <cell r="N119">
            <v>0</v>
          </cell>
          <cell r="O119">
            <v>-1</v>
          </cell>
          <cell r="P119" t="str">
            <v>ALL</v>
          </cell>
          <cell r="Q119">
            <v>2004</v>
          </cell>
          <cell r="R119" t="str">
            <v>DEARBORN PLANT BUILD</v>
          </cell>
          <cell r="S119" t="str">
            <v>P221/P397</v>
          </cell>
          <cell r="T119" t="str">
            <v>Door - Surface RH Front</v>
          </cell>
          <cell r="U119">
            <v>5</v>
          </cell>
          <cell r="Z119">
            <v>1</v>
          </cell>
          <cell r="AA119">
            <v>2</v>
          </cell>
          <cell r="AB119">
            <v>1</v>
          </cell>
          <cell r="AC119">
            <v>1</v>
          </cell>
        </row>
        <row r="120">
          <cell r="A120">
            <v>0</v>
          </cell>
          <cell r="B120" t="str">
            <v>ALL VRTS</v>
          </cell>
          <cell r="H120" t="str">
            <v>G29</v>
          </cell>
          <cell r="I120" t="str">
            <v>A88</v>
          </cell>
          <cell r="K120" t="str">
            <v>V83</v>
          </cell>
          <cell r="M120">
            <v>0</v>
          </cell>
          <cell r="N120">
            <v>0</v>
          </cell>
          <cell r="O120">
            <v>-1</v>
          </cell>
          <cell r="P120" t="str">
            <v>ALL</v>
          </cell>
          <cell r="Q120">
            <v>2004</v>
          </cell>
          <cell r="R120" t="str">
            <v>DEARBORN PLANT BUILD</v>
          </cell>
          <cell r="S120" t="str">
            <v>P221/P397</v>
          </cell>
          <cell r="T120" t="str">
            <v>Engine Light on.</v>
          </cell>
          <cell r="U120">
            <v>5</v>
          </cell>
          <cell r="X120">
            <v>1</v>
          </cell>
          <cell r="Z120">
            <v>1</v>
          </cell>
          <cell r="AB120">
            <v>2</v>
          </cell>
          <cell r="AC120">
            <v>1</v>
          </cell>
        </row>
        <row r="121">
          <cell r="A121">
            <v>0</v>
          </cell>
          <cell r="B121" t="str">
            <v>ALL VRTS</v>
          </cell>
          <cell r="H121" t="str">
            <v>F07</v>
          </cell>
          <cell r="I121" t="str">
            <v>F12</v>
          </cell>
          <cell r="J121" t="str">
            <v>F20</v>
          </cell>
          <cell r="K121" t="str">
            <v>V33</v>
          </cell>
          <cell r="M121">
            <v>0</v>
          </cell>
          <cell r="N121">
            <v>0</v>
          </cell>
          <cell r="O121">
            <v>-1</v>
          </cell>
          <cell r="P121" t="str">
            <v>ALL</v>
          </cell>
          <cell r="Q121">
            <v>2004</v>
          </cell>
          <cell r="R121" t="str">
            <v>DEARBORN PLANT BUILD</v>
          </cell>
          <cell r="S121" t="str">
            <v>P221/P397</v>
          </cell>
          <cell r="T121" t="str">
            <v>Mar</v>
          </cell>
          <cell r="U121">
            <v>5</v>
          </cell>
          <cell r="Z121">
            <v>1</v>
          </cell>
          <cell r="AA121">
            <v>2</v>
          </cell>
          <cell r="AB121">
            <v>1</v>
          </cell>
          <cell r="AC121">
            <v>1</v>
          </cell>
        </row>
        <row r="122">
          <cell r="A122">
            <v>0</v>
          </cell>
          <cell r="B122" t="str">
            <v>ALL VRTS</v>
          </cell>
          <cell r="H122" t="str">
            <v>F06</v>
          </cell>
          <cell r="K122" t="str">
            <v>V33</v>
          </cell>
          <cell r="M122">
            <v>0</v>
          </cell>
          <cell r="N122">
            <v>0</v>
          </cell>
          <cell r="O122">
            <v>-1</v>
          </cell>
          <cell r="P122" t="str">
            <v>ALL</v>
          </cell>
          <cell r="Q122">
            <v>2004</v>
          </cell>
          <cell r="R122" t="str">
            <v>DEARBORN PLANT BUILD</v>
          </cell>
          <cell r="S122" t="str">
            <v>P221/P397</v>
          </cell>
          <cell r="T122" t="str">
            <v>Peeled Paint</v>
          </cell>
          <cell r="U122">
            <v>5</v>
          </cell>
          <cell r="X122">
            <v>3</v>
          </cell>
          <cell r="AA122">
            <v>1</v>
          </cell>
          <cell r="AB122">
            <v>1</v>
          </cell>
        </row>
        <row r="123">
          <cell r="A123">
            <v>0</v>
          </cell>
          <cell r="B123" t="str">
            <v>ALL VRTS</v>
          </cell>
          <cell r="H123" t="str">
            <v>J04</v>
          </cell>
          <cell r="I123" t="str">
            <v>J03</v>
          </cell>
          <cell r="K123" t="str">
            <v>V09</v>
          </cell>
          <cell r="M123">
            <v>0</v>
          </cell>
          <cell r="N123">
            <v>-1</v>
          </cell>
          <cell r="O123">
            <v>0</v>
          </cell>
          <cell r="P123" t="str">
            <v>ALL</v>
          </cell>
          <cell r="Q123">
            <v>2004</v>
          </cell>
          <cell r="R123" t="str">
            <v>DEARBORN PLANT BUILD</v>
          </cell>
          <cell r="S123" t="str">
            <v>P221/P397</v>
          </cell>
          <cell r="T123" t="str">
            <v>SUNROOF GLASS</v>
          </cell>
          <cell r="U123">
            <v>5</v>
          </cell>
          <cell r="Y123">
            <v>1</v>
          </cell>
          <cell r="Z123">
            <v>1</v>
          </cell>
          <cell r="AB123">
            <v>2</v>
          </cell>
          <cell r="AC123">
            <v>1</v>
          </cell>
        </row>
        <row r="124">
          <cell r="A124">
            <v>0</v>
          </cell>
          <cell r="B124" t="str">
            <v>ALL VRTS</v>
          </cell>
          <cell r="D124" t="str">
            <v>6440</v>
          </cell>
          <cell r="F124" t="str">
            <v>C2W36B</v>
          </cell>
          <cell r="H124" t="str">
            <v>L69</v>
          </cell>
          <cell r="K124" t="str">
            <v>V25</v>
          </cell>
          <cell r="L124" t="str">
            <v>V44</v>
          </cell>
          <cell r="M124">
            <v>0</v>
          </cell>
          <cell r="N124">
            <v>-1</v>
          </cell>
          <cell r="O124">
            <v>0</v>
          </cell>
          <cell r="P124" t="str">
            <v>ALL</v>
          </cell>
          <cell r="Q124">
            <v>2004</v>
          </cell>
          <cell r="R124" t="str">
            <v>DEARBORN PLANT BUILD</v>
          </cell>
          <cell r="S124" t="str">
            <v>P221/P397</v>
          </cell>
          <cell r="T124" t="str">
            <v xml:space="preserve"> FUEL GAUGE TROUBLES</v>
          </cell>
          <cell r="U124">
            <v>4</v>
          </cell>
          <cell r="X124">
            <v>1</v>
          </cell>
          <cell r="Y124">
            <v>1</v>
          </cell>
          <cell r="Z124">
            <v>1</v>
          </cell>
          <cell r="AB124">
            <v>1</v>
          </cell>
        </row>
        <row r="125">
          <cell r="A125">
            <v>0</v>
          </cell>
          <cell r="B125" t="str">
            <v>ALL VRTS</v>
          </cell>
          <cell r="H125" t="str">
            <v>D42</v>
          </cell>
          <cell r="K125" t="str">
            <v>V41</v>
          </cell>
          <cell r="M125">
            <v>-1</v>
          </cell>
          <cell r="N125">
            <v>-1</v>
          </cell>
          <cell r="O125">
            <v>0</v>
          </cell>
          <cell r="P125" t="str">
            <v>ALL</v>
          </cell>
          <cell r="Q125">
            <v>2004</v>
          </cell>
          <cell r="R125" t="str">
            <v>DEARBORN PLANT BUILD</v>
          </cell>
          <cell r="S125" t="str">
            <v>P221/P397</v>
          </cell>
          <cell r="T125" t="str">
            <v xml:space="preserve"> LOW ENG. PERFORMANCE</v>
          </cell>
          <cell r="U125">
            <v>4</v>
          </cell>
          <cell r="X125">
            <v>2</v>
          </cell>
          <cell r="Y125">
            <v>1</v>
          </cell>
          <cell r="AC125">
            <v>1</v>
          </cell>
        </row>
        <row r="126">
          <cell r="A126">
            <v>0</v>
          </cell>
          <cell r="B126" t="str">
            <v>ALL VRTS</v>
          </cell>
          <cell r="H126" t="str">
            <v>F12</v>
          </cell>
          <cell r="K126" t="str">
            <v>V33</v>
          </cell>
          <cell r="M126">
            <v>0</v>
          </cell>
          <cell r="N126">
            <v>0</v>
          </cell>
          <cell r="O126">
            <v>-1</v>
          </cell>
          <cell r="P126" t="str">
            <v>ALL</v>
          </cell>
          <cell r="Q126">
            <v>2004</v>
          </cell>
          <cell r="R126" t="str">
            <v>DEARBORN PLANT BUILD</v>
          </cell>
          <cell r="S126" t="str">
            <v>P221/P397</v>
          </cell>
          <cell r="T126" t="str">
            <v>Acid Rain</v>
          </cell>
          <cell r="U126">
            <v>4</v>
          </cell>
          <cell r="X126">
            <v>1</v>
          </cell>
          <cell r="AA126">
            <v>2</v>
          </cell>
          <cell r="AB126">
            <v>1</v>
          </cell>
        </row>
        <row r="127">
          <cell r="A127">
            <v>0</v>
          </cell>
          <cell r="B127" t="str">
            <v>ALL VRTS</v>
          </cell>
          <cell r="H127" t="str">
            <v>C27</v>
          </cell>
          <cell r="I127" t="str">
            <v>C25</v>
          </cell>
          <cell r="J127" t="str">
            <v>C26</v>
          </cell>
          <cell r="K127" t="str">
            <v>V19</v>
          </cell>
          <cell r="M127">
            <v>0</v>
          </cell>
          <cell r="N127">
            <v>-1</v>
          </cell>
          <cell r="O127">
            <v>0</v>
          </cell>
          <cell r="P127" t="str">
            <v>ALL</v>
          </cell>
          <cell r="Q127">
            <v>2004</v>
          </cell>
          <cell r="R127" t="str">
            <v>DEARBORN PLANT BUILD</v>
          </cell>
          <cell r="S127" t="str">
            <v>P221/P397</v>
          </cell>
          <cell r="T127" t="str">
            <v>Battery Light On</v>
          </cell>
          <cell r="U127">
            <v>4</v>
          </cell>
          <cell r="AA127">
            <v>2</v>
          </cell>
          <cell r="AB127">
            <v>2</v>
          </cell>
        </row>
        <row r="128">
          <cell r="A128">
            <v>0</v>
          </cell>
          <cell r="B128" t="str">
            <v>ALL VRTS</v>
          </cell>
          <cell r="D128" t="str">
            <v>Box Line 5400-2-B</v>
          </cell>
          <cell r="E128" t="str">
            <v>box Line 5410-2-B</v>
          </cell>
          <cell r="F128" t="str">
            <v>TBE 26B</v>
          </cell>
          <cell r="G128" t="str">
            <v>TBE38B</v>
          </cell>
          <cell r="H128" t="str">
            <v>B64</v>
          </cell>
          <cell r="I128" t="str">
            <v>B66</v>
          </cell>
          <cell r="K128" t="str">
            <v>V75</v>
          </cell>
          <cell r="M128">
            <v>0</v>
          </cell>
          <cell r="N128">
            <v>0</v>
          </cell>
          <cell r="O128">
            <v>-1</v>
          </cell>
          <cell r="P128" t="str">
            <v>ALL</v>
          </cell>
          <cell r="Q128">
            <v>2004</v>
          </cell>
          <cell r="R128" t="str">
            <v>DEARBORN PLANT BUILD</v>
          </cell>
          <cell r="S128" t="str">
            <v>P221/P397</v>
          </cell>
          <cell r="T128" t="str">
            <v>BED RAIL MOLDING / WARPED</v>
          </cell>
          <cell r="U128">
            <v>4</v>
          </cell>
          <cell r="AA128">
            <v>1</v>
          </cell>
          <cell r="AB128">
            <v>1</v>
          </cell>
          <cell r="AC128">
            <v>2</v>
          </cell>
        </row>
        <row r="129">
          <cell r="A129">
            <v>0</v>
          </cell>
          <cell r="B129" t="str">
            <v>ALL VRTS</v>
          </cell>
          <cell r="D129" t="str">
            <v>Chassis 2 6440-2-D</v>
          </cell>
          <cell r="F129" t="str">
            <v>C2W48-52B</v>
          </cell>
          <cell r="H129" t="str">
            <v>B07</v>
          </cell>
          <cell r="K129" t="str">
            <v>V75</v>
          </cell>
          <cell r="M129">
            <v>0</v>
          </cell>
          <cell r="N129">
            <v>0</v>
          </cell>
          <cell r="O129">
            <v>-1</v>
          </cell>
          <cell r="P129" t="str">
            <v>ALL</v>
          </cell>
          <cell r="Q129">
            <v>2004</v>
          </cell>
          <cell r="R129" t="str">
            <v>DEARBORN PLANT BUILD</v>
          </cell>
          <cell r="S129" t="str">
            <v>P221/P397</v>
          </cell>
          <cell r="T129" t="str">
            <v>BUMPER / REAR / MISALIGNED</v>
          </cell>
          <cell r="U129">
            <v>4</v>
          </cell>
          <cell r="Y129">
            <v>1</v>
          </cell>
          <cell r="AB129">
            <v>3</v>
          </cell>
        </row>
        <row r="130">
          <cell r="A130">
            <v>0</v>
          </cell>
          <cell r="B130" t="str">
            <v>ALL VRTS</v>
          </cell>
          <cell r="D130" t="str">
            <v>6490</v>
          </cell>
          <cell r="F130" t="str">
            <v>C4W16R</v>
          </cell>
          <cell r="H130" t="str">
            <v>B74</v>
          </cell>
          <cell r="K130" t="str">
            <v>V74</v>
          </cell>
          <cell r="M130">
            <v>0</v>
          </cell>
          <cell r="N130">
            <v>0</v>
          </cell>
          <cell r="O130">
            <v>-1</v>
          </cell>
          <cell r="P130" t="str">
            <v>ALL</v>
          </cell>
          <cell r="Q130">
            <v>2004</v>
          </cell>
          <cell r="R130" t="str">
            <v>DEARBORN PLANT BUILD</v>
          </cell>
          <cell r="S130" t="str">
            <v>P221/P397</v>
          </cell>
          <cell r="T130" t="str">
            <v>CARPET</v>
          </cell>
          <cell r="U130">
            <v>4</v>
          </cell>
          <cell r="Z130">
            <v>3</v>
          </cell>
          <cell r="AB130">
            <v>1</v>
          </cell>
        </row>
        <row r="131">
          <cell r="A131">
            <v>0</v>
          </cell>
          <cell r="B131" t="str">
            <v>ALL VRTS</v>
          </cell>
          <cell r="H131" t="str">
            <v>L25</v>
          </cell>
          <cell r="K131" t="str">
            <v>V77</v>
          </cell>
          <cell r="M131">
            <v>0</v>
          </cell>
          <cell r="N131">
            <v>-1</v>
          </cell>
          <cell r="O131">
            <v>-1</v>
          </cell>
          <cell r="P131" t="str">
            <v>ALL</v>
          </cell>
          <cell r="Q131">
            <v>2004</v>
          </cell>
          <cell r="R131" t="str">
            <v>DEARBORN PLANT BUILD</v>
          </cell>
          <cell r="S131" t="str">
            <v>P221/P397</v>
          </cell>
          <cell r="T131" t="str">
            <v>Cluster Lights Inop</v>
          </cell>
          <cell r="U131">
            <v>4</v>
          </cell>
          <cell r="AA131">
            <v>1</v>
          </cell>
          <cell r="AB131">
            <v>1</v>
          </cell>
          <cell r="AC131">
            <v>2</v>
          </cell>
        </row>
        <row r="132">
          <cell r="A132">
            <v>0</v>
          </cell>
          <cell r="B132" t="str">
            <v>ALL VRTS</v>
          </cell>
          <cell r="D132" t="str">
            <v>5330</v>
          </cell>
          <cell r="E132" t="str">
            <v>5350</v>
          </cell>
          <cell r="F132" t="str">
            <v>TDW18-R</v>
          </cell>
          <cell r="G132" t="str">
            <v>TDE09-L</v>
          </cell>
          <cell r="H132" t="str">
            <v>L06</v>
          </cell>
          <cell r="I132" t="str">
            <v>L07</v>
          </cell>
          <cell r="J132" t="str">
            <v>L15</v>
          </cell>
          <cell r="K132" t="str">
            <v>V07</v>
          </cell>
          <cell r="M132">
            <v>0</v>
          </cell>
          <cell r="N132">
            <v>0</v>
          </cell>
          <cell r="O132">
            <v>-1</v>
          </cell>
          <cell r="P132" t="str">
            <v>ALL</v>
          </cell>
          <cell r="Q132">
            <v>2004</v>
          </cell>
          <cell r="R132" t="str">
            <v>DEARBORN PLANT BUILD</v>
          </cell>
          <cell r="S132" t="str">
            <v>P221/P397</v>
          </cell>
          <cell r="T132" t="str">
            <v>DOOR HARD TO OPEN</v>
          </cell>
          <cell r="U132">
            <v>4</v>
          </cell>
          <cell r="Y132">
            <v>1</v>
          </cell>
          <cell r="Z132">
            <v>2</v>
          </cell>
          <cell r="AB132">
            <v>1</v>
          </cell>
        </row>
        <row r="133">
          <cell r="A133">
            <v>0</v>
          </cell>
          <cell r="B133" t="str">
            <v>ALL VRTS</v>
          </cell>
          <cell r="D133" t="str">
            <v>5340</v>
          </cell>
          <cell r="F133" t="str">
            <v>TDE31-L</v>
          </cell>
          <cell r="H133" t="str">
            <v>L07</v>
          </cell>
          <cell r="I133" t="str">
            <v>L06</v>
          </cell>
          <cell r="J133" t="str">
            <v>L17</v>
          </cell>
          <cell r="K133" t="str">
            <v>V07</v>
          </cell>
          <cell r="M133">
            <v>0</v>
          </cell>
          <cell r="N133">
            <v>-1</v>
          </cell>
          <cell r="O133">
            <v>-1</v>
          </cell>
          <cell r="P133" t="str">
            <v>ALL</v>
          </cell>
          <cell r="Q133">
            <v>2004</v>
          </cell>
          <cell r="R133" t="str">
            <v>DEARBORN PLANT BUILD</v>
          </cell>
          <cell r="S133" t="str">
            <v>P221/P397</v>
          </cell>
          <cell r="T133" t="str">
            <v>DOOR LOCK FUNCTION</v>
          </cell>
          <cell r="U133">
            <v>4</v>
          </cell>
          <cell r="AB133">
            <v>1</v>
          </cell>
          <cell r="AC133">
            <v>3</v>
          </cell>
        </row>
        <row r="134">
          <cell r="A134">
            <v>0</v>
          </cell>
          <cell r="B134" t="str">
            <v>ALL VRTS</v>
          </cell>
          <cell r="H134" t="str">
            <v>B66</v>
          </cell>
          <cell r="K134" t="str">
            <v>V75</v>
          </cell>
          <cell r="M134">
            <v>0</v>
          </cell>
          <cell r="N134">
            <v>-1</v>
          </cell>
          <cell r="O134">
            <v>0</v>
          </cell>
          <cell r="P134" t="str">
            <v>ALL</v>
          </cell>
          <cell r="Q134">
            <v>2004</v>
          </cell>
          <cell r="R134" t="str">
            <v>DEARBORN PLANT BUILD</v>
          </cell>
          <cell r="S134" t="str">
            <v>P221/P397</v>
          </cell>
          <cell r="T134" t="str">
            <v>GRILLE / PAINT PEELING</v>
          </cell>
          <cell r="U134">
            <v>4</v>
          </cell>
          <cell r="AC134">
            <v>4</v>
          </cell>
        </row>
        <row r="135">
          <cell r="A135">
            <v>0</v>
          </cell>
          <cell r="B135" t="str">
            <v>ALL VRTS</v>
          </cell>
          <cell r="D135" t="str">
            <v>Trim 4 5690-G</v>
          </cell>
          <cell r="E135" t="str">
            <v>Trim 4 5590-2-G</v>
          </cell>
          <cell r="F135" t="str">
            <v>T4W19L</v>
          </cell>
          <cell r="G135" t="str">
            <v>T4E36R</v>
          </cell>
          <cell r="H135" t="str">
            <v>B63</v>
          </cell>
          <cell r="I135" t="str">
            <v>B66</v>
          </cell>
          <cell r="K135" t="str">
            <v>V75</v>
          </cell>
          <cell r="M135">
            <v>0</v>
          </cell>
          <cell r="N135">
            <v>0</v>
          </cell>
          <cell r="O135">
            <v>-1</v>
          </cell>
          <cell r="P135" t="str">
            <v>ALL</v>
          </cell>
          <cell r="Q135">
            <v>2004</v>
          </cell>
          <cell r="R135" t="str">
            <v>DEARBORN PLANT BUILD</v>
          </cell>
          <cell r="S135" t="str">
            <v>P221/P397</v>
          </cell>
          <cell r="T135" t="str">
            <v>NAMEPLATE / FENDER / MISMATCH</v>
          </cell>
          <cell r="U135">
            <v>4</v>
          </cell>
          <cell r="Z135">
            <v>2</v>
          </cell>
          <cell r="AA135">
            <v>2</v>
          </cell>
        </row>
        <row r="136">
          <cell r="A136">
            <v>0</v>
          </cell>
          <cell r="B136" t="str">
            <v>ALL VRTS</v>
          </cell>
          <cell r="C136" t="str">
            <v>X</v>
          </cell>
          <cell r="D136" t="str">
            <v>6360</v>
          </cell>
          <cell r="E136" t="str">
            <v>6450</v>
          </cell>
          <cell r="F136" t="str">
            <v>CEE37L</v>
          </cell>
          <cell r="G136" t="str">
            <v>C2E47F</v>
          </cell>
          <cell r="H136" t="str">
            <v>L68</v>
          </cell>
          <cell r="I136" t="str">
            <v>H22</v>
          </cell>
          <cell r="K136" t="str">
            <v>V87</v>
          </cell>
          <cell r="M136">
            <v>0</v>
          </cell>
          <cell r="N136">
            <v>0</v>
          </cell>
          <cell r="O136">
            <v>-1</v>
          </cell>
          <cell r="P136" t="str">
            <v>ALL</v>
          </cell>
          <cell r="Q136">
            <v>2004</v>
          </cell>
          <cell r="R136" t="str">
            <v>DEARBORN PLANT BUILD</v>
          </cell>
          <cell r="S136" t="str">
            <v>P221/P397</v>
          </cell>
          <cell r="T136" t="str">
            <v>P/S LOW</v>
          </cell>
          <cell r="U136">
            <v>4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</row>
        <row r="137">
          <cell r="A137">
            <v>0</v>
          </cell>
          <cell r="B137" t="str">
            <v>ALL VRTS</v>
          </cell>
          <cell r="D137" t="str">
            <v>T4 5580-2-G</v>
          </cell>
          <cell r="F137" t="str">
            <v>T4W01-09L</v>
          </cell>
          <cell r="H137" t="str">
            <v>M06</v>
          </cell>
          <cell r="K137" t="str">
            <v>V13</v>
          </cell>
          <cell r="M137">
            <v>0</v>
          </cell>
          <cell r="N137">
            <v>-1</v>
          </cell>
          <cell r="O137">
            <v>-1</v>
          </cell>
          <cell r="P137" t="str">
            <v>ALL</v>
          </cell>
          <cell r="Q137">
            <v>2004</v>
          </cell>
          <cell r="R137" t="str">
            <v>DEARBORN PLANT BUILD</v>
          </cell>
          <cell r="S137" t="str">
            <v>P221/P397</v>
          </cell>
          <cell r="T137" t="str">
            <v>Rearview Mirror defective</v>
          </cell>
          <cell r="U137">
            <v>4</v>
          </cell>
          <cell r="AA137">
            <v>2</v>
          </cell>
          <cell r="AB137">
            <v>2</v>
          </cell>
        </row>
        <row r="138">
          <cell r="A138">
            <v>0</v>
          </cell>
          <cell r="B138" t="str">
            <v>ALL VRTS</v>
          </cell>
          <cell r="D138" t="str">
            <v>6540</v>
          </cell>
          <cell r="F138" t="str">
            <v>C5E23L</v>
          </cell>
          <cell r="G138" t="str">
            <v>C5W22R</v>
          </cell>
          <cell r="H138" t="str">
            <v>T53</v>
          </cell>
          <cell r="K138" t="str">
            <v>V74</v>
          </cell>
          <cell r="M138">
            <v>0</v>
          </cell>
          <cell r="N138">
            <v>-1</v>
          </cell>
          <cell r="O138">
            <v>-1</v>
          </cell>
          <cell r="P138" t="str">
            <v>ALL</v>
          </cell>
          <cell r="Q138">
            <v>2004</v>
          </cell>
          <cell r="R138" t="str">
            <v>DEARBORN PLANT BUILD</v>
          </cell>
          <cell r="S138" t="str">
            <v>P221/P397</v>
          </cell>
          <cell r="T138" t="str">
            <v>SCUFF PLATES</v>
          </cell>
          <cell r="U138">
            <v>4</v>
          </cell>
          <cell r="AA138">
            <v>1</v>
          </cell>
          <cell r="AB138">
            <v>2</v>
          </cell>
          <cell r="AC138">
            <v>1</v>
          </cell>
        </row>
        <row r="139">
          <cell r="A139">
            <v>0</v>
          </cell>
          <cell r="B139" t="str">
            <v>ALL VRTS</v>
          </cell>
          <cell r="H139" t="str">
            <v>A37</v>
          </cell>
          <cell r="K139" t="str">
            <v>V83</v>
          </cell>
          <cell r="M139">
            <v>0</v>
          </cell>
          <cell r="N139">
            <v>-1</v>
          </cell>
          <cell r="O139">
            <v>0</v>
          </cell>
          <cell r="P139" t="str">
            <v>ALL</v>
          </cell>
          <cell r="Q139">
            <v>2004</v>
          </cell>
          <cell r="R139" t="str">
            <v>DEARBORN PLANT BUILD</v>
          </cell>
          <cell r="S139" t="str">
            <v>P221/P397</v>
          </cell>
          <cell r="T139" t="str">
            <v>Speedo INOP</v>
          </cell>
          <cell r="U139">
            <v>4</v>
          </cell>
          <cell r="AB139">
            <v>2</v>
          </cell>
          <cell r="AC139">
            <v>2</v>
          </cell>
        </row>
        <row r="140">
          <cell r="A140">
            <v>0</v>
          </cell>
          <cell r="B140" t="str">
            <v>ALL VRTS</v>
          </cell>
          <cell r="C140" t="str">
            <v>X</v>
          </cell>
          <cell r="H140" t="str">
            <v>TB6</v>
          </cell>
          <cell r="I140" t="str">
            <v>TB2</v>
          </cell>
          <cell r="K140" t="str">
            <v>V88</v>
          </cell>
          <cell r="M140">
            <v>0</v>
          </cell>
          <cell r="N140">
            <v>-1</v>
          </cell>
          <cell r="O140">
            <v>0</v>
          </cell>
          <cell r="P140" t="str">
            <v>ALL</v>
          </cell>
          <cell r="Q140">
            <v>2004</v>
          </cell>
          <cell r="R140" t="str">
            <v>DEARBORN PLANT BUILD</v>
          </cell>
          <cell r="S140" t="str">
            <v>P221/P397</v>
          </cell>
          <cell r="T140" t="str">
            <v>TIRES, LEAK</v>
          </cell>
          <cell r="U140">
            <v>4</v>
          </cell>
          <cell r="Z140">
            <v>3</v>
          </cell>
          <cell r="AB140">
            <v>1</v>
          </cell>
        </row>
        <row r="141">
          <cell r="A141">
            <v>0</v>
          </cell>
          <cell r="B141" t="str">
            <v>ALL VRTS</v>
          </cell>
          <cell r="D141" t="str">
            <v>6340</v>
          </cell>
          <cell r="F141" t="str">
            <v>CEE23L</v>
          </cell>
          <cell r="H141" t="str">
            <v>N18</v>
          </cell>
          <cell r="K141" t="str">
            <v>V49</v>
          </cell>
          <cell r="M141">
            <v>0</v>
          </cell>
          <cell r="N141">
            <v>0</v>
          </cell>
          <cell r="O141">
            <v>-1</v>
          </cell>
          <cell r="P141" t="str">
            <v>ALL</v>
          </cell>
          <cell r="Q141">
            <v>2004</v>
          </cell>
          <cell r="R141" t="str">
            <v>DEARBORN PLANT BUILD</v>
          </cell>
          <cell r="S141" t="str">
            <v>P221/P397</v>
          </cell>
          <cell r="T141" t="str">
            <v>TRANS. NOISE</v>
          </cell>
          <cell r="U141">
            <v>4</v>
          </cell>
          <cell r="AB141">
            <v>4</v>
          </cell>
        </row>
        <row r="142">
          <cell r="A142">
            <v>0</v>
          </cell>
          <cell r="B142" t="str">
            <v>ALL VRTS</v>
          </cell>
          <cell r="H142" t="str">
            <v>P67</v>
          </cell>
          <cell r="I142" t="str">
            <v>P69</v>
          </cell>
          <cell r="J142" t="str">
            <v>P66</v>
          </cell>
          <cell r="K142" t="str">
            <v>V48</v>
          </cell>
          <cell r="M142">
            <v>-1</v>
          </cell>
          <cell r="N142">
            <v>-1</v>
          </cell>
          <cell r="O142">
            <v>0</v>
          </cell>
          <cell r="P142" t="str">
            <v>ALL</v>
          </cell>
          <cell r="Q142">
            <v>2004</v>
          </cell>
          <cell r="R142" t="str">
            <v>DEARBORN PLANT BUILD</v>
          </cell>
          <cell r="S142" t="str">
            <v>P221/P397</v>
          </cell>
          <cell r="T142" t="str">
            <v>TRANS.ERRATIC SHIFTING</v>
          </cell>
          <cell r="U142">
            <v>4</v>
          </cell>
          <cell r="W142">
            <v>1</v>
          </cell>
          <cell r="Y142">
            <v>1</v>
          </cell>
          <cell r="AB142">
            <v>2</v>
          </cell>
        </row>
        <row r="143">
          <cell r="A143">
            <v>0</v>
          </cell>
          <cell r="B143" t="str">
            <v>ALL VRTS</v>
          </cell>
          <cell r="D143" t="str">
            <v>unsure</v>
          </cell>
          <cell r="E143" t="str">
            <v>…</v>
          </cell>
          <cell r="F143" t="str">
            <v>Sheet Metal</v>
          </cell>
          <cell r="G143" t="str">
            <v>T1E22R</v>
          </cell>
          <cell r="H143" t="str">
            <v>R02</v>
          </cell>
          <cell r="I143" t="str">
            <v>R10</v>
          </cell>
          <cell r="K143" t="str">
            <v>V37</v>
          </cell>
          <cell r="M143">
            <v>0</v>
          </cell>
          <cell r="N143">
            <v>0</v>
          </cell>
          <cell r="O143">
            <v>-1</v>
          </cell>
          <cell r="P143" t="str">
            <v>ALL</v>
          </cell>
          <cell r="Q143">
            <v>2004</v>
          </cell>
          <cell r="R143" t="str">
            <v>DEARBORN PLANT BUILD</v>
          </cell>
          <cell r="S143" t="str">
            <v>P221/P397</v>
          </cell>
          <cell r="T143" t="str">
            <v>WAter Leak Around Front Side Door/Window</v>
          </cell>
          <cell r="U143">
            <v>4</v>
          </cell>
          <cell r="X143">
            <v>1</v>
          </cell>
          <cell r="Z143">
            <v>1</v>
          </cell>
          <cell r="AB143">
            <v>1</v>
          </cell>
          <cell r="AC143">
            <v>1</v>
          </cell>
        </row>
        <row r="144">
          <cell r="A144">
            <v>0</v>
          </cell>
          <cell r="B144" t="str">
            <v>ALL VRTS</v>
          </cell>
          <cell r="H144" t="str">
            <v>R02</v>
          </cell>
          <cell r="I144" t="str">
            <v>R09</v>
          </cell>
          <cell r="J144" t="str">
            <v>R10</v>
          </cell>
          <cell r="K144" t="str">
            <v>V37</v>
          </cell>
          <cell r="M144">
            <v>0</v>
          </cell>
          <cell r="N144">
            <v>0</v>
          </cell>
          <cell r="O144">
            <v>-1</v>
          </cell>
          <cell r="P144" t="str">
            <v>ALL</v>
          </cell>
          <cell r="Q144">
            <v>2004</v>
          </cell>
          <cell r="R144" t="str">
            <v>DEARBORN PLANT BUILD</v>
          </cell>
          <cell r="S144" t="str">
            <v>P221/P397</v>
          </cell>
          <cell r="T144" t="str">
            <v>Water Leak Around Windshield</v>
          </cell>
          <cell r="U144">
            <v>4</v>
          </cell>
          <cell r="Z144">
            <v>1</v>
          </cell>
          <cell r="AA144">
            <v>1</v>
          </cell>
          <cell r="AB144">
            <v>2</v>
          </cell>
        </row>
        <row r="145">
          <cell r="A145">
            <v>0</v>
          </cell>
          <cell r="B145" t="str">
            <v>ALL VRTS</v>
          </cell>
          <cell r="C145" t="str">
            <v>X</v>
          </cell>
          <cell r="D145" t="str">
            <v>unsure</v>
          </cell>
          <cell r="F145" t="str">
            <v>T4W03L</v>
          </cell>
          <cell r="G145" t="str">
            <v>T2W01L</v>
          </cell>
          <cell r="H145" t="str">
            <v>R21</v>
          </cell>
          <cell r="I145" t="str">
            <v>R31</v>
          </cell>
          <cell r="J145" t="str">
            <v>R30</v>
          </cell>
          <cell r="K145" t="str">
            <v>V11</v>
          </cell>
          <cell r="M145">
            <v>0</v>
          </cell>
          <cell r="N145">
            <v>0</v>
          </cell>
          <cell r="O145">
            <v>-1</v>
          </cell>
          <cell r="P145" t="str">
            <v>ALL</v>
          </cell>
          <cell r="Q145">
            <v>2004</v>
          </cell>
          <cell r="R145" t="str">
            <v>DEARBORN PLANT BUILD</v>
          </cell>
          <cell r="S145" t="str">
            <v>P221/P397</v>
          </cell>
          <cell r="T145" t="str">
            <v>Wind Noise Around Windshield</v>
          </cell>
          <cell r="U145">
            <v>4</v>
          </cell>
          <cell r="Y145">
            <v>1</v>
          </cell>
          <cell r="AB145">
            <v>3</v>
          </cell>
        </row>
        <row r="146">
          <cell r="A146">
            <v>0</v>
          </cell>
          <cell r="B146" t="str">
            <v>ALL VRTS</v>
          </cell>
          <cell r="C146" t="str">
            <v>X</v>
          </cell>
          <cell r="D146" t="str">
            <v>7330</v>
          </cell>
          <cell r="F146" t="str">
            <v>m12</v>
          </cell>
          <cell r="H146" t="str">
            <v>H62</v>
          </cell>
          <cell r="K146" t="str">
            <v>V89</v>
          </cell>
          <cell r="M146">
            <v>0</v>
          </cell>
          <cell r="N146">
            <v>-1</v>
          </cell>
          <cell r="O146">
            <v>0</v>
          </cell>
          <cell r="P146" t="str">
            <v>ALL</v>
          </cell>
          <cell r="Q146">
            <v>2004</v>
          </cell>
          <cell r="R146" t="str">
            <v>DEARBORN PLANT BUILD</v>
          </cell>
          <cell r="S146" t="str">
            <v>P221/P397</v>
          </cell>
          <cell r="T146" t="str">
            <v xml:space="preserve"> DEFECTIVE TIRE</v>
          </cell>
          <cell r="U146">
            <v>3</v>
          </cell>
          <cell r="Z146">
            <v>1</v>
          </cell>
          <cell r="AB146">
            <v>1</v>
          </cell>
          <cell r="AC146">
            <v>1</v>
          </cell>
        </row>
        <row r="147">
          <cell r="A147">
            <v>0</v>
          </cell>
          <cell r="B147" t="str">
            <v>ALL VRTS</v>
          </cell>
          <cell r="D147" t="str">
            <v>34602C</v>
          </cell>
          <cell r="F147" t="str">
            <v>Final Fitters</v>
          </cell>
          <cell r="H147" t="str">
            <v>B05</v>
          </cell>
          <cell r="K147" t="str">
            <v>V31</v>
          </cell>
          <cell r="M147">
            <v>0</v>
          </cell>
          <cell r="N147">
            <v>0</v>
          </cell>
          <cell r="O147">
            <v>-1</v>
          </cell>
          <cell r="P147" t="str">
            <v>ALL</v>
          </cell>
          <cell r="Q147">
            <v>2004</v>
          </cell>
          <cell r="R147" t="str">
            <v>DEARBORN PLANT BUILD</v>
          </cell>
          <cell r="S147" t="str">
            <v>P221/P397</v>
          </cell>
          <cell r="T147" t="str">
            <v xml:space="preserve"> Tailgate - Fit - Effort</v>
          </cell>
          <cell r="U147">
            <v>3</v>
          </cell>
          <cell r="X147">
            <v>1</v>
          </cell>
          <cell r="AA147">
            <v>1</v>
          </cell>
          <cell r="AB147">
            <v>1</v>
          </cell>
        </row>
        <row r="148">
          <cell r="A148">
            <v>0</v>
          </cell>
          <cell r="B148" t="str">
            <v>ALL VRTS</v>
          </cell>
          <cell r="H148" t="str">
            <v>G29</v>
          </cell>
          <cell r="I148" t="str">
            <v>A85</v>
          </cell>
          <cell r="J148" t="str">
            <v>A88</v>
          </cell>
          <cell r="K148" t="str">
            <v>V83</v>
          </cell>
          <cell r="M148">
            <v>0</v>
          </cell>
          <cell r="N148">
            <v>0</v>
          </cell>
          <cell r="O148">
            <v>-1</v>
          </cell>
          <cell r="P148" t="str">
            <v>ALL</v>
          </cell>
          <cell r="Q148">
            <v>2004</v>
          </cell>
          <cell r="R148" t="str">
            <v>DEARBORN PLANT BUILD</v>
          </cell>
          <cell r="S148" t="str">
            <v>P221/P397</v>
          </cell>
          <cell r="T148" t="str">
            <v>ABS Light On</v>
          </cell>
          <cell r="U148">
            <v>3</v>
          </cell>
          <cell r="Z148">
            <v>1</v>
          </cell>
          <cell r="AB148">
            <v>1</v>
          </cell>
          <cell r="AC148">
            <v>1</v>
          </cell>
        </row>
        <row r="149">
          <cell r="A149">
            <v>0</v>
          </cell>
          <cell r="B149" t="str">
            <v>ALL VRTS</v>
          </cell>
          <cell r="H149" t="str">
            <v>B66</v>
          </cell>
          <cell r="I149" t="str">
            <v>B62</v>
          </cell>
          <cell r="K149" t="str">
            <v>V75</v>
          </cell>
          <cell r="M149">
            <v>0</v>
          </cell>
          <cell r="N149">
            <v>-1</v>
          </cell>
          <cell r="O149">
            <v>0</v>
          </cell>
          <cell r="P149" t="str">
            <v>ALL</v>
          </cell>
          <cell r="Q149">
            <v>2004</v>
          </cell>
          <cell r="R149" t="str">
            <v>DEARBORN PLANT BUILD</v>
          </cell>
          <cell r="S149" t="str">
            <v>P221/P397</v>
          </cell>
          <cell r="T149" t="str">
            <v>B PILLAR APPLIQUE / DISCOLORED</v>
          </cell>
          <cell r="U149">
            <v>3</v>
          </cell>
          <cell r="AB149">
            <v>3</v>
          </cell>
        </row>
        <row r="150">
          <cell r="A150">
            <v>0</v>
          </cell>
          <cell r="B150" t="str">
            <v>ALL VRTS</v>
          </cell>
          <cell r="H150" t="str">
            <v>B66</v>
          </cell>
          <cell r="K150" t="str">
            <v>V75</v>
          </cell>
          <cell r="M150">
            <v>0</v>
          </cell>
          <cell r="N150">
            <v>-1</v>
          </cell>
          <cell r="O150">
            <v>0</v>
          </cell>
          <cell r="P150" t="str">
            <v>ALL</v>
          </cell>
          <cell r="Q150">
            <v>2004</v>
          </cell>
          <cell r="R150" t="str">
            <v>DEARBORN PLANT BUILD</v>
          </cell>
          <cell r="S150" t="str">
            <v>P221/P397</v>
          </cell>
          <cell r="T150" t="str">
            <v>BED EXTENDER / DEFECTIVE</v>
          </cell>
          <cell r="U150">
            <v>3</v>
          </cell>
          <cell r="AB150">
            <v>3</v>
          </cell>
        </row>
        <row r="151">
          <cell r="A151">
            <v>0</v>
          </cell>
          <cell r="B151" t="str">
            <v>ALL VRTS</v>
          </cell>
          <cell r="D151" t="str">
            <v>Box Line 5400-2-B</v>
          </cell>
          <cell r="F151" t="str">
            <v>TBE 26B</v>
          </cell>
          <cell r="G151" t="str">
            <v>TBW33F</v>
          </cell>
          <cell r="H151" t="str">
            <v>B62</v>
          </cell>
          <cell r="I151" t="str">
            <v>B64</v>
          </cell>
          <cell r="K151" t="str">
            <v>V75</v>
          </cell>
          <cell r="M151">
            <v>0</v>
          </cell>
          <cell r="N151">
            <v>0</v>
          </cell>
          <cell r="O151">
            <v>-1</v>
          </cell>
          <cell r="P151" t="str">
            <v>ALL</v>
          </cell>
          <cell r="Q151">
            <v>2004</v>
          </cell>
          <cell r="R151" t="str">
            <v>DEARBORN PLANT BUILD</v>
          </cell>
          <cell r="S151" t="str">
            <v>P221/P397</v>
          </cell>
          <cell r="T151" t="str">
            <v>BED RAIL MOLDING / FLAWED</v>
          </cell>
          <cell r="U151">
            <v>3</v>
          </cell>
          <cell r="W151">
            <v>1</v>
          </cell>
          <cell r="AC151">
            <v>2</v>
          </cell>
        </row>
        <row r="152">
          <cell r="A152">
            <v>0</v>
          </cell>
          <cell r="B152" t="str">
            <v>ALL VRTS</v>
          </cell>
          <cell r="C152" t="str">
            <v>X</v>
          </cell>
          <cell r="D152" t="str">
            <v>6490</v>
          </cell>
          <cell r="F152" t="str">
            <v>C4E25L</v>
          </cell>
          <cell r="H152" t="str">
            <v>H02</v>
          </cell>
          <cell r="K152" t="str">
            <v>V21</v>
          </cell>
          <cell r="M152">
            <v>0</v>
          </cell>
          <cell r="N152">
            <v>-1</v>
          </cell>
          <cell r="O152">
            <v>0</v>
          </cell>
          <cell r="P152" t="str">
            <v>ALL</v>
          </cell>
          <cell r="Q152">
            <v>2004</v>
          </cell>
          <cell r="R152" t="str">
            <v>DEARBORN PLANT BUILD</v>
          </cell>
          <cell r="S152" t="str">
            <v>P221/P397</v>
          </cell>
          <cell r="T152" t="str">
            <v>BRAKES, GRAB OR LOCK-UP</v>
          </cell>
          <cell r="U152">
            <v>3</v>
          </cell>
          <cell r="Y152">
            <v>2</v>
          </cell>
          <cell r="AA152">
            <v>1</v>
          </cell>
        </row>
        <row r="153">
          <cell r="A153">
            <v>0</v>
          </cell>
          <cell r="B153" t="str">
            <v>ALL VRTS</v>
          </cell>
          <cell r="H153" t="str">
            <v>F07</v>
          </cell>
          <cell r="K153" t="str">
            <v>V33</v>
          </cell>
          <cell r="M153">
            <v>0</v>
          </cell>
          <cell r="N153">
            <v>0</v>
          </cell>
          <cell r="O153">
            <v>-1</v>
          </cell>
          <cell r="P153" t="str">
            <v>ALL</v>
          </cell>
          <cell r="Q153">
            <v>2004</v>
          </cell>
          <cell r="R153" t="str">
            <v>DEARBORN PLANT BUILD</v>
          </cell>
          <cell r="S153" t="str">
            <v>P221/P397</v>
          </cell>
          <cell r="T153" t="str">
            <v>Bubbles/Blisters</v>
          </cell>
          <cell r="U153">
            <v>3</v>
          </cell>
          <cell r="Y153">
            <v>1</v>
          </cell>
          <cell r="AB153">
            <v>2</v>
          </cell>
        </row>
        <row r="154">
          <cell r="A154">
            <v>0</v>
          </cell>
          <cell r="B154" t="str">
            <v>ALL VRTS</v>
          </cell>
          <cell r="H154" t="str">
            <v>F41</v>
          </cell>
          <cell r="I154" t="str">
            <v>F36</v>
          </cell>
          <cell r="K154" t="str">
            <v>V75</v>
          </cell>
          <cell r="M154">
            <v>0</v>
          </cell>
          <cell r="N154">
            <v>-1</v>
          </cell>
          <cell r="O154">
            <v>0</v>
          </cell>
          <cell r="P154" t="str">
            <v>ALL</v>
          </cell>
          <cell r="Q154">
            <v>2004</v>
          </cell>
          <cell r="R154" t="str">
            <v>DEARBORN PLANT BUILD</v>
          </cell>
          <cell r="S154" t="str">
            <v>P221/P397</v>
          </cell>
          <cell r="T154" t="str">
            <v>BUMPER / FRONT / DISCOLORED</v>
          </cell>
          <cell r="U154">
            <v>3</v>
          </cell>
          <cell r="AB154">
            <v>3</v>
          </cell>
        </row>
        <row r="155">
          <cell r="A155">
            <v>0</v>
          </cell>
          <cell r="B155" t="str">
            <v>ALL VRTS</v>
          </cell>
          <cell r="C155" t="str">
            <v>X</v>
          </cell>
          <cell r="D155" t="str">
            <v>6370</v>
          </cell>
          <cell r="F155" t="str">
            <v>C1E17F</v>
          </cell>
          <cell r="H155" t="str">
            <v>E35</v>
          </cell>
          <cell r="I155" t="str">
            <v>H44</v>
          </cell>
          <cell r="J155" t="str">
            <v>C50</v>
          </cell>
          <cell r="K155" t="str">
            <v>V89</v>
          </cell>
          <cell r="M155">
            <v>0</v>
          </cell>
          <cell r="N155">
            <v>-1</v>
          </cell>
          <cell r="O155">
            <v>0</v>
          </cell>
          <cell r="P155" t="str">
            <v>ALL</v>
          </cell>
          <cell r="Q155">
            <v>2004</v>
          </cell>
          <cell r="R155" t="str">
            <v>DEARBORN PLANT BUILD</v>
          </cell>
          <cell r="S155" t="str">
            <v>P221/P397</v>
          </cell>
          <cell r="T155" t="str">
            <v>Chassis Component</v>
          </cell>
          <cell r="U155">
            <v>3</v>
          </cell>
          <cell r="AA155">
            <v>1</v>
          </cell>
          <cell r="AB155">
            <v>2</v>
          </cell>
        </row>
        <row r="156">
          <cell r="A156">
            <v>0</v>
          </cell>
          <cell r="B156" t="str">
            <v>ALL VRTS</v>
          </cell>
          <cell r="H156" t="str">
            <v>F07</v>
          </cell>
          <cell r="I156" t="str">
            <v>F05</v>
          </cell>
          <cell r="K156" t="str">
            <v>V33</v>
          </cell>
          <cell r="M156">
            <v>0</v>
          </cell>
          <cell r="N156">
            <v>0</v>
          </cell>
          <cell r="O156">
            <v>-1</v>
          </cell>
          <cell r="P156" t="str">
            <v>ALL</v>
          </cell>
          <cell r="Q156">
            <v>2004</v>
          </cell>
          <cell r="R156" t="str">
            <v>DEARBORN PLANT BUILD</v>
          </cell>
          <cell r="S156" t="str">
            <v>P221/P397</v>
          </cell>
          <cell r="T156" t="str">
            <v>Clearcoat Drips</v>
          </cell>
          <cell r="U156">
            <v>3</v>
          </cell>
          <cell r="AA156">
            <v>1</v>
          </cell>
          <cell r="AB156">
            <v>2</v>
          </cell>
        </row>
        <row r="157">
          <cell r="A157">
            <v>0</v>
          </cell>
          <cell r="B157" t="str">
            <v>ALL VRTS</v>
          </cell>
          <cell r="H157" t="str">
            <v>A85</v>
          </cell>
          <cell r="I157" t="str">
            <v>A88</v>
          </cell>
          <cell r="K157" t="str">
            <v>V17</v>
          </cell>
          <cell r="M157">
            <v>-1</v>
          </cell>
          <cell r="N157">
            <v>0</v>
          </cell>
          <cell r="O157">
            <v>0</v>
          </cell>
          <cell r="P157" t="str">
            <v>ALL</v>
          </cell>
          <cell r="Q157">
            <v>2004</v>
          </cell>
          <cell r="R157" t="str">
            <v>DEARBORN PLANT BUILD</v>
          </cell>
          <cell r="S157" t="str">
            <v>P221/P397</v>
          </cell>
          <cell r="T157" t="str">
            <v>Compass INOP.</v>
          </cell>
          <cell r="U157">
            <v>3</v>
          </cell>
          <cell r="Y157">
            <v>1</v>
          </cell>
          <cell r="AB157">
            <v>1</v>
          </cell>
          <cell r="AC157">
            <v>1</v>
          </cell>
        </row>
        <row r="158">
          <cell r="A158">
            <v>0</v>
          </cell>
          <cell r="B158" t="str">
            <v>ALL VRTS</v>
          </cell>
          <cell r="H158" t="str">
            <v>B63</v>
          </cell>
          <cell r="I158" t="str">
            <v>B66</v>
          </cell>
          <cell r="K158" t="str">
            <v>V75</v>
          </cell>
          <cell r="M158">
            <v>0</v>
          </cell>
          <cell r="N158">
            <v>0</v>
          </cell>
          <cell r="O158">
            <v>-1</v>
          </cell>
          <cell r="P158" t="str">
            <v>ALL</v>
          </cell>
          <cell r="Q158">
            <v>2004</v>
          </cell>
          <cell r="R158" t="str">
            <v>DEARBORN PLANT BUILD</v>
          </cell>
          <cell r="S158" t="str">
            <v>P221/P397</v>
          </cell>
          <cell r="T158" t="str">
            <v>Cowl Panel/ defective</v>
          </cell>
          <cell r="U158">
            <v>3</v>
          </cell>
          <cell r="Z158">
            <v>1</v>
          </cell>
          <cell r="AB158">
            <v>2</v>
          </cell>
        </row>
        <row r="159">
          <cell r="A159">
            <v>0</v>
          </cell>
          <cell r="B159" t="str">
            <v>ALL VRTS</v>
          </cell>
          <cell r="D159" t="str">
            <v>Box Line 5400-2-B</v>
          </cell>
          <cell r="F159" t="str">
            <v>TBE 26B</v>
          </cell>
          <cell r="G159" t="str">
            <v>TBE27F</v>
          </cell>
          <cell r="H159" t="str">
            <v>B66</v>
          </cell>
          <cell r="K159" t="str">
            <v>V75</v>
          </cell>
          <cell r="M159">
            <v>0</v>
          </cell>
          <cell r="N159">
            <v>0</v>
          </cell>
          <cell r="O159">
            <v>-1</v>
          </cell>
          <cell r="P159" t="str">
            <v>ALL</v>
          </cell>
          <cell r="Q159">
            <v>2004</v>
          </cell>
          <cell r="R159" t="str">
            <v>DEARBORN PLANT BUILD</v>
          </cell>
          <cell r="S159" t="str">
            <v>P221/P397</v>
          </cell>
          <cell r="T159" t="str">
            <v>DECAL / BOX / PEELING</v>
          </cell>
          <cell r="U159">
            <v>3</v>
          </cell>
          <cell r="AB159">
            <v>3</v>
          </cell>
        </row>
        <row r="160">
          <cell r="A160">
            <v>0</v>
          </cell>
          <cell r="B160" t="str">
            <v>ALL VRTS</v>
          </cell>
          <cell r="D160" t="str">
            <v>34502C</v>
          </cell>
          <cell r="F160" t="str">
            <v>Metal Finishers</v>
          </cell>
          <cell r="H160" t="str">
            <v>B01</v>
          </cell>
          <cell r="K160" t="str">
            <v>V31</v>
          </cell>
          <cell r="M160">
            <v>0</v>
          </cell>
          <cell r="N160">
            <v>0</v>
          </cell>
          <cell r="O160">
            <v>-1</v>
          </cell>
          <cell r="P160" t="str">
            <v>ALL</v>
          </cell>
          <cell r="Q160">
            <v>2004</v>
          </cell>
          <cell r="R160" t="str">
            <v>DEARBORN PLANT BUILD</v>
          </cell>
          <cell r="S160" t="str">
            <v>P221/P397</v>
          </cell>
          <cell r="T160" t="str">
            <v>Door - Surface LH Rear</v>
          </cell>
          <cell r="U160">
            <v>3</v>
          </cell>
          <cell r="AB160">
            <v>1</v>
          </cell>
          <cell r="AC160">
            <v>2</v>
          </cell>
        </row>
        <row r="161">
          <cell r="A161">
            <v>0</v>
          </cell>
          <cell r="B161" t="str">
            <v>ALL VRTS</v>
          </cell>
          <cell r="D161" t="str">
            <v>34502C</v>
          </cell>
          <cell r="F161" t="str">
            <v>Metal Finishers</v>
          </cell>
          <cell r="H161" t="str">
            <v>B01</v>
          </cell>
          <cell r="I161" t="str">
            <v>B19</v>
          </cell>
          <cell r="K161" t="str">
            <v>V31</v>
          </cell>
          <cell r="M161">
            <v>0</v>
          </cell>
          <cell r="N161">
            <v>0</v>
          </cell>
          <cell r="O161">
            <v>-1</v>
          </cell>
          <cell r="P161" t="str">
            <v>ALL</v>
          </cell>
          <cell r="Q161">
            <v>2004</v>
          </cell>
          <cell r="R161" t="str">
            <v>DEARBORN PLANT BUILD</v>
          </cell>
          <cell r="S161" t="str">
            <v>P221/P397</v>
          </cell>
          <cell r="T161" t="str">
            <v>Door - Surface RH Rear</v>
          </cell>
          <cell r="U161">
            <v>3</v>
          </cell>
          <cell r="AA161">
            <v>1</v>
          </cell>
          <cell r="AB161">
            <v>1</v>
          </cell>
          <cell r="AC161">
            <v>1</v>
          </cell>
        </row>
        <row r="162">
          <cell r="A162">
            <v>0</v>
          </cell>
          <cell r="B162" t="str">
            <v>ALL VRTS</v>
          </cell>
          <cell r="H162" t="str">
            <v>A85</v>
          </cell>
          <cell r="I162" t="str">
            <v>A88</v>
          </cell>
          <cell r="J162" t="str">
            <v>G29</v>
          </cell>
          <cell r="K162" t="str">
            <v>V17</v>
          </cell>
          <cell r="M162">
            <v>0</v>
          </cell>
          <cell r="N162">
            <v>0</v>
          </cell>
          <cell r="O162">
            <v>-1</v>
          </cell>
          <cell r="P162" t="str">
            <v>ALL</v>
          </cell>
          <cell r="Q162">
            <v>2004</v>
          </cell>
          <cell r="R162" t="str">
            <v>DEARBORN PLANT BUILD</v>
          </cell>
          <cell r="S162" t="str">
            <v>P221/P397</v>
          </cell>
          <cell r="T162" t="str">
            <v>Door Ajar Switch INOP</v>
          </cell>
          <cell r="U162">
            <v>3</v>
          </cell>
          <cell r="X162">
            <v>1</v>
          </cell>
          <cell r="AB162">
            <v>1</v>
          </cell>
          <cell r="AC162">
            <v>1</v>
          </cell>
        </row>
        <row r="163">
          <cell r="A163">
            <v>0</v>
          </cell>
          <cell r="B163" t="str">
            <v>ALL VRTS</v>
          </cell>
          <cell r="D163" t="str">
            <v>5380-2-A</v>
          </cell>
          <cell r="E163" t="str">
            <v>door line 5350-2-A</v>
          </cell>
          <cell r="F163" t="str">
            <v>TDW19L/20R</v>
          </cell>
          <cell r="G163" t="str">
            <v>TDW32R</v>
          </cell>
          <cell r="H163" t="str">
            <v>B64</v>
          </cell>
          <cell r="I163" t="str">
            <v>B66</v>
          </cell>
          <cell r="K163" t="str">
            <v>V75</v>
          </cell>
          <cell r="M163">
            <v>0</v>
          </cell>
          <cell r="N163">
            <v>0</v>
          </cell>
          <cell r="O163">
            <v>-1</v>
          </cell>
          <cell r="P163" t="str">
            <v>ALL</v>
          </cell>
          <cell r="Q163">
            <v>2004</v>
          </cell>
          <cell r="R163" t="str">
            <v>DEARBORN PLANT BUILD</v>
          </cell>
          <cell r="S163" t="str">
            <v>P221/P397</v>
          </cell>
          <cell r="T163" t="str">
            <v>DOOR HANDLE / POOR FIT</v>
          </cell>
          <cell r="U163">
            <v>3</v>
          </cell>
          <cell r="AA163">
            <v>1</v>
          </cell>
          <cell r="AB163">
            <v>1</v>
          </cell>
          <cell r="AC163">
            <v>1</v>
          </cell>
        </row>
        <row r="164">
          <cell r="A164">
            <v>0</v>
          </cell>
          <cell r="B164" t="str">
            <v>ALL VRTS</v>
          </cell>
          <cell r="C164" t="str">
            <v>X</v>
          </cell>
          <cell r="D164" t="str">
            <v>6390</v>
          </cell>
          <cell r="E164" t="str">
            <v>6400</v>
          </cell>
          <cell r="F164" t="str">
            <v>C1E43F</v>
          </cell>
          <cell r="G164" t="str">
            <v>C1E53FL</v>
          </cell>
          <cell r="H164" t="str">
            <v>E35</v>
          </cell>
          <cell r="I164" t="str">
            <v>C50</v>
          </cell>
          <cell r="K164" t="str">
            <v>V89</v>
          </cell>
          <cell r="M164">
            <v>0</v>
          </cell>
          <cell r="N164">
            <v>0</v>
          </cell>
          <cell r="O164">
            <v>-1</v>
          </cell>
          <cell r="P164" t="str">
            <v>ALL</v>
          </cell>
          <cell r="Q164">
            <v>2004</v>
          </cell>
          <cell r="R164" t="str">
            <v>DEARBORN PLANT BUILD</v>
          </cell>
          <cell r="S164" t="str">
            <v>P221/P397</v>
          </cell>
          <cell r="T164" t="str">
            <v>Front end Noise</v>
          </cell>
          <cell r="U164">
            <v>3</v>
          </cell>
          <cell r="Y164">
            <v>1</v>
          </cell>
          <cell r="Z164">
            <v>1</v>
          </cell>
          <cell r="AC164">
            <v>1</v>
          </cell>
        </row>
        <row r="165">
          <cell r="A165">
            <v>0</v>
          </cell>
          <cell r="B165" t="str">
            <v>ALL VRTS</v>
          </cell>
          <cell r="D165" t="str">
            <v>door line 5350-2-A</v>
          </cell>
          <cell r="F165" t="str">
            <v>TDW32R</v>
          </cell>
          <cell r="H165" t="str">
            <v>B63</v>
          </cell>
          <cell r="K165" t="str">
            <v>V75</v>
          </cell>
          <cell r="M165">
            <v>0</v>
          </cell>
          <cell r="N165">
            <v>0</v>
          </cell>
          <cell r="O165">
            <v>-1</v>
          </cell>
          <cell r="P165" t="str">
            <v>ALL</v>
          </cell>
          <cell r="Q165">
            <v>2004</v>
          </cell>
          <cell r="R165" t="str">
            <v>DEARBORN PLANT BUILD</v>
          </cell>
          <cell r="S165" t="str">
            <v>P221/P397</v>
          </cell>
          <cell r="T165" t="str">
            <v>Frt Door Window Mldg/ defective</v>
          </cell>
          <cell r="U165">
            <v>3</v>
          </cell>
          <cell r="AB165">
            <v>2</v>
          </cell>
          <cell r="AC165">
            <v>1</v>
          </cell>
        </row>
        <row r="166">
          <cell r="A166">
            <v>0</v>
          </cell>
          <cell r="B166" t="str">
            <v>ALL VRTS</v>
          </cell>
          <cell r="H166" t="str">
            <v>G29</v>
          </cell>
          <cell r="I166" t="str">
            <v>G32</v>
          </cell>
          <cell r="K166" t="str">
            <v>V83</v>
          </cell>
          <cell r="M166">
            <v>0</v>
          </cell>
          <cell r="N166">
            <v>-1</v>
          </cell>
          <cell r="O166">
            <v>0</v>
          </cell>
          <cell r="P166" t="str">
            <v>ALL</v>
          </cell>
          <cell r="Q166">
            <v>2004</v>
          </cell>
          <cell r="R166" t="str">
            <v>DEARBORN PLANT BUILD</v>
          </cell>
          <cell r="S166" t="str">
            <v>P221/P397</v>
          </cell>
          <cell r="T166" t="str">
            <v>Fuel Gage</v>
          </cell>
          <cell r="U166">
            <v>3</v>
          </cell>
          <cell r="Z166">
            <v>1</v>
          </cell>
          <cell r="AB166">
            <v>2</v>
          </cell>
        </row>
        <row r="167">
          <cell r="A167">
            <v>0</v>
          </cell>
          <cell r="B167" t="str">
            <v>ALL VRTS</v>
          </cell>
          <cell r="D167" t="str">
            <v>6340</v>
          </cell>
          <cell r="F167" t="str">
            <v>CEE39L</v>
          </cell>
          <cell r="H167" t="str">
            <v>E68</v>
          </cell>
          <cell r="K167" t="str">
            <v>V25</v>
          </cell>
          <cell r="M167">
            <v>-1</v>
          </cell>
          <cell r="N167">
            <v>-1</v>
          </cell>
          <cell r="O167">
            <v>0</v>
          </cell>
          <cell r="P167" t="str">
            <v>ALL</v>
          </cell>
          <cell r="Q167">
            <v>2004</v>
          </cell>
          <cell r="R167" t="str">
            <v>DEARBORN PLANT BUILD</v>
          </cell>
          <cell r="S167" t="str">
            <v>P221/P397</v>
          </cell>
          <cell r="T167" t="str">
            <v>FUEL LEAK</v>
          </cell>
          <cell r="U167">
            <v>3</v>
          </cell>
          <cell r="Z167">
            <v>1</v>
          </cell>
          <cell r="AB167">
            <v>2</v>
          </cell>
        </row>
        <row r="168">
          <cell r="A168">
            <v>0</v>
          </cell>
          <cell r="B168" t="str">
            <v>ALL VRTS</v>
          </cell>
          <cell r="D168" t="str">
            <v>Trim 3 5560-2-F</v>
          </cell>
          <cell r="F168" t="str">
            <v>T3E34 R</v>
          </cell>
          <cell r="H168" t="str">
            <v>B66</v>
          </cell>
          <cell r="I168" t="str">
            <v>B64</v>
          </cell>
          <cell r="K168" t="str">
            <v>V75</v>
          </cell>
          <cell r="M168">
            <v>0</v>
          </cell>
          <cell r="N168">
            <v>0</v>
          </cell>
          <cell r="O168">
            <v>-1</v>
          </cell>
          <cell r="P168" t="str">
            <v>ALL</v>
          </cell>
          <cell r="Q168">
            <v>2004</v>
          </cell>
          <cell r="R168" t="str">
            <v>DEARBORN PLANT BUILD</v>
          </cell>
          <cell r="S168" t="str">
            <v>P221/P397</v>
          </cell>
          <cell r="T168" t="str">
            <v>HEADLAMP / MISALIGNED</v>
          </cell>
          <cell r="U168">
            <v>3</v>
          </cell>
          <cell r="AB168">
            <v>1</v>
          </cell>
          <cell r="AC168">
            <v>2</v>
          </cell>
        </row>
        <row r="169">
          <cell r="A169">
            <v>0</v>
          </cell>
          <cell r="B169" t="str">
            <v>ALL VRTS</v>
          </cell>
          <cell r="D169" t="str">
            <v>5510</v>
          </cell>
          <cell r="F169" t="str">
            <v>T2E34R</v>
          </cell>
          <cell r="G169" t="str">
            <v>T2W33L</v>
          </cell>
          <cell r="H169" t="str">
            <v>B73</v>
          </cell>
          <cell r="K169" t="str">
            <v>V74</v>
          </cell>
          <cell r="M169">
            <v>0</v>
          </cell>
          <cell r="N169">
            <v>0</v>
          </cell>
          <cell r="O169">
            <v>0</v>
          </cell>
          <cell r="P169" t="str">
            <v>ALL</v>
          </cell>
          <cell r="Q169">
            <v>2004</v>
          </cell>
          <cell r="R169" t="str">
            <v>DEARBORN PLANT BUILD</v>
          </cell>
          <cell r="S169" t="str">
            <v>P221/P397</v>
          </cell>
          <cell r="T169" t="str">
            <v>HEADLINER RATTLES</v>
          </cell>
          <cell r="U169">
            <v>3</v>
          </cell>
          <cell r="Y169">
            <v>1</v>
          </cell>
          <cell r="AA169">
            <v>1</v>
          </cell>
          <cell r="AC169">
            <v>1</v>
          </cell>
        </row>
        <row r="170">
          <cell r="A170">
            <v>0</v>
          </cell>
          <cell r="B170" t="str">
            <v>ALL VRTS</v>
          </cell>
          <cell r="D170" t="str">
            <v>34602C</v>
          </cell>
          <cell r="F170" t="str">
            <v>Final Fitters</v>
          </cell>
          <cell r="H170" t="str">
            <v>B02</v>
          </cell>
          <cell r="K170" t="str">
            <v>V31</v>
          </cell>
          <cell r="M170">
            <v>0</v>
          </cell>
          <cell r="N170">
            <v>0</v>
          </cell>
          <cell r="O170">
            <v>-1</v>
          </cell>
          <cell r="P170" t="str">
            <v>ALL</v>
          </cell>
          <cell r="Q170">
            <v>2004</v>
          </cell>
          <cell r="R170" t="str">
            <v>DEARBORN PLANT BUILD</v>
          </cell>
          <cell r="S170" t="str">
            <v>P221/P397</v>
          </cell>
          <cell r="T170" t="str">
            <v>Hood - Fit- Effort</v>
          </cell>
          <cell r="U170">
            <v>3</v>
          </cell>
          <cell r="Z170">
            <v>1</v>
          </cell>
          <cell r="AA170">
            <v>1</v>
          </cell>
          <cell r="AB170">
            <v>1</v>
          </cell>
        </row>
        <row r="171">
          <cell r="A171">
            <v>0</v>
          </cell>
          <cell r="B171" t="str">
            <v>ALL VRTS</v>
          </cell>
          <cell r="H171" t="str">
            <v>A85</v>
          </cell>
          <cell r="K171" t="str">
            <v>V19</v>
          </cell>
          <cell r="M171">
            <v>0</v>
          </cell>
          <cell r="N171">
            <v>0</v>
          </cell>
          <cell r="O171">
            <v>-1</v>
          </cell>
          <cell r="P171" t="str">
            <v>ALL</v>
          </cell>
          <cell r="Q171">
            <v>2004</v>
          </cell>
          <cell r="R171" t="str">
            <v>DEARBORN PLANT BUILD</v>
          </cell>
          <cell r="S171" t="str">
            <v>P221/P397</v>
          </cell>
          <cell r="T171" t="str">
            <v>Key INOP</v>
          </cell>
          <cell r="U171">
            <v>3</v>
          </cell>
          <cell r="AA171">
            <v>1</v>
          </cell>
          <cell r="AB171">
            <v>1</v>
          </cell>
          <cell r="AC171">
            <v>1</v>
          </cell>
        </row>
        <row r="172">
          <cell r="A172">
            <v>0</v>
          </cell>
          <cell r="B172" t="str">
            <v>ALL VRTS</v>
          </cell>
          <cell r="H172" t="str">
            <v>L23</v>
          </cell>
          <cell r="I172" t="str">
            <v>A85</v>
          </cell>
          <cell r="K172" t="str">
            <v>V07</v>
          </cell>
          <cell r="L172" t="str">
            <v>V17</v>
          </cell>
          <cell r="M172">
            <v>0</v>
          </cell>
          <cell r="N172">
            <v>0</v>
          </cell>
          <cell r="O172">
            <v>-1</v>
          </cell>
          <cell r="P172" t="str">
            <v>ALL</v>
          </cell>
          <cell r="Q172">
            <v>2004</v>
          </cell>
          <cell r="R172" t="str">
            <v>DEARBORN PLANT BUILD</v>
          </cell>
          <cell r="S172" t="str">
            <v>P221/P397</v>
          </cell>
          <cell r="T172" t="str">
            <v>KEY MISSING</v>
          </cell>
          <cell r="U172">
            <v>3</v>
          </cell>
          <cell r="AA172">
            <v>1</v>
          </cell>
          <cell r="AB172">
            <v>2</v>
          </cell>
        </row>
        <row r="173">
          <cell r="A173">
            <v>0</v>
          </cell>
          <cell r="B173" t="str">
            <v>ALL VRTS</v>
          </cell>
          <cell r="H173" t="str">
            <v>L88</v>
          </cell>
          <cell r="I173" t="str">
            <v>L86</v>
          </cell>
          <cell r="K173" t="str">
            <v>V44</v>
          </cell>
          <cell r="M173">
            <v>-1</v>
          </cell>
          <cell r="N173">
            <v>-1</v>
          </cell>
          <cell r="O173">
            <v>0</v>
          </cell>
          <cell r="P173" t="str">
            <v>ALL</v>
          </cell>
          <cell r="Q173">
            <v>2004</v>
          </cell>
          <cell r="R173" t="str">
            <v>DEARBORN PLANT BUILD</v>
          </cell>
          <cell r="S173" t="str">
            <v>P221/P397</v>
          </cell>
          <cell r="T173" t="str">
            <v>LEAK/TRANSFER CASE</v>
          </cell>
          <cell r="U173">
            <v>3</v>
          </cell>
          <cell r="AA173">
            <v>1</v>
          </cell>
          <cell r="AB173">
            <v>2</v>
          </cell>
        </row>
        <row r="174">
          <cell r="A174">
            <v>0</v>
          </cell>
          <cell r="B174" t="str">
            <v>ALL VRTS</v>
          </cell>
          <cell r="H174" t="str">
            <v>F30</v>
          </cell>
          <cell r="K174" t="str">
            <v>V33</v>
          </cell>
          <cell r="M174">
            <v>0</v>
          </cell>
          <cell r="N174">
            <v>0</v>
          </cell>
          <cell r="O174">
            <v>-1</v>
          </cell>
          <cell r="P174" t="str">
            <v>ALL</v>
          </cell>
          <cell r="Q174">
            <v>2004</v>
          </cell>
          <cell r="R174" t="str">
            <v>DEARBORN PLANT BUILD</v>
          </cell>
          <cell r="S174" t="str">
            <v>P221/P397</v>
          </cell>
          <cell r="T174" t="str">
            <v>Mismatch/Uneven</v>
          </cell>
          <cell r="U174">
            <v>3</v>
          </cell>
          <cell r="Y174">
            <v>1</v>
          </cell>
          <cell r="Z174">
            <v>2</v>
          </cell>
        </row>
        <row r="175">
          <cell r="A175">
            <v>0</v>
          </cell>
          <cell r="B175" t="str">
            <v>ALL VRTS</v>
          </cell>
          <cell r="H175" t="str">
            <v>B66</v>
          </cell>
          <cell r="I175" t="str">
            <v>B62</v>
          </cell>
          <cell r="K175" t="str">
            <v>V75</v>
          </cell>
          <cell r="M175">
            <v>0</v>
          </cell>
          <cell r="N175">
            <v>-1</v>
          </cell>
          <cell r="O175">
            <v>0</v>
          </cell>
          <cell r="P175" t="str">
            <v>ALL</v>
          </cell>
          <cell r="Q175">
            <v>2004</v>
          </cell>
          <cell r="R175" t="str">
            <v>DEARBORN PLANT BUILD</v>
          </cell>
          <cell r="S175" t="str">
            <v>P221/P397</v>
          </cell>
          <cell r="T175" t="str">
            <v>NAMEPLATE / F-150 / PAINT PEELING</v>
          </cell>
          <cell r="U175">
            <v>3</v>
          </cell>
          <cell r="Y175">
            <v>1</v>
          </cell>
          <cell r="AB175">
            <v>1</v>
          </cell>
          <cell r="AC175">
            <v>1</v>
          </cell>
        </row>
        <row r="176">
          <cell r="A176">
            <v>0</v>
          </cell>
          <cell r="B176" t="str">
            <v>ALL VRTS</v>
          </cell>
          <cell r="H176" t="str">
            <v>P59</v>
          </cell>
          <cell r="I176" t="str">
            <v>P51</v>
          </cell>
          <cell r="K176" t="str">
            <v>V48</v>
          </cell>
          <cell r="M176">
            <v>-1</v>
          </cell>
          <cell r="N176">
            <v>-1</v>
          </cell>
          <cell r="O176">
            <v>0</v>
          </cell>
          <cell r="P176" t="str">
            <v>ALL</v>
          </cell>
          <cell r="Q176">
            <v>2004</v>
          </cell>
          <cell r="R176" t="str">
            <v>DEARBORN PLANT BUILD</v>
          </cell>
          <cell r="S176" t="str">
            <v>P221/P397</v>
          </cell>
          <cell r="T176" t="str">
            <v>O D LIGHT FLASHING</v>
          </cell>
          <cell r="U176">
            <v>3</v>
          </cell>
          <cell r="AB176">
            <v>1</v>
          </cell>
          <cell r="AC176">
            <v>2</v>
          </cell>
        </row>
        <row r="177">
          <cell r="A177">
            <v>0</v>
          </cell>
          <cell r="B177" t="str">
            <v>ALL VRTS</v>
          </cell>
          <cell r="H177" t="str">
            <v>A85</v>
          </cell>
          <cell r="K177" t="str">
            <v>V17</v>
          </cell>
          <cell r="M177">
            <v>0</v>
          </cell>
          <cell r="N177">
            <v>0</v>
          </cell>
          <cell r="O177">
            <v>-1</v>
          </cell>
          <cell r="P177" t="str">
            <v>ALL</v>
          </cell>
          <cell r="Q177">
            <v>2004</v>
          </cell>
          <cell r="R177" t="str">
            <v>DEARBORN PLANT BUILD</v>
          </cell>
          <cell r="S177" t="str">
            <v>P221/P397</v>
          </cell>
          <cell r="T177" t="str">
            <v>O/Drive Light INOP</v>
          </cell>
          <cell r="U177">
            <v>3</v>
          </cell>
          <cell r="W177">
            <v>1</v>
          </cell>
          <cell r="AA177">
            <v>1</v>
          </cell>
          <cell r="AB177">
            <v>1</v>
          </cell>
        </row>
        <row r="178">
          <cell r="A178">
            <v>0</v>
          </cell>
          <cell r="B178" t="str">
            <v>ALL VRTS</v>
          </cell>
          <cell r="H178" t="str">
            <v>F05</v>
          </cell>
          <cell r="I178" t="str">
            <v>F10</v>
          </cell>
          <cell r="J178" t="str">
            <v>F20</v>
          </cell>
          <cell r="K178" t="str">
            <v>V33</v>
          </cell>
          <cell r="M178">
            <v>0</v>
          </cell>
          <cell r="N178">
            <v>0</v>
          </cell>
          <cell r="O178">
            <v>-1</v>
          </cell>
          <cell r="P178" t="str">
            <v>ALL</v>
          </cell>
          <cell r="Q178">
            <v>2004</v>
          </cell>
          <cell r="R178" t="str">
            <v>DEARBORN PLANT BUILD</v>
          </cell>
          <cell r="S178" t="str">
            <v>P221/P397</v>
          </cell>
          <cell r="T178" t="str">
            <v>Orange Peel</v>
          </cell>
          <cell r="U178">
            <v>3</v>
          </cell>
          <cell r="AB178">
            <v>2</v>
          </cell>
          <cell r="AC178">
            <v>1</v>
          </cell>
        </row>
        <row r="179">
          <cell r="A179">
            <v>0</v>
          </cell>
          <cell r="B179" t="str">
            <v>ALL VRTS</v>
          </cell>
          <cell r="H179" t="str">
            <v>N59</v>
          </cell>
          <cell r="K179" t="str">
            <v>V39</v>
          </cell>
          <cell r="M179">
            <v>0</v>
          </cell>
          <cell r="N179">
            <v>0</v>
          </cell>
          <cell r="O179">
            <v>-1</v>
          </cell>
          <cell r="P179" t="str">
            <v>ALL</v>
          </cell>
          <cell r="Q179">
            <v>2004</v>
          </cell>
          <cell r="R179" t="str">
            <v>DEARBORN PLANT BUILD</v>
          </cell>
          <cell r="S179" t="str">
            <v>P221/P397</v>
          </cell>
          <cell r="T179" t="str">
            <v>Other Squeak/Rattle (Excluding Wind Noise)</v>
          </cell>
          <cell r="U179">
            <v>3</v>
          </cell>
          <cell r="AB179">
            <v>3</v>
          </cell>
        </row>
        <row r="180">
          <cell r="A180">
            <v>0</v>
          </cell>
          <cell r="B180" t="str">
            <v>ALL VRTS</v>
          </cell>
          <cell r="H180" t="str">
            <v>N51</v>
          </cell>
          <cell r="I180" t="str">
            <v>N59</v>
          </cell>
          <cell r="J180" t="str">
            <v>N30</v>
          </cell>
          <cell r="K180" t="str">
            <v>V39</v>
          </cell>
          <cell r="M180">
            <v>0</v>
          </cell>
          <cell r="N180">
            <v>0</v>
          </cell>
          <cell r="O180">
            <v>-1</v>
          </cell>
          <cell r="P180" t="str">
            <v>ALL</v>
          </cell>
          <cell r="Q180">
            <v>2004</v>
          </cell>
          <cell r="R180" t="str">
            <v>DEARBORN PLANT BUILD</v>
          </cell>
          <cell r="S180" t="str">
            <v>P221/P397</v>
          </cell>
          <cell r="T180" t="str">
            <v>Overhead Console Squeak/Rattle</v>
          </cell>
          <cell r="U180">
            <v>3</v>
          </cell>
          <cell r="W180">
            <v>1</v>
          </cell>
          <cell r="Z180">
            <v>2</v>
          </cell>
        </row>
        <row r="181">
          <cell r="A181">
            <v>0</v>
          </cell>
          <cell r="B181" t="str">
            <v>ALL VRTS</v>
          </cell>
          <cell r="H181" t="str">
            <v>L26</v>
          </cell>
          <cell r="I181" t="str">
            <v>L25</v>
          </cell>
          <cell r="K181" t="str">
            <v>V77</v>
          </cell>
          <cell r="M181">
            <v>0</v>
          </cell>
          <cell r="N181">
            <v>0</v>
          </cell>
          <cell r="O181">
            <v>-1</v>
          </cell>
          <cell r="P181" t="str">
            <v>ALL</v>
          </cell>
          <cell r="Q181">
            <v>2004</v>
          </cell>
          <cell r="R181" t="str">
            <v>DEARBORN PLANT BUILD</v>
          </cell>
          <cell r="S181" t="str">
            <v>P221/P397</v>
          </cell>
          <cell r="T181" t="str">
            <v>Park Aid Inop</v>
          </cell>
          <cell r="U181">
            <v>3</v>
          </cell>
          <cell r="AA181">
            <v>1</v>
          </cell>
          <cell r="AB181">
            <v>2</v>
          </cell>
        </row>
        <row r="182">
          <cell r="A182">
            <v>0</v>
          </cell>
          <cell r="B182" t="str">
            <v>ALL VRTS</v>
          </cell>
          <cell r="H182" t="str">
            <v>M05</v>
          </cell>
          <cell r="I182" t="str">
            <v>M06</v>
          </cell>
          <cell r="K182" t="str">
            <v>V13</v>
          </cell>
          <cell r="M182">
            <v>0</v>
          </cell>
          <cell r="N182">
            <v>-1</v>
          </cell>
          <cell r="O182">
            <v>0</v>
          </cell>
          <cell r="P182" t="str">
            <v>ALL</v>
          </cell>
          <cell r="Q182">
            <v>2004</v>
          </cell>
          <cell r="R182" t="str">
            <v>DEARBORN PLANT BUILD</v>
          </cell>
          <cell r="S182" t="str">
            <v>P221/P397</v>
          </cell>
          <cell r="T182" t="str">
            <v>POWER MIRROR  / DEFECTIVE</v>
          </cell>
          <cell r="U182">
            <v>3</v>
          </cell>
          <cell r="Z182">
            <v>1</v>
          </cell>
          <cell r="AB182">
            <v>1</v>
          </cell>
          <cell r="AC182">
            <v>1</v>
          </cell>
        </row>
        <row r="183">
          <cell r="A183">
            <v>0</v>
          </cell>
          <cell r="B183" t="str">
            <v>ALL VRTS</v>
          </cell>
          <cell r="H183" t="str">
            <v>A87</v>
          </cell>
          <cell r="I183" t="str">
            <v>A85</v>
          </cell>
          <cell r="K183" t="str">
            <v>V17</v>
          </cell>
          <cell r="M183">
            <v>0</v>
          </cell>
          <cell r="N183">
            <v>0</v>
          </cell>
          <cell r="O183">
            <v>-1</v>
          </cell>
          <cell r="P183" t="str">
            <v>ALL</v>
          </cell>
          <cell r="Q183">
            <v>2004</v>
          </cell>
          <cell r="R183" t="str">
            <v>DEARBORN PLANT BUILD</v>
          </cell>
          <cell r="S183" t="str">
            <v>P221/P397</v>
          </cell>
          <cell r="T183" t="str">
            <v>Rear Power Point</v>
          </cell>
          <cell r="U183">
            <v>3</v>
          </cell>
          <cell r="AB183">
            <v>3</v>
          </cell>
        </row>
        <row r="184">
          <cell r="A184">
            <v>0</v>
          </cell>
          <cell r="B184" t="str">
            <v>ALL VRTS</v>
          </cell>
          <cell r="H184" t="str">
            <v>F20</v>
          </cell>
          <cell r="I184" t="str">
            <v>F07</v>
          </cell>
          <cell r="J184" t="str">
            <v>F12</v>
          </cell>
          <cell r="K184" t="str">
            <v>V33</v>
          </cell>
          <cell r="M184">
            <v>0</v>
          </cell>
          <cell r="N184">
            <v>0</v>
          </cell>
          <cell r="O184">
            <v>-1</v>
          </cell>
          <cell r="P184" t="str">
            <v>ALL</v>
          </cell>
          <cell r="Q184">
            <v>2004</v>
          </cell>
          <cell r="R184" t="str">
            <v>DEARBORN PLANT BUILD</v>
          </cell>
          <cell r="S184" t="str">
            <v>P221/P397</v>
          </cell>
          <cell r="T184" t="str">
            <v>Sealer Under</v>
          </cell>
          <cell r="U184">
            <v>3</v>
          </cell>
          <cell r="Z184">
            <v>1</v>
          </cell>
          <cell r="AB184">
            <v>2</v>
          </cell>
        </row>
        <row r="185">
          <cell r="A185">
            <v>0</v>
          </cell>
          <cell r="B185" t="str">
            <v>ALL VRTS</v>
          </cell>
          <cell r="D185" t="str">
            <v>6540</v>
          </cell>
          <cell r="F185" t="str">
            <v>C5E17L</v>
          </cell>
          <cell r="H185" t="str">
            <v>S03</v>
          </cell>
          <cell r="K185" t="str">
            <v>V03</v>
          </cell>
          <cell r="M185">
            <v>0</v>
          </cell>
          <cell r="N185">
            <v>-1</v>
          </cell>
          <cell r="O185">
            <v>0</v>
          </cell>
          <cell r="P185" t="str">
            <v>ALL</v>
          </cell>
          <cell r="Q185">
            <v>2004</v>
          </cell>
          <cell r="R185" t="str">
            <v>DEARBORN PLANT BUILD</v>
          </cell>
          <cell r="S185" t="str">
            <v>P221/P397</v>
          </cell>
          <cell r="T185" t="str">
            <v>SEAT TRACK</v>
          </cell>
          <cell r="U185">
            <v>3</v>
          </cell>
          <cell r="Z185">
            <v>1</v>
          </cell>
          <cell r="AA185">
            <v>1</v>
          </cell>
          <cell r="AB185">
            <v>1</v>
          </cell>
        </row>
        <row r="186">
          <cell r="A186">
            <v>0</v>
          </cell>
          <cell r="B186" t="str">
            <v>ALL VRTS</v>
          </cell>
          <cell r="H186" t="str">
            <v>F07</v>
          </cell>
          <cell r="K186" t="str">
            <v>V33</v>
          </cell>
          <cell r="M186">
            <v>0</v>
          </cell>
          <cell r="N186">
            <v>0</v>
          </cell>
          <cell r="O186">
            <v>-1</v>
          </cell>
          <cell r="P186" t="str">
            <v>ALL</v>
          </cell>
          <cell r="Q186">
            <v>2004</v>
          </cell>
          <cell r="R186" t="str">
            <v>DEARBORN PLANT BUILD</v>
          </cell>
          <cell r="S186" t="str">
            <v>P221/P397</v>
          </cell>
          <cell r="T186" t="str">
            <v>Solvent Trapping</v>
          </cell>
          <cell r="U186">
            <v>3</v>
          </cell>
          <cell r="Y186">
            <v>2</v>
          </cell>
          <cell r="AB186">
            <v>1</v>
          </cell>
        </row>
        <row r="187">
          <cell r="A187">
            <v>0</v>
          </cell>
          <cell r="B187" t="str">
            <v>ALL VRTS</v>
          </cell>
          <cell r="C187" t="str">
            <v>X</v>
          </cell>
          <cell r="D187" t="str">
            <v>6480</v>
          </cell>
          <cell r="F187" t="str">
            <v>IC4E01L</v>
          </cell>
          <cell r="H187" t="str">
            <v>H21</v>
          </cell>
          <cell r="K187" t="str">
            <v>V87</v>
          </cell>
          <cell r="M187">
            <v>0</v>
          </cell>
          <cell r="N187">
            <v>-1</v>
          </cell>
          <cell r="O187">
            <v>0</v>
          </cell>
          <cell r="P187" t="str">
            <v>ALL</v>
          </cell>
          <cell r="Q187">
            <v>2004</v>
          </cell>
          <cell r="R187" t="str">
            <v>DEARBORN PLANT BUILD</v>
          </cell>
          <cell r="S187" t="str">
            <v>P221/P397</v>
          </cell>
          <cell r="T187" t="str">
            <v>STEERING, HAS EXCESSIVE FREE PLAY WANDER</v>
          </cell>
          <cell r="U187">
            <v>3</v>
          </cell>
          <cell r="AA187">
            <v>2</v>
          </cell>
          <cell r="AC187">
            <v>1</v>
          </cell>
        </row>
        <row r="188">
          <cell r="A188">
            <v>0</v>
          </cell>
          <cell r="B188" t="str">
            <v>ALL VRTS</v>
          </cell>
          <cell r="H188" t="str">
            <v>F30</v>
          </cell>
          <cell r="I188" t="str">
            <v>F07</v>
          </cell>
          <cell r="J188" t="str">
            <v>F13</v>
          </cell>
          <cell r="K188" t="str">
            <v>V33</v>
          </cell>
          <cell r="M188">
            <v>0</v>
          </cell>
          <cell r="N188">
            <v>0</v>
          </cell>
          <cell r="O188">
            <v>-1</v>
          </cell>
          <cell r="P188" t="str">
            <v>ALL</v>
          </cell>
          <cell r="Q188">
            <v>2004</v>
          </cell>
          <cell r="R188" t="str">
            <v>DEARBORN PLANT BUILD</v>
          </cell>
          <cell r="S188" t="str">
            <v>P221/P397</v>
          </cell>
          <cell r="T188" t="str">
            <v>Swirl Marks</v>
          </cell>
          <cell r="U188">
            <v>3</v>
          </cell>
          <cell r="AB188">
            <v>2</v>
          </cell>
          <cell r="AC188">
            <v>1</v>
          </cell>
        </row>
        <row r="189">
          <cell r="A189">
            <v>0</v>
          </cell>
          <cell r="B189" t="str">
            <v>ALL VRTS</v>
          </cell>
          <cell r="D189" t="str">
            <v>Trim 3 5560-2-F</v>
          </cell>
          <cell r="F189" t="str">
            <v>T3E34 R</v>
          </cell>
          <cell r="H189" t="str">
            <v>B63</v>
          </cell>
          <cell r="I189" t="str">
            <v>B65</v>
          </cell>
          <cell r="K189" t="str">
            <v>V75</v>
          </cell>
          <cell r="M189">
            <v>0</v>
          </cell>
          <cell r="N189">
            <v>0</v>
          </cell>
          <cell r="O189">
            <v>-1</v>
          </cell>
          <cell r="P189" t="str">
            <v>ALL</v>
          </cell>
          <cell r="Q189">
            <v>2004</v>
          </cell>
          <cell r="R189" t="str">
            <v>DEARBORN PLANT BUILD</v>
          </cell>
          <cell r="S189" t="str">
            <v>P221/P397</v>
          </cell>
          <cell r="T189" t="str">
            <v>WHEEL LIP MOLDING / LOOSE</v>
          </cell>
          <cell r="U189">
            <v>3</v>
          </cell>
          <cell r="AA189">
            <v>1</v>
          </cell>
          <cell r="AB189">
            <v>2</v>
          </cell>
        </row>
        <row r="190">
          <cell r="A190">
            <v>0</v>
          </cell>
          <cell r="B190" t="str">
            <v>ALL VRTS</v>
          </cell>
          <cell r="D190" t="str">
            <v>34502C</v>
          </cell>
          <cell r="F190" t="str">
            <v>Final Fitters</v>
          </cell>
          <cell r="H190" t="str">
            <v>B02</v>
          </cell>
          <cell r="K190" t="str">
            <v>V31</v>
          </cell>
          <cell r="M190">
            <v>0</v>
          </cell>
          <cell r="N190">
            <v>0</v>
          </cell>
          <cell r="O190">
            <v>-1</v>
          </cell>
          <cell r="P190" t="str">
            <v>ALL</v>
          </cell>
          <cell r="Q190">
            <v>2004</v>
          </cell>
          <cell r="R190" t="str">
            <v>DEARBORN PLANT BUILD</v>
          </cell>
          <cell r="S190" t="str">
            <v>P221/P397</v>
          </cell>
          <cell r="T190" t="str">
            <v xml:space="preserve"> Fender - Fit</v>
          </cell>
          <cell r="U190">
            <v>2</v>
          </cell>
          <cell r="X190">
            <v>1</v>
          </cell>
          <cell r="AB190">
            <v>1</v>
          </cell>
        </row>
        <row r="191">
          <cell r="A191">
            <v>0</v>
          </cell>
          <cell r="B191" t="str">
            <v>ALL VRTS</v>
          </cell>
          <cell r="H191" t="str">
            <v>A02</v>
          </cell>
          <cell r="I191" t="str">
            <v>A07</v>
          </cell>
          <cell r="K191" t="str">
            <v>V81</v>
          </cell>
          <cell r="M191">
            <v>0</v>
          </cell>
          <cell r="N191">
            <v>0</v>
          </cell>
          <cell r="O191">
            <v>-1</v>
          </cell>
          <cell r="P191" t="str">
            <v>ALL</v>
          </cell>
          <cell r="Q191">
            <v>2004</v>
          </cell>
          <cell r="R191" t="str">
            <v>DEARBORN PLANT BUILD</v>
          </cell>
          <cell r="S191" t="str">
            <v>P221/P397</v>
          </cell>
          <cell r="T191" t="str">
            <v>Antenna Base Cover/ Missing</v>
          </cell>
          <cell r="U191">
            <v>2</v>
          </cell>
          <cell r="AA191">
            <v>1</v>
          </cell>
          <cell r="AB191">
            <v>1</v>
          </cell>
        </row>
        <row r="192">
          <cell r="A192">
            <v>0</v>
          </cell>
          <cell r="B192" t="str">
            <v>ALL VRTS</v>
          </cell>
          <cell r="D192" t="str">
            <v>Trim 1 5450-2-D</v>
          </cell>
          <cell r="F192" t="str">
            <v>T1E08R</v>
          </cell>
          <cell r="H192" t="str">
            <v>B66</v>
          </cell>
          <cell r="K192" t="str">
            <v>V75</v>
          </cell>
          <cell r="M192">
            <v>0</v>
          </cell>
          <cell r="N192">
            <v>0</v>
          </cell>
          <cell r="O192">
            <v>-1</v>
          </cell>
          <cell r="P192" t="str">
            <v>ALL</v>
          </cell>
          <cell r="Q192">
            <v>2004</v>
          </cell>
          <cell r="R192" t="str">
            <v>DEARBORN PLANT BUILD</v>
          </cell>
          <cell r="S192" t="str">
            <v>P221/P397</v>
          </cell>
          <cell r="T192" t="str">
            <v>B PILLAR APPLIQUE / CROOKED</v>
          </cell>
          <cell r="U192">
            <v>2</v>
          </cell>
          <cell r="AA192">
            <v>1</v>
          </cell>
          <cell r="AC192">
            <v>1</v>
          </cell>
        </row>
        <row r="193">
          <cell r="A193">
            <v>0</v>
          </cell>
          <cell r="B193" t="str">
            <v>ALL VRTS</v>
          </cell>
          <cell r="D193" t="str">
            <v>5600</v>
          </cell>
          <cell r="F193" t="str">
            <v>T4E34R</v>
          </cell>
          <cell r="H193" t="str">
            <v>B74</v>
          </cell>
          <cell r="I193" t="str">
            <v>T90</v>
          </cell>
          <cell r="K193" t="str">
            <v>V74</v>
          </cell>
          <cell r="M193">
            <v>0</v>
          </cell>
          <cell r="N193">
            <v>-1</v>
          </cell>
          <cell r="O193">
            <v>-1</v>
          </cell>
          <cell r="P193" t="str">
            <v>ALL</v>
          </cell>
          <cell r="Q193">
            <v>2004</v>
          </cell>
          <cell r="R193" t="str">
            <v>DEARBORN PLANT BUILD</v>
          </cell>
          <cell r="S193" t="str">
            <v>P221/P397</v>
          </cell>
          <cell r="T193" t="str">
            <v>BACK PANEL</v>
          </cell>
          <cell r="U193">
            <v>2</v>
          </cell>
          <cell r="AB193">
            <v>2</v>
          </cell>
        </row>
        <row r="194">
          <cell r="A194">
            <v>0</v>
          </cell>
          <cell r="B194" t="str">
            <v>ALL VRTS</v>
          </cell>
          <cell r="H194" t="str">
            <v>H07</v>
          </cell>
          <cell r="I194" t="str">
            <v>H20</v>
          </cell>
          <cell r="K194" t="str">
            <v>V21</v>
          </cell>
          <cell r="M194">
            <v>-1</v>
          </cell>
          <cell r="N194">
            <v>-1</v>
          </cell>
          <cell r="O194">
            <v>0</v>
          </cell>
          <cell r="P194" t="str">
            <v>ALL</v>
          </cell>
          <cell r="Q194">
            <v>2004</v>
          </cell>
          <cell r="R194" t="str">
            <v>DEARBORN PLANT BUILD</v>
          </cell>
          <cell r="S194" t="str">
            <v>P221/P397</v>
          </cell>
          <cell r="T194" t="str">
            <v>BRAKES,PULLS</v>
          </cell>
          <cell r="U194">
            <v>2</v>
          </cell>
          <cell r="X194">
            <v>1</v>
          </cell>
          <cell r="AB194">
            <v>1</v>
          </cell>
        </row>
        <row r="195">
          <cell r="A195">
            <v>0</v>
          </cell>
          <cell r="B195" t="str">
            <v>ALL VRTS</v>
          </cell>
          <cell r="H195" t="str">
            <v>B06</v>
          </cell>
          <cell r="I195" t="str">
            <v>F37</v>
          </cell>
          <cell r="K195" t="str">
            <v>V75</v>
          </cell>
          <cell r="M195">
            <v>0</v>
          </cell>
          <cell r="N195">
            <v>-1</v>
          </cell>
          <cell r="O195">
            <v>0</v>
          </cell>
          <cell r="P195" t="str">
            <v>ALL</v>
          </cell>
          <cell r="Q195">
            <v>2004</v>
          </cell>
          <cell r="R195" t="str">
            <v>DEARBORN PLANT BUILD</v>
          </cell>
          <cell r="S195" t="str">
            <v>P221/P397</v>
          </cell>
          <cell r="T195" t="str">
            <v>Bumper / Front / Marred</v>
          </cell>
          <cell r="U195">
            <v>2</v>
          </cell>
          <cell r="Z195">
            <v>1</v>
          </cell>
          <cell r="AA195">
            <v>1</v>
          </cell>
        </row>
        <row r="196">
          <cell r="A196">
            <v>0</v>
          </cell>
          <cell r="B196" t="str">
            <v>ALL VRTS</v>
          </cell>
          <cell r="D196" t="str">
            <v>Chassis 2 6440-2-D</v>
          </cell>
          <cell r="F196" t="str">
            <v>C2W48-52B</v>
          </cell>
          <cell r="H196" t="str">
            <v>B07</v>
          </cell>
          <cell r="K196" t="str">
            <v>V75</v>
          </cell>
          <cell r="M196">
            <v>0</v>
          </cell>
          <cell r="N196">
            <v>0</v>
          </cell>
          <cell r="O196">
            <v>-1</v>
          </cell>
          <cell r="P196" t="str">
            <v>ALL</v>
          </cell>
          <cell r="Q196">
            <v>2004</v>
          </cell>
          <cell r="R196" t="str">
            <v>DEARBORN PLANT BUILD</v>
          </cell>
          <cell r="S196" t="str">
            <v>P221/P397</v>
          </cell>
          <cell r="T196" t="str">
            <v>BUMPER / FRONT / MISALIGNED</v>
          </cell>
          <cell r="U196">
            <v>2</v>
          </cell>
          <cell r="AB196">
            <v>2</v>
          </cell>
        </row>
        <row r="197">
          <cell r="A197">
            <v>0</v>
          </cell>
          <cell r="B197" t="str">
            <v>ALL VRTS</v>
          </cell>
          <cell r="H197" t="str">
            <v>F35</v>
          </cell>
          <cell r="I197" t="str">
            <v>F40</v>
          </cell>
          <cell r="K197" t="str">
            <v>V75</v>
          </cell>
          <cell r="M197">
            <v>0</v>
          </cell>
          <cell r="N197">
            <v>-1</v>
          </cell>
          <cell r="O197">
            <v>0</v>
          </cell>
          <cell r="P197" t="str">
            <v>ALL</v>
          </cell>
          <cell r="Q197">
            <v>2004</v>
          </cell>
          <cell r="R197" t="str">
            <v>DEARBORN PLANT BUILD</v>
          </cell>
          <cell r="S197" t="str">
            <v>P221/P397</v>
          </cell>
          <cell r="T197" t="str">
            <v>BUMPER COVER / DISCOLORED</v>
          </cell>
          <cell r="U197">
            <v>2</v>
          </cell>
          <cell r="AC197">
            <v>2</v>
          </cell>
        </row>
        <row r="198">
          <cell r="A198">
            <v>0</v>
          </cell>
          <cell r="B198" t="str">
            <v>ALL VRTS</v>
          </cell>
          <cell r="H198" t="str">
            <v>L26</v>
          </cell>
          <cell r="I198" t="str">
            <v>L29</v>
          </cell>
          <cell r="K198" t="str">
            <v>V77</v>
          </cell>
          <cell r="M198">
            <v>-1</v>
          </cell>
          <cell r="N198">
            <v>0</v>
          </cell>
          <cell r="O198">
            <v>-1</v>
          </cell>
          <cell r="P198" t="str">
            <v>ALL</v>
          </cell>
          <cell r="Q198">
            <v>2004</v>
          </cell>
          <cell r="R198" t="str">
            <v>DEARBORN PLANT BUILD</v>
          </cell>
          <cell r="S198" t="str">
            <v>P221/P397</v>
          </cell>
          <cell r="T198" t="str">
            <v>CHMSL Inop</v>
          </cell>
          <cell r="U198">
            <v>2</v>
          </cell>
          <cell r="AC198">
            <v>2</v>
          </cell>
        </row>
        <row r="199">
          <cell r="A199">
            <v>0</v>
          </cell>
          <cell r="B199" t="str">
            <v>ALL VRTS</v>
          </cell>
          <cell r="H199" t="str">
            <v>A85</v>
          </cell>
          <cell r="I199" t="str">
            <v>A87</v>
          </cell>
          <cell r="K199" t="str">
            <v>V17</v>
          </cell>
          <cell r="M199">
            <v>0</v>
          </cell>
          <cell r="N199">
            <v>0</v>
          </cell>
          <cell r="O199">
            <v>-1</v>
          </cell>
          <cell r="P199" t="str">
            <v>ALL</v>
          </cell>
          <cell r="Q199">
            <v>2004</v>
          </cell>
          <cell r="R199" t="str">
            <v>DEARBORN PLANT BUILD</v>
          </cell>
          <cell r="S199" t="str">
            <v>P221/P397</v>
          </cell>
          <cell r="T199" t="str">
            <v>Cigar Lighter Missing</v>
          </cell>
          <cell r="U199">
            <v>2</v>
          </cell>
          <cell r="X199">
            <v>1</v>
          </cell>
          <cell r="AA199">
            <v>1</v>
          </cell>
        </row>
        <row r="200">
          <cell r="A200">
            <v>0</v>
          </cell>
          <cell r="B200" t="str">
            <v>ALL VRTS</v>
          </cell>
          <cell r="D200" t="str">
            <v>5400-B</v>
          </cell>
          <cell r="F200" t="str">
            <v>TBW25F</v>
          </cell>
          <cell r="H200" t="str">
            <v>B66</v>
          </cell>
          <cell r="K200" t="str">
            <v>V75</v>
          </cell>
          <cell r="M200">
            <v>0</v>
          </cell>
          <cell r="N200">
            <v>-1</v>
          </cell>
          <cell r="O200">
            <v>-1</v>
          </cell>
          <cell r="P200" t="str">
            <v>ALL</v>
          </cell>
          <cell r="Q200">
            <v>2004</v>
          </cell>
          <cell r="R200" t="str">
            <v>DEARBORN PLANT BUILD</v>
          </cell>
          <cell r="S200" t="str">
            <v>P221/P397</v>
          </cell>
          <cell r="T200" t="str">
            <v>DECAL / BOX / MISMATCH</v>
          </cell>
          <cell r="U200">
            <v>2</v>
          </cell>
          <cell r="Z200">
            <v>1</v>
          </cell>
          <cell r="AB200">
            <v>1</v>
          </cell>
        </row>
        <row r="201">
          <cell r="A201">
            <v>0</v>
          </cell>
          <cell r="B201" t="str">
            <v>ALL VRTS</v>
          </cell>
          <cell r="D201" t="str">
            <v>Box Line 5400-2-B</v>
          </cell>
          <cell r="F201" t="str">
            <v>TBE 26B</v>
          </cell>
          <cell r="H201" t="str">
            <v>B63</v>
          </cell>
          <cell r="K201" t="str">
            <v>V75</v>
          </cell>
          <cell r="M201">
            <v>0</v>
          </cell>
          <cell r="N201">
            <v>0</v>
          </cell>
          <cell r="O201">
            <v>-1</v>
          </cell>
          <cell r="P201" t="str">
            <v>ALL</v>
          </cell>
          <cell r="Q201">
            <v>2004</v>
          </cell>
          <cell r="R201" t="str">
            <v>DEARBORN PLANT BUILD</v>
          </cell>
          <cell r="S201" t="str">
            <v>P221/P397</v>
          </cell>
          <cell r="T201" t="str">
            <v>DECAL / BOX / MISSING</v>
          </cell>
          <cell r="U201">
            <v>2</v>
          </cell>
          <cell r="AA201">
            <v>1</v>
          </cell>
          <cell r="AB201">
            <v>1</v>
          </cell>
        </row>
        <row r="202">
          <cell r="A202">
            <v>0</v>
          </cell>
          <cell r="B202" t="str">
            <v>ALL VRTS</v>
          </cell>
          <cell r="H202" t="str">
            <v>B66</v>
          </cell>
          <cell r="K202" t="str">
            <v>V75</v>
          </cell>
          <cell r="M202">
            <v>0</v>
          </cell>
          <cell r="N202">
            <v>-1</v>
          </cell>
          <cell r="O202">
            <v>0</v>
          </cell>
          <cell r="P202" t="str">
            <v>ALL</v>
          </cell>
          <cell r="Q202">
            <v>2004</v>
          </cell>
          <cell r="R202" t="str">
            <v>DEARBORN PLANT BUILD</v>
          </cell>
          <cell r="S202" t="str">
            <v>P221/P397</v>
          </cell>
          <cell r="T202" t="str">
            <v>Door Handle/ defective</v>
          </cell>
          <cell r="U202">
            <v>2</v>
          </cell>
          <cell r="Z202">
            <v>1</v>
          </cell>
          <cell r="AB202">
            <v>1</v>
          </cell>
        </row>
        <row r="203">
          <cell r="A203">
            <v>0</v>
          </cell>
          <cell r="B203" t="str">
            <v>ALL VRTS</v>
          </cell>
          <cell r="D203" t="str">
            <v>5380</v>
          </cell>
          <cell r="F203" t="str">
            <v>TDE53L</v>
          </cell>
          <cell r="G203" t="str">
            <v>TDW56R</v>
          </cell>
          <cell r="H203" t="str">
            <v>B43</v>
          </cell>
          <cell r="K203" t="str">
            <v>V73</v>
          </cell>
          <cell r="M203">
            <v>0</v>
          </cell>
          <cell r="N203">
            <v>0</v>
          </cell>
          <cell r="O203">
            <v>-1</v>
          </cell>
          <cell r="P203" t="str">
            <v>ALL</v>
          </cell>
          <cell r="Q203">
            <v>2004</v>
          </cell>
          <cell r="R203" t="str">
            <v>DEARBORN PLANT BUILD</v>
          </cell>
          <cell r="S203" t="str">
            <v>P221/P397</v>
          </cell>
          <cell r="T203" t="str">
            <v>DOOR PANEL UPPER</v>
          </cell>
          <cell r="U203">
            <v>2</v>
          </cell>
          <cell r="AC203">
            <v>2</v>
          </cell>
        </row>
        <row r="204">
          <cell r="A204">
            <v>0</v>
          </cell>
          <cell r="B204" t="str">
            <v>ALL VRTS</v>
          </cell>
          <cell r="H204" t="str">
            <v>L15</v>
          </cell>
          <cell r="K204" t="str">
            <v>V07</v>
          </cell>
          <cell r="M204">
            <v>0</v>
          </cell>
          <cell r="N204">
            <v>0</v>
          </cell>
          <cell r="O204">
            <v>-1</v>
          </cell>
          <cell r="P204" t="str">
            <v>ALL</v>
          </cell>
          <cell r="Q204">
            <v>2004</v>
          </cell>
          <cell r="R204" t="str">
            <v>DEARBORN PLANT BUILD</v>
          </cell>
          <cell r="S204" t="str">
            <v>P221/P397</v>
          </cell>
          <cell r="T204" t="str">
            <v>DOOR STRIKER ADJUSTMENT</v>
          </cell>
          <cell r="U204">
            <v>2</v>
          </cell>
          <cell r="AB204">
            <v>1</v>
          </cell>
          <cell r="AC204">
            <v>1</v>
          </cell>
        </row>
        <row r="205">
          <cell r="A205">
            <v>0</v>
          </cell>
          <cell r="B205" t="str">
            <v>ALL VRTS</v>
          </cell>
          <cell r="D205" t="str">
            <v>5430</v>
          </cell>
          <cell r="F205" t="str">
            <v>T513M</v>
          </cell>
          <cell r="H205" t="str">
            <v>E23</v>
          </cell>
          <cell r="K205" t="str">
            <v>V44</v>
          </cell>
          <cell r="M205">
            <v>-1</v>
          </cell>
          <cell r="N205">
            <v>-1</v>
          </cell>
          <cell r="O205">
            <v>-1</v>
          </cell>
          <cell r="P205" t="str">
            <v>ALL</v>
          </cell>
          <cell r="Q205">
            <v>2004</v>
          </cell>
          <cell r="R205" t="str">
            <v>DEARBORN PLANT BUILD</v>
          </cell>
          <cell r="S205" t="str">
            <v>P221/P397</v>
          </cell>
          <cell r="T205" t="str">
            <v>ENGINE OVERHEATS</v>
          </cell>
          <cell r="U205">
            <v>2</v>
          </cell>
          <cell r="AA205">
            <v>1</v>
          </cell>
          <cell r="AC205">
            <v>1</v>
          </cell>
        </row>
        <row r="206">
          <cell r="A206">
            <v>0</v>
          </cell>
          <cell r="B206" t="str">
            <v>ALL VRTS</v>
          </cell>
          <cell r="H206" t="str">
            <v>F13</v>
          </cell>
          <cell r="K206" t="str">
            <v>V33</v>
          </cell>
          <cell r="M206">
            <v>0</v>
          </cell>
          <cell r="N206">
            <v>0</v>
          </cell>
          <cell r="O206">
            <v>-1</v>
          </cell>
          <cell r="P206" t="str">
            <v>ALL</v>
          </cell>
          <cell r="Q206">
            <v>2004</v>
          </cell>
          <cell r="R206" t="str">
            <v>DEARBORN PLANT BUILD</v>
          </cell>
          <cell r="S206" t="str">
            <v>P221/P397</v>
          </cell>
          <cell r="T206" t="str">
            <v>Faded/Dull</v>
          </cell>
          <cell r="U206">
            <v>2</v>
          </cell>
          <cell r="Z206">
            <v>1</v>
          </cell>
          <cell r="AB206">
            <v>1</v>
          </cell>
        </row>
        <row r="207">
          <cell r="A207">
            <v>0</v>
          </cell>
          <cell r="B207" t="str">
            <v>ALL VRTS</v>
          </cell>
          <cell r="D207" t="str">
            <v>6580</v>
          </cell>
          <cell r="F207" t="str">
            <v>C7W25L</v>
          </cell>
          <cell r="H207" t="str">
            <v>B74</v>
          </cell>
          <cell r="I207" t="str">
            <v>T12</v>
          </cell>
          <cell r="K207" t="str">
            <v>V74</v>
          </cell>
          <cell r="M207">
            <v>0</v>
          </cell>
          <cell r="N207">
            <v>-1</v>
          </cell>
          <cell r="O207">
            <v>-1</v>
          </cell>
          <cell r="P207" t="str">
            <v>ALL</v>
          </cell>
          <cell r="Q207">
            <v>2004</v>
          </cell>
          <cell r="R207" t="str">
            <v>DEARBORN PLANT BUILD</v>
          </cell>
          <cell r="S207" t="str">
            <v>P221/P397</v>
          </cell>
          <cell r="T207" t="str">
            <v>FLOOR MATS</v>
          </cell>
          <cell r="U207">
            <v>2</v>
          </cell>
          <cell r="X207">
            <v>1</v>
          </cell>
          <cell r="AA207">
            <v>1</v>
          </cell>
        </row>
        <row r="208">
          <cell r="A208">
            <v>0</v>
          </cell>
          <cell r="B208" t="str">
            <v>ALL VRTS</v>
          </cell>
          <cell r="D208" t="str">
            <v>5380-2-A</v>
          </cell>
          <cell r="E208" t="str">
            <v>door line 5340-2-A</v>
          </cell>
          <cell r="F208" t="str">
            <v>TDW24R</v>
          </cell>
          <cell r="G208" t="str">
            <v>TDW19L/20R</v>
          </cell>
          <cell r="H208" t="str">
            <v>B62</v>
          </cell>
          <cell r="I208" t="str">
            <v>B64</v>
          </cell>
          <cell r="K208" t="str">
            <v>V75</v>
          </cell>
          <cell r="M208">
            <v>0</v>
          </cell>
          <cell r="N208">
            <v>0</v>
          </cell>
          <cell r="O208">
            <v>-1</v>
          </cell>
          <cell r="P208" t="str">
            <v>ALL</v>
          </cell>
          <cell r="Q208">
            <v>2004</v>
          </cell>
          <cell r="R208" t="str">
            <v>DEARBORN PLANT BUILD</v>
          </cell>
          <cell r="S208" t="str">
            <v>P221/P397</v>
          </cell>
          <cell r="T208" t="str">
            <v>Frt DOOR Weatherstrip/defective</v>
          </cell>
          <cell r="U208">
            <v>2</v>
          </cell>
          <cell r="X208">
            <v>1</v>
          </cell>
          <cell r="AB208">
            <v>1</v>
          </cell>
        </row>
        <row r="209">
          <cell r="A209">
            <v>0</v>
          </cell>
          <cell r="B209" t="str">
            <v>ALL VRTS</v>
          </cell>
          <cell r="H209" t="str">
            <v>B66</v>
          </cell>
          <cell r="K209" t="str">
            <v>V75</v>
          </cell>
          <cell r="M209">
            <v>0</v>
          </cell>
          <cell r="N209">
            <v>-1</v>
          </cell>
          <cell r="O209">
            <v>0</v>
          </cell>
          <cell r="P209" t="str">
            <v>ALL</v>
          </cell>
          <cell r="Q209">
            <v>2004</v>
          </cell>
          <cell r="R209" t="str">
            <v>DEARBORN PLANT BUILD</v>
          </cell>
          <cell r="S209" t="str">
            <v>P221/P397</v>
          </cell>
          <cell r="T209" t="str">
            <v>GRILLE / CRACKED</v>
          </cell>
          <cell r="U209">
            <v>2</v>
          </cell>
          <cell r="AA209">
            <v>1</v>
          </cell>
          <cell r="AB209">
            <v>1</v>
          </cell>
        </row>
        <row r="210">
          <cell r="A210">
            <v>0</v>
          </cell>
          <cell r="B210" t="str">
            <v>ALL VRTS</v>
          </cell>
          <cell r="D210" t="str">
            <v>Chassis 6560-2-J</v>
          </cell>
          <cell r="F210" t="str">
            <v>C7E16R</v>
          </cell>
          <cell r="H210" t="str">
            <v>B63</v>
          </cell>
          <cell r="I210" t="str">
            <v>B66</v>
          </cell>
          <cell r="K210" t="str">
            <v>V75</v>
          </cell>
          <cell r="M210">
            <v>0</v>
          </cell>
          <cell r="N210">
            <v>-1</v>
          </cell>
          <cell r="O210">
            <v>-1</v>
          </cell>
          <cell r="P210" t="str">
            <v>ALL</v>
          </cell>
          <cell r="Q210">
            <v>2004</v>
          </cell>
          <cell r="R210" t="str">
            <v>DEARBORN PLANT BUILD</v>
          </cell>
          <cell r="S210" t="str">
            <v>P221/P397</v>
          </cell>
          <cell r="T210" t="str">
            <v>GRILLE / LOOSE</v>
          </cell>
          <cell r="U210">
            <v>2</v>
          </cell>
          <cell r="X210">
            <v>1</v>
          </cell>
          <cell r="AA210">
            <v>1</v>
          </cell>
        </row>
        <row r="211">
          <cell r="A211">
            <v>0</v>
          </cell>
          <cell r="B211" t="str">
            <v>ALL VRTS</v>
          </cell>
          <cell r="D211" t="str">
            <v>Chassis4 6490-2-F</v>
          </cell>
          <cell r="E211" t="str">
            <v>C5 6540-2-G</v>
          </cell>
          <cell r="F211" t="str">
            <v>C5W28R</v>
          </cell>
          <cell r="G211" t="str">
            <v>C4E13L</v>
          </cell>
          <cell r="H211" t="str">
            <v>B65</v>
          </cell>
          <cell r="K211" t="str">
            <v>V75</v>
          </cell>
          <cell r="M211">
            <v>0</v>
          </cell>
          <cell r="N211">
            <v>0</v>
          </cell>
          <cell r="O211">
            <v>-1</v>
          </cell>
          <cell r="P211" t="str">
            <v>ALL</v>
          </cell>
          <cell r="Q211">
            <v>2004</v>
          </cell>
          <cell r="R211" t="str">
            <v>DEARBORN PLANT BUILD</v>
          </cell>
          <cell r="S211" t="str">
            <v>P221/P397</v>
          </cell>
          <cell r="T211" t="str">
            <v>HUB CAP / MISSING</v>
          </cell>
          <cell r="U211">
            <v>2</v>
          </cell>
          <cell r="AA211">
            <v>1</v>
          </cell>
          <cell r="AB211">
            <v>1</v>
          </cell>
        </row>
        <row r="212">
          <cell r="A212">
            <v>0</v>
          </cell>
          <cell r="B212" t="str">
            <v>ALL VRTS</v>
          </cell>
          <cell r="H212" t="str">
            <v>L07</v>
          </cell>
          <cell r="I212" t="str">
            <v>L15</v>
          </cell>
          <cell r="K212" t="str">
            <v>V07</v>
          </cell>
          <cell r="M212">
            <v>0</v>
          </cell>
          <cell r="N212">
            <v>0</v>
          </cell>
          <cell r="O212">
            <v>-1</v>
          </cell>
          <cell r="P212" t="str">
            <v>ALL</v>
          </cell>
          <cell r="Q212">
            <v>2004</v>
          </cell>
          <cell r="R212" t="str">
            <v>DEARBORN PLANT BUILD</v>
          </cell>
          <cell r="S212" t="str">
            <v>P221/P397</v>
          </cell>
          <cell r="T212" t="str">
            <v>KEY AND REMOTE INOP</v>
          </cell>
          <cell r="U212">
            <v>2</v>
          </cell>
          <cell r="Z212">
            <v>2</v>
          </cell>
        </row>
        <row r="213">
          <cell r="A213">
            <v>0</v>
          </cell>
          <cell r="B213" t="str">
            <v>ALL VRTS</v>
          </cell>
          <cell r="H213" t="str">
            <v>A85</v>
          </cell>
          <cell r="K213" t="str">
            <v>V19</v>
          </cell>
          <cell r="M213">
            <v>0</v>
          </cell>
          <cell r="N213">
            <v>-1</v>
          </cell>
          <cell r="O213">
            <v>-1</v>
          </cell>
          <cell r="P213" t="str">
            <v>ALL</v>
          </cell>
          <cell r="Q213">
            <v>2004</v>
          </cell>
          <cell r="R213" t="str">
            <v>DEARBORN PLANT BUILD</v>
          </cell>
          <cell r="S213" t="str">
            <v>P221/P397</v>
          </cell>
          <cell r="T213" t="str">
            <v>Keyless Remote Ms.</v>
          </cell>
          <cell r="U213">
            <v>2</v>
          </cell>
          <cell r="AA213">
            <v>1</v>
          </cell>
          <cell r="AB213">
            <v>1</v>
          </cell>
        </row>
        <row r="214">
          <cell r="A214">
            <v>0</v>
          </cell>
          <cell r="B214" t="str">
            <v>ALL VRTS</v>
          </cell>
          <cell r="H214" t="str">
            <v>A85</v>
          </cell>
          <cell r="K214" t="str">
            <v>V17</v>
          </cell>
          <cell r="M214">
            <v>0</v>
          </cell>
          <cell r="N214">
            <v>0</v>
          </cell>
          <cell r="O214">
            <v>-1</v>
          </cell>
          <cell r="P214" t="str">
            <v>ALL</v>
          </cell>
          <cell r="Q214">
            <v>2004</v>
          </cell>
          <cell r="R214" t="str">
            <v>DEARBORN PLANT BUILD</v>
          </cell>
          <cell r="S214" t="str">
            <v>P221/P397</v>
          </cell>
          <cell r="T214" t="str">
            <v>Keys INOP</v>
          </cell>
          <cell r="U214">
            <v>2</v>
          </cell>
          <cell r="AB214">
            <v>1</v>
          </cell>
          <cell r="AC214">
            <v>1</v>
          </cell>
        </row>
        <row r="215">
          <cell r="A215">
            <v>0</v>
          </cell>
          <cell r="B215" t="str">
            <v>ALL VRTS</v>
          </cell>
          <cell r="H215" t="str">
            <v>B66</v>
          </cell>
          <cell r="I215" t="str">
            <v>B69</v>
          </cell>
          <cell r="K215" t="str">
            <v>V75</v>
          </cell>
          <cell r="M215">
            <v>0</v>
          </cell>
          <cell r="N215">
            <v>-1</v>
          </cell>
          <cell r="O215">
            <v>-1</v>
          </cell>
          <cell r="P215" t="str">
            <v>ALL</v>
          </cell>
          <cell r="Q215">
            <v>2004</v>
          </cell>
          <cell r="R215" t="str">
            <v>DEARBORN PLANT BUILD</v>
          </cell>
          <cell r="S215" t="str">
            <v>P221/P397</v>
          </cell>
          <cell r="T215" t="str">
            <v>LICENSE PLATE BRACKET / MISSING</v>
          </cell>
          <cell r="U215">
            <v>2</v>
          </cell>
          <cell r="AB215">
            <v>1</v>
          </cell>
          <cell r="AC215">
            <v>1</v>
          </cell>
        </row>
        <row r="216">
          <cell r="A216">
            <v>0</v>
          </cell>
          <cell r="B216" t="str">
            <v>ALL VRTS</v>
          </cell>
          <cell r="H216" t="str">
            <v>L17</v>
          </cell>
          <cell r="I216" t="str">
            <v>L16</v>
          </cell>
          <cell r="K216" t="str">
            <v>V07</v>
          </cell>
          <cell r="M216">
            <v>0</v>
          </cell>
          <cell r="N216">
            <v>0</v>
          </cell>
          <cell r="O216">
            <v>-1</v>
          </cell>
          <cell r="P216" t="str">
            <v>ALL</v>
          </cell>
          <cell r="Q216">
            <v>2004</v>
          </cell>
          <cell r="R216" t="str">
            <v>DEARBORN PLANT BUILD</v>
          </cell>
          <cell r="S216" t="str">
            <v>P221/P397</v>
          </cell>
          <cell r="T216" t="str">
            <v>LOCK ROD FUNCTION</v>
          </cell>
          <cell r="U216">
            <v>2</v>
          </cell>
          <cell r="Z216">
            <v>1</v>
          </cell>
          <cell r="AB216">
            <v>1</v>
          </cell>
        </row>
        <row r="217">
          <cell r="A217">
            <v>0</v>
          </cell>
          <cell r="B217" t="str">
            <v>ALL VRTS</v>
          </cell>
          <cell r="D217" t="str">
            <v>Box Line 5400-2-B</v>
          </cell>
          <cell r="E217" t="str">
            <v>Trim 4 5690-G</v>
          </cell>
          <cell r="F217" t="str">
            <v>T4E36R</v>
          </cell>
          <cell r="G217" t="str">
            <v>TBE 26B</v>
          </cell>
          <cell r="H217" t="str">
            <v>B63</v>
          </cell>
          <cell r="I217" t="str">
            <v>B66</v>
          </cell>
          <cell r="K217" t="str">
            <v>V75</v>
          </cell>
          <cell r="M217">
            <v>0</v>
          </cell>
          <cell r="N217">
            <v>0</v>
          </cell>
          <cell r="O217">
            <v>-1</v>
          </cell>
          <cell r="P217" t="str">
            <v>ALL</v>
          </cell>
          <cell r="Q217">
            <v>2004</v>
          </cell>
          <cell r="R217" t="str">
            <v>DEARBORN PLANT BUILD</v>
          </cell>
          <cell r="S217" t="str">
            <v>P221/P397</v>
          </cell>
          <cell r="T217" t="str">
            <v>Nameplate/ Fender/ Mismatch</v>
          </cell>
          <cell r="U217">
            <v>2</v>
          </cell>
          <cell r="X217">
            <v>1</v>
          </cell>
          <cell r="AB217">
            <v>1</v>
          </cell>
        </row>
        <row r="218">
          <cell r="A218">
            <v>0</v>
          </cell>
          <cell r="B218" t="str">
            <v>ALL VRTS</v>
          </cell>
          <cell r="H218" t="str">
            <v>F12</v>
          </cell>
          <cell r="I218" t="str">
            <v>F10</v>
          </cell>
          <cell r="K218" t="str">
            <v>V33</v>
          </cell>
          <cell r="M218">
            <v>0</v>
          </cell>
          <cell r="N218">
            <v>0</v>
          </cell>
          <cell r="O218">
            <v>-1</v>
          </cell>
          <cell r="P218" t="str">
            <v>ALL</v>
          </cell>
          <cell r="Q218">
            <v>2004</v>
          </cell>
          <cell r="R218" t="str">
            <v>DEARBORN PLANT BUILD</v>
          </cell>
          <cell r="S218" t="str">
            <v>P221/P397</v>
          </cell>
          <cell r="T218" t="str">
            <v>Overspray</v>
          </cell>
          <cell r="U218">
            <v>2</v>
          </cell>
          <cell r="X218">
            <v>1</v>
          </cell>
          <cell r="AB218">
            <v>1</v>
          </cell>
        </row>
        <row r="219">
          <cell r="A219">
            <v>0</v>
          </cell>
          <cell r="B219" t="str">
            <v>ALL VRTS</v>
          </cell>
          <cell r="D219" t="str">
            <v>5540</v>
          </cell>
          <cell r="F219" t="str">
            <v>T3E16R</v>
          </cell>
          <cell r="H219" t="str">
            <v>S38</v>
          </cell>
          <cell r="I219" t="str">
            <v>S40</v>
          </cell>
          <cell r="K219" t="str">
            <v>V05</v>
          </cell>
          <cell r="M219">
            <v>-1</v>
          </cell>
          <cell r="N219">
            <v>-1</v>
          </cell>
          <cell r="O219">
            <v>-1</v>
          </cell>
          <cell r="P219" t="str">
            <v>ALL</v>
          </cell>
          <cell r="Q219">
            <v>2004</v>
          </cell>
          <cell r="R219" t="str">
            <v>DEARBORN PLANT BUILD</v>
          </cell>
          <cell r="S219" t="str">
            <v>P221/P397</v>
          </cell>
          <cell r="T219" t="str">
            <v>PASSENGER AIR BAG</v>
          </cell>
          <cell r="U219">
            <v>2</v>
          </cell>
          <cell r="AA219">
            <v>2</v>
          </cell>
        </row>
        <row r="220">
          <cell r="A220">
            <v>0</v>
          </cell>
          <cell r="B220" t="str">
            <v>ALL VRTS</v>
          </cell>
          <cell r="H220" t="str">
            <v>M05</v>
          </cell>
          <cell r="I220" t="str">
            <v>M10</v>
          </cell>
          <cell r="K220" t="str">
            <v>V13</v>
          </cell>
          <cell r="M220">
            <v>0</v>
          </cell>
          <cell r="N220">
            <v>-1</v>
          </cell>
          <cell r="O220">
            <v>0</v>
          </cell>
          <cell r="P220" t="str">
            <v>ALL</v>
          </cell>
          <cell r="Q220">
            <v>2004</v>
          </cell>
          <cell r="R220" t="str">
            <v>DEARBORN PLANT BUILD</v>
          </cell>
          <cell r="S220" t="str">
            <v>P221/P397</v>
          </cell>
          <cell r="T220" t="str">
            <v>POWER MIRROR  / GLASS MISSING</v>
          </cell>
          <cell r="U220">
            <v>2</v>
          </cell>
          <cell r="X220">
            <v>1</v>
          </cell>
          <cell r="Y220">
            <v>1</v>
          </cell>
        </row>
        <row r="221">
          <cell r="A221">
            <v>0</v>
          </cell>
          <cell r="B221" t="str">
            <v>ALL VRTS</v>
          </cell>
          <cell r="H221" t="str">
            <v>M05</v>
          </cell>
          <cell r="I221" t="str">
            <v>M10</v>
          </cell>
          <cell r="K221" t="str">
            <v>V13</v>
          </cell>
          <cell r="M221">
            <v>0</v>
          </cell>
          <cell r="N221">
            <v>-1</v>
          </cell>
          <cell r="O221">
            <v>0</v>
          </cell>
          <cell r="P221" t="str">
            <v>ALL</v>
          </cell>
          <cell r="Q221">
            <v>2004</v>
          </cell>
          <cell r="R221" t="str">
            <v>DEARBORN PLANT BUILD</v>
          </cell>
          <cell r="S221" t="str">
            <v>P221/P397</v>
          </cell>
          <cell r="T221" t="str">
            <v>POWER MIRROR  / SCRATCH</v>
          </cell>
          <cell r="U221">
            <v>2</v>
          </cell>
          <cell r="AB221">
            <v>2</v>
          </cell>
        </row>
        <row r="222">
          <cell r="A222">
            <v>0</v>
          </cell>
          <cell r="B222" t="str">
            <v>ALL VRTS</v>
          </cell>
          <cell r="D222" t="str">
            <v>6410</v>
          </cell>
          <cell r="E222" t="str">
            <v>6420</v>
          </cell>
          <cell r="F222" t="str">
            <v>C2W08B</v>
          </cell>
          <cell r="H222" t="str">
            <v>E35</v>
          </cell>
          <cell r="I222" t="str">
            <v>C50</v>
          </cell>
          <cell r="K222" t="str">
            <v>V89</v>
          </cell>
          <cell r="M222">
            <v>0</v>
          </cell>
          <cell r="N222">
            <v>0</v>
          </cell>
          <cell r="O222">
            <v>-1</v>
          </cell>
          <cell r="P222" t="str">
            <v>ALL</v>
          </cell>
          <cell r="Q222">
            <v>2004</v>
          </cell>
          <cell r="R222" t="str">
            <v>DEARBORN PLANT BUILD</v>
          </cell>
          <cell r="S222" t="str">
            <v>P221/P397</v>
          </cell>
          <cell r="T222" t="str">
            <v>R/R LOWER SHOCK - LOOSE</v>
          </cell>
          <cell r="U222">
            <v>2</v>
          </cell>
          <cell r="Z222">
            <v>1</v>
          </cell>
          <cell r="AB222">
            <v>1</v>
          </cell>
        </row>
        <row r="223">
          <cell r="A223">
            <v>0</v>
          </cell>
          <cell r="B223" t="str">
            <v>ALL VRTS</v>
          </cell>
          <cell r="H223" t="str">
            <v>B69</v>
          </cell>
          <cell r="K223" t="str">
            <v>V75</v>
          </cell>
          <cell r="M223">
            <v>0</v>
          </cell>
          <cell r="N223">
            <v>-1</v>
          </cell>
          <cell r="O223">
            <v>0</v>
          </cell>
          <cell r="P223" t="str">
            <v>ALL</v>
          </cell>
          <cell r="Q223">
            <v>2004</v>
          </cell>
          <cell r="R223" t="str">
            <v>DEARBORN PLANT BUILD</v>
          </cell>
          <cell r="S223" t="str">
            <v>P221/P397</v>
          </cell>
          <cell r="T223" t="str">
            <v>REAR BUMPER COVER / FLAW</v>
          </cell>
          <cell r="U223">
            <v>2</v>
          </cell>
          <cell r="Z223">
            <v>1</v>
          </cell>
          <cell r="AB223">
            <v>1</v>
          </cell>
        </row>
        <row r="224">
          <cell r="A224">
            <v>0</v>
          </cell>
          <cell r="B224" t="str">
            <v>ALL VRTS</v>
          </cell>
          <cell r="D224" t="str">
            <v>box Line 5410-2-B</v>
          </cell>
          <cell r="F224" t="str">
            <v>TBE37F</v>
          </cell>
          <cell r="H224" t="str">
            <v>B07</v>
          </cell>
          <cell r="I224" t="str">
            <v>B63</v>
          </cell>
          <cell r="K224" t="str">
            <v>V75</v>
          </cell>
          <cell r="M224">
            <v>0</v>
          </cell>
          <cell r="N224">
            <v>0</v>
          </cell>
          <cell r="O224">
            <v>-1</v>
          </cell>
          <cell r="P224" t="str">
            <v>ALL</v>
          </cell>
          <cell r="Q224">
            <v>2004</v>
          </cell>
          <cell r="R224" t="str">
            <v>DEARBORN PLANT BUILD</v>
          </cell>
          <cell r="S224" t="str">
            <v>P221/P397</v>
          </cell>
          <cell r="T224" t="str">
            <v>Rear Chip Shield -defective/missing</v>
          </cell>
          <cell r="U224">
            <v>2</v>
          </cell>
          <cell r="X224">
            <v>1</v>
          </cell>
          <cell r="AC224">
            <v>1</v>
          </cell>
        </row>
        <row r="225">
          <cell r="A225">
            <v>0</v>
          </cell>
          <cell r="B225" t="str">
            <v>ALL VRTS</v>
          </cell>
          <cell r="D225" t="str">
            <v>unsure</v>
          </cell>
          <cell r="F225" t="str">
            <v>C6E22L</v>
          </cell>
          <cell r="H225" t="str">
            <v>N40</v>
          </cell>
          <cell r="I225" t="str">
            <v>N59</v>
          </cell>
          <cell r="K225" t="str">
            <v>V39</v>
          </cell>
          <cell r="M225">
            <v>-1</v>
          </cell>
          <cell r="N225">
            <v>0</v>
          </cell>
          <cell r="O225">
            <v>-1</v>
          </cell>
          <cell r="P225" t="str">
            <v>ALL</v>
          </cell>
          <cell r="Q225">
            <v>2004</v>
          </cell>
          <cell r="R225" t="str">
            <v>DEARBORN PLANT BUILD</v>
          </cell>
          <cell r="S225" t="str">
            <v>P221/P397</v>
          </cell>
          <cell r="T225" t="str">
            <v>Rear Side Door Squeak/Rattle</v>
          </cell>
          <cell r="U225">
            <v>2</v>
          </cell>
          <cell r="W225">
            <v>1</v>
          </cell>
          <cell r="X225">
            <v>1</v>
          </cell>
        </row>
        <row r="226">
          <cell r="A226">
            <v>0</v>
          </cell>
          <cell r="B226" t="str">
            <v>ALL VRTS</v>
          </cell>
          <cell r="H226" t="str">
            <v>A85</v>
          </cell>
          <cell r="K226" t="str">
            <v>V17</v>
          </cell>
          <cell r="M226">
            <v>-1</v>
          </cell>
          <cell r="N226">
            <v>-1</v>
          </cell>
          <cell r="O226">
            <v>-1</v>
          </cell>
          <cell r="P226" t="str">
            <v>ALL</v>
          </cell>
          <cell r="Q226">
            <v>2004</v>
          </cell>
          <cell r="R226" t="str">
            <v>DEARBORN PLANT BUILD</v>
          </cell>
          <cell r="S226" t="str">
            <v>P221/P397</v>
          </cell>
          <cell r="T226" t="str">
            <v>Remote Pads Inop from 10ft</v>
          </cell>
          <cell r="U226">
            <v>2</v>
          </cell>
          <cell r="Z226">
            <v>1</v>
          </cell>
          <cell r="AB226">
            <v>1</v>
          </cell>
        </row>
        <row r="227">
          <cell r="A227">
            <v>0</v>
          </cell>
          <cell r="B227" t="str">
            <v>ALL VRTS</v>
          </cell>
          <cell r="H227" t="str">
            <v>G29</v>
          </cell>
          <cell r="K227" t="str">
            <v>V83</v>
          </cell>
          <cell r="M227">
            <v>0</v>
          </cell>
          <cell r="N227">
            <v>-1</v>
          </cell>
          <cell r="O227">
            <v>0</v>
          </cell>
          <cell r="P227" t="str">
            <v>ALL</v>
          </cell>
          <cell r="Q227">
            <v>2004</v>
          </cell>
          <cell r="R227" t="str">
            <v>DEARBORN PLANT BUILD</v>
          </cell>
          <cell r="S227" t="str">
            <v>P221/P397</v>
          </cell>
          <cell r="T227" t="str">
            <v>Reverse Sensor INOP</v>
          </cell>
          <cell r="U227">
            <v>2</v>
          </cell>
          <cell r="AA227">
            <v>1</v>
          </cell>
          <cell r="AB227">
            <v>1</v>
          </cell>
        </row>
        <row r="228">
          <cell r="A228">
            <v>0</v>
          </cell>
          <cell r="B228" t="str">
            <v>ALL VRTS</v>
          </cell>
          <cell r="H228" t="str">
            <v>F12</v>
          </cell>
          <cell r="K228" t="str">
            <v>V33</v>
          </cell>
          <cell r="M228">
            <v>0</v>
          </cell>
          <cell r="N228">
            <v>0</v>
          </cell>
          <cell r="O228">
            <v>-1</v>
          </cell>
          <cell r="P228" t="str">
            <v>ALL</v>
          </cell>
          <cell r="Q228">
            <v>2004</v>
          </cell>
          <cell r="R228" t="str">
            <v>DEARBORN PLANT BUILD</v>
          </cell>
          <cell r="S228" t="str">
            <v>P221/P397</v>
          </cell>
          <cell r="T228" t="str">
            <v>Stained/Spotted</v>
          </cell>
          <cell r="U228">
            <v>2</v>
          </cell>
          <cell r="Z228">
            <v>2</v>
          </cell>
        </row>
        <row r="229">
          <cell r="A229">
            <v>0</v>
          </cell>
          <cell r="B229" t="str">
            <v>ALL VRTS</v>
          </cell>
          <cell r="D229" t="str">
            <v>unsure</v>
          </cell>
          <cell r="F229" t="str">
            <v>T2W11L</v>
          </cell>
          <cell r="H229" t="str">
            <v>N43</v>
          </cell>
          <cell r="K229" t="str">
            <v>V39</v>
          </cell>
          <cell r="M229">
            <v>-1</v>
          </cell>
          <cell r="N229">
            <v>0</v>
          </cell>
          <cell r="O229">
            <v>-1</v>
          </cell>
          <cell r="P229" t="str">
            <v>ALL</v>
          </cell>
          <cell r="Q229">
            <v>2004</v>
          </cell>
          <cell r="R229" t="str">
            <v>DEARBORN PLANT BUILD</v>
          </cell>
          <cell r="S229" t="str">
            <v>P221/P397</v>
          </cell>
          <cell r="T229" t="str">
            <v>Sun/Moonroof Top Squeak/Rattle</v>
          </cell>
          <cell r="U229">
            <v>2</v>
          </cell>
          <cell r="W229">
            <v>1</v>
          </cell>
          <cell r="AA229">
            <v>1</v>
          </cell>
        </row>
        <row r="230">
          <cell r="A230">
            <v>0</v>
          </cell>
          <cell r="B230" t="str">
            <v>ALL VRTS</v>
          </cell>
          <cell r="H230" t="str">
            <v>L15</v>
          </cell>
          <cell r="K230" t="str">
            <v>V07</v>
          </cell>
          <cell r="M230">
            <v>0</v>
          </cell>
          <cell r="N230">
            <v>-1</v>
          </cell>
          <cell r="O230">
            <v>0</v>
          </cell>
          <cell r="P230" t="str">
            <v>ALL</v>
          </cell>
          <cell r="Q230">
            <v>2004</v>
          </cell>
          <cell r="R230" t="str">
            <v>DEARBORN PLANT BUILD</v>
          </cell>
          <cell r="S230" t="str">
            <v>P221/P397</v>
          </cell>
          <cell r="T230" t="str">
            <v>TAILGATE CABLE</v>
          </cell>
          <cell r="U230">
            <v>2</v>
          </cell>
          <cell r="X230">
            <v>1</v>
          </cell>
          <cell r="AA230">
            <v>1</v>
          </cell>
        </row>
        <row r="231">
          <cell r="A231">
            <v>0</v>
          </cell>
          <cell r="B231" t="str">
            <v>ALL VRTS</v>
          </cell>
          <cell r="H231" t="str">
            <v>L72</v>
          </cell>
          <cell r="K231" t="str">
            <v>V44</v>
          </cell>
          <cell r="M231">
            <v>0</v>
          </cell>
          <cell r="N231">
            <v>-1</v>
          </cell>
          <cell r="O231">
            <v>0</v>
          </cell>
          <cell r="P231" t="str">
            <v>ALL</v>
          </cell>
          <cell r="Q231">
            <v>2004</v>
          </cell>
          <cell r="R231" t="str">
            <v>DEARBORN PLANT BUILD</v>
          </cell>
          <cell r="S231" t="str">
            <v>P221/P397</v>
          </cell>
          <cell r="T231" t="str">
            <v>TRANSFER CASE/LEAK</v>
          </cell>
          <cell r="U231">
            <v>2</v>
          </cell>
          <cell r="AC231">
            <v>2</v>
          </cell>
        </row>
        <row r="232">
          <cell r="A232">
            <v>0</v>
          </cell>
          <cell r="B232" t="str">
            <v>ALL VRTS</v>
          </cell>
          <cell r="D232" t="str">
            <v>5550</v>
          </cell>
          <cell r="E232" t="str">
            <v>6520</v>
          </cell>
          <cell r="F232" t="str">
            <v>C5E01L</v>
          </cell>
          <cell r="G232" t="str">
            <v>T3E26R</v>
          </cell>
          <cell r="H232" t="str">
            <v>T53</v>
          </cell>
          <cell r="I232" t="str">
            <v>T54</v>
          </cell>
          <cell r="K232" t="str">
            <v>V74</v>
          </cell>
          <cell r="M232">
            <v>0</v>
          </cell>
          <cell r="N232">
            <v>-1</v>
          </cell>
          <cell r="O232">
            <v>-1</v>
          </cell>
          <cell r="P232" t="str">
            <v>ALL</v>
          </cell>
          <cell r="Q232">
            <v>2004</v>
          </cell>
          <cell r="R232" t="str">
            <v>DEARBORN PLANT BUILD</v>
          </cell>
          <cell r="S232" t="str">
            <v>P221/P397</v>
          </cell>
          <cell r="T232" t="str">
            <v>TRIM PANELS</v>
          </cell>
          <cell r="U232">
            <v>2</v>
          </cell>
          <cell r="AB232">
            <v>2</v>
          </cell>
        </row>
        <row r="233">
          <cell r="A233">
            <v>0</v>
          </cell>
          <cell r="B233" t="str">
            <v>ALL VRTS</v>
          </cell>
          <cell r="H233" t="str">
            <v>N11</v>
          </cell>
          <cell r="I233" t="str">
            <v>N18</v>
          </cell>
          <cell r="K233" t="str">
            <v>V49</v>
          </cell>
          <cell r="M233">
            <v>-1</v>
          </cell>
          <cell r="N233">
            <v>-1</v>
          </cell>
          <cell r="O233">
            <v>0</v>
          </cell>
          <cell r="P233" t="str">
            <v>ALL</v>
          </cell>
          <cell r="Q233">
            <v>2004</v>
          </cell>
          <cell r="R233" t="str">
            <v>DEARBORN PLANT BUILD</v>
          </cell>
          <cell r="S233" t="str">
            <v>P221/P397</v>
          </cell>
          <cell r="T233" t="str">
            <v>VEH. VIBRATES</v>
          </cell>
          <cell r="U233">
            <v>2</v>
          </cell>
          <cell r="X233">
            <v>1</v>
          </cell>
          <cell r="AB233">
            <v>1</v>
          </cell>
        </row>
        <row r="234">
          <cell r="A234">
            <v>0</v>
          </cell>
          <cell r="B234" t="str">
            <v>ALL VRTS</v>
          </cell>
          <cell r="H234" t="str">
            <v>A85</v>
          </cell>
          <cell r="K234" t="str">
            <v>V17</v>
          </cell>
          <cell r="M234">
            <v>-1</v>
          </cell>
          <cell r="N234">
            <v>0</v>
          </cell>
          <cell r="O234">
            <v>0</v>
          </cell>
          <cell r="P234" t="str">
            <v>ALL</v>
          </cell>
          <cell r="Q234">
            <v>2004</v>
          </cell>
          <cell r="R234" t="str">
            <v>DEARBORN PLANT BUILD</v>
          </cell>
          <cell r="S234" t="str">
            <v>P221/P397</v>
          </cell>
          <cell r="T234" t="str">
            <v>Water leak apost c2108</v>
          </cell>
          <cell r="U234">
            <v>2</v>
          </cell>
          <cell r="AA234">
            <v>1</v>
          </cell>
          <cell r="AC234">
            <v>1</v>
          </cell>
        </row>
        <row r="235">
          <cell r="A235">
            <v>0</v>
          </cell>
          <cell r="B235" t="str">
            <v>ALL VRTS</v>
          </cell>
          <cell r="H235" t="str">
            <v>R09</v>
          </cell>
          <cell r="K235" t="str">
            <v>V37</v>
          </cell>
          <cell r="M235">
            <v>-1</v>
          </cell>
          <cell r="N235">
            <v>0</v>
          </cell>
          <cell r="O235">
            <v>-1</v>
          </cell>
          <cell r="P235" t="str">
            <v>ALL</v>
          </cell>
          <cell r="Q235">
            <v>2004</v>
          </cell>
          <cell r="R235" t="str">
            <v>DEARBORN PLANT BUILD</v>
          </cell>
          <cell r="S235" t="str">
            <v>P221/P397</v>
          </cell>
          <cell r="T235" t="str">
            <v>Water Leak Around Moonroof</v>
          </cell>
          <cell r="U235">
            <v>2</v>
          </cell>
          <cell r="AA235">
            <v>1</v>
          </cell>
          <cell r="AB235">
            <v>1</v>
          </cell>
        </row>
        <row r="236">
          <cell r="A236">
            <v>0</v>
          </cell>
          <cell r="B236" t="str">
            <v>ALL VRTS</v>
          </cell>
          <cell r="D236" t="str">
            <v>unsure</v>
          </cell>
          <cell r="F236" t="str">
            <v>Paint</v>
          </cell>
          <cell r="H236" t="str">
            <v>R05</v>
          </cell>
          <cell r="I236" t="str">
            <v>R10</v>
          </cell>
          <cell r="K236" t="str">
            <v>V37</v>
          </cell>
          <cell r="M236">
            <v>0</v>
          </cell>
          <cell r="N236">
            <v>-1</v>
          </cell>
          <cell r="O236">
            <v>-1</v>
          </cell>
          <cell r="P236" t="str">
            <v>ALL</v>
          </cell>
          <cell r="Q236">
            <v>2004</v>
          </cell>
          <cell r="R236" t="str">
            <v>DEARBORN PLANT BUILD</v>
          </cell>
          <cell r="S236" t="str">
            <v>P221/P397</v>
          </cell>
          <cell r="T236" t="str">
            <v>Water Leak Around Top of Back Window</v>
          </cell>
          <cell r="U236">
            <v>2</v>
          </cell>
          <cell r="W236">
            <v>1</v>
          </cell>
          <cell r="Y236">
            <v>1</v>
          </cell>
        </row>
        <row r="237">
          <cell r="A237">
            <v>0</v>
          </cell>
          <cell r="B237" t="str">
            <v>ALL VRTS</v>
          </cell>
          <cell r="H237" t="str">
            <v>C24</v>
          </cell>
          <cell r="K237" t="str">
            <v>V79</v>
          </cell>
          <cell r="M237">
            <v>0</v>
          </cell>
          <cell r="N237">
            <v>-1</v>
          </cell>
          <cell r="O237">
            <v>-1</v>
          </cell>
          <cell r="P237" t="str">
            <v>ALL</v>
          </cell>
          <cell r="Q237">
            <v>2004</v>
          </cell>
          <cell r="R237" t="str">
            <v>DEARBORN PLANT BUILD</v>
          </cell>
          <cell r="S237" t="str">
            <v>P221/P397</v>
          </cell>
          <cell r="T237" t="str">
            <v>Water Leak at HVAC</v>
          </cell>
          <cell r="U237">
            <v>2</v>
          </cell>
          <cell r="AB237">
            <v>1</v>
          </cell>
          <cell r="AC237">
            <v>1</v>
          </cell>
        </row>
        <row r="238">
          <cell r="A238">
            <v>0</v>
          </cell>
          <cell r="B238" t="str">
            <v>ALL VRTS</v>
          </cell>
          <cell r="D238" t="str">
            <v>5460</v>
          </cell>
          <cell r="F238" t="str">
            <v>T1W23L</v>
          </cell>
          <cell r="G238" t="str">
            <v>T1W21L</v>
          </cell>
          <cell r="H238" t="str">
            <v>T53</v>
          </cell>
          <cell r="I238" t="str">
            <v>T90</v>
          </cell>
          <cell r="K238" t="str">
            <v>V74</v>
          </cell>
          <cell r="M238">
            <v>0</v>
          </cell>
          <cell r="N238">
            <v>-1</v>
          </cell>
          <cell r="O238">
            <v>-1</v>
          </cell>
          <cell r="P238" t="str">
            <v>ALL</v>
          </cell>
          <cell r="Q238">
            <v>2004</v>
          </cell>
          <cell r="R238" t="str">
            <v>DEARBORN PLANT BUILD</v>
          </cell>
          <cell r="S238" t="str">
            <v>P221/P397</v>
          </cell>
          <cell r="T238" t="str">
            <v>WEATHER STRIP</v>
          </cell>
          <cell r="U238">
            <v>2</v>
          </cell>
          <cell r="X238">
            <v>1</v>
          </cell>
          <cell r="AB238">
            <v>1</v>
          </cell>
        </row>
        <row r="239">
          <cell r="A239">
            <v>0</v>
          </cell>
          <cell r="B239" t="str">
            <v>ALL VRTS</v>
          </cell>
          <cell r="D239" t="str">
            <v>C5 6540-2-G</v>
          </cell>
          <cell r="F239" t="str">
            <v>C5W28R</v>
          </cell>
          <cell r="H239" t="str">
            <v>B65</v>
          </cell>
          <cell r="K239" t="str">
            <v>V75</v>
          </cell>
          <cell r="M239">
            <v>0</v>
          </cell>
          <cell r="N239">
            <v>-1</v>
          </cell>
          <cell r="O239">
            <v>-1</v>
          </cell>
          <cell r="P239" t="str">
            <v>ALL</v>
          </cell>
          <cell r="Q239">
            <v>2004</v>
          </cell>
          <cell r="R239" t="str">
            <v>DEARBORN PLANT BUILD</v>
          </cell>
          <cell r="S239" t="str">
            <v>P221/P397</v>
          </cell>
          <cell r="T239" t="str">
            <v>WHEEL / DISCOLORED</v>
          </cell>
          <cell r="U239">
            <v>2</v>
          </cell>
          <cell r="AB239">
            <v>2</v>
          </cell>
        </row>
        <row r="240">
          <cell r="A240">
            <v>0</v>
          </cell>
          <cell r="B240" t="str">
            <v>ALL VRTS</v>
          </cell>
          <cell r="C240" t="str">
            <v>X</v>
          </cell>
          <cell r="D240" t="str">
            <v>unsure</v>
          </cell>
          <cell r="F240" t="str">
            <v>T2E18R</v>
          </cell>
          <cell r="H240" t="str">
            <v>R25</v>
          </cell>
          <cell r="K240" t="str">
            <v>V11</v>
          </cell>
          <cell r="M240">
            <v>0</v>
          </cell>
          <cell r="N240">
            <v>-1</v>
          </cell>
          <cell r="O240">
            <v>-1</v>
          </cell>
          <cell r="P240" t="str">
            <v>ALL</v>
          </cell>
          <cell r="Q240">
            <v>2004</v>
          </cell>
          <cell r="R240" t="str">
            <v>DEARBORN PLANT BUILD</v>
          </cell>
          <cell r="S240" t="str">
            <v>P221/P397</v>
          </cell>
          <cell r="T240" t="str">
            <v>Wind Noise Around Rear Sliding Window</v>
          </cell>
          <cell r="U240">
            <v>2</v>
          </cell>
          <cell r="AA240">
            <v>1</v>
          </cell>
          <cell r="AC240">
            <v>1</v>
          </cell>
        </row>
        <row r="241">
          <cell r="A241">
            <v>0</v>
          </cell>
          <cell r="B241" t="str">
            <v>ALL VRTS</v>
          </cell>
          <cell r="D241" t="str">
            <v>6560-2-H</v>
          </cell>
          <cell r="F241" t="str">
            <v>C4W08R</v>
          </cell>
          <cell r="H241" t="str">
            <v>B66</v>
          </cell>
          <cell r="K241" t="str">
            <v>V75</v>
          </cell>
          <cell r="M241">
            <v>0</v>
          </cell>
          <cell r="N241">
            <v>0</v>
          </cell>
          <cell r="O241">
            <v>-1</v>
          </cell>
          <cell r="P241" t="str">
            <v>ALL</v>
          </cell>
          <cell r="Q241">
            <v>2004</v>
          </cell>
          <cell r="R241" t="str">
            <v>DEARBORN PLANT BUILD</v>
          </cell>
          <cell r="S241" t="str">
            <v>P221/P397</v>
          </cell>
          <cell r="T241" t="str">
            <v xml:space="preserve"> Bed Rail Mldg / Loose</v>
          </cell>
          <cell r="U241">
            <v>1</v>
          </cell>
          <cell r="X241">
            <v>1</v>
          </cell>
        </row>
        <row r="242">
          <cell r="A242">
            <v>0</v>
          </cell>
          <cell r="B242" t="str">
            <v>ALL VRTS</v>
          </cell>
          <cell r="H242" t="str">
            <v>D50</v>
          </cell>
          <cell r="K242" t="str">
            <v>V44</v>
          </cell>
          <cell r="M242">
            <v>-1</v>
          </cell>
          <cell r="N242">
            <v>0</v>
          </cell>
          <cell r="O242">
            <v>0</v>
          </cell>
          <cell r="P242" t="str">
            <v>ALL</v>
          </cell>
          <cell r="Q242">
            <v>2004</v>
          </cell>
          <cell r="R242" t="str">
            <v>DEARBORN PLANT BUILD</v>
          </cell>
          <cell r="S242" t="str">
            <v>P221/P397</v>
          </cell>
          <cell r="T242" t="str">
            <v xml:space="preserve"> HARD TO ACCEL</v>
          </cell>
          <cell r="U242">
            <v>1</v>
          </cell>
          <cell r="Y242">
            <v>1</v>
          </cell>
        </row>
        <row r="243">
          <cell r="A243">
            <v>0</v>
          </cell>
          <cell r="B243" t="str">
            <v>ALL VRTS</v>
          </cell>
          <cell r="D243" t="str">
            <v>34602C</v>
          </cell>
          <cell r="F243" t="str">
            <v>Final Fitters</v>
          </cell>
          <cell r="H243" t="str">
            <v>B02</v>
          </cell>
          <cell r="K243" t="str">
            <v>V31</v>
          </cell>
          <cell r="M243">
            <v>0</v>
          </cell>
          <cell r="N243">
            <v>0</v>
          </cell>
          <cell r="O243">
            <v>-1</v>
          </cell>
          <cell r="P243" t="str">
            <v>ALL</v>
          </cell>
          <cell r="Q243">
            <v>2004</v>
          </cell>
          <cell r="R243" t="str">
            <v>DEARBORN PLANT BUILD</v>
          </cell>
          <cell r="S243" t="str">
            <v>P221/P397</v>
          </cell>
          <cell r="T243" t="str">
            <v xml:space="preserve"> Tailgate - Noisy</v>
          </cell>
          <cell r="U243">
            <v>1</v>
          </cell>
          <cell r="AA243">
            <v>1</v>
          </cell>
        </row>
        <row r="244">
          <cell r="A244">
            <v>0</v>
          </cell>
          <cell r="B244" t="str">
            <v>ALL VRTS</v>
          </cell>
          <cell r="D244" t="str">
            <v>34502C</v>
          </cell>
          <cell r="F244" t="str">
            <v>Metal Finishers</v>
          </cell>
          <cell r="H244" t="str">
            <v>B01</v>
          </cell>
          <cell r="K244" t="str">
            <v>V31</v>
          </cell>
          <cell r="M244">
            <v>0</v>
          </cell>
          <cell r="N244">
            <v>0</v>
          </cell>
          <cell r="O244">
            <v>-1</v>
          </cell>
          <cell r="P244" t="str">
            <v>ALL</v>
          </cell>
          <cell r="Q244">
            <v>2004</v>
          </cell>
          <cell r="R244" t="str">
            <v>DEARBORN PLANT BUILD</v>
          </cell>
          <cell r="S244" t="str">
            <v>P221/P397</v>
          </cell>
          <cell r="T244" t="str">
            <v xml:space="preserve"> Tailgate - Surface</v>
          </cell>
          <cell r="U244">
            <v>1</v>
          </cell>
          <cell r="Y244">
            <v>1</v>
          </cell>
        </row>
        <row r="245">
          <cell r="A245">
            <v>0</v>
          </cell>
          <cell r="B245" t="str">
            <v>ALL VRTS</v>
          </cell>
          <cell r="H245" t="str">
            <v>A85</v>
          </cell>
          <cell r="K245" t="str">
            <v>V17</v>
          </cell>
          <cell r="M245">
            <v>0</v>
          </cell>
          <cell r="N245">
            <v>0</v>
          </cell>
          <cell r="O245">
            <v>-1</v>
          </cell>
          <cell r="P245" t="str">
            <v>ALL</v>
          </cell>
          <cell r="Q245">
            <v>2004</v>
          </cell>
          <cell r="R245" t="str">
            <v>DEARBORN PLANT BUILD</v>
          </cell>
          <cell r="S245" t="str">
            <v>P221/P397</v>
          </cell>
          <cell r="T245" t="str">
            <v>Accel. Noisy</v>
          </cell>
          <cell r="U245">
            <v>1</v>
          </cell>
          <cell r="AB245">
            <v>1</v>
          </cell>
        </row>
        <row r="246">
          <cell r="A246">
            <v>0</v>
          </cell>
          <cell r="B246" t="str">
            <v>ALL VRTS</v>
          </cell>
          <cell r="H246" t="str">
            <v>S27</v>
          </cell>
          <cell r="K246" t="str">
            <v>V05</v>
          </cell>
          <cell r="M246">
            <v>0</v>
          </cell>
          <cell r="N246">
            <v>-1</v>
          </cell>
          <cell r="O246">
            <v>0</v>
          </cell>
          <cell r="P246" t="str">
            <v>ALL</v>
          </cell>
          <cell r="Q246">
            <v>2004</v>
          </cell>
          <cell r="R246" t="str">
            <v>DEARBORN PLANT BUILD</v>
          </cell>
          <cell r="S246" t="str">
            <v>P221/P397</v>
          </cell>
          <cell r="T246" t="str">
            <v>AIR BAG EMBLEM</v>
          </cell>
          <cell r="U246">
            <v>1</v>
          </cell>
          <cell r="Y246">
            <v>1</v>
          </cell>
        </row>
        <row r="247">
          <cell r="A247">
            <v>0</v>
          </cell>
          <cell r="B247" t="str">
            <v>ALL VRTS</v>
          </cell>
          <cell r="H247" t="str">
            <v>A85</v>
          </cell>
          <cell r="K247" t="str">
            <v>V17</v>
          </cell>
          <cell r="M247">
            <v>0</v>
          </cell>
          <cell r="N247">
            <v>-1</v>
          </cell>
          <cell r="O247">
            <v>0</v>
          </cell>
          <cell r="P247" t="str">
            <v>ALL</v>
          </cell>
          <cell r="Q247">
            <v>2004</v>
          </cell>
          <cell r="R247" t="str">
            <v>DEARBORN PLANT BUILD</v>
          </cell>
          <cell r="S247" t="str">
            <v>P221/P397</v>
          </cell>
          <cell r="T247" t="str">
            <v>Air Temp Senor INOP</v>
          </cell>
          <cell r="U247">
            <v>1</v>
          </cell>
          <cell r="AB247">
            <v>1</v>
          </cell>
        </row>
        <row r="248">
          <cell r="A248">
            <v>0</v>
          </cell>
          <cell r="B248" t="str">
            <v>ALL VRTS</v>
          </cell>
          <cell r="D248" t="str">
            <v>Trim 1 5440 -D</v>
          </cell>
          <cell r="F248" t="str">
            <v>T1E02R</v>
          </cell>
          <cell r="H248" t="str">
            <v>B63</v>
          </cell>
          <cell r="K248" t="str">
            <v>V75</v>
          </cell>
          <cell r="M248">
            <v>0</v>
          </cell>
          <cell r="N248">
            <v>0</v>
          </cell>
          <cell r="O248">
            <v>-1</v>
          </cell>
          <cell r="P248" t="str">
            <v>ALL</v>
          </cell>
          <cell r="Q248">
            <v>2004</v>
          </cell>
          <cell r="R248" t="str">
            <v>DEARBORN PLANT BUILD</v>
          </cell>
          <cell r="S248" t="str">
            <v>P221/P397</v>
          </cell>
          <cell r="T248" t="str">
            <v>ANTENNA BASE COVER / MISSING</v>
          </cell>
          <cell r="U248">
            <v>1</v>
          </cell>
          <cell r="AC248">
            <v>1</v>
          </cell>
        </row>
        <row r="249">
          <cell r="A249">
            <v>0</v>
          </cell>
          <cell r="B249" t="str">
            <v>ALL VRTS</v>
          </cell>
          <cell r="D249" t="str">
            <v>Trim 1 5440 -D</v>
          </cell>
          <cell r="F249" t="str">
            <v>T1E02R</v>
          </cell>
          <cell r="H249" t="str">
            <v>B63</v>
          </cell>
          <cell r="K249" t="str">
            <v>V75</v>
          </cell>
          <cell r="M249">
            <v>0</v>
          </cell>
          <cell r="N249">
            <v>0</v>
          </cell>
          <cell r="O249">
            <v>-1</v>
          </cell>
          <cell r="P249" t="str">
            <v>ALL</v>
          </cell>
          <cell r="Q249">
            <v>2004</v>
          </cell>
          <cell r="R249" t="str">
            <v>DEARBORN PLANT BUILD</v>
          </cell>
          <cell r="S249" t="str">
            <v>P221/P397</v>
          </cell>
          <cell r="T249" t="str">
            <v>ANTENNA BASE COVER / POOR FIT</v>
          </cell>
          <cell r="U249">
            <v>1</v>
          </cell>
          <cell r="AC249">
            <v>1</v>
          </cell>
        </row>
        <row r="250">
          <cell r="A250">
            <v>0</v>
          </cell>
          <cell r="B250" t="str">
            <v>ALL VRTS</v>
          </cell>
          <cell r="D250" t="str">
            <v>Box Line 5400-2-B</v>
          </cell>
          <cell r="F250" t="str">
            <v>TBE 26B</v>
          </cell>
          <cell r="H250" t="str">
            <v>B63</v>
          </cell>
          <cell r="K250" t="str">
            <v>V75</v>
          </cell>
          <cell r="M250">
            <v>0</v>
          </cell>
          <cell r="N250">
            <v>0</v>
          </cell>
          <cell r="O250">
            <v>-1</v>
          </cell>
          <cell r="P250" t="str">
            <v>ALL</v>
          </cell>
          <cell r="Q250">
            <v>2004</v>
          </cell>
          <cell r="R250" t="str">
            <v>DEARBORN PLANT BUILD</v>
          </cell>
          <cell r="S250" t="str">
            <v>P221/P397</v>
          </cell>
          <cell r="T250" t="str">
            <v>BED RAIL MOLDING / LOOSE</v>
          </cell>
          <cell r="U250">
            <v>1</v>
          </cell>
          <cell r="AB250">
            <v>1</v>
          </cell>
        </row>
        <row r="251">
          <cell r="A251">
            <v>0</v>
          </cell>
          <cell r="B251" t="str">
            <v>ALL VRTS</v>
          </cell>
          <cell r="D251" t="str">
            <v>box 5400</v>
          </cell>
          <cell r="F251" t="str">
            <v>TBE26B</v>
          </cell>
          <cell r="H251" t="str">
            <v>B64</v>
          </cell>
          <cell r="K251" t="str">
            <v>V75</v>
          </cell>
          <cell r="M251">
            <v>0</v>
          </cell>
          <cell r="N251">
            <v>0</v>
          </cell>
          <cell r="O251">
            <v>-1</v>
          </cell>
          <cell r="P251" t="str">
            <v>ALL</v>
          </cell>
          <cell r="Q251">
            <v>2004</v>
          </cell>
          <cell r="R251" t="str">
            <v>DEARBORN PLANT BUILD</v>
          </cell>
          <cell r="S251" t="str">
            <v>P221/P397</v>
          </cell>
          <cell r="T251" t="str">
            <v>BED RAIL MOLDING / MISALIGNED</v>
          </cell>
          <cell r="U251">
            <v>1</v>
          </cell>
          <cell r="AA251">
            <v>1</v>
          </cell>
        </row>
        <row r="252">
          <cell r="A252">
            <v>0</v>
          </cell>
          <cell r="B252" t="str">
            <v>ALL VRTS</v>
          </cell>
          <cell r="D252" t="str">
            <v>Box Line 5400-2-B</v>
          </cell>
          <cell r="F252" t="str">
            <v>TBW26B</v>
          </cell>
          <cell r="H252" t="str">
            <v>B66</v>
          </cell>
          <cell r="K252" t="str">
            <v>V75</v>
          </cell>
          <cell r="M252">
            <v>0</v>
          </cell>
          <cell r="N252">
            <v>0</v>
          </cell>
          <cell r="O252">
            <v>-1</v>
          </cell>
          <cell r="P252" t="str">
            <v>ALL</v>
          </cell>
          <cell r="Q252">
            <v>2004</v>
          </cell>
          <cell r="R252" t="str">
            <v>DEARBORN PLANT BUILD</v>
          </cell>
          <cell r="S252" t="str">
            <v>P221/P397</v>
          </cell>
          <cell r="T252" t="str">
            <v>BED RAIL MOLDING / MISSING</v>
          </cell>
          <cell r="U252">
            <v>1</v>
          </cell>
          <cell r="Z252">
            <v>1</v>
          </cell>
        </row>
        <row r="253">
          <cell r="A253">
            <v>0</v>
          </cell>
          <cell r="B253" t="str">
            <v>ALL VRTS</v>
          </cell>
          <cell r="H253" t="str">
            <v>A85</v>
          </cell>
          <cell r="K253" t="str">
            <v>V17</v>
          </cell>
          <cell r="M253">
            <v>0</v>
          </cell>
          <cell r="N253">
            <v>0</v>
          </cell>
          <cell r="O253">
            <v>-1</v>
          </cell>
          <cell r="P253" t="str">
            <v>ALL</v>
          </cell>
          <cell r="Q253">
            <v>2004</v>
          </cell>
          <cell r="R253" t="str">
            <v>DEARBORN PLANT BUILD</v>
          </cell>
          <cell r="S253" t="str">
            <v>P221/P397</v>
          </cell>
          <cell r="T253" t="str">
            <v>Block- Heater Cord Trapped.</v>
          </cell>
          <cell r="U253">
            <v>1</v>
          </cell>
          <cell r="Z253">
            <v>1</v>
          </cell>
        </row>
        <row r="254">
          <cell r="A254">
            <v>0</v>
          </cell>
          <cell r="B254" t="str">
            <v>ALL VRTS</v>
          </cell>
          <cell r="D254" t="str">
            <v>C5 6540-2-G</v>
          </cell>
          <cell r="F254" t="str">
            <v>C5W28R</v>
          </cell>
          <cell r="H254" t="str">
            <v>B66</v>
          </cell>
          <cell r="K254" t="str">
            <v>V75</v>
          </cell>
          <cell r="M254">
            <v>0</v>
          </cell>
          <cell r="N254">
            <v>0</v>
          </cell>
          <cell r="O254">
            <v>-1</v>
          </cell>
          <cell r="P254" t="str">
            <v>ALL</v>
          </cell>
          <cell r="Q254">
            <v>2004</v>
          </cell>
          <cell r="R254" t="str">
            <v>DEARBORN PLANT BUILD</v>
          </cell>
          <cell r="S254" t="str">
            <v>P221/P397</v>
          </cell>
          <cell r="T254" t="str">
            <v>Box Bolt Missing</v>
          </cell>
          <cell r="U254">
            <v>1</v>
          </cell>
          <cell r="AB254">
            <v>1</v>
          </cell>
        </row>
        <row r="255">
          <cell r="A255">
            <v>0</v>
          </cell>
          <cell r="B255" t="str">
            <v>ALL VRTS</v>
          </cell>
          <cell r="D255" t="str">
            <v>6500</v>
          </cell>
          <cell r="F255" t="str">
            <v>C4E21L</v>
          </cell>
          <cell r="H255" t="str">
            <v>T55</v>
          </cell>
          <cell r="K255" t="str">
            <v>V74</v>
          </cell>
          <cell r="M255">
            <v>0</v>
          </cell>
          <cell r="N255">
            <v>0</v>
          </cell>
          <cell r="O255">
            <v>-1</v>
          </cell>
          <cell r="P255" t="str">
            <v>ALL</v>
          </cell>
          <cell r="Q255">
            <v>2004</v>
          </cell>
          <cell r="R255" t="str">
            <v>DEARBORN PLANT BUILD</v>
          </cell>
          <cell r="S255" t="str">
            <v>P221/P397</v>
          </cell>
          <cell r="T255" t="str">
            <v>B-PILLAR</v>
          </cell>
          <cell r="U255">
            <v>1</v>
          </cell>
          <cell r="AA255">
            <v>1</v>
          </cell>
        </row>
        <row r="256">
          <cell r="A256">
            <v>0</v>
          </cell>
          <cell r="B256" t="str">
            <v>ALL VRTS</v>
          </cell>
          <cell r="H256" t="str">
            <v>G29</v>
          </cell>
          <cell r="K256" t="str">
            <v>V19</v>
          </cell>
          <cell r="M256">
            <v>0</v>
          </cell>
          <cell r="N256">
            <v>0</v>
          </cell>
          <cell r="O256">
            <v>-1</v>
          </cell>
          <cell r="P256" t="str">
            <v>ALL</v>
          </cell>
          <cell r="Q256">
            <v>2004</v>
          </cell>
          <cell r="R256" t="str">
            <v>DEARBORN PLANT BUILD</v>
          </cell>
          <cell r="S256" t="str">
            <v>P221/P397</v>
          </cell>
          <cell r="T256" t="str">
            <v>Brake Cable</v>
          </cell>
          <cell r="U256">
            <v>1</v>
          </cell>
          <cell r="AB256">
            <v>1</v>
          </cell>
        </row>
        <row r="257">
          <cell r="A257">
            <v>0</v>
          </cell>
          <cell r="B257" t="str">
            <v>ALL VRTS</v>
          </cell>
          <cell r="H257" t="str">
            <v>H16</v>
          </cell>
          <cell r="K257" t="str">
            <v>V21</v>
          </cell>
          <cell r="M257">
            <v>0</v>
          </cell>
          <cell r="N257">
            <v>-1</v>
          </cell>
          <cell r="O257">
            <v>0</v>
          </cell>
          <cell r="P257" t="str">
            <v>ALL</v>
          </cell>
          <cell r="Q257">
            <v>2004</v>
          </cell>
          <cell r="R257" t="str">
            <v>DEARBORN PLANT BUILD</v>
          </cell>
          <cell r="S257" t="str">
            <v>P221/P397</v>
          </cell>
          <cell r="T257" t="str">
            <v>BRAKES OUT</v>
          </cell>
          <cell r="U257">
            <v>1</v>
          </cell>
          <cell r="X257">
            <v>1</v>
          </cell>
        </row>
        <row r="258">
          <cell r="A258">
            <v>0</v>
          </cell>
          <cell r="B258" t="str">
            <v>ALL VRTS</v>
          </cell>
          <cell r="H258" t="str">
            <v>B07</v>
          </cell>
          <cell r="K258" t="str">
            <v>V75</v>
          </cell>
          <cell r="M258">
            <v>0</v>
          </cell>
          <cell r="N258">
            <v>-1</v>
          </cell>
          <cell r="O258">
            <v>0</v>
          </cell>
          <cell r="P258" t="str">
            <v>ALL</v>
          </cell>
          <cell r="Q258">
            <v>2004</v>
          </cell>
          <cell r="R258" t="str">
            <v>DEARBORN PLANT BUILD</v>
          </cell>
          <cell r="S258" t="str">
            <v>P221/P397</v>
          </cell>
          <cell r="T258" t="str">
            <v>BUM</v>
          </cell>
          <cell r="U258">
            <v>1</v>
          </cell>
          <cell r="AA258">
            <v>1</v>
          </cell>
        </row>
        <row r="259">
          <cell r="A259">
            <v>0</v>
          </cell>
          <cell r="B259" t="str">
            <v>ALL VRTS</v>
          </cell>
          <cell r="D259" t="str">
            <v>Chassis 2 6440-2-D</v>
          </cell>
          <cell r="F259" t="str">
            <v>C2W48-52B</v>
          </cell>
          <cell r="H259" t="str">
            <v>B69</v>
          </cell>
          <cell r="K259" t="str">
            <v>V75</v>
          </cell>
          <cell r="M259">
            <v>0</v>
          </cell>
          <cell r="N259">
            <v>0</v>
          </cell>
          <cell r="O259">
            <v>-1</v>
          </cell>
          <cell r="P259" t="str">
            <v>ALL</v>
          </cell>
          <cell r="Q259">
            <v>2004</v>
          </cell>
          <cell r="R259" t="str">
            <v>DEARBORN PLANT BUILD</v>
          </cell>
          <cell r="S259" t="str">
            <v>P221/P397</v>
          </cell>
          <cell r="T259" t="str">
            <v>BUMPER / WRONG</v>
          </cell>
          <cell r="U259">
            <v>1</v>
          </cell>
          <cell r="AC259">
            <v>1</v>
          </cell>
        </row>
        <row r="260">
          <cell r="A260">
            <v>0</v>
          </cell>
          <cell r="B260" t="str">
            <v>ALL VRTS</v>
          </cell>
          <cell r="H260" t="str">
            <v>B66</v>
          </cell>
          <cell r="K260" t="str">
            <v>V75</v>
          </cell>
          <cell r="M260">
            <v>0</v>
          </cell>
          <cell r="N260">
            <v>-1</v>
          </cell>
          <cell r="O260">
            <v>0</v>
          </cell>
          <cell r="P260" t="str">
            <v>ALL</v>
          </cell>
          <cell r="Q260">
            <v>2004</v>
          </cell>
          <cell r="R260" t="str">
            <v>DEARBORN PLANT BUILD</v>
          </cell>
          <cell r="S260" t="str">
            <v>P221/P397</v>
          </cell>
          <cell r="T260" t="str">
            <v>BUMPER COVER /</v>
          </cell>
          <cell r="U260">
            <v>1</v>
          </cell>
          <cell r="AB260">
            <v>1</v>
          </cell>
        </row>
        <row r="261">
          <cell r="A261">
            <v>0</v>
          </cell>
          <cell r="B261" t="str">
            <v>ALL VRTS</v>
          </cell>
          <cell r="H261" t="str">
            <v>B07</v>
          </cell>
          <cell r="K261" t="str">
            <v>V75</v>
          </cell>
          <cell r="M261">
            <v>0</v>
          </cell>
          <cell r="N261">
            <v>-1</v>
          </cell>
          <cell r="O261">
            <v>0</v>
          </cell>
          <cell r="P261" t="str">
            <v>ALL</v>
          </cell>
          <cell r="Q261">
            <v>2004</v>
          </cell>
          <cell r="R261" t="str">
            <v>DEARBORN PLANT BUILD</v>
          </cell>
          <cell r="S261" t="str">
            <v>P221/P397</v>
          </cell>
          <cell r="T261" t="str">
            <v>Bumper Cover/ defective</v>
          </cell>
          <cell r="U261">
            <v>1</v>
          </cell>
          <cell r="AC261">
            <v>1</v>
          </cell>
        </row>
        <row r="262">
          <cell r="A262">
            <v>0</v>
          </cell>
          <cell r="B262" t="str">
            <v>ALL VRTS</v>
          </cell>
          <cell r="D262" t="str">
            <v>Chassis 2 6440-2-D</v>
          </cell>
          <cell r="F262" t="str">
            <v>C2W48-52B</v>
          </cell>
          <cell r="H262" t="str">
            <v>B69</v>
          </cell>
          <cell r="K262" t="str">
            <v>V75</v>
          </cell>
          <cell r="M262">
            <v>0</v>
          </cell>
          <cell r="N262">
            <v>0</v>
          </cell>
          <cell r="O262">
            <v>-1</v>
          </cell>
          <cell r="P262" t="str">
            <v>ALL</v>
          </cell>
          <cell r="Q262">
            <v>2004</v>
          </cell>
          <cell r="R262" t="str">
            <v>DEARBORN PLANT BUILD</v>
          </cell>
          <cell r="S262" t="str">
            <v>P221/P397</v>
          </cell>
          <cell r="T262" t="str">
            <v>Bumper/ defective</v>
          </cell>
          <cell r="U262">
            <v>1</v>
          </cell>
          <cell r="AB262">
            <v>1</v>
          </cell>
        </row>
        <row r="263">
          <cell r="A263">
            <v>0</v>
          </cell>
          <cell r="B263" t="str">
            <v>ALL VRTS</v>
          </cell>
          <cell r="D263" t="str">
            <v>Trim 2 5510-2-E</v>
          </cell>
          <cell r="F263" t="str">
            <v>TW31L</v>
          </cell>
          <cell r="H263" t="str">
            <v>B63</v>
          </cell>
          <cell r="K263" t="str">
            <v>V75</v>
          </cell>
          <cell r="M263">
            <v>0</v>
          </cell>
          <cell r="N263">
            <v>0</v>
          </cell>
          <cell r="O263">
            <v>-1</v>
          </cell>
          <cell r="P263" t="str">
            <v>ALL</v>
          </cell>
          <cell r="Q263">
            <v>2004</v>
          </cell>
          <cell r="R263" t="str">
            <v>DEARBORN PLANT BUILD</v>
          </cell>
          <cell r="S263" t="str">
            <v>P221/P397</v>
          </cell>
          <cell r="T263" t="str">
            <v>C Pillar weather seal defected</v>
          </cell>
          <cell r="U263">
            <v>1</v>
          </cell>
          <cell r="Z263">
            <v>1</v>
          </cell>
        </row>
        <row r="264">
          <cell r="A264">
            <v>0</v>
          </cell>
          <cell r="B264" t="str">
            <v>ALL VRTS</v>
          </cell>
          <cell r="H264" t="str">
            <v>N59</v>
          </cell>
          <cell r="K264" t="str">
            <v>V39</v>
          </cell>
          <cell r="M264">
            <v>-1</v>
          </cell>
          <cell r="N264">
            <v>0</v>
          </cell>
          <cell r="O264">
            <v>0</v>
          </cell>
          <cell r="P264" t="str">
            <v>ALL</v>
          </cell>
          <cell r="Q264">
            <v>2004</v>
          </cell>
          <cell r="R264" t="str">
            <v>DEARBORN PLANT BUILD</v>
          </cell>
          <cell r="S264" t="str">
            <v>P221/P397</v>
          </cell>
          <cell r="T264" t="str">
            <v>Center Floor Console Squeak/Rattle</v>
          </cell>
          <cell r="U264">
            <v>1</v>
          </cell>
          <cell r="AB264">
            <v>1</v>
          </cell>
        </row>
        <row r="265">
          <cell r="A265">
            <v>0</v>
          </cell>
          <cell r="B265" t="str">
            <v>ALL VRTS</v>
          </cell>
          <cell r="H265" t="str">
            <v>B66</v>
          </cell>
          <cell r="K265" t="str">
            <v>V75</v>
          </cell>
          <cell r="M265">
            <v>0</v>
          </cell>
          <cell r="N265">
            <v>-1</v>
          </cell>
          <cell r="O265">
            <v>0</v>
          </cell>
          <cell r="P265" t="str">
            <v>ALL</v>
          </cell>
          <cell r="Q265">
            <v>2004</v>
          </cell>
          <cell r="R265" t="str">
            <v>DEARBORN PLANT BUILD</v>
          </cell>
          <cell r="S265" t="str">
            <v>P221/P397</v>
          </cell>
          <cell r="T265" t="str">
            <v>CHMSL / CRACKED LENS</v>
          </cell>
          <cell r="U265">
            <v>1</v>
          </cell>
          <cell r="AB265">
            <v>1</v>
          </cell>
        </row>
        <row r="266">
          <cell r="A266">
            <v>0</v>
          </cell>
          <cell r="B266" t="str">
            <v>ALL VRTS</v>
          </cell>
          <cell r="H266" t="str">
            <v>T90</v>
          </cell>
          <cell r="K266" t="str">
            <v>V74</v>
          </cell>
          <cell r="M266">
            <v>0</v>
          </cell>
          <cell r="N266">
            <v>-1</v>
          </cell>
          <cell r="O266">
            <v>0</v>
          </cell>
          <cell r="P266" t="str">
            <v>ALL</v>
          </cell>
          <cell r="Q266">
            <v>2004</v>
          </cell>
          <cell r="R266" t="str">
            <v>DEARBORN PLANT BUILD</v>
          </cell>
          <cell r="S266" t="str">
            <v>P221/P397</v>
          </cell>
          <cell r="T266" t="str">
            <v>COAT HOOKS</v>
          </cell>
          <cell r="U266">
            <v>1</v>
          </cell>
          <cell r="AB266">
            <v>1</v>
          </cell>
        </row>
        <row r="267">
          <cell r="A267">
            <v>0</v>
          </cell>
          <cell r="B267" t="str">
            <v>ALL VRTS</v>
          </cell>
          <cell r="H267" t="str">
            <v>L25</v>
          </cell>
          <cell r="K267" t="str">
            <v>V77</v>
          </cell>
          <cell r="M267">
            <v>0</v>
          </cell>
          <cell r="N267">
            <v>0</v>
          </cell>
          <cell r="O267">
            <v>-1</v>
          </cell>
          <cell r="P267" t="str">
            <v>ALL</v>
          </cell>
          <cell r="Q267">
            <v>2004</v>
          </cell>
          <cell r="R267" t="str">
            <v>DEARBORN PLANT BUILD</v>
          </cell>
          <cell r="S267" t="str">
            <v>P221/P397</v>
          </cell>
          <cell r="T267" t="str">
            <v>Console Light INOP</v>
          </cell>
          <cell r="U267">
            <v>1</v>
          </cell>
          <cell r="AB267">
            <v>1</v>
          </cell>
        </row>
        <row r="268">
          <cell r="A268">
            <v>0</v>
          </cell>
          <cell r="B268" t="str">
            <v>ALL VRTS</v>
          </cell>
          <cell r="H268" t="str">
            <v>E35</v>
          </cell>
          <cell r="K268" t="str">
            <v>V89</v>
          </cell>
          <cell r="M268">
            <v>0</v>
          </cell>
          <cell r="N268">
            <v>-1</v>
          </cell>
          <cell r="O268">
            <v>0</v>
          </cell>
          <cell r="P268" t="str">
            <v>ALL</v>
          </cell>
          <cell r="Q268">
            <v>2004</v>
          </cell>
          <cell r="R268" t="str">
            <v>DEARBORN PLANT BUILD</v>
          </cell>
          <cell r="S268" t="str">
            <v>P221/P397</v>
          </cell>
          <cell r="T268" t="str">
            <v>COOLANT LEAKS</v>
          </cell>
          <cell r="U268">
            <v>1</v>
          </cell>
          <cell r="AA268">
            <v>1</v>
          </cell>
        </row>
        <row r="269">
          <cell r="A269">
            <v>0</v>
          </cell>
          <cell r="B269" t="str">
            <v>ALL VRTS</v>
          </cell>
          <cell r="D269" t="str">
            <v>5380-2-A</v>
          </cell>
          <cell r="F269" t="str">
            <v>TDW19L/20R</v>
          </cell>
          <cell r="H269" t="str">
            <v>B66</v>
          </cell>
          <cell r="K269" t="str">
            <v>V75</v>
          </cell>
          <cell r="M269">
            <v>0</v>
          </cell>
          <cell r="N269">
            <v>0</v>
          </cell>
          <cell r="O269">
            <v>-1</v>
          </cell>
          <cell r="P269" t="str">
            <v>ALL</v>
          </cell>
          <cell r="Q269">
            <v>2004</v>
          </cell>
          <cell r="R269" t="str">
            <v>DEARBORN PLANT BUILD</v>
          </cell>
          <cell r="S269" t="str">
            <v>P221/P397</v>
          </cell>
          <cell r="T269" t="str">
            <v>COWL TOP / POOR FIT</v>
          </cell>
          <cell r="U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D270" t="str">
            <v>6530</v>
          </cell>
          <cell r="F270" t="str">
            <v>C5W14R</v>
          </cell>
          <cell r="H270" t="str">
            <v>T54</v>
          </cell>
          <cell r="K270" t="str">
            <v>V74</v>
          </cell>
          <cell r="M270">
            <v>0</v>
          </cell>
          <cell r="N270">
            <v>0</v>
          </cell>
          <cell r="O270">
            <v>-1</v>
          </cell>
          <cell r="P270" t="str">
            <v>ALL</v>
          </cell>
          <cell r="Q270">
            <v>2004</v>
          </cell>
          <cell r="R270" t="str">
            <v>DEARBORN PLANT BUILD</v>
          </cell>
          <cell r="S270" t="str">
            <v>P221/P397</v>
          </cell>
          <cell r="T270" t="str">
            <v>C-PILLAR</v>
          </cell>
          <cell r="U270">
            <v>1</v>
          </cell>
          <cell r="AB270">
            <v>1</v>
          </cell>
        </row>
        <row r="271">
          <cell r="A271">
            <v>0</v>
          </cell>
          <cell r="B271" t="str">
            <v>ALL VRTS</v>
          </cell>
          <cell r="D271" t="str">
            <v>Box Line 5400-2-B</v>
          </cell>
          <cell r="F271" t="str">
            <v>TBE 26B</v>
          </cell>
          <cell r="H271" t="str">
            <v>B66</v>
          </cell>
          <cell r="K271" t="str">
            <v>V75</v>
          </cell>
          <cell r="M271">
            <v>0</v>
          </cell>
          <cell r="N271">
            <v>0</v>
          </cell>
          <cell r="O271">
            <v>-1</v>
          </cell>
          <cell r="P271" t="str">
            <v>ALL</v>
          </cell>
          <cell r="Q271">
            <v>2004</v>
          </cell>
          <cell r="R271" t="str">
            <v>DEARBORN PLANT BUILD</v>
          </cell>
          <cell r="S271" t="str">
            <v>P221/P397</v>
          </cell>
          <cell r="T271" t="str">
            <v>DECAL / BOX / WRONG</v>
          </cell>
          <cell r="U271">
            <v>1</v>
          </cell>
          <cell r="AB271">
            <v>1</v>
          </cell>
        </row>
        <row r="272">
          <cell r="A272">
            <v>0</v>
          </cell>
          <cell r="B272" t="str">
            <v>ALL VRTS</v>
          </cell>
          <cell r="D272" t="str">
            <v>Box Line 5400-2-B</v>
          </cell>
          <cell r="F272" t="str">
            <v>TBE 26B</v>
          </cell>
          <cell r="H272" t="str">
            <v>B66</v>
          </cell>
          <cell r="K272" t="str">
            <v>V75</v>
          </cell>
          <cell r="M272">
            <v>0</v>
          </cell>
          <cell r="N272">
            <v>0</v>
          </cell>
          <cell r="O272">
            <v>-1</v>
          </cell>
          <cell r="P272" t="str">
            <v>ALL</v>
          </cell>
          <cell r="Q272">
            <v>2004</v>
          </cell>
          <cell r="R272" t="str">
            <v>DEARBORN PLANT BUILD</v>
          </cell>
          <cell r="S272" t="str">
            <v>P221/P397</v>
          </cell>
          <cell r="T272" t="str">
            <v>DECAL / REAR/ MISSING</v>
          </cell>
          <cell r="U272">
            <v>1</v>
          </cell>
          <cell r="AA272">
            <v>1</v>
          </cell>
        </row>
        <row r="273">
          <cell r="A273">
            <v>0</v>
          </cell>
          <cell r="B273" t="str">
            <v>ALL VRTS</v>
          </cell>
          <cell r="H273" t="str">
            <v>G02</v>
          </cell>
          <cell r="K273" t="str">
            <v>V09</v>
          </cell>
          <cell r="M273">
            <v>0</v>
          </cell>
          <cell r="N273">
            <v>-1</v>
          </cell>
          <cell r="O273">
            <v>0</v>
          </cell>
          <cell r="P273" t="str">
            <v>ALL</v>
          </cell>
          <cell r="Q273">
            <v>2004</v>
          </cell>
          <cell r="R273" t="str">
            <v>DEARBORN PLANT BUILD</v>
          </cell>
          <cell r="S273" t="str">
            <v>P221/P397</v>
          </cell>
          <cell r="T273" t="str">
            <v>DISTORTED SIDE WINDOW</v>
          </cell>
          <cell r="U273">
            <v>1</v>
          </cell>
          <cell r="AB273">
            <v>1</v>
          </cell>
        </row>
        <row r="274">
          <cell r="A274">
            <v>0</v>
          </cell>
          <cell r="B274" t="str">
            <v>ALL VRTS</v>
          </cell>
          <cell r="D274" t="str">
            <v>5340</v>
          </cell>
          <cell r="F274" t="str">
            <v>TDW36-R</v>
          </cell>
          <cell r="H274" t="str">
            <v>G05</v>
          </cell>
          <cell r="K274" t="str">
            <v>V09</v>
          </cell>
          <cell r="M274">
            <v>0</v>
          </cell>
          <cell r="N274">
            <v>0</v>
          </cell>
          <cell r="O274">
            <v>-1</v>
          </cell>
          <cell r="P274" t="str">
            <v>ALL</v>
          </cell>
          <cell r="Q274">
            <v>2004</v>
          </cell>
          <cell r="R274" t="str">
            <v>DEARBORN PLANT BUILD</v>
          </cell>
          <cell r="S274" t="str">
            <v>P221/P397</v>
          </cell>
          <cell r="T274" t="str">
            <v>DOOR GLASS</v>
          </cell>
          <cell r="U274">
            <v>1</v>
          </cell>
          <cell r="W274">
            <v>1</v>
          </cell>
        </row>
        <row r="275">
          <cell r="A275">
            <v>0</v>
          </cell>
          <cell r="B275" t="str">
            <v>ALL VRTS</v>
          </cell>
          <cell r="H275" t="str">
            <v>L15</v>
          </cell>
          <cell r="K275" t="str">
            <v>V07</v>
          </cell>
          <cell r="M275">
            <v>0</v>
          </cell>
          <cell r="N275">
            <v>-1</v>
          </cell>
          <cell r="O275">
            <v>0</v>
          </cell>
          <cell r="P275" t="str">
            <v>ALL</v>
          </cell>
          <cell r="Q275">
            <v>2004</v>
          </cell>
          <cell r="R275" t="str">
            <v>DEARBORN PLANT BUILD</v>
          </cell>
          <cell r="S275" t="str">
            <v>P221/P397</v>
          </cell>
          <cell r="T275" t="str">
            <v>DOOR HARD TO CLOSE</v>
          </cell>
          <cell r="U275">
            <v>1</v>
          </cell>
          <cell r="X275">
            <v>1</v>
          </cell>
        </row>
        <row r="276">
          <cell r="A276">
            <v>0</v>
          </cell>
          <cell r="B276" t="str">
            <v>ALL VRTS</v>
          </cell>
          <cell r="H276" t="str">
            <v>L07</v>
          </cell>
          <cell r="K276" t="str">
            <v>V07</v>
          </cell>
          <cell r="M276">
            <v>0</v>
          </cell>
          <cell r="N276">
            <v>-1</v>
          </cell>
          <cell r="O276">
            <v>0</v>
          </cell>
          <cell r="P276" t="str">
            <v>ALL</v>
          </cell>
          <cell r="Q276">
            <v>2004</v>
          </cell>
          <cell r="R276" t="str">
            <v>DEARBORN PLANT BUILD</v>
          </cell>
          <cell r="S276" t="str">
            <v>P221/P397</v>
          </cell>
          <cell r="T276" t="str">
            <v>DOOR LOCK BINDING</v>
          </cell>
          <cell r="U276">
            <v>1</v>
          </cell>
          <cell r="Z276">
            <v>1</v>
          </cell>
        </row>
        <row r="277">
          <cell r="A277">
            <v>0</v>
          </cell>
          <cell r="B277" t="str">
            <v>ALL VRTS</v>
          </cell>
          <cell r="H277" t="str">
            <v>L07</v>
          </cell>
          <cell r="K277" t="str">
            <v>V07</v>
          </cell>
          <cell r="M277">
            <v>0</v>
          </cell>
          <cell r="N277">
            <v>0</v>
          </cell>
          <cell r="O277">
            <v>-1</v>
          </cell>
          <cell r="P277" t="str">
            <v>ALL</v>
          </cell>
          <cell r="Q277">
            <v>2004</v>
          </cell>
          <cell r="R277" t="str">
            <v>DEARBORN PLANT BUILD</v>
          </cell>
          <cell r="S277" t="str">
            <v>P221/P397</v>
          </cell>
          <cell r="T277" t="str">
            <v>DOOR STRIKER WRONG</v>
          </cell>
          <cell r="U277">
            <v>1</v>
          </cell>
          <cell r="AB277">
            <v>1</v>
          </cell>
        </row>
        <row r="278">
          <cell r="A278">
            <v>0</v>
          </cell>
          <cell r="B278" t="str">
            <v>ALL VRTS</v>
          </cell>
          <cell r="H278" t="str">
            <v>F06</v>
          </cell>
          <cell r="K278" t="str">
            <v>V33</v>
          </cell>
          <cell r="M278">
            <v>0</v>
          </cell>
          <cell r="N278">
            <v>0</v>
          </cell>
          <cell r="O278">
            <v>-1</v>
          </cell>
          <cell r="P278" t="str">
            <v>ALL</v>
          </cell>
          <cell r="Q278">
            <v>2004</v>
          </cell>
          <cell r="R278" t="str">
            <v>DEARBORN PLANT BUILD</v>
          </cell>
          <cell r="S278" t="str">
            <v>P221/P397</v>
          </cell>
          <cell r="T278" t="str">
            <v>Dry</v>
          </cell>
          <cell r="U278">
            <v>1</v>
          </cell>
          <cell r="AA278">
            <v>1</v>
          </cell>
        </row>
        <row r="279">
          <cell r="A279">
            <v>0</v>
          </cell>
          <cell r="B279" t="str">
            <v>ALL VRTS</v>
          </cell>
          <cell r="H279" t="str">
            <v>D35</v>
          </cell>
          <cell r="K279" t="str">
            <v>V46</v>
          </cell>
          <cell r="M279">
            <v>-1</v>
          </cell>
          <cell r="N279">
            <v>-1</v>
          </cell>
          <cell r="O279">
            <v>0</v>
          </cell>
          <cell r="P279" t="str">
            <v>ALL</v>
          </cell>
          <cell r="Q279">
            <v>2004</v>
          </cell>
          <cell r="R279" t="str">
            <v>DEARBORN PLANT BUILD</v>
          </cell>
          <cell r="S279" t="str">
            <v>P221/P397</v>
          </cell>
          <cell r="T279" t="str">
            <v>EXCESSIVE FUEL CONSUMPTION</v>
          </cell>
          <cell r="U279">
            <v>1</v>
          </cell>
          <cell r="AB279">
            <v>1</v>
          </cell>
        </row>
        <row r="280">
          <cell r="A280">
            <v>0</v>
          </cell>
          <cell r="B280" t="str">
            <v>ALL VRTS</v>
          </cell>
          <cell r="H280" t="str">
            <v>F37</v>
          </cell>
          <cell r="K280" t="str">
            <v>V75</v>
          </cell>
          <cell r="M280">
            <v>0</v>
          </cell>
          <cell r="N280">
            <v>-1</v>
          </cell>
          <cell r="O280">
            <v>0</v>
          </cell>
          <cell r="P280" t="str">
            <v>ALL</v>
          </cell>
          <cell r="Q280">
            <v>2004</v>
          </cell>
          <cell r="R280" t="str">
            <v>DEARBORN PLANT BUILD</v>
          </cell>
          <cell r="S280" t="str">
            <v>P221/P397</v>
          </cell>
          <cell r="T280" t="str">
            <v>Fascia / Dirt In Paint</v>
          </cell>
          <cell r="U280">
            <v>1</v>
          </cell>
          <cell r="X280">
            <v>1</v>
          </cell>
        </row>
        <row r="281">
          <cell r="A281">
            <v>0</v>
          </cell>
          <cell r="B281" t="str">
            <v>ALL VRTS</v>
          </cell>
          <cell r="D281" t="str">
            <v>Trim 3 5560-2-F</v>
          </cell>
          <cell r="F281" t="str">
            <v>T3E34 R</v>
          </cell>
          <cell r="H281" t="str">
            <v>B66</v>
          </cell>
          <cell r="K281" t="str">
            <v>V75</v>
          </cell>
          <cell r="M281">
            <v>0</v>
          </cell>
          <cell r="N281">
            <v>0</v>
          </cell>
          <cell r="O281">
            <v>-1</v>
          </cell>
          <cell r="P281" t="str">
            <v>ALL</v>
          </cell>
          <cell r="Q281">
            <v>2004</v>
          </cell>
          <cell r="R281" t="str">
            <v>DEARBORN PLANT BUILD</v>
          </cell>
          <cell r="S281" t="str">
            <v>P221/P397</v>
          </cell>
          <cell r="T281" t="str">
            <v>Fender Splash Shield / defective</v>
          </cell>
          <cell r="U281">
            <v>1</v>
          </cell>
          <cell r="Z281">
            <v>1</v>
          </cell>
        </row>
        <row r="282">
          <cell r="A282">
            <v>0</v>
          </cell>
          <cell r="B282" t="str">
            <v>ALL VRTS</v>
          </cell>
          <cell r="H282" t="str">
            <v>B94</v>
          </cell>
          <cell r="K282" t="str">
            <v>V71</v>
          </cell>
          <cell r="M282">
            <v>0</v>
          </cell>
          <cell r="N282">
            <v>-1</v>
          </cell>
          <cell r="O282">
            <v>0</v>
          </cell>
          <cell r="P282" t="str">
            <v>ALL</v>
          </cell>
          <cell r="Q282">
            <v>2004</v>
          </cell>
          <cell r="R282" t="str">
            <v>DEARBORN PLANT BUILD</v>
          </cell>
          <cell r="S282" t="str">
            <v>P221/P397</v>
          </cell>
          <cell r="T282" t="str">
            <v>FLOOR MATTING</v>
          </cell>
          <cell r="U282">
            <v>1</v>
          </cell>
          <cell r="AB282">
            <v>1</v>
          </cell>
        </row>
        <row r="283">
          <cell r="A283">
            <v>0</v>
          </cell>
          <cell r="B283" t="str">
            <v>ALL VRTS</v>
          </cell>
          <cell r="D283" t="str">
            <v>6520</v>
          </cell>
          <cell r="F283" t="str">
            <v>C5E05L</v>
          </cell>
          <cell r="H283" t="str">
            <v>T90</v>
          </cell>
          <cell r="K283" t="str">
            <v>V74</v>
          </cell>
          <cell r="M283">
            <v>0</v>
          </cell>
          <cell r="N283">
            <v>0</v>
          </cell>
          <cell r="O283">
            <v>-1</v>
          </cell>
          <cell r="P283" t="str">
            <v>ALL</v>
          </cell>
          <cell r="Q283">
            <v>2004</v>
          </cell>
          <cell r="R283" t="str">
            <v>DEARBORN PLANT BUILD</v>
          </cell>
          <cell r="S283" t="str">
            <v>P221/P397</v>
          </cell>
          <cell r="T283" t="str">
            <v>FLOOR SHIFTER 4X4</v>
          </cell>
          <cell r="U283">
            <v>1</v>
          </cell>
          <cell r="AB283">
            <v>1</v>
          </cell>
        </row>
        <row r="284">
          <cell r="A284">
            <v>0</v>
          </cell>
          <cell r="B284" t="str">
            <v>ALL VRTS</v>
          </cell>
          <cell r="D284" t="str">
            <v>unsure</v>
          </cell>
          <cell r="F284" t="str">
            <v>T3E01L</v>
          </cell>
          <cell r="H284" t="str">
            <v>N59</v>
          </cell>
          <cell r="K284" t="str">
            <v>V39</v>
          </cell>
          <cell r="M284">
            <v>0</v>
          </cell>
          <cell r="N284">
            <v>0</v>
          </cell>
          <cell r="O284">
            <v>-1</v>
          </cell>
          <cell r="P284" t="str">
            <v>ALL</v>
          </cell>
          <cell r="Q284">
            <v>2004</v>
          </cell>
          <cell r="R284" t="str">
            <v>DEARBORN PLANT BUILD</v>
          </cell>
          <cell r="S284" t="str">
            <v>P221/P397</v>
          </cell>
          <cell r="T284" t="str">
            <v>Front Seat Squeak/Rattle</v>
          </cell>
          <cell r="U284">
            <v>1</v>
          </cell>
          <cell r="AA284">
            <v>1</v>
          </cell>
        </row>
        <row r="285">
          <cell r="A285">
            <v>0</v>
          </cell>
          <cell r="B285" t="str">
            <v>ALL VRTS</v>
          </cell>
          <cell r="D285" t="str">
            <v>5350-2-A</v>
          </cell>
          <cell r="F285" t="str">
            <v>TDE31-l</v>
          </cell>
          <cell r="H285" t="str">
            <v>B64</v>
          </cell>
          <cell r="K285" t="str">
            <v>V75</v>
          </cell>
          <cell r="M285">
            <v>0</v>
          </cell>
          <cell r="N285">
            <v>0</v>
          </cell>
          <cell r="O285">
            <v>-1</v>
          </cell>
          <cell r="P285" t="str">
            <v>ALL</v>
          </cell>
          <cell r="Q285">
            <v>2004</v>
          </cell>
          <cell r="R285" t="str">
            <v>DEARBORN PLANT BUILD</v>
          </cell>
          <cell r="S285" t="str">
            <v>P221/P397</v>
          </cell>
          <cell r="T285" t="str">
            <v>frt outer belt mldg / defective</v>
          </cell>
          <cell r="U285">
            <v>1</v>
          </cell>
          <cell r="Y285">
            <v>1</v>
          </cell>
        </row>
        <row r="286">
          <cell r="A286">
            <v>0</v>
          </cell>
          <cell r="B286" t="str">
            <v>ALL VRTS</v>
          </cell>
          <cell r="H286" t="str">
            <v>E40</v>
          </cell>
          <cell r="K286" t="str">
            <v>V17</v>
          </cell>
          <cell r="M286">
            <v>-1</v>
          </cell>
          <cell r="N286">
            <v>0</v>
          </cell>
          <cell r="O286">
            <v>0</v>
          </cell>
          <cell r="P286" t="str">
            <v>ALL</v>
          </cell>
          <cell r="Q286">
            <v>2004</v>
          </cell>
          <cell r="R286" t="str">
            <v>DEARBORN PLANT BUILD</v>
          </cell>
          <cell r="S286" t="str">
            <v>P221/P397</v>
          </cell>
          <cell r="T286" t="str">
            <v>Fuel Gauge</v>
          </cell>
          <cell r="U286">
            <v>1</v>
          </cell>
          <cell r="AA286">
            <v>1</v>
          </cell>
        </row>
        <row r="287">
          <cell r="A287">
            <v>0</v>
          </cell>
          <cell r="B287" t="str">
            <v>ALL VRTS</v>
          </cell>
          <cell r="H287" t="str">
            <v>F99</v>
          </cell>
          <cell r="K287" t="str">
            <v>V99</v>
          </cell>
          <cell r="M287">
            <v>0</v>
          </cell>
          <cell r="N287">
            <v>0</v>
          </cell>
          <cell r="O287">
            <v>-1</v>
          </cell>
          <cell r="P287" t="str">
            <v>ALL</v>
          </cell>
          <cell r="Q287">
            <v>2004</v>
          </cell>
          <cell r="R287" t="str">
            <v>DEARBORN PLANT BUILD</v>
          </cell>
          <cell r="S287" t="str">
            <v>P221/P397</v>
          </cell>
          <cell r="T287" t="str">
            <v>Fuel insufficient</v>
          </cell>
          <cell r="U287">
            <v>1</v>
          </cell>
          <cell r="AB287">
            <v>1</v>
          </cell>
        </row>
        <row r="288">
          <cell r="A288">
            <v>0</v>
          </cell>
          <cell r="B288" t="str">
            <v>ALL VRTS</v>
          </cell>
          <cell r="H288" t="str">
            <v>L69</v>
          </cell>
          <cell r="K288" t="str">
            <v>V25</v>
          </cell>
          <cell r="M288">
            <v>0</v>
          </cell>
          <cell r="N288">
            <v>0</v>
          </cell>
          <cell r="O288">
            <v>-1</v>
          </cell>
          <cell r="P288" t="str">
            <v>ALL</v>
          </cell>
          <cell r="Q288">
            <v>2004</v>
          </cell>
          <cell r="R288" t="str">
            <v>DEARBORN PLANT BUILD</v>
          </cell>
          <cell r="S288" t="str">
            <v>P221/P397</v>
          </cell>
          <cell r="T288" t="str">
            <v>FUEL/Low Fill</v>
          </cell>
          <cell r="U288">
            <v>1</v>
          </cell>
          <cell r="AC288">
            <v>1</v>
          </cell>
        </row>
        <row r="289">
          <cell r="A289">
            <v>0</v>
          </cell>
          <cell r="B289" t="str">
            <v>ALL VRTS</v>
          </cell>
          <cell r="D289" t="str">
            <v>door line 5340-2-A</v>
          </cell>
          <cell r="F289" t="str">
            <v>TDW22R</v>
          </cell>
          <cell r="H289" t="str">
            <v>B66</v>
          </cell>
          <cell r="K289" t="str">
            <v>V75</v>
          </cell>
          <cell r="M289">
            <v>0</v>
          </cell>
          <cell r="N289">
            <v>0</v>
          </cell>
          <cell r="O289">
            <v>-1</v>
          </cell>
          <cell r="P289" t="str">
            <v>ALL</v>
          </cell>
          <cell r="Q289">
            <v>2004</v>
          </cell>
          <cell r="R289" t="str">
            <v>DEARBORN PLANT BUILD</v>
          </cell>
          <cell r="S289" t="str">
            <v>P221/P397</v>
          </cell>
          <cell r="T289" t="str">
            <v>Glass Run Flock/ defective</v>
          </cell>
          <cell r="U289">
            <v>1</v>
          </cell>
          <cell r="AB289">
            <v>1</v>
          </cell>
        </row>
        <row r="290">
          <cell r="A290">
            <v>0</v>
          </cell>
          <cell r="B290" t="str">
            <v>ALL VRTS</v>
          </cell>
          <cell r="H290" t="str">
            <v>B66</v>
          </cell>
          <cell r="K290" t="str">
            <v>V75</v>
          </cell>
          <cell r="M290">
            <v>0</v>
          </cell>
          <cell r="N290">
            <v>-1</v>
          </cell>
          <cell r="O290">
            <v>0</v>
          </cell>
          <cell r="P290" t="str">
            <v>ALL</v>
          </cell>
          <cell r="Q290">
            <v>2004</v>
          </cell>
          <cell r="R290" t="str">
            <v>DEARBORN PLANT BUILD</v>
          </cell>
          <cell r="S290" t="str">
            <v>P221/P397</v>
          </cell>
          <cell r="T290" t="str">
            <v>GRILLE / DIRT IN PAINT</v>
          </cell>
          <cell r="U290">
            <v>1</v>
          </cell>
          <cell r="AB290">
            <v>1</v>
          </cell>
        </row>
        <row r="291">
          <cell r="A291">
            <v>0</v>
          </cell>
          <cell r="B291" t="str">
            <v>ALL VRTS</v>
          </cell>
          <cell r="H291" t="str">
            <v>B66</v>
          </cell>
          <cell r="K291" t="str">
            <v>V75</v>
          </cell>
          <cell r="M291">
            <v>0</v>
          </cell>
          <cell r="N291">
            <v>-1</v>
          </cell>
          <cell r="O291">
            <v>0</v>
          </cell>
          <cell r="P291" t="str">
            <v>ALL</v>
          </cell>
          <cell r="Q291">
            <v>2004</v>
          </cell>
          <cell r="R291" t="str">
            <v>DEARBORN PLANT BUILD</v>
          </cell>
          <cell r="S291" t="str">
            <v>P221/P397</v>
          </cell>
          <cell r="T291" t="str">
            <v>GRILLE / WHISTLE</v>
          </cell>
          <cell r="U291">
            <v>1</v>
          </cell>
          <cell r="Z291">
            <v>1</v>
          </cell>
        </row>
        <row r="292">
          <cell r="A292">
            <v>0</v>
          </cell>
          <cell r="B292" t="str">
            <v>ALL VRTS</v>
          </cell>
          <cell r="D292" t="str">
            <v>C5 6560-2-G</v>
          </cell>
          <cell r="F292" t="str">
            <v>C7E17R</v>
          </cell>
          <cell r="H292" t="str">
            <v>B66</v>
          </cell>
          <cell r="K292" t="str">
            <v>V75</v>
          </cell>
          <cell r="M292">
            <v>0</v>
          </cell>
          <cell r="N292">
            <v>0</v>
          </cell>
          <cell r="O292">
            <v>-1</v>
          </cell>
          <cell r="P292" t="str">
            <v>ALL</v>
          </cell>
          <cell r="Q292">
            <v>2004</v>
          </cell>
          <cell r="R292" t="str">
            <v>DEARBORN PLANT BUILD</v>
          </cell>
          <cell r="S292" t="str">
            <v>P221/P397</v>
          </cell>
          <cell r="T292" t="str">
            <v>GRILLE / WRONG</v>
          </cell>
          <cell r="U292">
            <v>1</v>
          </cell>
          <cell r="AB292">
            <v>1</v>
          </cell>
        </row>
        <row r="293">
          <cell r="A293">
            <v>0</v>
          </cell>
          <cell r="B293" t="str">
            <v>ALL VRTS</v>
          </cell>
          <cell r="H293" t="str">
            <v>F20</v>
          </cell>
          <cell r="K293" t="str">
            <v>V33</v>
          </cell>
          <cell r="M293">
            <v>0</v>
          </cell>
          <cell r="N293">
            <v>0</v>
          </cell>
          <cell r="O293">
            <v>-1</v>
          </cell>
          <cell r="P293" t="str">
            <v>ALL</v>
          </cell>
          <cell r="Q293">
            <v>2004</v>
          </cell>
          <cell r="R293" t="str">
            <v>DEARBORN PLANT BUILD</v>
          </cell>
          <cell r="S293" t="str">
            <v>P221/P397</v>
          </cell>
          <cell r="T293" t="str">
            <v>Hair</v>
          </cell>
          <cell r="U293">
            <v>1</v>
          </cell>
          <cell r="AB293">
            <v>1</v>
          </cell>
        </row>
        <row r="294">
          <cell r="A294">
            <v>0</v>
          </cell>
          <cell r="B294" t="str">
            <v>ALL VRTS</v>
          </cell>
          <cell r="H294" t="str">
            <v>B62</v>
          </cell>
          <cell r="K294" t="str">
            <v>V75</v>
          </cell>
          <cell r="M294">
            <v>0</v>
          </cell>
          <cell r="N294">
            <v>-1</v>
          </cell>
          <cell r="O294">
            <v>0</v>
          </cell>
          <cell r="P294" t="str">
            <v>ALL</v>
          </cell>
          <cell r="Q294">
            <v>2004</v>
          </cell>
          <cell r="R294" t="str">
            <v>DEARBORN PLANT BUILD</v>
          </cell>
          <cell r="S294" t="str">
            <v>P221/P397</v>
          </cell>
          <cell r="T294" t="str">
            <v>HEADLAMP Capsule Missing</v>
          </cell>
          <cell r="U294">
            <v>1</v>
          </cell>
          <cell r="AC294">
            <v>1</v>
          </cell>
        </row>
        <row r="295">
          <cell r="A295">
            <v>0</v>
          </cell>
          <cell r="B295" t="str">
            <v>ALL VRTS</v>
          </cell>
          <cell r="H295" t="str">
            <v>L26</v>
          </cell>
          <cell r="K295" t="str">
            <v>V77</v>
          </cell>
          <cell r="M295">
            <v>0</v>
          </cell>
          <cell r="N295">
            <v>-1</v>
          </cell>
          <cell r="O295">
            <v>0</v>
          </cell>
          <cell r="P295" t="str">
            <v>ALL</v>
          </cell>
          <cell r="Q295">
            <v>2004</v>
          </cell>
          <cell r="R295" t="str">
            <v>DEARBORN PLANT BUILD</v>
          </cell>
          <cell r="S295" t="str">
            <v>P221/P397</v>
          </cell>
          <cell r="T295" t="str">
            <v>Headlamp warped</v>
          </cell>
          <cell r="U295">
            <v>1</v>
          </cell>
          <cell r="AB295">
            <v>1</v>
          </cell>
        </row>
        <row r="296">
          <cell r="A296">
            <v>0</v>
          </cell>
          <cell r="B296" t="str">
            <v>ALL VRTS</v>
          </cell>
          <cell r="H296" t="str">
            <v>B73</v>
          </cell>
          <cell r="K296" t="str">
            <v>V74</v>
          </cell>
          <cell r="M296">
            <v>0</v>
          </cell>
          <cell r="N296">
            <v>-1</v>
          </cell>
          <cell r="O296">
            <v>0</v>
          </cell>
          <cell r="P296" t="str">
            <v>ALL</v>
          </cell>
          <cell r="Q296">
            <v>2004</v>
          </cell>
          <cell r="R296" t="str">
            <v>DEARBORN PLANT BUILD</v>
          </cell>
          <cell r="S296" t="str">
            <v>P221/P397</v>
          </cell>
          <cell r="T296" t="str">
            <v>HEADLINER</v>
          </cell>
          <cell r="U296">
            <v>1</v>
          </cell>
          <cell r="Z296">
            <v>1</v>
          </cell>
        </row>
        <row r="297">
          <cell r="A297">
            <v>0</v>
          </cell>
          <cell r="B297" t="str">
            <v>ALL VRTS</v>
          </cell>
          <cell r="D297" t="str">
            <v>34502C</v>
          </cell>
          <cell r="F297" t="str">
            <v>Metal Finishers</v>
          </cell>
          <cell r="H297" t="str">
            <v>B01</v>
          </cell>
          <cell r="K297" t="str">
            <v>V31</v>
          </cell>
          <cell r="M297">
            <v>0</v>
          </cell>
          <cell r="N297">
            <v>0</v>
          </cell>
          <cell r="O297">
            <v>-1</v>
          </cell>
          <cell r="P297" t="str">
            <v>ALL</v>
          </cell>
          <cell r="Q297">
            <v>2004</v>
          </cell>
          <cell r="R297" t="str">
            <v>DEARBORN PLANT BUILD</v>
          </cell>
          <cell r="S297" t="str">
            <v>P221/P397</v>
          </cell>
          <cell r="T297" t="str">
            <v>Hood - Surface</v>
          </cell>
          <cell r="U297">
            <v>1</v>
          </cell>
          <cell r="Z297">
            <v>1</v>
          </cell>
        </row>
        <row r="298">
          <cell r="A298">
            <v>0</v>
          </cell>
          <cell r="B298" t="str">
            <v>ALL VRTS</v>
          </cell>
          <cell r="H298" t="str">
            <v>B63</v>
          </cell>
          <cell r="K298" t="str">
            <v>V75</v>
          </cell>
          <cell r="M298">
            <v>0</v>
          </cell>
          <cell r="N298">
            <v>-1</v>
          </cell>
          <cell r="O298">
            <v>0</v>
          </cell>
          <cell r="P298" t="str">
            <v>ALL</v>
          </cell>
          <cell r="Q298">
            <v>2004</v>
          </cell>
          <cell r="R298" t="str">
            <v>DEARBORN PLANT BUILD</v>
          </cell>
          <cell r="S298" t="str">
            <v>P221/P397</v>
          </cell>
          <cell r="T298" t="str">
            <v>HOOD GRILLE EMBLEM MISSING</v>
          </cell>
          <cell r="U298">
            <v>1</v>
          </cell>
          <cell r="AC298">
            <v>1</v>
          </cell>
        </row>
        <row r="299">
          <cell r="A299">
            <v>0</v>
          </cell>
          <cell r="B299" t="str">
            <v>ALL VRTS</v>
          </cell>
          <cell r="D299" t="str">
            <v>5600</v>
          </cell>
          <cell r="F299" t="str">
            <v>T4W35L</v>
          </cell>
          <cell r="H299" t="str">
            <v>T55</v>
          </cell>
          <cell r="K299" t="str">
            <v>V74</v>
          </cell>
          <cell r="M299">
            <v>0</v>
          </cell>
          <cell r="N299">
            <v>0</v>
          </cell>
          <cell r="O299">
            <v>-1</v>
          </cell>
          <cell r="P299" t="str">
            <v>ALL</v>
          </cell>
          <cell r="Q299">
            <v>2004</v>
          </cell>
          <cell r="R299" t="str">
            <v>DEARBORN PLANT BUILD</v>
          </cell>
          <cell r="S299" t="str">
            <v>P221/P397</v>
          </cell>
          <cell r="T299" t="str">
            <v>HOOD LATCH MECHANISM</v>
          </cell>
          <cell r="U299">
            <v>1</v>
          </cell>
          <cell r="AB299">
            <v>1</v>
          </cell>
        </row>
        <row r="300">
          <cell r="A300">
            <v>0</v>
          </cell>
          <cell r="B300" t="str">
            <v>ALL VRTS</v>
          </cell>
          <cell r="D300" t="str">
            <v>Chassis4 6490-2-F</v>
          </cell>
          <cell r="F300" t="str">
            <v>C4E13L</v>
          </cell>
          <cell r="H300" t="str">
            <v>B65</v>
          </cell>
          <cell r="K300" t="str">
            <v>V75</v>
          </cell>
          <cell r="M300">
            <v>0</v>
          </cell>
          <cell r="N300">
            <v>0</v>
          </cell>
          <cell r="O300">
            <v>-1</v>
          </cell>
          <cell r="P300" t="str">
            <v>ALL</v>
          </cell>
          <cell r="Q300">
            <v>2004</v>
          </cell>
          <cell r="R300" t="str">
            <v>DEARBORN PLANT BUILD</v>
          </cell>
          <cell r="S300" t="str">
            <v>P221/P397</v>
          </cell>
          <cell r="T300" t="str">
            <v>HUB CAP / DEFECTIVE</v>
          </cell>
          <cell r="U300">
            <v>1</v>
          </cell>
          <cell r="AB300">
            <v>1</v>
          </cell>
        </row>
        <row r="301">
          <cell r="A301">
            <v>0</v>
          </cell>
          <cell r="B301" t="str">
            <v>ALL VRTS</v>
          </cell>
          <cell r="H301" t="str">
            <v>B65</v>
          </cell>
          <cell r="K301" t="str">
            <v>V75</v>
          </cell>
          <cell r="M301">
            <v>0</v>
          </cell>
          <cell r="N301">
            <v>-1</v>
          </cell>
          <cell r="O301">
            <v>0</v>
          </cell>
          <cell r="P301" t="str">
            <v>ALL</v>
          </cell>
          <cell r="Q301">
            <v>2004</v>
          </cell>
          <cell r="R301" t="str">
            <v>DEARBORN PLANT BUILD</v>
          </cell>
          <cell r="S301" t="str">
            <v>P221/P397</v>
          </cell>
          <cell r="T301" t="str">
            <v>HUB CAP / RUST</v>
          </cell>
          <cell r="U301">
            <v>1</v>
          </cell>
          <cell r="AA301">
            <v>1</v>
          </cell>
        </row>
        <row r="302">
          <cell r="A302">
            <v>0</v>
          </cell>
          <cell r="B302" t="str">
            <v>ALL VRTS</v>
          </cell>
          <cell r="H302" t="str">
            <v>A85</v>
          </cell>
          <cell r="K302" t="str">
            <v>V17</v>
          </cell>
          <cell r="M302">
            <v>0</v>
          </cell>
          <cell r="N302">
            <v>-1</v>
          </cell>
          <cell r="O302">
            <v>0</v>
          </cell>
          <cell r="P302" t="str">
            <v>ALL</v>
          </cell>
          <cell r="Q302">
            <v>2004</v>
          </cell>
          <cell r="R302" t="str">
            <v>DEARBORN PLANT BUILD</v>
          </cell>
          <cell r="S302" t="str">
            <v>P221/P397</v>
          </cell>
          <cell r="T302" t="str">
            <v>ICM INOP</v>
          </cell>
          <cell r="U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H303" t="str">
            <v>L13</v>
          </cell>
          <cell r="K303" t="str">
            <v>V07</v>
          </cell>
          <cell r="M303">
            <v>0</v>
          </cell>
          <cell r="N303">
            <v>-1</v>
          </cell>
          <cell r="O303">
            <v>0</v>
          </cell>
          <cell r="P303" t="str">
            <v>ALL</v>
          </cell>
          <cell r="Q303">
            <v>2004</v>
          </cell>
          <cell r="R303" t="str">
            <v>DEARBORN PLANT BUILD</v>
          </cell>
          <cell r="S303" t="str">
            <v>P221/P397</v>
          </cell>
          <cell r="T303" t="str">
            <v>IGNITION LOCK CYLINDER</v>
          </cell>
          <cell r="U303">
            <v>1</v>
          </cell>
          <cell r="AB303">
            <v>1</v>
          </cell>
        </row>
        <row r="304">
          <cell r="A304">
            <v>0</v>
          </cell>
          <cell r="B304" t="str">
            <v>ALL VRTS</v>
          </cell>
          <cell r="D304" t="str">
            <v>6570</v>
          </cell>
          <cell r="F304" t="str">
            <v>C7W09L</v>
          </cell>
          <cell r="H304" t="str">
            <v>L87</v>
          </cell>
          <cell r="K304" t="str">
            <v>V44</v>
          </cell>
          <cell r="M304">
            <v>0</v>
          </cell>
          <cell r="N304">
            <v>0</v>
          </cell>
          <cell r="O304">
            <v>-1</v>
          </cell>
          <cell r="P304" t="str">
            <v>ALL</v>
          </cell>
          <cell r="Q304">
            <v>2004</v>
          </cell>
          <cell r="R304" t="str">
            <v>DEARBORN PLANT BUILD</v>
          </cell>
          <cell r="S304" t="str">
            <v>P221/P397</v>
          </cell>
          <cell r="T304" t="str">
            <v>INSUFFICIENT COOLANT FLUID</v>
          </cell>
          <cell r="U304">
            <v>1</v>
          </cell>
          <cell r="AA304">
            <v>1</v>
          </cell>
        </row>
        <row r="305">
          <cell r="A305">
            <v>0</v>
          </cell>
          <cell r="B305" t="str">
            <v>ALL VRTS</v>
          </cell>
          <cell r="H305" t="str">
            <v>L15</v>
          </cell>
          <cell r="K305" t="str">
            <v>V07</v>
          </cell>
          <cell r="M305">
            <v>0</v>
          </cell>
          <cell r="N305">
            <v>-1</v>
          </cell>
          <cell r="O305">
            <v>0</v>
          </cell>
          <cell r="P305" t="str">
            <v>ALL</v>
          </cell>
          <cell r="Q305">
            <v>2004</v>
          </cell>
          <cell r="R305" t="str">
            <v>DEARBORN PLANT BUILD</v>
          </cell>
          <cell r="S305" t="str">
            <v>P221/P397</v>
          </cell>
          <cell r="T305" t="str">
            <v>INTERLOCK FUNCTION</v>
          </cell>
          <cell r="U305">
            <v>1</v>
          </cell>
          <cell r="Z305">
            <v>1</v>
          </cell>
        </row>
        <row r="306">
          <cell r="A306">
            <v>0</v>
          </cell>
          <cell r="B306" t="str">
            <v>ALL VRTS</v>
          </cell>
          <cell r="H306" t="str">
            <v>L23</v>
          </cell>
          <cell r="K306" t="str">
            <v>V07</v>
          </cell>
          <cell r="M306">
            <v>-1</v>
          </cell>
          <cell r="N306">
            <v>0</v>
          </cell>
          <cell r="O306">
            <v>0</v>
          </cell>
          <cell r="P306" t="str">
            <v>ALL</v>
          </cell>
          <cell r="Q306">
            <v>2004</v>
          </cell>
          <cell r="R306" t="str">
            <v>DEARBORN PLANT BUILD</v>
          </cell>
          <cell r="S306" t="str">
            <v>P221/P397</v>
          </cell>
          <cell r="T306" t="str">
            <v>INVESTIGATE WITH DEALER</v>
          </cell>
          <cell r="U306">
            <v>1</v>
          </cell>
          <cell r="AB306">
            <v>1</v>
          </cell>
        </row>
        <row r="307">
          <cell r="A307">
            <v>0</v>
          </cell>
          <cell r="B307" t="str">
            <v>ALL VRTS</v>
          </cell>
          <cell r="D307" t="str">
            <v>6410</v>
          </cell>
          <cell r="F307" t="str">
            <v>C2W08B</v>
          </cell>
          <cell r="H307" t="str">
            <v>C50</v>
          </cell>
          <cell r="K307" t="str">
            <v>V89</v>
          </cell>
          <cell r="M307">
            <v>0</v>
          </cell>
          <cell r="N307">
            <v>0</v>
          </cell>
          <cell r="O307">
            <v>-1</v>
          </cell>
          <cell r="P307" t="str">
            <v>ALL</v>
          </cell>
          <cell r="Q307">
            <v>2004</v>
          </cell>
          <cell r="R307" t="str">
            <v>DEARBORN PLANT BUILD</v>
          </cell>
          <cell r="S307" t="str">
            <v>P221/P397</v>
          </cell>
          <cell r="T307" t="str">
            <v>L/R LOWER SHOCK - LOOSE</v>
          </cell>
          <cell r="U307">
            <v>1</v>
          </cell>
          <cell r="AC307">
            <v>1</v>
          </cell>
        </row>
        <row r="308">
          <cell r="A308">
            <v>0</v>
          </cell>
          <cell r="B308" t="str">
            <v>ALL VRTS</v>
          </cell>
          <cell r="D308" t="str">
            <v>Trim 4 5690-2-G</v>
          </cell>
          <cell r="F308" t="str">
            <v>T4W19L</v>
          </cell>
          <cell r="H308" t="str">
            <v>B66</v>
          </cell>
          <cell r="K308" t="str">
            <v>V75</v>
          </cell>
          <cell r="M308">
            <v>0</v>
          </cell>
          <cell r="N308">
            <v>0</v>
          </cell>
          <cell r="O308">
            <v>-1</v>
          </cell>
          <cell r="P308" t="str">
            <v>ALL</v>
          </cell>
          <cell r="Q308">
            <v>2004</v>
          </cell>
          <cell r="R308" t="str">
            <v>DEARBORN PLANT BUILD</v>
          </cell>
          <cell r="S308" t="str">
            <v>P221/P397</v>
          </cell>
          <cell r="T308" t="str">
            <v>Leafscreen /defective</v>
          </cell>
          <cell r="U308">
            <v>1</v>
          </cell>
          <cell r="X308">
            <v>1</v>
          </cell>
        </row>
        <row r="309">
          <cell r="A309">
            <v>0</v>
          </cell>
          <cell r="B309" t="str">
            <v>ALL VRTS</v>
          </cell>
          <cell r="H309" t="str">
            <v>B69</v>
          </cell>
          <cell r="K309" t="str">
            <v>V75</v>
          </cell>
          <cell r="M309">
            <v>0</v>
          </cell>
          <cell r="N309">
            <v>-1</v>
          </cell>
          <cell r="O309">
            <v>0</v>
          </cell>
          <cell r="P309" t="str">
            <v>ALL</v>
          </cell>
          <cell r="Q309">
            <v>2004</v>
          </cell>
          <cell r="R309" t="str">
            <v>DEARBORN PLANT BUILD</v>
          </cell>
          <cell r="S309" t="str">
            <v>P221/P397</v>
          </cell>
          <cell r="T309" t="str">
            <v>License Plate Brkt / Missing</v>
          </cell>
          <cell r="U309">
            <v>1</v>
          </cell>
          <cell r="Z309">
            <v>1</v>
          </cell>
        </row>
        <row r="310">
          <cell r="A310">
            <v>0</v>
          </cell>
          <cell r="B310" t="str">
            <v>ALL VRTS</v>
          </cell>
          <cell r="H310" t="str">
            <v>L26</v>
          </cell>
          <cell r="K310" t="str">
            <v>V77</v>
          </cell>
          <cell r="M310">
            <v>0</v>
          </cell>
          <cell r="N310">
            <v>0</v>
          </cell>
          <cell r="O310">
            <v>-1</v>
          </cell>
          <cell r="P310" t="str">
            <v>ALL</v>
          </cell>
          <cell r="Q310">
            <v>2004</v>
          </cell>
          <cell r="R310" t="str">
            <v>DEARBORN PLANT BUILD</v>
          </cell>
          <cell r="S310" t="str">
            <v>P221/P397</v>
          </cell>
          <cell r="T310" t="str">
            <v>License Plate Lights</v>
          </cell>
          <cell r="U310">
            <v>1</v>
          </cell>
          <cell r="AA310">
            <v>1</v>
          </cell>
        </row>
        <row r="311">
          <cell r="A311">
            <v>0</v>
          </cell>
          <cell r="B311" t="str">
            <v>ALL VRTS</v>
          </cell>
          <cell r="H311" t="str">
            <v>E69</v>
          </cell>
          <cell r="K311" t="str">
            <v>V44</v>
          </cell>
          <cell r="M311">
            <v>0</v>
          </cell>
          <cell r="N311">
            <v>-1</v>
          </cell>
          <cell r="O311">
            <v>0</v>
          </cell>
          <cell r="P311" t="str">
            <v>ALL</v>
          </cell>
          <cell r="Q311">
            <v>2004</v>
          </cell>
          <cell r="R311" t="str">
            <v>DEARBORN PLANT BUILD</v>
          </cell>
          <cell r="S311" t="str">
            <v>P221/P397</v>
          </cell>
          <cell r="T311" t="str">
            <v>LOW OIL PRESSURE</v>
          </cell>
          <cell r="U311">
            <v>1</v>
          </cell>
          <cell r="AB311">
            <v>1</v>
          </cell>
        </row>
        <row r="312">
          <cell r="A312">
            <v>0</v>
          </cell>
          <cell r="B312" t="str">
            <v>ALL VRTS</v>
          </cell>
          <cell r="H312" t="str">
            <v>F20</v>
          </cell>
          <cell r="K312" t="str">
            <v>V33</v>
          </cell>
          <cell r="M312">
            <v>0</v>
          </cell>
          <cell r="N312">
            <v>0</v>
          </cell>
          <cell r="O312">
            <v>-1</v>
          </cell>
          <cell r="P312" t="str">
            <v>ALL</v>
          </cell>
          <cell r="Q312">
            <v>2004</v>
          </cell>
          <cell r="R312" t="str">
            <v>DEARBORN PLANT BUILD</v>
          </cell>
          <cell r="S312" t="str">
            <v>P221/P397</v>
          </cell>
          <cell r="T312" t="str">
            <v>Missing</v>
          </cell>
          <cell r="U312">
            <v>1</v>
          </cell>
          <cell r="AB312">
            <v>1</v>
          </cell>
        </row>
        <row r="313">
          <cell r="A313">
            <v>0</v>
          </cell>
          <cell r="B313" t="str">
            <v>ALL VRTS</v>
          </cell>
          <cell r="H313" t="str">
            <v>A85</v>
          </cell>
          <cell r="K313" t="str">
            <v>V17</v>
          </cell>
          <cell r="M313">
            <v>0</v>
          </cell>
          <cell r="N313">
            <v>0</v>
          </cell>
          <cell r="O313">
            <v>-1</v>
          </cell>
          <cell r="P313" t="str">
            <v>ALL</v>
          </cell>
          <cell r="Q313">
            <v>2004</v>
          </cell>
          <cell r="R313" t="str">
            <v>DEARBORN PLANT BUILD</v>
          </cell>
          <cell r="S313" t="str">
            <v>P221/P397</v>
          </cell>
          <cell r="T313" t="str">
            <v>Moonroof INOP</v>
          </cell>
          <cell r="U313">
            <v>1</v>
          </cell>
          <cell r="AC313">
            <v>1</v>
          </cell>
        </row>
        <row r="314">
          <cell r="A314">
            <v>0</v>
          </cell>
          <cell r="B314" t="str">
            <v>ALL VRTS</v>
          </cell>
          <cell r="D314" t="str">
            <v>Trim 4 5690-G</v>
          </cell>
          <cell r="F314" t="str">
            <v>T4E36R</v>
          </cell>
          <cell r="H314" t="str">
            <v>B66</v>
          </cell>
          <cell r="K314" t="str">
            <v>V75</v>
          </cell>
          <cell r="M314">
            <v>0</v>
          </cell>
          <cell r="N314">
            <v>0</v>
          </cell>
          <cell r="O314">
            <v>-1</v>
          </cell>
          <cell r="P314" t="str">
            <v>ALL</v>
          </cell>
          <cell r="Q314">
            <v>2004</v>
          </cell>
          <cell r="R314" t="str">
            <v>DEARBORN PLANT BUILD</v>
          </cell>
          <cell r="S314" t="str">
            <v>P221/P397</v>
          </cell>
          <cell r="T314" t="str">
            <v>NAMEPLATE / F-150 / POOR FIT</v>
          </cell>
          <cell r="U314">
            <v>1</v>
          </cell>
          <cell r="AB314">
            <v>1</v>
          </cell>
        </row>
        <row r="315">
          <cell r="A315">
            <v>0</v>
          </cell>
          <cell r="B315" t="str">
            <v>ALL VRTS</v>
          </cell>
          <cell r="D315" t="str">
            <v>Trim 4 5590-2-G</v>
          </cell>
          <cell r="F315" t="str">
            <v>T4W19L</v>
          </cell>
          <cell r="H315" t="str">
            <v>B66</v>
          </cell>
          <cell r="K315" t="str">
            <v>V75</v>
          </cell>
          <cell r="M315">
            <v>0</v>
          </cell>
          <cell r="N315">
            <v>0</v>
          </cell>
          <cell r="O315">
            <v>-1</v>
          </cell>
          <cell r="P315" t="str">
            <v>ALL</v>
          </cell>
          <cell r="Q315">
            <v>2004</v>
          </cell>
          <cell r="R315" t="str">
            <v>DEARBORN PLANT BUILD</v>
          </cell>
          <cell r="S315" t="str">
            <v>P221/P397</v>
          </cell>
          <cell r="T315" t="str">
            <v>NAMEPLATE / FENDER / MISSING</v>
          </cell>
          <cell r="U315">
            <v>1</v>
          </cell>
          <cell r="Z315">
            <v>1</v>
          </cell>
        </row>
        <row r="316">
          <cell r="A316">
            <v>0</v>
          </cell>
          <cell r="B316" t="str">
            <v>ALL VRTS</v>
          </cell>
          <cell r="H316" t="str">
            <v>B66</v>
          </cell>
          <cell r="K316" t="str">
            <v>V75</v>
          </cell>
          <cell r="M316">
            <v>0</v>
          </cell>
          <cell r="N316">
            <v>-1</v>
          </cell>
          <cell r="O316">
            <v>0</v>
          </cell>
          <cell r="P316" t="str">
            <v>ALL</v>
          </cell>
          <cell r="Q316">
            <v>2004</v>
          </cell>
          <cell r="R316" t="str">
            <v>DEARBORN PLANT BUILD</v>
          </cell>
          <cell r="S316" t="str">
            <v>P221/P397</v>
          </cell>
          <cell r="T316" t="str">
            <v>OUTER BELT MOLDING / DISCOLORED</v>
          </cell>
          <cell r="U316">
            <v>1</v>
          </cell>
          <cell r="Y316">
            <v>1</v>
          </cell>
        </row>
        <row r="317">
          <cell r="A317">
            <v>0</v>
          </cell>
          <cell r="B317" t="str">
            <v>ALL VRTS</v>
          </cell>
          <cell r="H317" t="str">
            <v>B95</v>
          </cell>
          <cell r="K317" t="str">
            <v>V71</v>
          </cell>
          <cell r="M317">
            <v>0</v>
          </cell>
          <cell r="N317">
            <v>-1</v>
          </cell>
          <cell r="O317">
            <v>0</v>
          </cell>
          <cell r="P317" t="str">
            <v>ALL</v>
          </cell>
          <cell r="Q317">
            <v>2004</v>
          </cell>
          <cell r="R317" t="str">
            <v>DEARBORN PLANT BUILD</v>
          </cell>
          <cell r="S317" t="str">
            <v>P221/P397</v>
          </cell>
          <cell r="T317" t="str">
            <v>OVERHEAD CONSOLE</v>
          </cell>
          <cell r="U317">
            <v>1</v>
          </cell>
          <cell r="AB317">
            <v>1</v>
          </cell>
        </row>
        <row r="318">
          <cell r="A318">
            <v>0</v>
          </cell>
          <cell r="B318" t="str">
            <v>ALL VRTS</v>
          </cell>
          <cell r="H318" t="str">
            <v>H04</v>
          </cell>
          <cell r="K318" t="str">
            <v>V21</v>
          </cell>
          <cell r="M318">
            <v>0</v>
          </cell>
          <cell r="N318">
            <v>-1</v>
          </cell>
          <cell r="O318">
            <v>0</v>
          </cell>
          <cell r="P318" t="str">
            <v>ALL</v>
          </cell>
          <cell r="Q318">
            <v>2004</v>
          </cell>
          <cell r="R318" t="str">
            <v>DEARBORN PLANT BUILD</v>
          </cell>
          <cell r="S318" t="str">
            <v>P221/P397</v>
          </cell>
          <cell r="T318" t="str">
            <v>PARK BRAKE,PEDAL COVER</v>
          </cell>
          <cell r="U318">
            <v>1</v>
          </cell>
          <cell r="Z318">
            <v>1</v>
          </cell>
        </row>
        <row r="319">
          <cell r="A319">
            <v>0</v>
          </cell>
          <cell r="B319" t="str">
            <v>ALL VRTS</v>
          </cell>
          <cell r="H319" t="str">
            <v>G29</v>
          </cell>
          <cell r="K319" t="str">
            <v>V83</v>
          </cell>
          <cell r="M319">
            <v>0</v>
          </cell>
          <cell r="N319">
            <v>-1</v>
          </cell>
          <cell r="O319">
            <v>0</v>
          </cell>
          <cell r="P319" t="str">
            <v>ALL</v>
          </cell>
          <cell r="Q319">
            <v>2004</v>
          </cell>
          <cell r="R319" t="str">
            <v>DEARBORN PLANT BUILD</v>
          </cell>
          <cell r="S319" t="str">
            <v>P221/P397</v>
          </cell>
          <cell r="T319" t="str">
            <v>PCM INOP</v>
          </cell>
          <cell r="U319">
            <v>1</v>
          </cell>
          <cell r="AC319">
            <v>1</v>
          </cell>
        </row>
        <row r="320">
          <cell r="A320">
            <v>0</v>
          </cell>
          <cell r="B320" t="str">
            <v>ALL VRTS</v>
          </cell>
          <cell r="D320" t="str">
            <v>5500</v>
          </cell>
          <cell r="F320" t="str">
            <v>T2W27L</v>
          </cell>
          <cell r="H320" t="str">
            <v>B53</v>
          </cell>
          <cell r="K320" t="str">
            <v>V71</v>
          </cell>
          <cell r="M320">
            <v>0</v>
          </cell>
          <cell r="N320">
            <v>0</v>
          </cell>
          <cell r="O320">
            <v>-1</v>
          </cell>
          <cell r="P320" t="str">
            <v>ALL</v>
          </cell>
          <cell r="Q320">
            <v>2004</v>
          </cell>
          <cell r="R320" t="str">
            <v>DEARBORN PLANT BUILD</v>
          </cell>
          <cell r="S320" t="str">
            <v>P221/P397</v>
          </cell>
          <cell r="T320" t="str">
            <v>PEDALS</v>
          </cell>
          <cell r="U320">
            <v>1</v>
          </cell>
          <cell r="AA320">
            <v>1</v>
          </cell>
        </row>
        <row r="321">
          <cell r="A321">
            <v>0</v>
          </cell>
          <cell r="B321" t="str">
            <v>ALL VRTS</v>
          </cell>
          <cell r="H321" t="str">
            <v>B53</v>
          </cell>
          <cell r="K321" t="str">
            <v>V71</v>
          </cell>
          <cell r="M321">
            <v>0</v>
          </cell>
          <cell r="N321">
            <v>-1</v>
          </cell>
          <cell r="O321">
            <v>0</v>
          </cell>
          <cell r="P321" t="str">
            <v>ALL</v>
          </cell>
          <cell r="Q321">
            <v>2004</v>
          </cell>
          <cell r="R321" t="str">
            <v>DEARBORN PLANT BUILD</v>
          </cell>
          <cell r="S321" t="str">
            <v>P221/P397</v>
          </cell>
          <cell r="T321" t="str">
            <v>PEDALS POWER INOP</v>
          </cell>
          <cell r="U321">
            <v>1</v>
          </cell>
          <cell r="AC321">
            <v>1</v>
          </cell>
        </row>
        <row r="322">
          <cell r="A322">
            <v>0</v>
          </cell>
          <cell r="B322" t="str">
            <v>ALL VRTS</v>
          </cell>
          <cell r="D322" t="str">
            <v>5430</v>
          </cell>
          <cell r="F322" t="str">
            <v>T5W13L</v>
          </cell>
          <cell r="H322" t="str">
            <v>T54</v>
          </cell>
          <cell r="K322" t="str">
            <v>V74</v>
          </cell>
          <cell r="M322">
            <v>0</v>
          </cell>
          <cell r="N322">
            <v>0</v>
          </cell>
          <cell r="O322">
            <v>-1</v>
          </cell>
          <cell r="P322" t="str">
            <v>ALL</v>
          </cell>
          <cell r="Q322">
            <v>2004</v>
          </cell>
          <cell r="R322" t="str">
            <v>DEARBORN PLANT BUILD</v>
          </cell>
          <cell r="S322" t="str">
            <v>P221/P397</v>
          </cell>
          <cell r="T322" t="str">
            <v>PLUG-FLOORPAN</v>
          </cell>
          <cell r="U322">
            <v>1</v>
          </cell>
          <cell r="X322">
            <v>1</v>
          </cell>
        </row>
        <row r="323">
          <cell r="A323">
            <v>0</v>
          </cell>
          <cell r="B323" t="str">
            <v>ALL VRTS</v>
          </cell>
          <cell r="H323" t="str">
            <v>S15</v>
          </cell>
          <cell r="K323" t="str">
            <v>V03</v>
          </cell>
          <cell r="M323">
            <v>0</v>
          </cell>
          <cell r="N323">
            <v>-1</v>
          </cell>
          <cell r="O323">
            <v>0</v>
          </cell>
          <cell r="P323" t="str">
            <v>ALL</v>
          </cell>
          <cell r="Q323">
            <v>2004</v>
          </cell>
          <cell r="R323" t="str">
            <v>DEARBORN PLANT BUILD</v>
          </cell>
          <cell r="S323" t="str">
            <v>P221/P397</v>
          </cell>
          <cell r="T323" t="str">
            <v>POWER SEAT INOP</v>
          </cell>
          <cell r="U323">
            <v>1</v>
          </cell>
          <cell r="AB323">
            <v>1</v>
          </cell>
        </row>
        <row r="324">
          <cell r="A324">
            <v>0</v>
          </cell>
          <cell r="B324" t="str">
            <v>ALL VRTS</v>
          </cell>
          <cell r="H324" t="str">
            <v>S15</v>
          </cell>
          <cell r="K324" t="str">
            <v>V03</v>
          </cell>
          <cell r="M324">
            <v>0</v>
          </cell>
          <cell r="N324">
            <v>-1</v>
          </cell>
          <cell r="O324">
            <v>0</v>
          </cell>
          <cell r="P324" t="str">
            <v>ALL</v>
          </cell>
          <cell r="Q324">
            <v>2004</v>
          </cell>
          <cell r="R324" t="str">
            <v>DEARBORN PLANT BUILD</v>
          </cell>
          <cell r="S324" t="str">
            <v>P221/P397</v>
          </cell>
          <cell r="T324" t="str">
            <v>POWER SEATS</v>
          </cell>
          <cell r="U324">
            <v>1</v>
          </cell>
          <cell r="AC324">
            <v>1</v>
          </cell>
        </row>
        <row r="325">
          <cell r="A325">
            <v>0</v>
          </cell>
          <cell r="B325" t="str">
            <v>ALL VRTS</v>
          </cell>
          <cell r="H325" t="str">
            <v>L68</v>
          </cell>
          <cell r="K325" t="str">
            <v>V89</v>
          </cell>
          <cell r="M325">
            <v>0</v>
          </cell>
          <cell r="N325">
            <v>-1</v>
          </cell>
          <cell r="O325">
            <v>0</v>
          </cell>
          <cell r="P325" t="str">
            <v>ALL</v>
          </cell>
          <cell r="Q325">
            <v>2004</v>
          </cell>
          <cell r="R325" t="str">
            <v>DEARBORN PLANT BUILD</v>
          </cell>
          <cell r="S325" t="str">
            <v>P221/P397</v>
          </cell>
          <cell r="T325" t="str">
            <v>POWER STEERING LEAKS</v>
          </cell>
          <cell r="U325">
            <v>1</v>
          </cell>
          <cell r="Z325">
            <v>1</v>
          </cell>
        </row>
        <row r="326">
          <cell r="A326">
            <v>0</v>
          </cell>
          <cell r="B326" t="str">
            <v>ALL VRTS</v>
          </cell>
          <cell r="H326" t="str">
            <v>B66</v>
          </cell>
          <cell r="K326" t="str">
            <v>V75</v>
          </cell>
          <cell r="M326">
            <v>0</v>
          </cell>
          <cell r="N326">
            <v>-1</v>
          </cell>
          <cell r="O326">
            <v>0</v>
          </cell>
          <cell r="P326" t="str">
            <v>ALL</v>
          </cell>
          <cell r="Q326">
            <v>2004</v>
          </cell>
          <cell r="R326" t="str">
            <v>DEARBORN PLANT BUILD</v>
          </cell>
          <cell r="S326" t="str">
            <v>P221/P397</v>
          </cell>
          <cell r="T326" t="str">
            <v>REAR BUMPER COVER / WARPED</v>
          </cell>
          <cell r="U326">
            <v>1</v>
          </cell>
          <cell r="Z326">
            <v>1</v>
          </cell>
        </row>
        <row r="327">
          <cell r="A327">
            <v>0</v>
          </cell>
          <cell r="B327" t="str">
            <v>ALL VRTS</v>
          </cell>
          <cell r="H327" t="str">
            <v>N42</v>
          </cell>
          <cell r="K327" t="str">
            <v>V39</v>
          </cell>
          <cell r="M327">
            <v>0</v>
          </cell>
          <cell r="N327">
            <v>0</v>
          </cell>
          <cell r="O327">
            <v>-1</v>
          </cell>
          <cell r="P327" t="str">
            <v>ALL</v>
          </cell>
          <cell r="Q327">
            <v>2004</v>
          </cell>
          <cell r="R327" t="str">
            <v>DEARBORN PLANT BUILD</v>
          </cell>
          <cell r="S327" t="str">
            <v>P221/P397</v>
          </cell>
          <cell r="T327" t="str">
            <v>Rear Seat Squeak/Rattle</v>
          </cell>
          <cell r="U327">
            <v>1</v>
          </cell>
          <cell r="AB327">
            <v>1</v>
          </cell>
        </row>
        <row r="328">
          <cell r="A328">
            <v>0</v>
          </cell>
          <cell r="B328" t="str">
            <v>ALL VRTS</v>
          </cell>
          <cell r="H328" t="str">
            <v>G02</v>
          </cell>
          <cell r="K328" t="str">
            <v>V09</v>
          </cell>
          <cell r="M328">
            <v>0</v>
          </cell>
          <cell r="N328">
            <v>-1</v>
          </cell>
          <cell r="O328">
            <v>0</v>
          </cell>
          <cell r="P328" t="str">
            <v>ALL</v>
          </cell>
          <cell r="Q328">
            <v>2004</v>
          </cell>
          <cell r="R328" t="str">
            <v>DEARBORN PLANT BUILD</v>
          </cell>
          <cell r="S328" t="str">
            <v>P221/P397</v>
          </cell>
          <cell r="T328" t="str">
            <v>REAR SLIDER GLASS</v>
          </cell>
          <cell r="U328">
            <v>1</v>
          </cell>
          <cell r="AB328">
            <v>1</v>
          </cell>
        </row>
        <row r="329">
          <cell r="A329">
            <v>0</v>
          </cell>
          <cell r="B329" t="str">
            <v>ALL VRTS</v>
          </cell>
          <cell r="D329" t="str">
            <v>34502C</v>
          </cell>
          <cell r="F329" t="str">
            <v>Metal Finishers</v>
          </cell>
          <cell r="H329" t="str">
            <v>B19</v>
          </cell>
          <cell r="K329" t="str">
            <v>V31</v>
          </cell>
          <cell r="M329">
            <v>0</v>
          </cell>
          <cell r="N329">
            <v>0</v>
          </cell>
          <cell r="O329">
            <v>-1</v>
          </cell>
          <cell r="P329" t="str">
            <v>ALL</v>
          </cell>
          <cell r="Q329">
            <v>2004</v>
          </cell>
          <cell r="R329" t="str">
            <v>DEARBORN PLANT BUILD</v>
          </cell>
          <cell r="S329" t="str">
            <v>P221/P397</v>
          </cell>
          <cell r="T329" t="str">
            <v>Rear squeak</v>
          </cell>
          <cell r="U329">
            <v>1</v>
          </cell>
          <cell r="AC329">
            <v>1</v>
          </cell>
        </row>
        <row r="330">
          <cell r="A330">
            <v>0</v>
          </cell>
          <cell r="B330" t="str">
            <v>ALL VRTS</v>
          </cell>
          <cell r="H330" t="str">
            <v>T90</v>
          </cell>
          <cell r="K330" t="str">
            <v>V74</v>
          </cell>
          <cell r="M330">
            <v>0</v>
          </cell>
          <cell r="N330">
            <v>-1</v>
          </cell>
          <cell r="O330">
            <v>0</v>
          </cell>
          <cell r="P330" t="str">
            <v>ALL</v>
          </cell>
          <cell r="Q330">
            <v>2004</v>
          </cell>
          <cell r="R330" t="str">
            <v>DEARBORN PLANT BUILD</v>
          </cell>
          <cell r="S330" t="str">
            <v>P221/P397</v>
          </cell>
          <cell r="T330" t="str">
            <v>REARVIEW MIRROR</v>
          </cell>
          <cell r="U330">
            <v>1</v>
          </cell>
          <cell r="Y330">
            <v>1</v>
          </cell>
        </row>
        <row r="331">
          <cell r="A331">
            <v>0</v>
          </cell>
          <cell r="B331" t="str">
            <v>ALL VRTS</v>
          </cell>
          <cell r="H331" t="str">
            <v>L20</v>
          </cell>
          <cell r="K331" t="str">
            <v>V07</v>
          </cell>
          <cell r="M331">
            <v>0</v>
          </cell>
          <cell r="N331">
            <v>-1</v>
          </cell>
          <cell r="O331">
            <v>0</v>
          </cell>
          <cell r="P331" t="str">
            <v>ALL</v>
          </cell>
          <cell r="Q331">
            <v>2004</v>
          </cell>
          <cell r="R331" t="str">
            <v>DEARBORN PLANT BUILD</v>
          </cell>
          <cell r="S331" t="str">
            <v>P221/P397</v>
          </cell>
          <cell r="T331" t="str">
            <v>REMOTE WEAK SIGNAL</v>
          </cell>
          <cell r="U331">
            <v>1</v>
          </cell>
          <cell r="AB331">
            <v>1</v>
          </cell>
        </row>
        <row r="332">
          <cell r="A332">
            <v>0</v>
          </cell>
          <cell r="B332" t="str">
            <v>ALL VRTS</v>
          </cell>
          <cell r="D332" t="str">
            <v>Trim 4 5580-2-G</v>
          </cell>
          <cell r="F332" t="str">
            <v>T4W012R</v>
          </cell>
          <cell r="H332" t="str">
            <v>B66</v>
          </cell>
          <cell r="K332" t="str">
            <v>V75</v>
          </cell>
          <cell r="M332">
            <v>0</v>
          </cell>
          <cell r="N332">
            <v>0</v>
          </cell>
          <cell r="O332">
            <v>-1</v>
          </cell>
          <cell r="P332" t="str">
            <v>ALL</v>
          </cell>
          <cell r="Q332">
            <v>2004</v>
          </cell>
          <cell r="R332" t="str">
            <v>DEARBORN PLANT BUILD</v>
          </cell>
          <cell r="S332" t="str">
            <v>P221/P397</v>
          </cell>
          <cell r="T332" t="str">
            <v>Roof Ditch Molding / Missing</v>
          </cell>
          <cell r="U332">
            <v>1</v>
          </cell>
          <cell r="AB332">
            <v>1</v>
          </cell>
        </row>
        <row r="333">
          <cell r="A333">
            <v>0</v>
          </cell>
          <cell r="B333" t="str">
            <v>ALL VRTS</v>
          </cell>
          <cell r="H333" t="str">
            <v>A85</v>
          </cell>
          <cell r="K333" t="str">
            <v>V17</v>
          </cell>
          <cell r="M333">
            <v>0</v>
          </cell>
          <cell r="N333">
            <v>-1</v>
          </cell>
          <cell r="O333">
            <v>0</v>
          </cell>
          <cell r="P333" t="str">
            <v>ALL</v>
          </cell>
          <cell r="Q333">
            <v>2004</v>
          </cell>
          <cell r="R333" t="str">
            <v>DEARBORN PLANT BUILD</v>
          </cell>
          <cell r="S333" t="str">
            <v>P221/P397</v>
          </cell>
          <cell r="T333" t="str">
            <v>RPA inop</v>
          </cell>
          <cell r="U333">
            <v>1</v>
          </cell>
          <cell r="AB333">
            <v>1</v>
          </cell>
        </row>
        <row r="334">
          <cell r="A334">
            <v>0</v>
          </cell>
          <cell r="B334" t="str">
            <v>ALL VRTS</v>
          </cell>
          <cell r="H334" t="str">
            <v>B66</v>
          </cell>
          <cell r="K334" t="str">
            <v>V75</v>
          </cell>
          <cell r="M334">
            <v>0</v>
          </cell>
          <cell r="N334">
            <v>0</v>
          </cell>
          <cell r="O334">
            <v>-1</v>
          </cell>
          <cell r="P334" t="str">
            <v>ALL</v>
          </cell>
          <cell r="Q334">
            <v>2004</v>
          </cell>
          <cell r="R334" t="str">
            <v>DEARBORN PLANT BUILD</v>
          </cell>
          <cell r="S334" t="str">
            <v>P221/P397</v>
          </cell>
          <cell r="T334" t="str">
            <v>Running Board / defective</v>
          </cell>
          <cell r="U334">
            <v>1</v>
          </cell>
          <cell r="AB334">
            <v>1</v>
          </cell>
        </row>
        <row r="335">
          <cell r="A335">
            <v>0</v>
          </cell>
          <cell r="B335" t="str">
            <v>ALL VRTS</v>
          </cell>
          <cell r="H335" t="str">
            <v>B66</v>
          </cell>
          <cell r="K335" t="str">
            <v>V75</v>
          </cell>
          <cell r="M335">
            <v>0</v>
          </cell>
          <cell r="N335">
            <v>-1</v>
          </cell>
          <cell r="O335">
            <v>0</v>
          </cell>
          <cell r="P335" t="str">
            <v>ALL</v>
          </cell>
          <cell r="Q335">
            <v>2004</v>
          </cell>
          <cell r="R335" t="str">
            <v>DEARBORN PLANT BUILD</v>
          </cell>
          <cell r="S335" t="str">
            <v>P221/P397</v>
          </cell>
          <cell r="T335" t="str">
            <v>RUNNING BOARD / POOR FINISH</v>
          </cell>
          <cell r="U335">
            <v>1</v>
          </cell>
          <cell r="AA335">
            <v>1</v>
          </cell>
        </row>
        <row r="336">
          <cell r="A336">
            <v>0</v>
          </cell>
          <cell r="B336" t="str">
            <v>ALL VRTS</v>
          </cell>
          <cell r="H336" t="str">
            <v>B66</v>
          </cell>
          <cell r="K336" t="str">
            <v>V75</v>
          </cell>
          <cell r="M336">
            <v>0</v>
          </cell>
          <cell r="N336">
            <v>-1</v>
          </cell>
          <cell r="O336">
            <v>0</v>
          </cell>
          <cell r="P336" t="str">
            <v>ALL</v>
          </cell>
          <cell r="Q336">
            <v>2004</v>
          </cell>
          <cell r="R336" t="str">
            <v>DEARBORN PLANT BUILD</v>
          </cell>
          <cell r="S336" t="str">
            <v>P221/P397</v>
          </cell>
          <cell r="T336" t="str">
            <v>RUNNING BOARD / SCREWS RUSTED</v>
          </cell>
          <cell r="U336">
            <v>1</v>
          </cell>
          <cell r="X336">
            <v>1</v>
          </cell>
        </row>
        <row r="337">
          <cell r="A337">
            <v>0</v>
          </cell>
          <cell r="B337" t="str">
            <v>ALL VRTS</v>
          </cell>
          <cell r="D337" t="str">
            <v>34602C</v>
          </cell>
          <cell r="F337" t="str">
            <v>Final Fitters</v>
          </cell>
          <cell r="H337" t="str">
            <v>B02</v>
          </cell>
          <cell r="K337" t="str">
            <v>V31</v>
          </cell>
          <cell r="M337">
            <v>0</v>
          </cell>
          <cell r="N337">
            <v>0</v>
          </cell>
          <cell r="O337">
            <v>-1</v>
          </cell>
          <cell r="P337" t="str">
            <v>ALL</v>
          </cell>
          <cell r="Q337">
            <v>2004</v>
          </cell>
          <cell r="R337" t="str">
            <v>DEARBORN PLANT BUILD</v>
          </cell>
          <cell r="S337" t="str">
            <v>P221/P397</v>
          </cell>
          <cell r="T337" t="str">
            <v>SC Door - Fit - Effort- RH Front</v>
          </cell>
          <cell r="U337">
            <v>1</v>
          </cell>
          <cell r="X337">
            <v>1</v>
          </cell>
        </row>
        <row r="338">
          <cell r="A338">
            <v>0</v>
          </cell>
          <cell r="B338" t="str">
            <v>ALL VRTS</v>
          </cell>
          <cell r="D338" t="str">
            <v>34602C</v>
          </cell>
          <cell r="F338" t="str">
            <v>Final Fitters</v>
          </cell>
          <cell r="H338" t="str">
            <v>B15</v>
          </cell>
          <cell r="K338" t="str">
            <v>V31</v>
          </cell>
          <cell r="M338">
            <v>0</v>
          </cell>
          <cell r="N338">
            <v>0</v>
          </cell>
          <cell r="O338">
            <v>-1</v>
          </cell>
          <cell r="P338" t="str">
            <v>ALL</v>
          </cell>
          <cell r="Q338">
            <v>2004</v>
          </cell>
          <cell r="R338" t="str">
            <v>DEARBORN PLANT BUILD</v>
          </cell>
          <cell r="S338" t="str">
            <v>P221/P397</v>
          </cell>
          <cell r="T338" t="str">
            <v>SC Door - Fit - Effort- RH Rear</v>
          </cell>
          <cell r="U338">
            <v>1</v>
          </cell>
          <cell r="AC338">
            <v>1</v>
          </cell>
        </row>
        <row r="339">
          <cell r="A339">
            <v>0</v>
          </cell>
          <cell r="B339" t="str">
            <v>ALL VRTS</v>
          </cell>
          <cell r="H339" t="str">
            <v>L18</v>
          </cell>
          <cell r="K339" t="str">
            <v>V07</v>
          </cell>
          <cell r="M339">
            <v>0</v>
          </cell>
          <cell r="N339">
            <v>0</v>
          </cell>
          <cell r="O339">
            <v>-1</v>
          </cell>
          <cell r="P339" t="str">
            <v>ALL</v>
          </cell>
          <cell r="Q339">
            <v>2004</v>
          </cell>
          <cell r="R339" t="str">
            <v>DEARBORN PLANT BUILD</v>
          </cell>
          <cell r="S339" t="str">
            <v>P221/P397</v>
          </cell>
          <cell r="T339" t="str">
            <v>SCREW COVER POPING OFF</v>
          </cell>
          <cell r="U339">
            <v>1</v>
          </cell>
          <cell r="X339">
            <v>1</v>
          </cell>
        </row>
        <row r="340">
          <cell r="A340">
            <v>0</v>
          </cell>
          <cell r="B340" t="str">
            <v>ALL VRTS</v>
          </cell>
          <cell r="H340" t="str">
            <v>S26</v>
          </cell>
          <cell r="K340" t="str">
            <v>V05</v>
          </cell>
          <cell r="M340">
            <v>0</v>
          </cell>
          <cell r="N340">
            <v>-1</v>
          </cell>
          <cell r="O340">
            <v>0</v>
          </cell>
          <cell r="P340" t="str">
            <v>ALL</v>
          </cell>
          <cell r="Q340">
            <v>2004</v>
          </cell>
          <cell r="R340" t="str">
            <v>DEARBORN PLANT BUILD</v>
          </cell>
          <cell r="S340" t="str">
            <v>P221/P397</v>
          </cell>
          <cell r="T340" t="str">
            <v>SEATBELT BUCKLE</v>
          </cell>
          <cell r="U340">
            <v>1</v>
          </cell>
          <cell r="AB340">
            <v>1</v>
          </cell>
        </row>
        <row r="341">
          <cell r="A341">
            <v>0</v>
          </cell>
          <cell r="B341" t="str">
            <v>ALL VRTS</v>
          </cell>
          <cell r="H341" t="str">
            <v>S26</v>
          </cell>
          <cell r="K341" t="str">
            <v>V05</v>
          </cell>
          <cell r="M341">
            <v>0</v>
          </cell>
          <cell r="N341">
            <v>-1</v>
          </cell>
          <cell r="O341">
            <v>0</v>
          </cell>
          <cell r="P341" t="str">
            <v>ALL</v>
          </cell>
          <cell r="Q341">
            <v>2004</v>
          </cell>
          <cell r="R341" t="str">
            <v>DEARBORN PLANT BUILD</v>
          </cell>
          <cell r="S341" t="str">
            <v>P221/P397</v>
          </cell>
          <cell r="T341" t="str">
            <v>SEATBELT BUCKLE - DRIVER</v>
          </cell>
          <cell r="U341">
            <v>1</v>
          </cell>
          <cell r="AA341">
            <v>1</v>
          </cell>
        </row>
        <row r="342">
          <cell r="A342">
            <v>0</v>
          </cell>
          <cell r="B342" t="str">
            <v>ALL VRTS</v>
          </cell>
          <cell r="H342" t="str">
            <v>A85</v>
          </cell>
          <cell r="K342" t="str">
            <v>V19</v>
          </cell>
          <cell r="M342">
            <v>0</v>
          </cell>
          <cell r="N342">
            <v>-1</v>
          </cell>
          <cell r="O342">
            <v>0</v>
          </cell>
          <cell r="P342" t="str">
            <v>ALL</v>
          </cell>
          <cell r="Q342">
            <v>2004</v>
          </cell>
          <cell r="R342" t="str">
            <v>DEARBORN PLANT BUILD</v>
          </cell>
          <cell r="S342" t="str">
            <v>P221/P397</v>
          </cell>
          <cell r="T342" t="str">
            <v>Security Module (BSM)</v>
          </cell>
          <cell r="U342">
            <v>1</v>
          </cell>
          <cell r="AC342">
            <v>1</v>
          </cell>
        </row>
        <row r="343">
          <cell r="A343">
            <v>0</v>
          </cell>
          <cell r="B343" t="str">
            <v>ALL VRTS</v>
          </cell>
          <cell r="H343" t="str">
            <v>A85</v>
          </cell>
          <cell r="K343" t="str">
            <v>V19</v>
          </cell>
          <cell r="M343">
            <v>0</v>
          </cell>
          <cell r="N343">
            <v>0</v>
          </cell>
          <cell r="O343">
            <v>-1</v>
          </cell>
          <cell r="P343" t="str">
            <v>ALL</v>
          </cell>
          <cell r="Q343">
            <v>2004</v>
          </cell>
          <cell r="R343" t="str">
            <v>DEARBORN PLANT BUILD</v>
          </cell>
          <cell r="S343" t="str">
            <v>P221/P397</v>
          </cell>
          <cell r="T343" t="str">
            <v>shifter will not engage</v>
          </cell>
          <cell r="U343">
            <v>1</v>
          </cell>
          <cell r="W343">
            <v>1</v>
          </cell>
        </row>
        <row r="344">
          <cell r="A344">
            <v>0</v>
          </cell>
          <cell r="B344" t="str">
            <v>ALL VRTS</v>
          </cell>
          <cell r="H344" t="str">
            <v>M05</v>
          </cell>
          <cell r="K344" t="str">
            <v>V13</v>
          </cell>
          <cell r="M344">
            <v>0</v>
          </cell>
          <cell r="N344">
            <v>-1</v>
          </cell>
          <cell r="O344">
            <v>0</v>
          </cell>
          <cell r="P344" t="str">
            <v>ALL</v>
          </cell>
          <cell r="Q344">
            <v>2004</v>
          </cell>
          <cell r="R344" t="str">
            <v>DEARBORN PLANT BUILD</v>
          </cell>
          <cell r="S344" t="str">
            <v>P221/P397</v>
          </cell>
          <cell r="T344" t="str">
            <v>Side Mirrror / defective</v>
          </cell>
          <cell r="U344">
            <v>1</v>
          </cell>
          <cell r="AB344">
            <v>1</v>
          </cell>
        </row>
        <row r="345">
          <cell r="A345">
            <v>0</v>
          </cell>
          <cell r="B345" t="str">
            <v>ALL VRTS</v>
          </cell>
          <cell r="D345" t="str">
            <v>5360-2-A</v>
          </cell>
          <cell r="F345" t="str">
            <v>TDW40L</v>
          </cell>
          <cell r="H345" t="str">
            <v>M05</v>
          </cell>
          <cell r="K345" t="str">
            <v>V13</v>
          </cell>
          <cell r="M345">
            <v>0</v>
          </cell>
          <cell r="N345">
            <v>0</v>
          </cell>
          <cell r="O345">
            <v>-1</v>
          </cell>
          <cell r="P345" t="str">
            <v>ALL</v>
          </cell>
          <cell r="Q345">
            <v>2004</v>
          </cell>
          <cell r="R345" t="str">
            <v>DEARBORN PLANT BUILD</v>
          </cell>
          <cell r="S345" t="str">
            <v>P221/P397</v>
          </cell>
          <cell r="T345" t="str">
            <v>Side Mirrror / Loose</v>
          </cell>
          <cell r="U345">
            <v>1</v>
          </cell>
          <cell r="Z345">
            <v>1</v>
          </cell>
        </row>
        <row r="346">
          <cell r="A346">
            <v>0</v>
          </cell>
          <cell r="B346" t="str">
            <v>ALL VRTS</v>
          </cell>
          <cell r="H346" t="str">
            <v>M05</v>
          </cell>
          <cell r="K346" t="str">
            <v>V13</v>
          </cell>
          <cell r="M346">
            <v>0</v>
          </cell>
          <cell r="N346">
            <v>-1</v>
          </cell>
          <cell r="O346">
            <v>0</v>
          </cell>
          <cell r="P346" t="str">
            <v>ALL</v>
          </cell>
          <cell r="Q346">
            <v>2004</v>
          </cell>
          <cell r="R346" t="str">
            <v>DEARBORN PLANT BUILD</v>
          </cell>
          <cell r="S346" t="str">
            <v>P221/P397</v>
          </cell>
          <cell r="T346" t="str">
            <v>Side Mirrror Glass  / defective</v>
          </cell>
          <cell r="U346">
            <v>1</v>
          </cell>
          <cell r="X346">
            <v>1</v>
          </cell>
        </row>
        <row r="347">
          <cell r="A347">
            <v>0</v>
          </cell>
          <cell r="B347" t="str">
            <v>ALL VRTS</v>
          </cell>
          <cell r="D347" t="str">
            <v>5590</v>
          </cell>
          <cell r="F347" t="str">
            <v>T4W29L</v>
          </cell>
          <cell r="H347" t="str">
            <v>S27</v>
          </cell>
          <cell r="K347" t="str">
            <v>V05</v>
          </cell>
          <cell r="M347">
            <v>0</v>
          </cell>
          <cell r="N347">
            <v>0</v>
          </cell>
          <cell r="O347">
            <v>-1</v>
          </cell>
          <cell r="P347" t="str">
            <v>ALL</v>
          </cell>
          <cell r="Q347">
            <v>2004</v>
          </cell>
          <cell r="R347" t="str">
            <v>DEARBORN PLANT BUILD</v>
          </cell>
          <cell r="S347" t="str">
            <v>P221/P397</v>
          </cell>
          <cell r="T347" t="str">
            <v>STEERING WHEEL PLUGS</v>
          </cell>
          <cell r="U347">
            <v>1</v>
          </cell>
          <cell r="AC347">
            <v>1</v>
          </cell>
        </row>
        <row r="348">
          <cell r="A348">
            <v>0</v>
          </cell>
          <cell r="B348" t="str">
            <v>ALL VRTS</v>
          </cell>
          <cell r="D348" t="str">
            <v>5590</v>
          </cell>
          <cell r="F348" t="str">
            <v>T4W27L</v>
          </cell>
          <cell r="H348" t="str">
            <v>S27</v>
          </cell>
          <cell r="K348" t="str">
            <v>V05</v>
          </cell>
          <cell r="M348">
            <v>0</v>
          </cell>
          <cell r="N348">
            <v>0</v>
          </cell>
          <cell r="O348">
            <v>-1</v>
          </cell>
          <cell r="P348" t="str">
            <v>ALL</v>
          </cell>
          <cell r="Q348">
            <v>2004</v>
          </cell>
          <cell r="R348" t="str">
            <v>DEARBORN PLANT BUILD</v>
          </cell>
          <cell r="S348" t="str">
            <v>P221/P397</v>
          </cell>
          <cell r="T348" t="str">
            <v>STEERING WHEEL, NOISE</v>
          </cell>
          <cell r="U348">
            <v>1</v>
          </cell>
          <cell r="Z348">
            <v>1</v>
          </cell>
        </row>
        <row r="349">
          <cell r="A349">
            <v>0</v>
          </cell>
          <cell r="B349" t="str">
            <v>ALL VRTS</v>
          </cell>
          <cell r="D349" t="str">
            <v>box Line 5410-2-B</v>
          </cell>
          <cell r="F349" t="str">
            <v>TBE35F</v>
          </cell>
          <cell r="H349" t="str">
            <v>B63</v>
          </cell>
          <cell r="K349" t="str">
            <v>V75</v>
          </cell>
          <cell r="M349">
            <v>0</v>
          </cell>
          <cell r="N349">
            <v>0</v>
          </cell>
          <cell r="O349">
            <v>-1</v>
          </cell>
          <cell r="P349" t="str">
            <v>ALL</v>
          </cell>
          <cell r="Q349">
            <v>2004</v>
          </cell>
          <cell r="R349" t="str">
            <v>DEARBORN PLANT BUILD</v>
          </cell>
          <cell r="S349" t="str">
            <v>P221/P397</v>
          </cell>
          <cell r="T349" t="str">
            <v>STONE SHIELD / MISSING</v>
          </cell>
          <cell r="U349">
            <v>1</v>
          </cell>
          <cell r="AC349">
            <v>1</v>
          </cell>
        </row>
        <row r="350">
          <cell r="A350">
            <v>0</v>
          </cell>
          <cell r="B350" t="str">
            <v>ALL VRTS</v>
          </cell>
          <cell r="H350" t="str">
            <v>J03</v>
          </cell>
          <cell r="K350" t="str">
            <v>V07</v>
          </cell>
          <cell r="M350">
            <v>0</v>
          </cell>
          <cell r="N350">
            <v>-1</v>
          </cell>
          <cell r="O350">
            <v>0</v>
          </cell>
          <cell r="P350" t="str">
            <v>ALL</v>
          </cell>
          <cell r="Q350">
            <v>2004</v>
          </cell>
          <cell r="R350" t="str">
            <v>DEARBORN PLANT BUILD</v>
          </cell>
          <cell r="S350" t="str">
            <v>P221/P397</v>
          </cell>
          <cell r="T350" t="str">
            <v>SUN ROOF WILL NOT OPEN</v>
          </cell>
          <cell r="U350">
            <v>1</v>
          </cell>
          <cell r="AB350">
            <v>1</v>
          </cell>
        </row>
        <row r="351">
          <cell r="A351">
            <v>0</v>
          </cell>
          <cell r="B351" t="str">
            <v>ALL VRTS</v>
          </cell>
          <cell r="D351" t="str">
            <v>Trim 2 5490-2-E</v>
          </cell>
          <cell r="F351" t="str">
            <v>T2E10-14R</v>
          </cell>
          <cell r="H351" t="str">
            <v>B66</v>
          </cell>
          <cell r="K351" t="str">
            <v>V75</v>
          </cell>
          <cell r="M351">
            <v>0</v>
          </cell>
          <cell r="N351">
            <v>0</v>
          </cell>
          <cell r="O351">
            <v>-1</v>
          </cell>
          <cell r="P351" t="str">
            <v>ALL</v>
          </cell>
          <cell r="Q351">
            <v>2004</v>
          </cell>
          <cell r="R351" t="str">
            <v>DEARBORN PLANT BUILD</v>
          </cell>
          <cell r="S351" t="str">
            <v>P221/P397</v>
          </cell>
          <cell r="T351" t="str">
            <v>Sunroof / defective</v>
          </cell>
          <cell r="U351">
            <v>1</v>
          </cell>
          <cell r="Y351">
            <v>1</v>
          </cell>
        </row>
        <row r="352">
          <cell r="A352">
            <v>0</v>
          </cell>
          <cell r="B352" t="str">
            <v>ALL VRTS</v>
          </cell>
          <cell r="D352" t="str">
            <v>6410</v>
          </cell>
          <cell r="F352" t="str">
            <v>C2W08B</v>
          </cell>
          <cell r="H352" t="str">
            <v>N58</v>
          </cell>
          <cell r="K352" t="str">
            <v>V87</v>
          </cell>
          <cell r="M352">
            <v>0</v>
          </cell>
          <cell r="N352">
            <v>0</v>
          </cell>
          <cell r="O352">
            <v>-1</v>
          </cell>
          <cell r="P352" t="str">
            <v>ALL</v>
          </cell>
          <cell r="Q352">
            <v>2004</v>
          </cell>
          <cell r="R352" t="str">
            <v>DEARBORN PLANT BUILD</v>
          </cell>
          <cell r="S352" t="str">
            <v>P221/P397</v>
          </cell>
          <cell r="T352" t="str">
            <v>SUSPENSION LOOSE</v>
          </cell>
          <cell r="U352">
            <v>1</v>
          </cell>
          <cell r="X352">
            <v>1</v>
          </cell>
        </row>
        <row r="353">
          <cell r="A353">
            <v>0</v>
          </cell>
          <cell r="B353" t="str">
            <v>ALL VRTS</v>
          </cell>
          <cell r="D353" t="str">
            <v>Chassis 2 6440-2-D</v>
          </cell>
          <cell r="F353" t="str">
            <v>C2W56B</v>
          </cell>
          <cell r="H353" t="str">
            <v>B63</v>
          </cell>
          <cell r="K353" t="str">
            <v>V75</v>
          </cell>
          <cell r="M353">
            <v>0</v>
          </cell>
          <cell r="N353">
            <v>0</v>
          </cell>
          <cell r="O353">
            <v>-1</v>
          </cell>
          <cell r="P353" t="str">
            <v>ALL</v>
          </cell>
          <cell r="Q353">
            <v>2004</v>
          </cell>
          <cell r="R353" t="str">
            <v>DEARBORN PLANT BUILD</v>
          </cell>
          <cell r="S353" t="str">
            <v>P221/P397</v>
          </cell>
          <cell r="T353" t="str">
            <v>Tag Lamp Lens /defective</v>
          </cell>
          <cell r="U353">
            <v>1</v>
          </cell>
          <cell r="Z353">
            <v>1</v>
          </cell>
        </row>
        <row r="354">
          <cell r="A354">
            <v>0</v>
          </cell>
          <cell r="B354" t="str">
            <v>ALL VRTS</v>
          </cell>
          <cell r="D354" t="str">
            <v>box 5400</v>
          </cell>
          <cell r="F354" t="str">
            <v>TBE01B</v>
          </cell>
          <cell r="H354" t="str">
            <v>B66</v>
          </cell>
          <cell r="K354" t="str">
            <v>V75</v>
          </cell>
          <cell r="M354">
            <v>0</v>
          </cell>
          <cell r="N354">
            <v>0</v>
          </cell>
          <cell r="O354">
            <v>-1</v>
          </cell>
          <cell r="P354" t="str">
            <v>ALL</v>
          </cell>
          <cell r="Q354">
            <v>2004</v>
          </cell>
          <cell r="R354" t="str">
            <v>DEARBORN PLANT BUILD</v>
          </cell>
          <cell r="S354" t="str">
            <v>P221/P397</v>
          </cell>
          <cell r="T354" t="str">
            <v>Tailgate Bumper/ defective</v>
          </cell>
          <cell r="U354">
            <v>1</v>
          </cell>
          <cell r="AC354">
            <v>1</v>
          </cell>
        </row>
        <row r="355">
          <cell r="A355">
            <v>0</v>
          </cell>
          <cell r="B355" t="str">
            <v>ALL VRTS</v>
          </cell>
          <cell r="H355" t="str">
            <v>A85</v>
          </cell>
          <cell r="K355" t="str">
            <v>V17</v>
          </cell>
          <cell r="M355">
            <v>0</v>
          </cell>
          <cell r="N355">
            <v>0</v>
          </cell>
          <cell r="O355">
            <v>-1</v>
          </cell>
          <cell r="P355" t="str">
            <v>ALL</v>
          </cell>
          <cell r="Q355">
            <v>2004</v>
          </cell>
          <cell r="R355" t="str">
            <v>DEARBORN PLANT BUILD</v>
          </cell>
          <cell r="S355" t="str">
            <v>P221/P397</v>
          </cell>
          <cell r="T355" t="str">
            <v>Tailgate INOP</v>
          </cell>
          <cell r="U355">
            <v>1</v>
          </cell>
          <cell r="AC355">
            <v>1</v>
          </cell>
        </row>
        <row r="356">
          <cell r="A356">
            <v>0</v>
          </cell>
          <cell r="B356" t="str">
            <v>ALL VRTS</v>
          </cell>
          <cell r="H356" t="str">
            <v>B66</v>
          </cell>
          <cell r="K356" t="str">
            <v>V75</v>
          </cell>
          <cell r="M356">
            <v>0</v>
          </cell>
          <cell r="N356">
            <v>-1</v>
          </cell>
          <cell r="O356">
            <v>0</v>
          </cell>
          <cell r="P356" t="str">
            <v>ALL</v>
          </cell>
          <cell r="Q356">
            <v>2004</v>
          </cell>
          <cell r="R356" t="str">
            <v>DEARBORN PLANT BUILD</v>
          </cell>
          <cell r="S356" t="str">
            <v>P221/P397</v>
          </cell>
          <cell r="T356" t="str">
            <v>TAILGATE MOLDING / DISCOLORED</v>
          </cell>
          <cell r="U356">
            <v>1</v>
          </cell>
          <cell r="AC356">
            <v>1</v>
          </cell>
        </row>
        <row r="357">
          <cell r="A357">
            <v>0</v>
          </cell>
          <cell r="B357" t="str">
            <v>ALL VRTS</v>
          </cell>
          <cell r="D357" t="str">
            <v>Trim Box 5390-2-B</v>
          </cell>
          <cell r="F357" t="str">
            <v>TBE16B</v>
          </cell>
          <cell r="H357" t="str">
            <v>B66</v>
          </cell>
          <cell r="K357" t="str">
            <v>V75</v>
          </cell>
          <cell r="M357">
            <v>0</v>
          </cell>
          <cell r="N357">
            <v>0</v>
          </cell>
          <cell r="O357">
            <v>-1</v>
          </cell>
          <cell r="P357" t="str">
            <v>ALL</v>
          </cell>
          <cell r="Q357">
            <v>2004</v>
          </cell>
          <cell r="R357" t="str">
            <v>DEARBORN PLANT BUILD</v>
          </cell>
          <cell r="S357" t="str">
            <v>P221/P397</v>
          </cell>
          <cell r="T357" t="str">
            <v>TAILGATE MOLDING / LOOSE</v>
          </cell>
          <cell r="U357">
            <v>1</v>
          </cell>
          <cell r="AA357">
            <v>1</v>
          </cell>
        </row>
        <row r="358">
          <cell r="A358">
            <v>0</v>
          </cell>
          <cell r="B358" t="str">
            <v>ALL VRTS</v>
          </cell>
          <cell r="D358" t="str">
            <v>5410</v>
          </cell>
          <cell r="F358" t="str">
            <v>TBW29F/E30B</v>
          </cell>
          <cell r="H358" t="str">
            <v>T55</v>
          </cell>
          <cell r="K358" t="str">
            <v>V74</v>
          </cell>
          <cell r="M358">
            <v>0</v>
          </cell>
          <cell r="N358">
            <v>0</v>
          </cell>
          <cell r="O358">
            <v>-1</v>
          </cell>
          <cell r="P358" t="str">
            <v>ALL</v>
          </cell>
          <cell r="Q358">
            <v>2004</v>
          </cell>
          <cell r="R358" t="str">
            <v>DEARBORN PLANT BUILD</v>
          </cell>
          <cell r="S358" t="str">
            <v>P221/P397</v>
          </cell>
          <cell r="T358" t="str">
            <v>TIEDOWN HOOK</v>
          </cell>
          <cell r="U358">
            <v>1</v>
          </cell>
          <cell r="Z358">
            <v>1</v>
          </cell>
        </row>
        <row r="359">
          <cell r="A359">
            <v>0</v>
          </cell>
          <cell r="B359" t="str">
            <v>ALL VRTS</v>
          </cell>
          <cell r="H359" t="str">
            <v>F35</v>
          </cell>
          <cell r="K359" t="str">
            <v>V75</v>
          </cell>
          <cell r="M359">
            <v>0</v>
          </cell>
          <cell r="N359">
            <v>-1</v>
          </cell>
          <cell r="O359">
            <v>0</v>
          </cell>
          <cell r="P359" t="str">
            <v>ALL</v>
          </cell>
          <cell r="Q359">
            <v>2004</v>
          </cell>
          <cell r="R359" t="str">
            <v>DEARBORN PLANT BUILD</v>
          </cell>
          <cell r="S359" t="str">
            <v>P221/P397</v>
          </cell>
          <cell r="T359" t="str">
            <v>TOW HOOK / THIN PAINT</v>
          </cell>
          <cell r="U359">
            <v>1</v>
          </cell>
          <cell r="AB359">
            <v>1</v>
          </cell>
        </row>
        <row r="360">
          <cell r="A360">
            <v>0</v>
          </cell>
          <cell r="B360" t="str">
            <v>ALL VRTS</v>
          </cell>
          <cell r="H360" t="str">
            <v>A85</v>
          </cell>
          <cell r="K360" t="str">
            <v>V17</v>
          </cell>
          <cell r="M360">
            <v>0</v>
          </cell>
          <cell r="N360">
            <v>-1</v>
          </cell>
          <cell r="O360">
            <v>0</v>
          </cell>
          <cell r="P360" t="str">
            <v>ALL</v>
          </cell>
          <cell r="Q360">
            <v>2004</v>
          </cell>
          <cell r="R360" t="str">
            <v>DEARBORN PLANT BUILD</v>
          </cell>
          <cell r="S360" t="str">
            <v>P221/P397</v>
          </cell>
          <cell r="T360" t="str">
            <v>Transmitter INOP</v>
          </cell>
          <cell r="U360">
            <v>1</v>
          </cell>
          <cell r="AB360">
            <v>1</v>
          </cell>
        </row>
        <row r="361">
          <cell r="A361">
            <v>0</v>
          </cell>
          <cell r="B361" t="str">
            <v>ALL VRTS</v>
          </cell>
          <cell r="D361" t="str">
            <v>5440</v>
          </cell>
          <cell r="F361" t="str">
            <v>T1W01L</v>
          </cell>
          <cell r="H361" t="str">
            <v>B95</v>
          </cell>
          <cell r="K361" t="str">
            <v>V71</v>
          </cell>
          <cell r="M361">
            <v>0</v>
          </cell>
          <cell r="N361">
            <v>0</v>
          </cell>
          <cell r="O361">
            <v>-1</v>
          </cell>
          <cell r="P361" t="str">
            <v>ALL</v>
          </cell>
          <cell r="Q361">
            <v>2004</v>
          </cell>
          <cell r="R361" t="str">
            <v>DEARBORN PLANT BUILD</v>
          </cell>
          <cell r="S361" t="str">
            <v>P221/P397</v>
          </cell>
          <cell r="T361" t="str">
            <v>VIN.PLATE</v>
          </cell>
          <cell r="U361">
            <v>1</v>
          </cell>
          <cell r="X361">
            <v>1</v>
          </cell>
        </row>
        <row r="362">
          <cell r="A362">
            <v>0</v>
          </cell>
          <cell r="B362" t="str">
            <v>ALL VRTS</v>
          </cell>
          <cell r="H362" t="str">
            <v>B62</v>
          </cell>
          <cell r="K362" t="str">
            <v>V75</v>
          </cell>
          <cell r="M362">
            <v>0</v>
          </cell>
          <cell r="N362">
            <v>-1</v>
          </cell>
          <cell r="O362">
            <v>0</v>
          </cell>
          <cell r="P362" t="str">
            <v>ALL</v>
          </cell>
          <cell r="Q362">
            <v>2004</v>
          </cell>
          <cell r="R362" t="str">
            <v>DEARBORN PLANT BUILD</v>
          </cell>
          <cell r="S362" t="str">
            <v>P221/P397</v>
          </cell>
          <cell r="T362" t="str">
            <v>wheel defective</v>
          </cell>
          <cell r="U362">
            <v>1</v>
          </cell>
          <cell r="AB362">
            <v>1</v>
          </cell>
        </row>
        <row r="363">
          <cell r="A363">
            <v>0</v>
          </cell>
          <cell r="B363" t="str">
            <v>ALL VRTS</v>
          </cell>
          <cell r="H363" t="str">
            <v>B62</v>
          </cell>
          <cell r="K363" t="str">
            <v>V75</v>
          </cell>
          <cell r="M363">
            <v>0</v>
          </cell>
          <cell r="N363">
            <v>-1</v>
          </cell>
          <cell r="O363">
            <v>0</v>
          </cell>
          <cell r="P363" t="str">
            <v>ALL</v>
          </cell>
          <cell r="Q363">
            <v>2004</v>
          </cell>
          <cell r="R363" t="str">
            <v>DEARBORN PLANT BUILD</v>
          </cell>
          <cell r="S363" t="str">
            <v>P221/P397</v>
          </cell>
          <cell r="T363" t="str">
            <v>WHEEL LIP MOLDING / DEFECTIVE</v>
          </cell>
          <cell r="U363">
            <v>1</v>
          </cell>
          <cell r="AA363">
            <v>1</v>
          </cell>
        </row>
        <row r="364">
          <cell r="A364">
            <v>0</v>
          </cell>
          <cell r="B364" t="str">
            <v>ALL VRTS</v>
          </cell>
          <cell r="C364" t="str">
            <v>X</v>
          </cell>
          <cell r="D364" t="str">
            <v>5460</v>
          </cell>
          <cell r="F364" t="str">
            <v>T1W23L</v>
          </cell>
          <cell r="H364" t="str">
            <v>R31</v>
          </cell>
          <cell r="K364" t="str">
            <v>V11</v>
          </cell>
          <cell r="M364">
            <v>0</v>
          </cell>
          <cell r="N364">
            <v>0</v>
          </cell>
          <cell r="O364">
            <v>-1</v>
          </cell>
          <cell r="P364" t="str">
            <v>ALL</v>
          </cell>
          <cell r="Q364">
            <v>2004</v>
          </cell>
          <cell r="R364" t="str">
            <v>DEARBORN PLANT BUILD</v>
          </cell>
          <cell r="S364" t="str">
            <v>P221/P397</v>
          </cell>
          <cell r="T364" t="str">
            <v>Wind Noise Around Front Side Door/Window</v>
          </cell>
          <cell r="U364">
            <v>1</v>
          </cell>
          <cell r="AB364">
            <v>1</v>
          </cell>
        </row>
        <row r="365">
          <cell r="A365">
            <v>0</v>
          </cell>
          <cell r="B365" t="str">
            <v>ALL VRTS</v>
          </cell>
          <cell r="H365" t="str">
            <v>G02</v>
          </cell>
          <cell r="K365" t="str">
            <v>V09</v>
          </cell>
          <cell r="M365">
            <v>0</v>
          </cell>
          <cell r="N365">
            <v>0</v>
          </cell>
          <cell r="O365">
            <v>-1</v>
          </cell>
          <cell r="P365" t="str">
            <v>ALL</v>
          </cell>
          <cell r="Q365">
            <v>2004</v>
          </cell>
          <cell r="R365" t="str">
            <v>DEARBORN PLANT BUILD</v>
          </cell>
          <cell r="S365" t="str">
            <v>P221/P397</v>
          </cell>
          <cell r="T365" t="str">
            <v>WINDSHIELD SEALER</v>
          </cell>
          <cell r="U365">
            <v>1</v>
          </cell>
          <cell r="Z365">
            <v>1</v>
          </cell>
        </row>
      </sheetData>
      <sheetData sheetId="6">
        <row r="1">
          <cell r="A1" t="str">
            <v>LYTotalClaimCnt</v>
          </cell>
          <cell r="B1" t="str">
            <v>VRT Description</v>
          </cell>
          <cell r="C1" t="str">
            <v>FPS_01</v>
          </cell>
          <cell r="D1" t="str">
            <v>FPS_02</v>
          </cell>
          <cell r="E1" t="str">
            <v>OP_01</v>
          </cell>
          <cell r="F1" t="str">
            <v>OP_02</v>
          </cell>
          <cell r="G1" t="str">
            <v>CCC_01</v>
          </cell>
          <cell r="H1" t="str">
            <v>CCC_02</v>
          </cell>
          <cell r="I1" t="str">
            <v>CCC_03</v>
          </cell>
          <cell r="J1" t="str">
            <v>VFG_01</v>
          </cell>
          <cell r="K1" t="str">
            <v>VFG_02</v>
          </cell>
          <cell r="L1" t="str">
            <v>Design</v>
          </cell>
          <cell r="M1" t="str">
            <v>Supplier</v>
          </cell>
          <cell r="N1" t="str">
            <v>Manufacturing</v>
          </cell>
          <cell r="O1" t="str">
            <v>MDL_YR</v>
          </cell>
          <cell r="P1" t="str">
            <v>Plant Description</v>
          </cell>
          <cell r="Q1" t="str">
            <v>Vehicle Description</v>
          </cell>
          <cell r="R1" t="str">
            <v>VRT_CD</v>
          </cell>
          <cell r="S1" t="str">
            <v>Root Cause</v>
          </cell>
          <cell r="T1" t="str">
            <v>Total Of Claim Number</v>
          </cell>
          <cell r="U1" t="str">
            <v>2004-02</v>
          </cell>
          <cell r="V1" t="str">
            <v>2004-03</v>
          </cell>
          <cell r="W1" t="str">
            <v>2004-04</v>
          </cell>
          <cell r="X1" t="str">
            <v>2004-05</v>
          </cell>
          <cell r="Y1" t="str">
            <v>2004-06</v>
          </cell>
          <cell r="Z1" t="str">
            <v>2004-07</v>
          </cell>
          <cell r="AA1" t="str">
            <v>2004-08</v>
          </cell>
          <cell r="AB1" t="str">
            <v>2004-09</v>
          </cell>
        </row>
        <row r="2">
          <cell r="A2">
            <v>0</v>
          </cell>
          <cell r="B2" t="str">
            <v>ALL VRTS</v>
          </cell>
          <cell r="G2" t="str">
            <v>D21</v>
          </cell>
          <cell r="H2" t="str">
            <v>E29</v>
          </cell>
          <cell r="I2" t="str">
            <v>D36</v>
          </cell>
          <cell r="J2" t="str">
            <v>V42</v>
          </cell>
          <cell r="K2" t="str">
            <v>V44</v>
          </cell>
          <cell r="L2">
            <v>-1</v>
          </cell>
          <cell r="M2">
            <v>-1</v>
          </cell>
          <cell r="N2">
            <v>0</v>
          </cell>
          <cell r="O2">
            <v>2004</v>
          </cell>
          <cell r="P2" t="str">
            <v>DEARBORN PLANT BUILD</v>
          </cell>
          <cell r="Q2" t="str">
            <v>P221/P397</v>
          </cell>
          <cell r="R2" t="str">
            <v>ALL</v>
          </cell>
          <cell r="S2" t="str">
            <v>Reprogramed PCM</v>
          </cell>
          <cell r="T2">
            <v>368</v>
          </cell>
          <cell r="V2">
            <v>1</v>
          </cell>
          <cell r="Y2">
            <v>2</v>
          </cell>
          <cell r="Z2">
            <v>3</v>
          </cell>
          <cell r="AA2">
            <v>187</v>
          </cell>
          <cell r="AB2">
            <v>175</v>
          </cell>
        </row>
        <row r="3">
          <cell r="A3">
            <v>0</v>
          </cell>
          <cell r="B3" t="str">
            <v>ALL VRTS</v>
          </cell>
          <cell r="G3" t="str">
            <v>D21</v>
          </cell>
          <cell r="H3" t="str">
            <v>E29</v>
          </cell>
          <cell r="I3" t="str">
            <v>D02</v>
          </cell>
          <cell r="J3" t="str">
            <v>V42</v>
          </cell>
          <cell r="K3" t="str">
            <v>V44</v>
          </cell>
          <cell r="L3">
            <v>-1</v>
          </cell>
          <cell r="M3">
            <v>-1</v>
          </cell>
          <cell r="N3">
            <v>0</v>
          </cell>
          <cell r="O3">
            <v>2004</v>
          </cell>
          <cell r="P3" t="str">
            <v>DEARBORN PLANT BUILD</v>
          </cell>
          <cell r="Q3" t="str">
            <v>P221/P397</v>
          </cell>
          <cell r="R3" t="str">
            <v>ALL</v>
          </cell>
          <cell r="S3" t="str">
            <v>PCM Defective</v>
          </cell>
          <cell r="T3">
            <v>207</v>
          </cell>
          <cell r="W3">
            <v>1</v>
          </cell>
          <cell r="X3">
            <v>2</v>
          </cell>
          <cell r="Y3">
            <v>1</v>
          </cell>
          <cell r="Z3">
            <v>3</v>
          </cell>
          <cell r="AA3">
            <v>126</v>
          </cell>
          <cell r="AB3">
            <v>74</v>
          </cell>
        </row>
        <row r="4">
          <cell r="A4">
            <v>0</v>
          </cell>
          <cell r="B4" t="str">
            <v>ALL VRTS</v>
          </cell>
          <cell r="C4" t="str">
            <v>7330</v>
          </cell>
          <cell r="E4" t="str">
            <v>m12</v>
          </cell>
          <cell r="G4" t="str">
            <v>N25</v>
          </cell>
          <cell r="H4" t="str">
            <v>N24</v>
          </cell>
          <cell r="I4" t="str">
            <v>N22</v>
          </cell>
          <cell r="J4" t="str">
            <v>V89</v>
          </cell>
          <cell r="K4" t="str">
            <v>V88</v>
          </cell>
          <cell r="L4">
            <v>0</v>
          </cell>
          <cell r="M4">
            <v>-1</v>
          </cell>
          <cell r="N4">
            <v>0</v>
          </cell>
          <cell r="O4">
            <v>2004</v>
          </cell>
          <cell r="P4" t="str">
            <v>DEARBORN PLANT BUILD</v>
          </cell>
          <cell r="Q4" t="str">
            <v>P221/P397</v>
          </cell>
          <cell r="R4" t="str">
            <v>ALL</v>
          </cell>
          <cell r="S4" t="str">
            <v>TIRE ASSEMBLY BALANCE</v>
          </cell>
          <cell r="T4">
            <v>175</v>
          </cell>
          <cell r="V4">
            <v>2</v>
          </cell>
          <cell r="W4">
            <v>26</v>
          </cell>
          <cell r="X4">
            <v>14</v>
          </cell>
          <cell r="Y4">
            <v>30</v>
          </cell>
          <cell r="Z4">
            <v>24</v>
          </cell>
          <cell r="AA4">
            <v>50</v>
          </cell>
          <cell r="AB4">
            <v>29</v>
          </cell>
        </row>
        <row r="5">
          <cell r="A5">
            <v>0</v>
          </cell>
          <cell r="B5" t="str">
            <v>ALL VRTS</v>
          </cell>
          <cell r="C5" t="str">
            <v>6440</v>
          </cell>
          <cell r="E5" t="str">
            <v>C2E45F</v>
          </cell>
          <cell r="G5" t="str">
            <v>D21</v>
          </cell>
          <cell r="H5" t="str">
            <v>E29</v>
          </cell>
          <cell r="I5" t="str">
            <v>N17</v>
          </cell>
          <cell r="J5" t="str">
            <v>V42</v>
          </cell>
          <cell r="K5" t="str">
            <v>V44</v>
          </cell>
          <cell r="L5">
            <v>-1</v>
          </cell>
          <cell r="M5">
            <v>-1</v>
          </cell>
          <cell r="N5">
            <v>0</v>
          </cell>
          <cell r="O5">
            <v>2004</v>
          </cell>
          <cell r="P5" t="str">
            <v>DEARBORN PLANT BUILD</v>
          </cell>
          <cell r="Q5" t="str">
            <v>P221/P397</v>
          </cell>
          <cell r="R5" t="str">
            <v>ALL</v>
          </cell>
          <cell r="S5" t="str">
            <v>npf</v>
          </cell>
          <cell r="T5">
            <v>122</v>
          </cell>
          <cell r="V5">
            <v>1</v>
          </cell>
          <cell r="W5">
            <v>10</v>
          </cell>
          <cell r="X5">
            <v>5</v>
          </cell>
          <cell r="Y5">
            <v>19</v>
          </cell>
          <cell r="Z5">
            <v>11</v>
          </cell>
          <cell r="AA5">
            <v>59</v>
          </cell>
          <cell r="AB5">
            <v>17</v>
          </cell>
        </row>
        <row r="6">
          <cell r="A6">
            <v>0</v>
          </cell>
          <cell r="B6" t="str">
            <v>ALL VRTS</v>
          </cell>
          <cell r="C6" t="str">
            <v>5590</v>
          </cell>
          <cell r="E6" t="str">
            <v>T4E24R</v>
          </cell>
          <cell r="G6" t="str">
            <v>T53</v>
          </cell>
          <cell r="H6" t="str">
            <v>B73</v>
          </cell>
          <cell r="I6" t="str">
            <v>T55</v>
          </cell>
          <cell r="J6" t="str">
            <v>V74</v>
          </cell>
          <cell r="L6">
            <v>0</v>
          </cell>
          <cell r="M6">
            <v>-1</v>
          </cell>
          <cell r="N6">
            <v>0</v>
          </cell>
          <cell r="O6">
            <v>2004</v>
          </cell>
          <cell r="P6" t="str">
            <v>DEARBORN PLANT BUILD</v>
          </cell>
          <cell r="Q6" t="str">
            <v>P221/P397</v>
          </cell>
          <cell r="R6" t="str">
            <v>ALL</v>
          </cell>
          <cell r="S6" t="str">
            <v>GIMP,POOR FIT</v>
          </cell>
          <cell r="T6">
            <v>70</v>
          </cell>
          <cell r="V6">
            <v>1</v>
          </cell>
          <cell r="W6">
            <v>2</v>
          </cell>
          <cell r="X6">
            <v>3</v>
          </cell>
          <cell r="Y6">
            <v>19</v>
          </cell>
          <cell r="Z6">
            <v>15</v>
          </cell>
          <cell r="AA6">
            <v>19</v>
          </cell>
          <cell r="AB6">
            <v>11</v>
          </cell>
        </row>
        <row r="7">
          <cell r="A7">
            <v>0</v>
          </cell>
          <cell r="B7" t="str">
            <v>ALL VRTS</v>
          </cell>
          <cell r="G7" t="str">
            <v>TB3</v>
          </cell>
          <cell r="H7" t="str">
            <v>TC8</v>
          </cell>
          <cell r="I7" t="str">
            <v>TA3</v>
          </cell>
          <cell r="J7" t="str">
            <v>V88</v>
          </cell>
          <cell r="K7" t="str">
            <v>V89</v>
          </cell>
          <cell r="L7">
            <v>0</v>
          </cell>
          <cell r="M7">
            <v>-1</v>
          </cell>
          <cell r="N7">
            <v>0</v>
          </cell>
          <cell r="O7">
            <v>2004</v>
          </cell>
          <cell r="P7" t="str">
            <v>DEARBORN PLANT BUILD</v>
          </cell>
          <cell r="Q7" t="str">
            <v>P221/P397</v>
          </cell>
          <cell r="R7" t="str">
            <v>ALL</v>
          </cell>
          <cell r="S7" t="str">
            <v>TIRE REPLACED</v>
          </cell>
          <cell r="T7">
            <v>65</v>
          </cell>
          <cell r="W7">
            <v>11</v>
          </cell>
          <cell r="X7">
            <v>3</v>
          </cell>
          <cell r="Y7">
            <v>6</v>
          </cell>
          <cell r="Z7">
            <v>7</v>
          </cell>
          <cell r="AA7">
            <v>27</v>
          </cell>
          <cell r="AB7">
            <v>11</v>
          </cell>
        </row>
        <row r="8">
          <cell r="A8">
            <v>0</v>
          </cell>
          <cell r="B8" t="str">
            <v>ALL VRTS</v>
          </cell>
          <cell r="G8" t="str">
            <v>F1*</v>
          </cell>
          <cell r="H8" t="str">
            <v>F2*</v>
          </cell>
          <cell r="I8" t="str">
            <v>A99</v>
          </cell>
          <cell r="J8" t="str">
            <v>V00</v>
          </cell>
          <cell r="L8">
            <v>-1</v>
          </cell>
          <cell r="M8">
            <v>-1</v>
          </cell>
          <cell r="N8">
            <v>-1</v>
          </cell>
          <cell r="O8">
            <v>2004</v>
          </cell>
          <cell r="P8" t="str">
            <v>DEARBORN PLANT BUILD</v>
          </cell>
          <cell r="Q8" t="str">
            <v>P221/P397</v>
          </cell>
          <cell r="R8" t="str">
            <v>ALL</v>
          </cell>
          <cell r="S8" t="str">
            <v>Industrial fallout removal procedure</v>
          </cell>
          <cell r="T8">
            <v>59</v>
          </cell>
          <cell r="W8">
            <v>5</v>
          </cell>
          <cell r="X8">
            <v>6</v>
          </cell>
          <cell r="Y8">
            <v>7</v>
          </cell>
          <cell r="Z8">
            <v>14</v>
          </cell>
          <cell r="AA8">
            <v>22</v>
          </cell>
          <cell r="AB8">
            <v>5</v>
          </cell>
        </row>
        <row r="9">
          <cell r="A9">
            <v>0</v>
          </cell>
          <cell r="B9" t="str">
            <v>ALL VRTS</v>
          </cell>
          <cell r="G9" t="str">
            <v>D21</v>
          </cell>
          <cell r="H9" t="str">
            <v>E29</v>
          </cell>
          <cell r="I9" t="str">
            <v>D36</v>
          </cell>
          <cell r="J9" t="str">
            <v>V42</v>
          </cell>
          <cell r="K9" t="str">
            <v>V44</v>
          </cell>
          <cell r="L9">
            <v>-1</v>
          </cell>
          <cell r="M9">
            <v>-1</v>
          </cell>
          <cell r="N9">
            <v>0</v>
          </cell>
          <cell r="O9">
            <v>2004</v>
          </cell>
          <cell r="P9" t="str">
            <v>DEARBORN PLANT BUILD</v>
          </cell>
          <cell r="Q9" t="str">
            <v>P221/P397</v>
          </cell>
          <cell r="R9" t="str">
            <v>ALL</v>
          </cell>
          <cell r="S9" t="str">
            <v>Throttle Body defective</v>
          </cell>
          <cell r="T9">
            <v>57</v>
          </cell>
          <cell r="V9">
            <v>3</v>
          </cell>
          <cell r="X9">
            <v>1</v>
          </cell>
          <cell r="Y9">
            <v>4</v>
          </cell>
          <cell r="Z9">
            <v>3</v>
          </cell>
          <cell r="AA9">
            <v>21</v>
          </cell>
          <cell r="AB9">
            <v>25</v>
          </cell>
        </row>
        <row r="10">
          <cell r="A10">
            <v>0</v>
          </cell>
          <cell r="B10" t="str">
            <v>ALL VRTS</v>
          </cell>
          <cell r="G10" t="str">
            <v>L10</v>
          </cell>
          <cell r="H10" t="str">
            <v>L15</v>
          </cell>
          <cell r="J10" t="str">
            <v>V07</v>
          </cell>
          <cell r="L10">
            <v>-1</v>
          </cell>
          <cell r="M10">
            <v>-1</v>
          </cell>
          <cell r="N10">
            <v>0</v>
          </cell>
          <cell r="O10">
            <v>2004</v>
          </cell>
          <cell r="P10" t="str">
            <v>DEARBORN PLANT BUILD</v>
          </cell>
          <cell r="Q10" t="str">
            <v>P221/P397</v>
          </cell>
          <cell r="R10" t="str">
            <v>ALL</v>
          </cell>
          <cell r="S10" t="str">
            <v>FUEL DOOR SPRING DAMAGED</v>
          </cell>
          <cell r="T10">
            <v>48</v>
          </cell>
          <cell r="W10">
            <v>18</v>
          </cell>
          <cell r="X10">
            <v>15</v>
          </cell>
          <cell r="Y10">
            <v>5</v>
          </cell>
          <cell r="Z10">
            <v>6</v>
          </cell>
          <cell r="AA10">
            <v>2</v>
          </cell>
          <cell r="AB10">
            <v>2</v>
          </cell>
        </row>
        <row r="11">
          <cell r="A11">
            <v>0</v>
          </cell>
          <cell r="B11" t="str">
            <v>ALL VRTS</v>
          </cell>
          <cell r="C11" t="str">
            <v>34602C</v>
          </cell>
          <cell r="D11" t="str">
            <v>door line 5340-2-A</v>
          </cell>
          <cell r="E11" t="str">
            <v>Final Fitters</v>
          </cell>
          <cell r="F11" t="str">
            <v>Metal Finishers</v>
          </cell>
          <cell r="G11" t="str">
            <v>B02</v>
          </cell>
          <cell r="H11" t="str">
            <v>B15</v>
          </cell>
          <cell r="I11" t="str">
            <v>B05</v>
          </cell>
          <cell r="J11" t="str">
            <v>V31</v>
          </cell>
          <cell r="K11" t="str">
            <v>V75</v>
          </cell>
          <cell r="L11">
            <v>0</v>
          </cell>
          <cell r="M11">
            <v>0</v>
          </cell>
          <cell r="N11">
            <v>-1</v>
          </cell>
          <cell r="O11">
            <v>2004</v>
          </cell>
          <cell r="P11" t="str">
            <v>DEARBORN PLANT BUILD</v>
          </cell>
          <cell r="Q11" t="str">
            <v>P221/P397</v>
          </cell>
          <cell r="R11" t="str">
            <v>ALL</v>
          </cell>
          <cell r="S11" t="str">
            <v>Misaligned</v>
          </cell>
          <cell r="T11">
            <v>42</v>
          </cell>
          <cell r="W11">
            <v>4</v>
          </cell>
          <cell r="Y11">
            <v>3</v>
          </cell>
          <cell r="Z11">
            <v>3</v>
          </cell>
          <cell r="AA11">
            <v>25</v>
          </cell>
          <cell r="AB11">
            <v>7</v>
          </cell>
        </row>
        <row r="12">
          <cell r="A12">
            <v>0</v>
          </cell>
          <cell r="B12" t="str">
            <v>ALL VRTS</v>
          </cell>
          <cell r="C12" t="str">
            <v>7330</v>
          </cell>
          <cell r="E12" t="str">
            <v>M12</v>
          </cell>
          <cell r="G12" t="str">
            <v>H24</v>
          </cell>
          <cell r="H12" t="str">
            <v>H25</v>
          </cell>
          <cell r="I12" t="str">
            <v>H62</v>
          </cell>
          <cell r="J12" t="str">
            <v>V89</v>
          </cell>
          <cell r="K12" t="str">
            <v>V21</v>
          </cell>
          <cell r="L12">
            <v>0</v>
          </cell>
          <cell r="M12">
            <v>0</v>
          </cell>
          <cell r="N12">
            <v>-1</v>
          </cell>
          <cell r="O12">
            <v>2004</v>
          </cell>
          <cell r="P12" t="str">
            <v>DEARBORN PLANT BUILD</v>
          </cell>
          <cell r="Q12" t="str">
            <v>P221/P397</v>
          </cell>
          <cell r="R12" t="str">
            <v>ALL</v>
          </cell>
          <cell r="S12" t="str">
            <v>ALIGNMENT</v>
          </cell>
          <cell r="T12">
            <v>34</v>
          </cell>
          <cell r="W12">
            <v>1</v>
          </cell>
          <cell r="Y12">
            <v>2</v>
          </cell>
          <cell r="Z12">
            <v>1</v>
          </cell>
          <cell r="AA12">
            <v>22</v>
          </cell>
          <cell r="AB12">
            <v>8</v>
          </cell>
        </row>
        <row r="13">
          <cell r="A13">
            <v>0</v>
          </cell>
          <cell r="B13" t="str">
            <v>ALL VRTS</v>
          </cell>
          <cell r="C13" t="str">
            <v>box Line 5410-2-B</v>
          </cell>
          <cell r="D13" t="str">
            <v>Box Line 5400-2-B</v>
          </cell>
          <cell r="E13" t="str">
            <v>TBE 26B</v>
          </cell>
          <cell r="F13" t="str">
            <v>TBE38B</v>
          </cell>
          <cell r="G13" t="str">
            <v>B66</v>
          </cell>
          <cell r="H13" t="str">
            <v>B63</v>
          </cell>
          <cell r="I13" t="str">
            <v>B69</v>
          </cell>
          <cell r="J13" t="str">
            <v>V75</v>
          </cell>
          <cell r="L13">
            <v>0</v>
          </cell>
          <cell r="M13">
            <v>0</v>
          </cell>
          <cell r="N13">
            <v>-1</v>
          </cell>
          <cell r="O13">
            <v>2004</v>
          </cell>
          <cell r="P13" t="str">
            <v>DEARBORN PLANT BUILD</v>
          </cell>
          <cell r="Q13" t="str">
            <v>P221/P397</v>
          </cell>
          <cell r="R13" t="str">
            <v>ALL</v>
          </cell>
          <cell r="S13" t="str">
            <v>Operator Error</v>
          </cell>
          <cell r="T13">
            <v>31</v>
          </cell>
          <cell r="W13">
            <v>1</v>
          </cell>
          <cell r="Y13">
            <v>7</v>
          </cell>
          <cell r="Z13">
            <v>11</v>
          </cell>
          <cell r="AA13">
            <v>7</v>
          </cell>
          <cell r="AB13">
            <v>5</v>
          </cell>
        </row>
        <row r="14">
          <cell r="A14">
            <v>0</v>
          </cell>
          <cell r="B14" t="str">
            <v>ALL VRTS</v>
          </cell>
          <cell r="G14" t="str">
            <v>C02</v>
          </cell>
          <cell r="H14" t="str">
            <v>C05</v>
          </cell>
          <cell r="I14" t="str">
            <v>C01</v>
          </cell>
          <cell r="J14" t="str">
            <v>V79</v>
          </cell>
          <cell r="L14">
            <v>0</v>
          </cell>
          <cell r="M14">
            <v>0</v>
          </cell>
          <cell r="N14">
            <v>-1</v>
          </cell>
          <cell r="O14">
            <v>2004</v>
          </cell>
          <cell r="P14" t="str">
            <v>DEARBORN PLANT BUILD</v>
          </cell>
          <cell r="Q14" t="str">
            <v>P221/P397</v>
          </cell>
          <cell r="R14" t="str">
            <v>ALL</v>
          </cell>
          <cell r="S14" t="str">
            <v>Freon added , low pressure, repaired.</v>
          </cell>
          <cell r="T14">
            <v>30</v>
          </cell>
          <cell r="W14">
            <v>8</v>
          </cell>
          <cell r="X14">
            <v>11</v>
          </cell>
          <cell r="Y14">
            <v>4</v>
          </cell>
          <cell r="AA14">
            <v>6</v>
          </cell>
          <cell r="AB14">
            <v>1</v>
          </cell>
        </row>
        <row r="15">
          <cell r="A15">
            <v>0</v>
          </cell>
          <cell r="B15" t="str">
            <v>ALL VRTS</v>
          </cell>
          <cell r="G15" t="str">
            <v>N25</v>
          </cell>
          <cell r="H15" t="str">
            <v>N24</v>
          </cell>
          <cell r="I15" t="str">
            <v>N23</v>
          </cell>
          <cell r="J15" t="str">
            <v>V89</v>
          </cell>
          <cell r="K15" t="str">
            <v>V88</v>
          </cell>
          <cell r="L15">
            <v>0</v>
          </cell>
          <cell r="M15">
            <v>-1</v>
          </cell>
          <cell r="N15">
            <v>0</v>
          </cell>
          <cell r="O15">
            <v>2004</v>
          </cell>
          <cell r="P15" t="str">
            <v>DEARBORN PLANT BUILD</v>
          </cell>
          <cell r="Q15" t="str">
            <v>P221/P397</v>
          </cell>
          <cell r="R15" t="str">
            <v>ALL</v>
          </cell>
          <cell r="S15" t="str">
            <v>TIRE / WHEEL INDEX</v>
          </cell>
          <cell r="T15">
            <v>29</v>
          </cell>
          <cell r="V15">
            <v>1</v>
          </cell>
          <cell r="X15">
            <v>2</v>
          </cell>
          <cell r="Y15">
            <v>3</v>
          </cell>
          <cell r="Z15">
            <v>1</v>
          </cell>
          <cell r="AA15">
            <v>14</v>
          </cell>
          <cell r="AB15">
            <v>8</v>
          </cell>
        </row>
        <row r="16">
          <cell r="A16">
            <v>0</v>
          </cell>
          <cell r="B16" t="str">
            <v>ALL VRTS</v>
          </cell>
          <cell r="G16" t="str">
            <v>F99</v>
          </cell>
          <cell r="J16" t="str">
            <v>V99</v>
          </cell>
          <cell r="L16">
            <v>0</v>
          </cell>
          <cell r="M16">
            <v>0</v>
          </cell>
          <cell r="N16">
            <v>-1</v>
          </cell>
          <cell r="O16">
            <v>2004</v>
          </cell>
          <cell r="P16" t="str">
            <v>DEARBORN PLANT BUILD</v>
          </cell>
          <cell r="Q16" t="str">
            <v>P221/P397</v>
          </cell>
          <cell r="R16" t="str">
            <v>ALL</v>
          </cell>
          <cell r="S16" t="str">
            <v>Washer fluid added</v>
          </cell>
          <cell r="T16">
            <v>28</v>
          </cell>
          <cell r="W16">
            <v>1</v>
          </cell>
          <cell r="Y16">
            <v>6</v>
          </cell>
          <cell r="Z16">
            <v>2</v>
          </cell>
          <cell r="AA16">
            <v>5</v>
          </cell>
          <cell r="AB16">
            <v>14</v>
          </cell>
        </row>
        <row r="17">
          <cell r="A17">
            <v>0</v>
          </cell>
          <cell r="B17" t="str">
            <v>ALL VRTS</v>
          </cell>
          <cell r="C17" t="str">
            <v>34602C</v>
          </cell>
          <cell r="D17" t="str">
            <v>34502C</v>
          </cell>
          <cell r="E17" t="str">
            <v>Final Fitters</v>
          </cell>
          <cell r="F17" t="str">
            <v>Metal Finishers</v>
          </cell>
          <cell r="G17" t="str">
            <v>B15</v>
          </cell>
          <cell r="H17" t="str">
            <v>B05</v>
          </cell>
          <cell r="I17" t="str">
            <v>B02</v>
          </cell>
          <cell r="J17" t="str">
            <v>V31</v>
          </cell>
          <cell r="L17">
            <v>0</v>
          </cell>
          <cell r="M17">
            <v>0</v>
          </cell>
          <cell r="N17">
            <v>-1</v>
          </cell>
          <cell r="O17">
            <v>2004</v>
          </cell>
          <cell r="P17" t="str">
            <v>DEARBORN PLANT BUILD</v>
          </cell>
          <cell r="Q17" t="str">
            <v>P221/P397</v>
          </cell>
          <cell r="R17" t="str">
            <v>ALL</v>
          </cell>
          <cell r="S17" t="str">
            <v xml:space="preserve"> Striker adjust</v>
          </cell>
          <cell r="T17">
            <v>25</v>
          </cell>
          <cell r="W17">
            <v>2</v>
          </cell>
          <cell r="X17">
            <v>1</v>
          </cell>
          <cell r="Y17">
            <v>2</v>
          </cell>
          <cell r="Z17">
            <v>5</v>
          </cell>
          <cell r="AA17">
            <v>14</v>
          </cell>
          <cell r="AB17">
            <v>1</v>
          </cell>
        </row>
        <row r="18">
          <cell r="A18">
            <v>0</v>
          </cell>
          <cell r="B18" t="str">
            <v>ALL VRTS</v>
          </cell>
          <cell r="G18" t="str">
            <v>F20</v>
          </cell>
          <cell r="H18" t="str">
            <v>F05</v>
          </cell>
          <cell r="I18" t="str">
            <v>F07</v>
          </cell>
          <cell r="J18" t="str">
            <v>V33</v>
          </cell>
          <cell r="L18">
            <v>0</v>
          </cell>
          <cell r="M18">
            <v>0</v>
          </cell>
          <cell r="N18">
            <v>-1</v>
          </cell>
          <cell r="O18">
            <v>2004</v>
          </cell>
          <cell r="P18" t="str">
            <v>DEARBORN PLANT BUILD</v>
          </cell>
          <cell r="Q18" t="str">
            <v>P221/P397</v>
          </cell>
          <cell r="R18" t="str">
            <v>ALL</v>
          </cell>
          <cell r="S18" t="str">
            <v>L/S Door</v>
          </cell>
          <cell r="T18">
            <v>25</v>
          </cell>
          <cell r="W18">
            <v>1</v>
          </cell>
          <cell r="X18">
            <v>1</v>
          </cell>
          <cell r="Y18">
            <v>3</v>
          </cell>
          <cell r="Z18">
            <v>8</v>
          </cell>
          <cell r="AA18">
            <v>9</v>
          </cell>
          <cell r="AB18">
            <v>3</v>
          </cell>
        </row>
        <row r="19">
          <cell r="A19">
            <v>0</v>
          </cell>
          <cell r="B19" t="str">
            <v>ALL VRTS</v>
          </cell>
          <cell r="C19" t="str">
            <v>Box Line 5400-2-B</v>
          </cell>
          <cell r="D19" t="str">
            <v>Trim Box 5390-2-B</v>
          </cell>
          <cell r="E19" t="str">
            <v>TBE 26B</v>
          </cell>
          <cell r="F19" t="str">
            <v>TBE16B</v>
          </cell>
          <cell r="G19" t="str">
            <v>B66</v>
          </cell>
          <cell r="H19" t="str">
            <v>B64</v>
          </cell>
          <cell r="I19" t="str">
            <v>B65</v>
          </cell>
          <cell r="J19" t="str">
            <v>V75</v>
          </cell>
          <cell r="L19">
            <v>0</v>
          </cell>
          <cell r="M19">
            <v>0</v>
          </cell>
          <cell r="N19">
            <v>-1</v>
          </cell>
          <cell r="O19">
            <v>2004</v>
          </cell>
          <cell r="P19" t="str">
            <v>DEARBORN PLANT BUILD</v>
          </cell>
          <cell r="Q19" t="str">
            <v>P221/P397</v>
          </cell>
          <cell r="R19" t="str">
            <v>ALL</v>
          </cell>
          <cell r="S19" t="str">
            <v>REPLACE</v>
          </cell>
          <cell r="T19">
            <v>23</v>
          </cell>
          <cell r="Z19">
            <v>3</v>
          </cell>
          <cell r="AA19">
            <v>12</v>
          </cell>
          <cell r="AB19">
            <v>8</v>
          </cell>
        </row>
        <row r="20">
          <cell r="A20">
            <v>0</v>
          </cell>
          <cell r="B20" t="str">
            <v>ALL VRTS</v>
          </cell>
          <cell r="G20" t="str">
            <v>F20</v>
          </cell>
          <cell r="H20" t="str">
            <v>F05</v>
          </cell>
          <cell r="I20" t="str">
            <v>F13</v>
          </cell>
          <cell r="J20" t="str">
            <v>V33</v>
          </cell>
          <cell r="L20">
            <v>0</v>
          </cell>
          <cell r="M20">
            <v>0</v>
          </cell>
          <cell r="N20">
            <v>-1</v>
          </cell>
          <cell r="O20">
            <v>2004</v>
          </cell>
          <cell r="P20" t="str">
            <v>DEARBORN PLANT BUILD</v>
          </cell>
          <cell r="Q20" t="str">
            <v>P221/P397</v>
          </cell>
          <cell r="R20" t="str">
            <v>ALL</v>
          </cell>
          <cell r="S20" t="str">
            <v>L/S Bed</v>
          </cell>
          <cell r="T20">
            <v>22</v>
          </cell>
          <cell r="W20">
            <v>2</v>
          </cell>
          <cell r="X20">
            <v>5</v>
          </cell>
          <cell r="Y20">
            <v>3</v>
          </cell>
          <cell r="Z20">
            <v>6</v>
          </cell>
          <cell r="AA20">
            <v>5</v>
          </cell>
          <cell r="AB20">
            <v>1</v>
          </cell>
        </row>
        <row r="21">
          <cell r="A21">
            <v>0</v>
          </cell>
          <cell r="B21" t="str">
            <v>ALL VRTS</v>
          </cell>
          <cell r="C21" t="str">
            <v>5340</v>
          </cell>
          <cell r="D21" t="str">
            <v>53502A</v>
          </cell>
          <cell r="E21" t="str">
            <v>TDE31-l</v>
          </cell>
          <cell r="F21" t="str">
            <v>TDE27-L</v>
          </cell>
          <cell r="G21" t="str">
            <v>L06</v>
          </cell>
          <cell r="H21" t="str">
            <v>L07</v>
          </cell>
          <cell r="I21" t="str">
            <v>L23</v>
          </cell>
          <cell r="J21" t="str">
            <v>V07</v>
          </cell>
          <cell r="L21">
            <v>-1</v>
          </cell>
          <cell r="M21">
            <v>0</v>
          </cell>
          <cell r="N21">
            <v>-1</v>
          </cell>
          <cell r="O21">
            <v>2004</v>
          </cell>
          <cell r="P21" t="str">
            <v>DEARBORN PLANT BUILD</v>
          </cell>
          <cell r="Q21" t="str">
            <v>P221/P397</v>
          </cell>
          <cell r="R21" t="str">
            <v>ALL</v>
          </cell>
          <cell r="S21" t="str">
            <v>LOCK CYLINDER DAMAGE</v>
          </cell>
          <cell r="T21">
            <v>22</v>
          </cell>
          <cell r="V21">
            <v>3</v>
          </cell>
          <cell r="W21">
            <v>4</v>
          </cell>
          <cell r="X21">
            <v>3</v>
          </cell>
          <cell r="Y21">
            <v>5</v>
          </cell>
          <cell r="Z21">
            <v>2</v>
          </cell>
          <cell r="AA21">
            <v>3</v>
          </cell>
          <cell r="AB21">
            <v>2</v>
          </cell>
        </row>
        <row r="22">
          <cell r="A22">
            <v>0</v>
          </cell>
          <cell r="B22" t="str">
            <v>ALL VRTS</v>
          </cell>
          <cell r="C22" t="str">
            <v>6360</v>
          </cell>
          <cell r="E22" t="str">
            <v>CEW44R</v>
          </cell>
          <cell r="G22" t="str">
            <v>E42</v>
          </cell>
          <cell r="H22" t="str">
            <v>E41</v>
          </cell>
          <cell r="J22" t="str">
            <v>V44</v>
          </cell>
          <cell r="L22">
            <v>0</v>
          </cell>
          <cell r="M22">
            <v>0</v>
          </cell>
          <cell r="N22">
            <v>-1</v>
          </cell>
          <cell r="O22">
            <v>2004</v>
          </cell>
          <cell r="P22" t="str">
            <v>DEARBORN PLANT BUILD</v>
          </cell>
          <cell r="Q22" t="str">
            <v>P221/P397</v>
          </cell>
          <cell r="R22" t="str">
            <v>ALL</v>
          </cell>
          <cell r="S22" t="str">
            <v>Re-align Exhaust to Y-Pipe</v>
          </cell>
          <cell r="T22">
            <v>20</v>
          </cell>
          <cell r="W22">
            <v>2</v>
          </cell>
          <cell r="Y22">
            <v>5</v>
          </cell>
          <cell r="Z22">
            <v>2</v>
          </cell>
          <cell r="AA22">
            <v>8</v>
          </cell>
          <cell r="AB22">
            <v>3</v>
          </cell>
        </row>
        <row r="23">
          <cell r="A23">
            <v>0</v>
          </cell>
          <cell r="B23" t="str">
            <v>ALL VRTS</v>
          </cell>
          <cell r="G23" t="str">
            <v>N27</v>
          </cell>
          <cell r="H23" t="str">
            <v>N17</v>
          </cell>
          <cell r="I23" t="str">
            <v>H20</v>
          </cell>
          <cell r="J23" t="str">
            <v>V21</v>
          </cell>
          <cell r="L23">
            <v>0</v>
          </cell>
          <cell r="M23">
            <v>-1</v>
          </cell>
          <cell r="N23">
            <v>0</v>
          </cell>
          <cell r="O23">
            <v>2004</v>
          </cell>
          <cell r="P23" t="str">
            <v>DEARBORN PLANT BUILD</v>
          </cell>
          <cell r="Q23" t="str">
            <v>P221/P397</v>
          </cell>
          <cell r="R23" t="str">
            <v>ALL</v>
          </cell>
          <cell r="S23" t="str">
            <v>ROTORS  OUT OF ROUND - TURNED</v>
          </cell>
          <cell r="T23">
            <v>20</v>
          </cell>
          <cell r="W23">
            <v>1</v>
          </cell>
          <cell r="X23">
            <v>1</v>
          </cell>
          <cell r="Z23">
            <v>1</v>
          </cell>
          <cell r="AA23">
            <v>10</v>
          </cell>
          <cell r="AB23">
            <v>7</v>
          </cell>
        </row>
        <row r="24">
          <cell r="A24">
            <v>0</v>
          </cell>
          <cell r="B24" t="str">
            <v>ALL VRTS</v>
          </cell>
          <cell r="G24" t="str">
            <v>F30</v>
          </cell>
          <cell r="H24" t="str">
            <v>F05</v>
          </cell>
          <cell r="I24" t="str">
            <v>F20</v>
          </cell>
          <cell r="J24" t="str">
            <v>V33</v>
          </cell>
          <cell r="L24">
            <v>0</v>
          </cell>
          <cell r="M24">
            <v>0</v>
          </cell>
          <cell r="N24">
            <v>-1</v>
          </cell>
          <cell r="O24">
            <v>2004</v>
          </cell>
          <cell r="P24" t="str">
            <v>DEARBORN PLANT BUILD</v>
          </cell>
          <cell r="Q24" t="str">
            <v>P221/P397</v>
          </cell>
          <cell r="R24" t="str">
            <v>ALL</v>
          </cell>
          <cell r="S24" t="str">
            <v>R/S Front Door</v>
          </cell>
          <cell r="T24">
            <v>19</v>
          </cell>
          <cell r="X24">
            <v>1</v>
          </cell>
          <cell r="Y24">
            <v>3</v>
          </cell>
          <cell r="Z24">
            <v>6</v>
          </cell>
          <cell r="AA24">
            <v>7</v>
          </cell>
          <cell r="AB24">
            <v>2</v>
          </cell>
        </row>
        <row r="25">
          <cell r="A25">
            <v>0</v>
          </cell>
          <cell r="B25" t="str">
            <v>ALL VRTS</v>
          </cell>
          <cell r="G25" t="str">
            <v>C25</v>
          </cell>
          <cell r="H25" t="str">
            <v>C27</v>
          </cell>
          <cell r="I25" t="str">
            <v>A85</v>
          </cell>
          <cell r="J25" t="str">
            <v>V19</v>
          </cell>
          <cell r="L25">
            <v>0</v>
          </cell>
          <cell r="M25">
            <v>0</v>
          </cell>
          <cell r="N25">
            <v>-1</v>
          </cell>
          <cell r="O25">
            <v>2004</v>
          </cell>
          <cell r="P25" t="str">
            <v>DEARBORN PLANT BUILD</v>
          </cell>
          <cell r="Q25" t="str">
            <v>P221/P397</v>
          </cell>
          <cell r="R25" t="str">
            <v>ALL</v>
          </cell>
          <cell r="S25" t="str">
            <v>Re-placed bad Battery</v>
          </cell>
          <cell r="T25">
            <v>19</v>
          </cell>
          <cell r="W25">
            <v>4</v>
          </cell>
          <cell r="Y25">
            <v>1</v>
          </cell>
          <cell r="Z25">
            <v>4</v>
          </cell>
          <cell r="AA25">
            <v>9</v>
          </cell>
          <cell r="AB25">
            <v>1</v>
          </cell>
        </row>
        <row r="26">
          <cell r="A26">
            <v>0</v>
          </cell>
          <cell r="B26" t="str">
            <v>ALL VRTS</v>
          </cell>
          <cell r="G26" t="str">
            <v>K03</v>
          </cell>
          <cell r="J26" t="str">
            <v>V44</v>
          </cell>
          <cell r="L26">
            <v>0</v>
          </cell>
          <cell r="M26">
            <v>-1</v>
          </cell>
          <cell r="N26">
            <v>0</v>
          </cell>
          <cell r="O26">
            <v>2004</v>
          </cell>
          <cell r="P26" t="str">
            <v>DEARBORN PLANT BUILD</v>
          </cell>
          <cell r="Q26" t="str">
            <v>P221/P397</v>
          </cell>
          <cell r="R26" t="str">
            <v>ALL</v>
          </cell>
          <cell r="S26" t="str">
            <v>Driveshaft replaced</v>
          </cell>
          <cell r="T26">
            <v>18</v>
          </cell>
          <cell r="X26">
            <v>1</v>
          </cell>
          <cell r="Y26">
            <v>3</v>
          </cell>
          <cell r="Z26">
            <v>4</v>
          </cell>
          <cell r="AA26">
            <v>8</v>
          </cell>
          <cell r="AB26">
            <v>2</v>
          </cell>
        </row>
        <row r="27">
          <cell r="A27">
            <v>0</v>
          </cell>
          <cell r="B27" t="str">
            <v>ALL VRTS</v>
          </cell>
          <cell r="C27" t="str">
            <v>7330</v>
          </cell>
          <cell r="E27" t="str">
            <v>M12</v>
          </cell>
          <cell r="G27" t="str">
            <v>H26</v>
          </cell>
          <cell r="H27" t="str">
            <v>H62</v>
          </cell>
          <cell r="I27" t="str">
            <v>H25</v>
          </cell>
          <cell r="J27" t="str">
            <v>V89</v>
          </cell>
          <cell r="L27">
            <v>0</v>
          </cell>
          <cell r="M27">
            <v>0</v>
          </cell>
          <cell r="N27">
            <v>-1</v>
          </cell>
          <cell r="O27">
            <v>2004</v>
          </cell>
          <cell r="P27" t="str">
            <v>DEARBORN PLANT BUILD</v>
          </cell>
          <cell r="Q27" t="str">
            <v>P221/P397</v>
          </cell>
          <cell r="R27" t="str">
            <v>ALL</v>
          </cell>
          <cell r="S27" t="str">
            <v>ALIGNMENT- PULLS RIGHT</v>
          </cell>
          <cell r="T27">
            <v>17</v>
          </cell>
          <cell r="W27">
            <v>1</v>
          </cell>
          <cell r="X27">
            <v>2</v>
          </cell>
          <cell r="Y27">
            <v>2</v>
          </cell>
          <cell r="Z27">
            <v>3</v>
          </cell>
          <cell r="AA27">
            <v>7</v>
          </cell>
          <cell r="AB27">
            <v>2</v>
          </cell>
        </row>
        <row r="28">
          <cell r="A28">
            <v>0</v>
          </cell>
          <cell r="B28" t="str">
            <v>ALL VRTS</v>
          </cell>
          <cell r="G28" t="str">
            <v>N25</v>
          </cell>
          <cell r="H28" t="str">
            <v>N23</v>
          </cell>
          <cell r="I28" t="str">
            <v>N22</v>
          </cell>
          <cell r="J28" t="str">
            <v>V89</v>
          </cell>
          <cell r="K28" t="str">
            <v>V88</v>
          </cell>
          <cell r="L28">
            <v>-1</v>
          </cell>
          <cell r="M28">
            <v>0</v>
          </cell>
          <cell r="N28">
            <v>0</v>
          </cell>
          <cell r="O28">
            <v>2004</v>
          </cell>
          <cell r="P28" t="str">
            <v>DEARBORN PLANT BUILD</v>
          </cell>
          <cell r="Q28" t="str">
            <v>P221/P397</v>
          </cell>
          <cell r="R28" t="str">
            <v>ALL</v>
          </cell>
          <cell r="S28" t="str">
            <v>FRAME DAMPER INSTALLED</v>
          </cell>
          <cell r="T28">
            <v>17</v>
          </cell>
          <cell r="W28">
            <v>2</v>
          </cell>
          <cell r="Y28">
            <v>2</v>
          </cell>
          <cell r="Z28">
            <v>1</v>
          </cell>
          <cell r="AA28">
            <v>7</v>
          </cell>
          <cell r="AB28">
            <v>5</v>
          </cell>
        </row>
        <row r="29">
          <cell r="A29">
            <v>0</v>
          </cell>
          <cell r="B29" t="str">
            <v>ALL VRTS</v>
          </cell>
          <cell r="G29" t="str">
            <v>F12</v>
          </cell>
          <cell r="H29" t="str">
            <v>F10</v>
          </cell>
          <cell r="I29" t="str">
            <v>F20</v>
          </cell>
          <cell r="J29" t="str">
            <v>V33</v>
          </cell>
          <cell r="L29">
            <v>0</v>
          </cell>
          <cell r="M29">
            <v>0</v>
          </cell>
          <cell r="N29">
            <v>-1</v>
          </cell>
          <cell r="O29">
            <v>2004</v>
          </cell>
          <cell r="P29" t="str">
            <v>DEARBORN PLANT BUILD</v>
          </cell>
          <cell r="Q29" t="str">
            <v>P221/P397</v>
          </cell>
          <cell r="R29" t="str">
            <v>ALL</v>
          </cell>
          <cell r="S29" t="str">
            <v>Multi Panels</v>
          </cell>
          <cell r="T29">
            <v>17</v>
          </cell>
          <cell r="W29">
            <v>3</v>
          </cell>
          <cell r="X29">
            <v>1</v>
          </cell>
          <cell r="Y29">
            <v>3</v>
          </cell>
          <cell r="Z29">
            <v>1</v>
          </cell>
          <cell r="AA29">
            <v>6</v>
          </cell>
          <cell r="AB29">
            <v>3</v>
          </cell>
        </row>
        <row r="30">
          <cell r="A30">
            <v>0</v>
          </cell>
          <cell r="B30" t="str">
            <v>ALL VRTS</v>
          </cell>
          <cell r="C30" t="str">
            <v>6500</v>
          </cell>
          <cell r="E30" t="str">
            <v>C4E21L</v>
          </cell>
          <cell r="G30" t="str">
            <v>L72</v>
          </cell>
          <cell r="J30" t="str">
            <v>V44</v>
          </cell>
          <cell r="L30">
            <v>0</v>
          </cell>
          <cell r="M30">
            <v>0</v>
          </cell>
          <cell r="N30">
            <v>-1</v>
          </cell>
          <cell r="O30">
            <v>2004</v>
          </cell>
          <cell r="P30" t="str">
            <v>DEARBORN PLANT BUILD</v>
          </cell>
          <cell r="Q30" t="str">
            <v>P221/P397</v>
          </cell>
          <cell r="R30" t="str">
            <v>ALL</v>
          </cell>
          <cell r="S30" t="str">
            <v>trans cooler line disconnected</v>
          </cell>
          <cell r="T30">
            <v>17</v>
          </cell>
          <cell r="W30">
            <v>1</v>
          </cell>
          <cell r="X30">
            <v>2</v>
          </cell>
          <cell r="Y30">
            <v>1</v>
          </cell>
          <cell r="Z30">
            <v>3</v>
          </cell>
          <cell r="AA30">
            <v>8</v>
          </cell>
          <cell r="AB30">
            <v>2</v>
          </cell>
        </row>
        <row r="31">
          <cell r="A31">
            <v>0</v>
          </cell>
          <cell r="B31" t="str">
            <v>ALL VRTS</v>
          </cell>
          <cell r="C31" t="str">
            <v>Trim 3 Team 4</v>
          </cell>
          <cell r="E31" t="str">
            <v>T3E24R</v>
          </cell>
          <cell r="G31" t="str">
            <v>A02</v>
          </cell>
          <cell r="H31" t="str">
            <v>A07</v>
          </cell>
          <cell r="I31" t="str">
            <v>A06</v>
          </cell>
          <cell r="J31" t="str">
            <v>V81</v>
          </cell>
          <cell r="L31">
            <v>0</v>
          </cell>
          <cell r="M31">
            <v>0</v>
          </cell>
          <cell r="N31">
            <v>-1</v>
          </cell>
          <cell r="O31">
            <v>2004</v>
          </cell>
          <cell r="P31" t="str">
            <v>DEARBORN PLANT BUILD</v>
          </cell>
          <cell r="Q31" t="str">
            <v>P221/P397</v>
          </cell>
          <cell r="R31" t="str">
            <v>ALL</v>
          </cell>
          <cell r="S31" t="str">
            <v>Antenna Not connected, recorrected.</v>
          </cell>
          <cell r="T31">
            <v>16</v>
          </cell>
          <cell r="U31">
            <v>1</v>
          </cell>
          <cell r="V31">
            <v>1</v>
          </cell>
          <cell r="Y31">
            <v>2</v>
          </cell>
          <cell r="Z31">
            <v>4</v>
          </cell>
          <cell r="AA31">
            <v>7</v>
          </cell>
          <cell r="AB31">
            <v>1</v>
          </cell>
        </row>
        <row r="32">
          <cell r="A32">
            <v>0</v>
          </cell>
          <cell r="B32" t="str">
            <v>ALL VRTS</v>
          </cell>
          <cell r="G32" t="str">
            <v>L26</v>
          </cell>
          <cell r="H32" t="str">
            <v>A85</v>
          </cell>
          <cell r="I32" t="str">
            <v>L29</v>
          </cell>
          <cell r="J32" t="str">
            <v>V77</v>
          </cell>
          <cell r="K32" t="str">
            <v>V19</v>
          </cell>
          <cell r="L32">
            <v>0</v>
          </cell>
          <cell r="M32">
            <v>-1</v>
          </cell>
          <cell r="N32">
            <v>0</v>
          </cell>
          <cell r="O32">
            <v>2004</v>
          </cell>
          <cell r="P32" t="str">
            <v>DEARBORN PLANT BUILD</v>
          </cell>
          <cell r="Q32" t="str">
            <v>P221/P397</v>
          </cell>
          <cell r="R32" t="str">
            <v>ALL</v>
          </cell>
          <cell r="S32" t="str">
            <v>Fuse blown</v>
          </cell>
          <cell r="T32">
            <v>16</v>
          </cell>
          <cell r="X32">
            <v>1</v>
          </cell>
          <cell r="Y32">
            <v>1</v>
          </cell>
          <cell r="Z32">
            <v>4</v>
          </cell>
          <cell r="AA32">
            <v>7</v>
          </cell>
          <cell r="AB32">
            <v>3</v>
          </cell>
        </row>
        <row r="33">
          <cell r="A33">
            <v>0</v>
          </cell>
          <cell r="B33" t="str">
            <v>ALL VRTS</v>
          </cell>
          <cell r="G33" t="str">
            <v>F20</v>
          </cell>
          <cell r="H33" t="str">
            <v>F05</v>
          </cell>
          <cell r="I33" t="str">
            <v>F30</v>
          </cell>
          <cell r="J33" t="str">
            <v>V33</v>
          </cell>
          <cell r="L33">
            <v>0</v>
          </cell>
          <cell r="M33">
            <v>0</v>
          </cell>
          <cell r="N33">
            <v>-1</v>
          </cell>
          <cell r="O33">
            <v>2004</v>
          </cell>
          <cell r="P33" t="str">
            <v>DEARBORN PLANT BUILD</v>
          </cell>
          <cell r="Q33" t="str">
            <v>P221/P397</v>
          </cell>
          <cell r="R33" t="str">
            <v>ALL</v>
          </cell>
          <cell r="S33" t="str">
            <v>R/S Bed</v>
          </cell>
          <cell r="T33">
            <v>16</v>
          </cell>
          <cell r="W33">
            <v>1</v>
          </cell>
          <cell r="Y33">
            <v>6</v>
          </cell>
          <cell r="Z33">
            <v>3</v>
          </cell>
          <cell r="AA33">
            <v>5</v>
          </cell>
          <cell r="AB33">
            <v>1</v>
          </cell>
        </row>
        <row r="34">
          <cell r="A34">
            <v>0</v>
          </cell>
          <cell r="B34" t="str">
            <v>ALL VRTS</v>
          </cell>
          <cell r="G34" t="str">
            <v>C20</v>
          </cell>
          <cell r="H34" t="str">
            <v>C05</v>
          </cell>
          <cell r="I34" t="str">
            <v>C02</v>
          </cell>
          <cell r="J34" t="str">
            <v>V79</v>
          </cell>
          <cell r="L34">
            <v>0</v>
          </cell>
          <cell r="M34">
            <v>-1</v>
          </cell>
          <cell r="N34">
            <v>0</v>
          </cell>
          <cell r="O34">
            <v>2004</v>
          </cell>
          <cell r="P34" t="str">
            <v>DEARBORN PLANT BUILD</v>
          </cell>
          <cell r="Q34" t="str">
            <v>P221/P397</v>
          </cell>
          <cell r="R34" t="str">
            <v>ALL</v>
          </cell>
          <cell r="S34" t="str">
            <v>Replaced Control</v>
          </cell>
          <cell r="T34">
            <v>16</v>
          </cell>
          <cell r="Z34">
            <v>1</v>
          </cell>
          <cell r="AA34">
            <v>13</v>
          </cell>
          <cell r="AB34">
            <v>2</v>
          </cell>
        </row>
        <row r="35">
          <cell r="A35">
            <v>0</v>
          </cell>
          <cell r="B35" t="str">
            <v>ALL VRTS</v>
          </cell>
          <cell r="C35" t="str">
            <v>6570</v>
          </cell>
          <cell r="E35" t="str">
            <v>C7W01</v>
          </cell>
          <cell r="G35" t="str">
            <v>P51</v>
          </cell>
          <cell r="J35" t="str">
            <v>V48</v>
          </cell>
          <cell r="L35">
            <v>0</v>
          </cell>
          <cell r="M35">
            <v>0</v>
          </cell>
          <cell r="N35">
            <v>-1</v>
          </cell>
          <cell r="O35">
            <v>2004</v>
          </cell>
          <cell r="P35" t="str">
            <v>DEARBORN PLANT BUILD</v>
          </cell>
          <cell r="Q35" t="str">
            <v>P221/P397</v>
          </cell>
          <cell r="R35" t="str">
            <v>ALL</v>
          </cell>
          <cell r="S35" t="str">
            <v xml:space="preserve"> adjusted shifter</v>
          </cell>
          <cell r="T35">
            <v>15</v>
          </cell>
          <cell r="W35">
            <v>4</v>
          </cell>
          <cell r="X35">
            <v>3</v>
          </cell>
          <cell r="Y35">
            <v>1</v>
          </cell>
          <cell r="Z35">
            <v>1</v>
          </cell>
          <cell r="AA35">
            <v>5</v>
          </cell>
          <cell r="AB35">
            <v>1</v>
          </cell>
        </row>
        <row r="36">
          <cell r="A36">
            <v>0</v>
          </cell>
          <cell r="B36" t="str">
            <v>ALL VRTS</v>
          </cell>
          <cell r="C36" t="str">
            <v>6490</v>
          </cell>
          <cell r="E36" t="str">
            <v>C4W09L</v>
          </cell>
          <cell r="F36" t="str">
            <v>C4E7L / C4W8R</v>
          </cell>
          <cell r="G36" t="str">
            <v>T53</v>
          </cell>
          <cell r="J36" t="str">
            <v>V74</v>
          </cell>
          <cell r="L36">
            <v>0</v>
          </cell>
          <cell r="M36">
            <v>0</v>
          </cell>
          <cell r="N36">
            <v>-1</v>
          </cell>
          <cell r="O36">
            <v>2004</v>
          </cell>
          <cell r="P36" t="str">
            <v>DEARBORN PLANT BUILD</v>
          </cell>
          <cell r="Q36" t="str">
            <v>P221/P397</v>
          </cell>
          <cell r="R36" t="str">
            <v>ALL</v>
          </cell>
          <cell r="S36" t="str">
            <v>AIR BUBBLES,UNDER</v>
          </cell>
          <cell r="T36">
            <v>15</v>
          </cell>
          <cell r="W36">
            <v>1</v>
          </cell>
          <cell r="X36">
            <v>1</v>
          </cell>
          <cell r="Y36">
            <v>4</v>
          </cell>
          <cell r="Z36">
            <v>1</v>
          </cell>
          <cell r="AA36">
            <v>8</v>
          </cell>
        </row>
        <row r="37">
          <cell r="A37">
            <v>0</v>
          </cell>
          <cell r="B37" t="str">
            <v>ALL VRTS</v>
          </cell>
          <cell r="G37" t="str">
            <v>F20</v>
          </cell>
          <cell r="H37" t="str">
            <v>F12</v>
          </cell>
          <cell r="I37" t="str">
            <v>F04</v>
          </cell>
          <cell r="J37" t="str">
            <v>V33</v>
          </cell>
          <cell r="L37">
            <v>0</v>
          </cell>
          <cell r="M37">
            <v>0</v>
          </cell>
          <cell r="N37">
            <v>-1</v>
          </cell>
          <cell r="O37">
            <v>2004</v>
          </cell>
          <cell r="P37" t="str">
            <v>DEARBORN PLANT BUILD</v>
          </cell>
          <cell r="Q37" t="str">
            <v>P221/P397</v>
          </cell>
          <cell r="R37" t="str">
            <v>ALL</v>
          </cell>
          <cell r="S37" t="str">
            <v>L/S Rear Door</v>
          </cell>
          <cell r="T37">
            <v>15</v>
          </cell>
          <cell r="X37">
            <v>1</v>
          </cell>
          <cell r="Y37">
            <v>2</v>
          </cell>
          <cell r="Z37">
            <v>4</v>
          </cell>
          <cell r="AA37">
            <v>6</v>
          </cell>
          <cell r="AB37">
            <v>2</v>
          </cell>
        </row>
        <row r="38">
          <cell r="A38">
            <v>0</v>
          </cell>
          <cell r="B38" t="str">
            <v>ALL VRTS</v>
          </cell>
          <cell r="G38" t="str">
            <v>F20</v>
          </cell>
          <cell r="H38" t="str">
            <v>F07</v>
          </cell>
          <cell r="I38" t="str">
            <v>F05</v>
          </cell>
          <cell r="J38" t="str">
            <v>V33</v>
          </cell>
          <cell r="L38">
            <v>0</v>
          </cell>
          <cell r="M38">
            <v>0</v>
          </cell>
          <cell r="N38">
            <v>-1</v>
          </cell>
          <cell r="O38">
            <v>2004</v>
          </cell>
          <cell r="P38" t="str">
            <v>DEARBORN PLANT BUILD</v>
          </cell>
          <cell r="Q38" t="str">
            <v>P221/P397</v>
          </cell>
          <cell r="R38" t="str">
            <v>ALL</v>
          </cell>
          <cell r="S38" t="str">
            <v>R/S Rear Door</v>
          </cell>
          <cell r="T38">
            <v>15</v>
          </cell>
          <cell r="W38">
            <v>1</v>
          </cell>
          <cell r="X38">
            <v>3</v>
          </cell>
          <cell r="Y38">
            <v>2</v>
          </cell>
          <cell r="Z38">
            <v>2</v>
          </cell>
          <cell r="AA38">
            <v>5</v>
          </cell>
          <cell r="AB38">
            <v>2</v>
          </cell>
        </row>
        <row r="39">
          <cell r="A39">
            <v>0</v>
          </cell>
          <cell r="B39" t="str">
            <v>ALL VRTS</v>
          </cell>
          <cell r="G39" t="str">
            <v>A16</v>
          </cell>
          <cell r="H39" t="str">
            <v>A07</v>
          </cell>
          <cell r="I39" t="str">
            <v>A04</v>
          </cell>
          <cell r="J39" t="str">
            <v>V81</v>
          </cell>
          <cell r="L39">
            <v>0</v>
          </cell>
          <cell r="M39">
            <v>-1</v>
          </cell>
          <cell r="N39">
            <v>0</v>
          </cell>
          <cell r="O39">
            <v>2004</v>
          </cell>
          <cell r="P39" t="str">
            <v>DEARBORN PLANT BUILD</v>
          </cell>
          <cell r="Q39" t="str">
            <v>P221/P397</v>
          </cell>
          <cell r="R39" t="str">
            <v>ALL</v>
          </cell>
          <cell r="S39" t="str">
            <v>Radio Replaced.</v>
          </cell>
          <cell r="T39">
            <v>15</v>
          </cell>
          <cell r="X39">
            <v>1</v>
          </cell>
          <cell r="Y39">
            <v>1</v>
          </cell>
          <cell r="Z39">
            <v>2</v>
          </cell>
          <cell r="AA39">
            <v>9</v>
          </cell>
          <cell r="AB39">
            <v>2</v>
          </cell>
        </row>
        <row r="40">
          <cell r="A40">
            <v>0</v>
          </cell>
          <cell r="B40" t="str">
            <v>ALL VRTS</v>
          </cell>
          <cell r="G40" t="str">
            <v>B53</v>
          </cell>
          <cell r="H40" t="str">
            <v>B95</v>
          </cell>
          <cell r="J40" t="str">
            <v>V71</v>
          </cell>
          <cell r="L40">
            <v>0</v>
          </cell>
          <cell r="M40">
            <v>-1</v>
          </cell>
          <cell r="N40">
            <v>0</v>
          </cell>
          <cell r="O40">
            <v>2004</v>
          </cell>
          <cell r="P40" t="str">
            <v>DEARBORN PLANT BUILD</v>
          </cell>
          <cell r="Q40" t="str">
            <v>P221/P397</v>
          </cell>
          <cell r="R40" t="str">
            <v>ALL</v>
          </cell>
          <cell r="S40" t="str">
            <v>TILT LEVER LOOSE</v>
          </cell>
          <cell r="T40">
            <v>15</v>
          </cell>
          <cell r="AA40">
            <v>14</v>
          </cell>
          <cell r="AB40">
            <v>1</v>
          </cell>
        </row>
        <row r="41">
          <cell r="A41">
            <v>0</v>
          </cell>
          <cell r="B41" t="str">
            <v>ALL VRTS</v>
          </cell>
          <cell r="G41" t="str">
            <v>P59</v>
          </cell>
          <cell r="H41" t="str">
            <v>P51</v>
          </cell>
          <cell r="I41" t="str">
            <v>P66</v>
          </cell>
          <cell r="J41" t="str">
            <v>V48</v>
          </cell>
          <cell r="L41">
            <v>0</v>
          </cell>
          <cell r="M41">
            <v>-1</v>
          </cell>
          <cell r="N41">
            <v>0</v>
          </cell>
          <cell r="O41">
            <v>2004</v>
          </cell>
          <cell r="P41" t="str">
            <v>DEARBORN PLANT BUILD</v>
          </cell>
          <cell r="Q41" t="str">
            <v>P221/P397</v>
          </cell>
          <cell r="R41" t="str">
            <v>ALL</v>
          </cell>
          <cell r="S41" t="str">
            <v xml:space="preserve"> replaced transmission</v>
          </cell>
          <cell r="T41">
            <v>14</v>
          </cell>
          <cell r="V41">
            <v>1</v>
          </cell>
          <cell r="W41">
            <v>2</v>
          </cell>
          <cell r="Y41">
            <v>2</v>
          </cell>
          <cell r="Z41">
            <v>2</v>
          </cell>
          <cell r="AA41">
            <v>1</v>
          </cell>
          <cell r="AB41">
            <v>6</v>
          </cell>
        </row>
        <row r="42">
          <cell r="A42">
            <v>0</v>
          </cell>
          <cell r="B42" t="str">
            <v>ALL VRTS</v>
          </cell>
          <cell r="C42" t="str">
            <v>34502C</v>
          </cell>
          <cell r="E42" t="str">
            <v>Metal Finishers</v>
          </cell>
          <cell r="G42" t="str">
            <v>B01</v>
          </cell>
          <cell r="H42" t="str">
            <v>S27</v>
          </cell>
          <cell r="J42" t="str">
            <v>V31</v>
          </cell>
          <cell r="K42" t="str">
            <v>V05</v>
          </cell>
          <cell r="L42">
            <v>0</v>
          </cell>
          <cell r="M42">
            <v>0</v>
          </cell>
          <cell r="N42">
            <v>-1</v>
          </cell>
          <cell r="O42">
            <v>2004</v>
          </cell>
          <cell r="P42" t="str">
            <v>DEARBORN PLANT BUILD</v>
          </cell>
          <cell r="Q42" t="str">
            <v>P221/P397</v>
          </cell>
          <cell r="R42" t="str">
            <v>ALL</v>
          </cell>
          <cell r="S42" t="str">
            <v>DENT</v>
          </cell>
          <cell r="T42">
            <v>14</v>
          </cell>
          <cell r="W42">
            <v>1</v>
          </cell>
          <cell r="X42">
            <v>2</v>
          </cell>
          <cell r="Y42">
            <v>1</v>
          </cell>
          <cell r="Z42">
            <v>5</v>
          </cell>
          <cell r="AA42">
            <v>2</v>
          </cell>
          <cell r="AB42">
            <v>3</v>
          </cell>
        </row>
        <row r="43">
          <cell r="A43">
            <v>0</v>
          </cell>
          <cell r="B43" t="str">
            <v>ALL VRTS</v>
          </cell>
          <cell r="G43" t="str">
            <v>C02</v>
          </cell>
          <cell r="H43" t="str">
            <v>C05</v>
          </cell>
          <cell r="J43" t="str">
            <v>V79</v>
          </cell>
          <cell r="L43">
            <v>0</v>
          </cell>
          <cell r="M43">
            <v>0</v>
          </cell>
          <cell r="N43">
            <v>-1</v>
          </cell>
          <cell r="O43">
            <v>2004</v>
          </cell>
          <cell r="P43" t="str">
            <v>DEARBORN PLANT BUILD</v>
          </cell>
          <cell r="Q43" t="str">
            <v>P221/P397</v>
          </cell>
          <cell r="R43" t="str">
            <v>ALL</v>
          </cell>
          <cell r="S43" t="str">
            <v>Re-Charged System</v>
          </cell>
          <cell r="T43">
            <v>14</v>
          </cell>
          <cell r="W43">
            <v>1</v>
          </cell>
          <cell r="Y43">
            <v>2</v>
          </cell>
          <cell r="Z43">
            <v>2</v>
          </cell>
          <cell r="AA43">
            <v>8</v>
          </cell>
          <cell r="AB43">
            <v>1</v>
          </cell>
        </row>
        <row r="44">
          <cell r="A44">
            <v>0</v>
          </cell>
          <cell r="B44" t="str">
            <v>ALL VRTS</v>
          </cell>
          <cell r="G44" t="str">
            <v>K03</v>
          </cell>
          <cell r="H44" t="str">
            <v>K02</v>
          </cell>
          <cell r="J44" t="str">
            <v>V44</v>
          </cell>
          <cell r="L44">
            <v>0</v>
          </cell>
          <cell r="M44">
            <v>-1</v>
          </cell>
          <cell r="N44">
            <v>0</v>
          </cell>
          <cell r="O44">
            <v>2004</v>
          </cell>
          <cell r="P44" t="str">
            <v>DEARBORN PLANT BUILD</v>
          </cell>
          <cell r="Q44" t="str">
            <v>P221/P397</v>
          </cell>
          <cell r="R44" t="str">
            <v>ALL</v>
          </cell>
          <cell r="S44" t="str">
            <v>removed drive shaft and lubed slipyoke</v>
          </cell>
          <cell r="T44">
            <v>14</v>
          </cell>
          <cell r="W44">
            <v>1</v>
          </cell>
          <cell r="X44">
            <v>1</v>
          </cell>
          <cell r="Y44">
            <v>2</v>
          </cell>
          <cell r="Z44">
            <v>3</v>
          </cell>
          <cell r="AA44">
            <v>4</v>
          </cell>
          <cell r="AB44">
            <v>3</v>
          </cell>
        </row>
        <row r="45">
          <cell r="A45">
            <v>0</v>
          </cell>
          <cell r="B45" t="str">
            <v>ALL VRTS</v>
          </cell>
          <cell r="G45" t="str">
            <v>L26</v>
          </cell>
          <cell r="H45" t="str">
            <v>L29</v>
          </cell>
          <cell r="I45" t="str">
            <v>L30</v>
          </cell>
          <cell r="J45" t="str">
            <v>V77</v>
          </cell>
          <cell r="L45">
            <v>0</v>
          </cell>
          <cell r="M45">
            <v>-1</v>
          </cell>
          <cell r="N45">
            <v>0</v>
          </cell>
          <cell r="O45">
            <v>2004</v>
          </cell>
          <cell r="P45" t="str">
            <v>DEARBORN PLANT BUILD</v>
          </cell>
          <cell r="Q45" t="str">
            <v>P221/P397</v>
          </cell>
          <cell r="R45" t="str">
            <v>ALL</v>
          </cell>
          <cell r="S45" t="str">
            <v>Replace bulb</v>
          </cell>
          <cell r="T45">
            <v>14</v>
          </cell>
          <cell r="Z45">
            <v>3</v>
          </cell>
          <cell r="AA45">
            <v>8</v>
          </cell>
          <cell r="AB45">
            <v>3</v>
          </cell>
        </row>
        <row r="46">
          <cell r="A46">
            <v>0</v>
          </cell>
          <cell r="B46" t="str">
            <v>ALL VRTS</v>
          </cell>
          <cell r="G46" t="str">
            <v>G02</v>
          </cell>
          <cell r="J46" t="str">
            <v>V09</v>
          </cell>
          <cell r="L46">
            <v>0</v>
          </cell>
          <cell r="M46">
            <v>-1</v>
          </cell>
          <cell r="N46">
            <v>0</v>
          </cell>
          <cell r="O46">
            <v>2004</v>
          </cell>
          <cell r="P46" t="str">
            <v>DEARBORN PLANT BUILD</v>
          </cell>
          <cell r="Q46" t="str">
            <v>P221/P397</v>
          </cell>
          <cell r="R46" t="str">
            <v>ALL</v>
          </cell>
          <cell r="S46" t="str">
            <v>DISTORTION</v>
          </cell>
          <cell r="T46">
            <v>13</v>
          </cell>
          <cell r="V46">
            <v>1</v>
          </cell>
          <cell r="X46">
            <v>1</v>
          </cell>
          <cell r="Z46">
            <v>4</v>
          </cell>
          <cell r="AA46">
            <v>4</v>
          </cell>
          <cell r="AB46">
            <v>3</v>
          </cell>
        </row>
        <row r="47">
          <cell r="A47">
            <v>0</v>
          </cell>
          <cell r="B47" t="str">
            <v>ALL VRTS</v>
          </cell>
          <cell r="G47" t="str">
            <v>R04</v>
          </cell>
          <cell r="H47" t="str">
            <v>R10</v>
          </cell>
          <cell r="I47" t="str">
            <v>R05</v>
          </cell>
          <cell r="J47" t="str">
            <v>V37</v>
          </cell>
          <cell r="L47">
            <v>0</v>
          </cell>
          <cell r="M47">
            <v>-1</v>
          </cell>
          <cell r="N47">
            <v>0</v>
          </cell>
          <cell r="O47">
            <v>2004</v>
          </cell>
          <cell r="P47" t="str">
            <v>DEARBORN PLANT BUILD</v>
          </cell>
          <cell r="Q47" t="str">
            <v>P221/P397</v>
          </cell>
          <cell r="R47" t="str">
            <v>ALL</v>
          </cell>
          <cell r="S47" t="str">
            <v>Hi Mount Brake Light Seal Gasket</v>
          </cell>
          <cell r="T47">
            <v>13</v>
          </cell>
          <cell r="W47">
            <v>3</v>
          </cell>
          <cell r="X47">
            <v>1</v>
          </cell>
          <cell r="Y47">
            <v>1</v>
          </cell>
          <cell r="Z47">
            <v>1</v>
          </cell>
          <cell r="AA47">
            <v>7</v>
          </cell>
        </row>
        <row r="48">
          <cell r="A48">
            <v>0</v>
          </cell>
          <cell r="B48" t="str">
            <v>ALL VRTS</v>
          </cell>
          <cell r="C48" t="str">
            <v>Repair</v>
          </cell>
          <cell r="E48" t="str">
            <v>NA</v>
          </cell>
          <cell r="G48" t="str">
            <v>W05</v>
          </cell>
          <cell r="J48" t="str">
            <v>V16</v>
          </cell>
          <cell r="L48">
            <v>0</v>
          </cell>
          <cell r="M48">
            <v>0</v>
          </cell>
          <cell r="N48">
            <v>-1</v>
          </cell>
          <cell r="O48">
            <v>2004</v>
          </cell>
          <cell r="P48" t="str">
            <v>DEARBORN PLANT BUILD</v>
          </cell>
          <cell r="Q48" t="str">
            <v>P221/P397</v>
          </cell>
          <cell r="R48" t="str">
            <v>ALL</v>
          </cell>
          <cell r="S48" t="str">
            <v>Replaced Wiper Blades.</v>
          </cell>
          <cell r="T48">
            <v>13</v>
          </cell>
          <cell r="W48">
            <v>1</v>
          </cell>
          <cell r="X48">
            <v>4</v>
          </cell>
          <cell r="Y48">
            <v>2</v>
          </cell>
          <cell r="Z48">
            <v>1</v>
          </cell>
          <cell r="AA48">
            <v>3</v>
          </cell>
          <cell r="AB48">
            <v>2</v>
          </cell>
        </row>
        <row r="49">
          <cell r="A49">
            <v>0</v>
          </cell>
          <cell r="B49" t="str">
            <v>ALL VRTS</v>
          </cell>
          <cell r="C49" t="str">
            <v>6570</v>
          </cell>
          <cell r="E49" t="str">
            <v>C7W09L</v>
          </cell>
          <cell r="G49" t="str">
            <v>P59</v>
          </cell>
          <cell r="J49" t="str">
            <v>V48</v>
          </cell>
          <cell r="L49">
            <v>0</v>
          </cell>
          <cell r="M49">
            <v>0</v>
          </cell>
          <cell r="N49">
            <v>-1</v>
          </cell>
          <cell r="O49">
            <v>2004</v>
          </cell>
          <cell r="P49" t="str">
            <v>DEARBORN PLANT BUILD</v>
          </cell>
          <cell r="Q49" t="str">
            <v>P221/P397</v>
          </cell>
          <cell r="R49" t="str">
            <v>ALL</v>
          </cell>
          <cell r="S49" t="str">
            <v xml:space="preserve"> improper fluid level</v>
          </cell>
          <cell r="T49">
            <v>12</v>
          </cell>
          <cell r="W49">
            <v>2</v>
          </cell>
          <cell r="Z49">
            <v>5</v>
          </cell>
          <cell r="AA49">
            <v>2</v>
          </cell>
          <cell r="AB49">
            <v>3</v>
          </cell>
        </row>
        <row r="50">
          <cell r="A50">
            <v>0</v>
          </cell>
          <cell r="B50" t="str">
            <v>ALL VRTS</v>
          </cell>
          <cell r="C50" t="str">
            <v>unsure</v>
          </cell>
          <cell r="E50" t="str">
            <v>C1E35F</v>
          </cell>
          <cell r="G50" t="str">
            <v>N50</v>
          </cell>
          <cell r="H50" t="str">
            <v>N59</v>
          </cell>
          <cell r="J50" t="str">
            <v>V39</v>
          </cell>
          <cell r="L50">
            <v>0</v>
          </cell>
          <cell r="M50">
            <v>0</v>
          </cell>
          <cell r="N50">
            <v>-1</v>
          </cell>
          <cell r="O50">
            <v>2004</v>
          </cell>
          <cell r="P50" t="str">
            <v>DEARBORN PLANT BUILD</v>
          </cell>
          <cell r="Q50" t="str">
            <v>P221/P397</v>
          </cell>
          <cell r="R50" t="str">
            <v>ALL</v>
          </cell>
          <cell r="S50" t="str">
            <v>Hub Acu. Not installed correctly</v>
          </cell>
          <cell r="T50">
            <v>12</v>
          </cell>
          <cell r="W50">
            <v>1</v>
          </cell>
          <cell r="X50">
            <v>3</v>
          </cell>
          <cell r="Y50">
            <v>1</v>
          </cell>
          <cell r="Z50">
            <v>2</v>
          </cell>
          <cell r="AA50">
            <v>4</v>
          </cell>
          <cell r="AB50">
            <v>1</v>
          </cell>
        </row>
        <row r="51">
          <cell r="A51">
            <v>0</v>
          </cell>
          <cell r="B51" t="str">
            <v>ALL VRTS</v>
          </cell>
          <cell r="G51" t="str">
            <v>P59</v>
          </cell>
          <cell r="H51" t="str">
            <v>P83</v>
          </cell>
          <cell r="J51" t="str">
            <v>V48</v>
          </cell>
          <cell r="L51">
            <v>0</v>
          </cell>
          <cell r="M51">
            <v>-1</v>
          </cell>
          <cell r="N51">
            <v>0</v>
          </cell>
          <cell r="O51">
            <v>2004</v>
          </cell>
          <cell r="P51" t="str">
            <v>DEARBORN PLANT BUILD</v>
          </cell>
          <cell r="Q51" t="str">
            <v>P221/P397</v>
          </cell>
          <cell r="R51" t="str">
            <v>ALL</v>
          </cell>
          <cell r="S51" t="str">
            <v>overhauled trans</v>
          </cell>
          <cell r="T51">
            <v>12</v>
          </cell>
          <cell r="X51">
            <v>1</v>
          </cell>
          <cell r="Y51">
            <v>2</v>
          </cell>
          <cell r="Z51">
            <v>3</v>
          </cell>
          <cell r="AA51">
            <v>5</v>
          </cell>
          <cell r="AB51">
            <v>1</v>
          </cell>
        </row>
        <row r="52">
          <cell r="A52">
            <v>0</v>
          </cell>
          <cell r="B52" t="str">
            <v>ALL VRTS</v>
          </cell>
          <cell r="G52" t="str">
            <v>A06</v>
          </cell>
          <cell r="H52" t="str">
            <v>A07</v>
          </cell>
          <cell r="I52" t="str">
            <v>A16</v>
          </cell>
          <cell r="J52" t="str">
            <v>V81</v>
          </cell>
          <cell r="L52">
            <v>0</v>
          </cell>
          <cell r="M52">
            <v>-1</v>
          </cell>
          <cell r="N52">
            <v>0</v>
          </cell>
          <cell r="O52">
            <v>2004</v>
          </cell>
          <cell r="P52" t="str">
            <v>DEARBORN PLANT BUILD</v>
          </cell>
          <cell r="Q52" t="str">
            <v>P221/P397</v>
          </cell>
          <cell r="R52" t="str">
            <v>ALL</v>
          </cell>
          <cell r="S52" t="str">
            <v>Speakers, replaced.</v>
          </cell>
          <cell r="T52">
            <v>12</v>
          </cell>
          <cell r="V52">
            <v>1</v>
          </cell>
          <cell r="X52">
            <v>1</v>
          </cell>
          <cell r="Y52">
            <v>2</v>
          </cell>
          <cell r="Z52">
            <v>1</v>
          </cell>
          <cell r="AA52">
            <v>7</v>
          </cell>
        </row>
        <row r="53">
          <cell r="A53">
            <v>0</v>
          </cell>
          <cell r="B53" t="str">
            <v>ALL VRTS</v>
          </cell>
          <cell r="C53" t="str">
            <v>5340</v>
          </cell>
          <cell r="D53" t="str">
            <v>5330</v>
          </cell>
          <cell r="E53" t="str">
            <v>TDE27-L</v>
          </cell>
          <cell r="F53" t="str">
            <v>TED30-R</v>
          </cell>
          <cell r="G53" t="str">
            <v>G05</v>
          </cell>
          <cell r="H53" t="str">
            <v>G07</v>
          </cell>
          <cell r="I53" t="str">
            <v>L07</v>
          </cell>
          <cell r="J53" t="str">
            <v>V09</v>
          </cell>
          <cell r="L53">
            <v>0</v>
          </cell>
          <cell r="M53">
            <v>0</v>
          </cell>
          <cell r="N53">
            <v>-1</v>
          </cell>
          <cell r="O53">
            <v>2004</v>
          </cell>
          <cell r="P53" t="str">
            <v>DEARBORN PLANT BUILD</v>
          </cell>
          <cell r="Q53" t="str">
            <v>P221/P397</v>
          </cell>
          <cell r="R53" t="str">
            <v>ALL</v>
          </cell>
          <cell r="S53" t="str">
            <v>ATTACH WINDOW CHANNEL</v>
          </cell>
          <cell r="T53">
            <v>11</v>
          </cell>
          <cell r="W53">
            <v>2</v>
          </cell>
          <cell r="Y53">
            <v>1</v>
          </cell>
          <cell r="Z53">
            <v>1</v>
          </cell>
          <cell r="AA53">
            <v>6</v>
          </cell>
          <cell r="AB53">
            <v>1</v>
          </cell>
        </row>
        <row r="54">
          <cell r="A54">
            <v>0</v>
          </cell>
          <cell r="B54" t="str">
            <v>ALL VRTS</v>
          </cell>
          <cell r="G54" t="str">
            <v>F12</v>
          </cell>
          <cell r="H54" t="str">
            <v>F10</v>
          </cell>
          <cell r="I54" t="str">
            <v>F20</v>
          </cell>
          <cell r="J54" t="str">
            <v>V33</v>
          </cell>
          <cell r="L54">
            <v>0</v>
          </cell>
          <cell r="M54">
            <v>0</v>
          </cell>
          <cell r="N54">
            <v>-1</v>
          </cell>
          <cell r="O54">
            <v>2004</v>
          </cell>
          <cell r="P54" t="str">
            <v>DEARBORN PLANT BUILD</v>
          </cell>
          <cell r="Q54" t="str">
            <v>P221/P397</v>
          </cell>
          <cell r="R54" t="str">
            <v>ALL</v>
          </cell>
          <cell r="S54" t="str">
            <v>Entire Vehicle</v>
          </cell>
          <cell r="T54">
            <v>11</v>
          </cell>
          <cell r="W54">
            <v>1</v>
          </cell>
          <cell r="Y54">
            <v>1</v>
          </cell>
          <cell r="Z54">
            <v>2</v>
          </cell>
          <cell r="AA54">
            <v>6</v>
          </cell>
          <cell r="AB54">
            <v>1</v>
          </cell>
        </row>
        <row r="55">
          <cell r="A55">
            <v>0</v>
          </cell>
          <cell r="B55" t="str">
            <v>ALL VRTS</v>
          </cell>
          <cell r="C55" t="str">
            <v>5340</v>
          </cell>
          <cell r="E55" t="str">
            <v>TDE27-L</v>
          </cell>
          <cell r="F55" t="str">
            <v>TDE29-L</v>
          </cell>
          <cell r="G55" t="str">
            <v>G07</v>
          </cell>
          <cell r="H55" t="str">
            <v>G05</v>
          </cell>
          <cell r="J55" t="str">
            <v>V09</v>
          </cell>
          <cell r="K55" t="str">
            <v>V07</v>
          </cell>
          <cell r="L55">
            <v>0</v>
          </cell>
          <cell r="M55">
            <v>0</v>
          </cell>
          <cell r="N55">
            <v>-1</v>
          </cell>
          <cell r="O55">
            <v>2004</v>
          </cell>
          <cell r="P55" t="str">
            <v>DEARBORN PLANT BUILD</v>
          </cell>
          <cell r="Q55" t="str">
            <v>P221/P397</v>
          </cell>
          <cell r="R55" t="str">
            <v>ALL</v>
          </cell>
          <cell r="S55" t="str">
            <v>GLASS NOT INSTALLED TO REGULATOR</v>
          </cell>
          <cell r="T55">
            <v>11</v>
          </cell>
          <cell r="V55">
            <v>1</v>
          </cell>
          <cell r="W55">
            <v>1</v>
          </cell>
          <cell r="X55">
            <v>2</v>
          </cell>
          <cell r="Y55">
            <v>1</v>
          </cell>
          <cell r="Z55">
            <v>1</v>
          </cell>
          <cell r="AA55">
            <v>3</v>
          </cell>
          <cell r="AB55">
            <v>2</v>
          </cell>
        </row>
        <row r="56">
          <cell r="A56">
            <v>0</v>
          </cell>
          <cell r="B56" t="str">
            <v>ALL VRTS</v>
          </cell>
          <cell r="G56" t="str">
            <v>C02</v>
          </cell>
          <cell r="H56" t="str">
            <v>C05</v>
          </cell>
          <cell r="I56" t="str">
            <v>C03</v>
          </cell>
          <cell r="J56" t="str">
            <v>V79</v>
          </cell>
          <cell r="L56">
            <v>0</v>
          </cell>
          <cell r="M56">
            <v>0</v>
          </cell>
          <cell r="N56">
            <v>-1</v>
          </cell>
          <cell r="O56">
            <v>2004</v>
          </cell>
          <cell r="P56" t="str">
            <v>DEARBORN PLANT BUILD</v>
          </cell>
          <cell r="Q56" t="str">
            <v>P221/P397</v>
          </cell>
          <cell r="R56" t="str">
            <v>ALL</v>
          </cell>
          <cell r="S56" t="str">
            <v>O-Ring at compressor leaking.</v>
          </cell>
          <cell r="T56">
            <v>11</v>
          </cell>
          <cell r="W56">
            <v>2</v>
          </cell>
          <cell r="X56">
            <v>3</v>
          </cell>
          <cell r="Y56">
            <v>3</v>
          </cell>
          <cell r="AA56">
            <v>2</v>
          </cell>
          <cell r="AB56">
            <v>1</v>
          </cell>
        </row>
        <row r="57">
          <cell r="A57">
            <v>0</v>
          </cell>
          <cell r="B57" t="str">
            <v>ALL VRTS</v>
          </cell>
          <cell r="C57" t="str">
            <v>FSELECT</v>
          </cell>
          <cell r="E57" t="str">
            <v>CFE02R</v>
          </cell>
          <cell r="G57" t="str">
            <v>K03</v>
          </cell>
          <cell r="J57" t="str">
            <v>V44</v>
          </cell>
          <cell r="L57">
            <v>0</v>
          </cell>
          <cell r="M57">
            <v>-1</v>
          </cell>
          <cell r="N57">
            <v>0</v>
          </cell>
          <cell r="O57">
            <v>2004</v>
          </cell>
          <cell r="P57" t="str">
            <v>DEARBORN PLANT BUILD</v>
          </cell>
          <cell r="Q57" t="str">
            <v>P221/P397</v>
          </cell>
          <cell r="R57" t="str">
            <v>ALL</v>
          </cell>
          <cell r="S57" t="str">
            <v>Replaced rear axle</v>
          </cell>
          <cell r="T57">
            <v>11</v>
          </cell>
          <cell r="W57">
            <v>1</v>
          </cell>
          <cell r="X57">
            <v>1</v>
          </cell>
          <cell r="Y57">
            <v>5</v>
          </cell>
          <cell r="Z57">
            <v>2</v>
          </cell>
          <cell r="AB57">
            <v>2</v>
          </cell>
        </row>
        <row r="58">
          <cell r="A58">
            <v>0</v>
          </cell>
          <cell r="B58" t="str">
            <v>ALL VRTS</v>
          </cell>
          <cell r="C58" t="str">
            <v>Trim 4 5580-2-G</v>
          </cell>
          <cell r="E58" t="str">
            <v>T4W01-09L</v>
          </cell>
          <cell r="G58" t="str">
            <v>G02</v>
          </cell>
          <cell r="J58" t="str">
            <v>V09</v>
          </cell>
          <cell r="L58">
            <v>0</v>
          </cell>
          <cell r="M58">
            <v>-1</v>
          </cell>
          <cell r="N58">
            <v>0</v>
          </cell>
          <cell r="O58">
            <v>2004</v>
          </cell>
          <cell r="P58" t="str">
            <v>DEARBORN PLANT BUILD</v>
          </cell>
          <cell r="Q58" t="str">
            <v>P221/P397</v>
          </cell>
          <cell r="R58" t="str">
            <v>ALL</v>
          </cell>
          <cell r="S58" t="str">
            <v>STRESS CRACK</v>
          </cell>
          <cell r="T58">
            <v>11</v>
          </cell>
          <cell r="U58">
            <v>1</v>
          </cell>
          <cell r="V58">
            <v>1</v>
          </cell>
          <cell r="X58">
            <v>2</v>
          </cell>
          <cell r="Y58">
            <v>2</v>
          </cell>
          <cell r="AA58">
            <v>5</v>
          </cell>
        </row>
        <row r="59">
          <cell r="A59">
            <v>0</v>
          </cell>
          <cell r="B59" t="str">
            <v>ALL VRTS</v>
          </cell>
          <cell r="G59" t="str">
            <v>H19</v>
          </cell>
          <cell r="H59" t="str">
            <v>H20</v>
          </cell>
          <cell r="J59" t="str">
            <v>V21</v>
          </cell>
          <cell r="L59">
            <v>0</v>
          </cell>
          <cell r="M59">
            <v>-1</v>
          </cell>
          <cell r="N59">
            <v>0</v>
          </cell>
          <cell r="O59">
            <v>2004</v>
          </cell>
          <cell r="P59" t="str">
            <v>DEARBORN PLANT BUILD</v>
          </cell>
          <cell r="Q59" t="str">
            <v>P221/P397</v>
          </cell>
          <cell r="R59" t="str">
            <v>ALL</v>
          </cell>
          <cell r="S59" t="str">
            <v>WHEEL SPEED SENSOR -REPLACED</v>
          </cell>
          <cell r="T59">
            <v>11</v>
          </cell>
          <cell r="W59">
            <v>1</v>
          </cell>
          <cell r="Y59">
            <v>2</v>
          </cell>
          <cell r="Z59">
            <v>2</v>
          </cell>
          <cell r="AA59">
            <v>6</v>
          </cell>
        </row>
        <row r="60">
          <cell r="A60">
            <v>0</v>
          </cell>
          <cell r="B60" t="str">
            <v>ALL VRTS</v>
          </cell>
          <cell r="C60" t="str">
            <v>5460</v>
          </cell>
          <cell r="D60" t="str">
            <v>5510</v>
          </cell>
          <cell r="E60" t="str">
            <v>C5E23L</v>
          </cell>
          <cell r="F60" t="str">
            <v>T2W33L</v>
          </cell>
          <cell r="G60" t="str">
            <v>T51</v>
          </cell>
          <cell r="H60" t="str">
            <v>T53</v>
          </cell>
          <cell r="I60" t="str">
            <v>T90</v>
          </cell>
          <cell r="J60" t="str">
            <v>V74</v>
          </cell>
          <cell r="L60">
            <v>0</v>
          </cell>
          <cell r="M60">
            <v>-1</v>
          </cell>
          <cell r="N60">
            <v>0</v>
          </cell>
          <cell r="O60">
            <v>2004</v>
          </cell>
          <cell r="P60" t="str">
            <v>DEARBORN PLANT BUILD</v>
          </cell>
          <cell r="Q60" t="str">
            <v>P221/P397</v>
          </cell>
          <cell r="R60" t="str">
            <v>ALL</v>
          </cell>
          <cell r="S60" t="str">
            <v>DEFECTIVE</v>
          </cell>
          <cell r="T60">
            <v>10</v>
          </cell>
          <cell r="W60">
            <v>2</v>
          </cell>
          <cell r="AA60">
            <v>7</v>
          </cell>
          <cell r="AB60">
            <v>1</v>
          </cell>
        </row>
        <row r="61">
          <cell r="A61">
            <v>0</v>
          </cell>
          <cell r="B61" t="str">
            <v>ALL VRTS</v>
          </cell>
          <cell r="G61" t="str">
            <v>M05</v>
          </cell>
          <cell r="H61" t="str">
            <v>B66</v>
          </cell>
          <cell r="J61" t="str">
            <v>V13</v>
          </cell>
          <cell r="K61" t="str">
            <v>V75</v>
          </cell>
          <cell r="L61">
            <v>0</v>
          </cell>
          <cell r="M61">
            <v>-1</v>
          </cell>
          <cell r="N61">
            <v>0</v>
          </cell>
          <cell r="O61">
            <v>2004</v>
          </cell>
          <cell r="P61" t="str">
            <v>DEARBORN PLANT BUILD</v>
          </cell>
          <cell r="Q61" t="str">
            <v>P221/P397</v>
          </cell>
          <cell r="R61" t="str">
            <v>ALL</v>
          </cell>
          <cell r="S61" t="str">
            <v>Door Mirror replaced</v>
          </cell>
          <cell r="T61">
            <v>10</v>
          </cell>
          <cell r="W61">
            <v>2</v>
          </cell>
          <cell r="Z61">
            <v>3</v>
          </cell>
          <cell r="AA61">
            <v>4</v>
          </cell>
          <cell r="AB61">
            <v>1</v>
          </cell>
        </row>
        <row r="62">
          <cell r="A62">
            <v>0</v>
          </cell>
          <cell r="B62" t="str">
            <v>ALL VRTS</v>
          </cell>
          <cell r="G62" t="str">
            <v>E69</v>
          </cell>
          <cell r="H62" t="str">
            <v>D50</v>
          </cell>
          <cell r="J62" t="str">
            <v>V44</v>
          </cell>
          <cell r="L62">
            <v>0</v>
          </cell>
          <cell r="M62">
            <v>-1</v>
          </cell>
          <cell r="N62">
            <v>0</v>
          </cell>
          <cell r="O62">
            <v>2004</v>
          </cell>
          <cell r="P62" t="str">
            <v>DEARBORN PLANT BUILD</v>
          </cell>
          <cell r="Q62" t="str">
            <v>P221/P397</v>
          </cell>
          <cell r="R62" t="str">
            <v>ALL</v>
          </cell>
          <cell r="S62" t="str">
            <v>engine oil low during PDI insp.</v>
          </cell>
          <cell r="T62">
            <v>10</v>
          </cell>
          <cell r="V62">
            <v>1</v>
          </cell>
          <cell r="Y62">
            <v>2</v>
          </cell>
          <cell r="Z62">
            <v>1</v>
          </cell>
          <cell r="AA62">
            <v>2</v>
          </cell>
          <cell r="AB62">
            <v>4</v>
          </cell>
        </row>
        <row r="63">
          <cell r="A63">
            <v>0</v>
          </cell>
          <cell r="B63" t="str">
            <v>ALL VRTS</v>
          </cell>
          <cell r="G63" t="str">
            <v>F20</v>
          </cell>
          <cell r="H63" t="str">
            <v>F30</v>
          </cell>
          <cell r="I63" t="str">
            <v>F04</v>
          </cell>
          <cell r="J63" t="str">
            <v>V33</v>
          </cell>
          <cell r="L63">
            <v>0</v>
          </cell>
          <cell r="M63">
            <v>0</v>
          </cell>
          <cell r="N63">
            <v>-1</v>
          </cell>
          <cell r="O63">
            <v>2004</v>
          </cell>
          <cell r="P63" t="str">
            <v>DEARBORN PLANT BUILD</v>
          </cell>
          <cell r="Q63" t="str">
            <v>P221/P397</v>
          </cell>
          <cell r="R63" t="str">
            <v>ALL</v>
          </cell>
          <cell r="S63" t="str">
            <v>L/S Front Fender</v>
          </cell>
          <cell r="T63">
            <v>10</v>
          </cell>
          <cell r="W63">
            <v>1</v>
          </cell>
          <cell r="Y63">
            <v>2</v>
          </cell>
          <cell r="Z63">
            <v>1</v>
          </cell>
          <cell r="AA63">
            <v>4</v>
          </cell>
          <cell r="AB63">
            <v>2</v>
          </cell>
        </row>
        <row r="64">
          <cell r="A64">
            <v>0</v>
          </cell>
          <cell r="B64" t="str">
            <v>ALL VRTS</v>
          </cell>
          <cell r="G64" t="str">
            <v>A99</v>
          </cell>
          <cell r="H64" t="str">
            <v>M05</v>
          </cell>
          <cell r="I64" t="str">
            <v>M06</v>
          </cell>
          <cell r="J64" t="str">
            <v>V99</v>
          </cell>
          <cell r="K64" t="str">
            <v>V13</v>
          </cell>
          <cell r="L64">
            <v>0</v>
          </cell>
          <cell r="M64">
            <v>-1</v>
          </cell>
          <cell r="N64">
            <v>0</v>
          </cell>
          <cell r="O64">
            <v>2004</v>
          </cell>
          <cell r="P64" t="str">
            <v>DEARBORN PLANT BUILD</v>
          </cell>
          <cell r="Q64" t="str">
            <v>P221/P397</v>
          </cell>
          <cell r="R64" t="str">
            <v>ALL</v>
          </cell>
          <cell r="S64" t="str">
            <v>Transport damage</v>
          </cell>
          <cell r="T64">
            <v>10</v>
          </cell>
          <cell r="W64">
            <v>1</v>
          </cell>
          <cell r="Z64">
            <v>4</v>
          </cell>
          <cell r="AA64">
            <v>3</v>
          </cell>
          <cell r="AB64">
            <v>2</v>
          </cell>
        </row>
        <row r="65">
          <cell r="A65">
            <v>0</v>
          </cell>
          <cell r="B65" t="str">
            <v>ALL VRTS</v>
          </cell>
          <cell r="G65" t="str">
            <v>G32</v>
          </cell>
          <cell r="H65" t="str">
            <v>A85</v>
          </cell>
          <cell r="I65" t="str">
            <v>A37</v>
          </cell>
          <cell r="J65" t="str">
            <v>V83</v>
          </cell>
          <cell r="L65">
            <v>0</v>
          </cell>
          <cell r="M65">
            <v>-1</v>
          </cell>
          <cell r="N65">
            <v>0</v>
          </cell>
          <cell r="O65">
            <v>2004</v>
          </cell>
          <cell r="P65" t="str">
            <v>DEARBORN PLANT BUILD</v>
          </cell>
          <cell r="Q65" t="str">
            <v>P221/P397</v>
          </cell>
          <cell r="R65" t="str">
            <v>ALL</v>
          </cell>
          <cell r="S65" t="str">
            <v>Cluster replaced and reprogramed.</v>
          </cell>
          <cell r="T65">
            <v>9</v>
          </cell>
          <cell r="X65">
            <v>1</v>
          </cell>
          <cell r="Y65">
            <v>3</v>
          </cell>
          <cell r="Z65">
            <v>3</v>
          </cell>
          <cell r="AA65">
            <v>2</v>
          </cell>
        </row>
        <row r="66">
          <cell r="A66">
            <v>0</v>
          </cell>
          <cell r="B66" t="str">
            <v>ALL VRTS</v>
          </cell>
          <cell r="C66" t="str">
            <v>5550</v>
          </cell>
          <cell r="D66" t="str">
            <v>6540</v>
          </cell>
          <cell r="E66" t="str">
            <v>C5E23L</v>
          </cell>
          <cell r="F66" t="str">
            <v>Metal Finishers</v>
          </cell>
          <cell r="G66" t="str">
            <v>T53</v>
          </cell>
          <cell r="H66" t="str">
            <v>B01</v>
          </cell>
          <cell r="I66" t="str">
            <v>T51</v>
          </cell>
          <cell r="J66" t="str">
            <v>V74</v>
          </cell>
          <cell r="K66" t="str">
            <v>V31</v>
          </cell>
          <cell r="L66">
            <v>0</v>
          </cell>
          <cell r="M66">
            <v>0</v>
          </cell>
          <cell r="N66">
            <v>-1</v>
          </cell>
          <cell r="O66">
            <v>2004</v>
          </cell>
          <cell r="P66" t="str">
            <v>DEARBORN PLANT BUILD</v>
          </cell>
          <cell r="Q66" t="str">
            <v>P221/P397</v>
          </cell>
          <cell r="R66" t="str">
            <v>ALL</v>
          </cell>
          <cell r="S66" t="str">
            <v>DAMAGED</v>
          </cell>
          <cell r="T66">
            <v>9</v>
          </cell>
          <cell r="Y66">
            <v>2</v>
          </cell>
          <cell r="Z66">
            <v>1</v>
          </cell>
          <cell r="AA66">
            <v>3</v>
          </cell>
          <cell r="AB66">
            <v>3</v>
          </cell>
        </row>
        <row r="67">
          <cell r="A67">
            <v>0</v>
          </cell>
          <cell r="B67" t="str">
            <v>ALL VRTS</v>
          </cell>
          <cell r="C67" t="str">
            <v>Trim 4 5580-2-G</v>
          </cell>
          <cell r="D67" t="str">
            <v>Trim 4 5590-2-G</v>
          </cell>
          <cell r="E67" t="str">
            <v>T4W14 L</v>
          </cell>
          <cell r="F67" t="str">
            <v>T4W012R</v>
          </cell>
          <cell r="G67" t="str">
            <v>B63</v>
          </cell>
          <cell r="H67" t="str">
            <v>B64</v>
          </cell>
          <cell r="I67" t="str">
            <v>B66</v>
          </cell>
          <cell r="J67" t="str">
            <v>V75</v>
          </cell>
          <cell r="L67">
            <v>0</v>
          </cell>
          <cell r="M67">
            <v>0</v>
          </cell>
          <cell r="N67">
            <v>-1</v>
          </cell>
          <cell r="O67">
            <v>2004</v>
          </cell>
          <cell r="P67" t="str">
            <v>DEARBORN PLANT BUILD</v>
          </cell>
          <cell r="Q67" t="str">
            <v>P221/P397</v>
          </cell>
          <cell r="R67" t="str">
            <v>ALL</v>
          </cell>
          <cell r="S67" t="str">
            <v>Ditch mldg replaced</v>
          </cell>
          <cell r="T67">
            <v>9</v>
          </cell>
          <cell r="Y67">
            <v>2</v>
          </cell>
          <cell r="Z67">
            <v>1</v>
          </cell>
          <cell r="AA67">
            <v>4</v>
          </cell>
          <cell r="AB67">
            <v>2</v>
          </cell>
        </row>
        <row r="68">
          <cell r="A68">
            <v>0</v>
          </cell>
          <cell r="B68" t="str">
            <v>ALL VRTS</v>
          </cell>
          <cell r="C68" t="str">
            <v>unsure</v>
          </cell>
          <cell r="E68" t="str">
            <v>TDW28R</v>
          </cell>
          <cell r="F68" t="str">
            <v>TDE27L</v>
          </cell>
          <cell r="G68" t="str">
            <v>G09</v>
          </cell>
          <cell r="H68" t="str">
            <v>N50</v>
          </cell>
          <cell r="I68" t="str">
            <v>N40</v>
          </cell>
          <cell r="J68" t="str">
            <v>V39</v>
          </cell>
          <cell r="L68">
            <v>0</v>
          </cell>
          <cell r="M68">
            <v>0</v>
          </cell>
          <cell r="N68">
            <v>-1</v>
          </cell>
          <cell r="O68">
            <v>2004</v>
          </cell>
          <cell r="P68" t="str">
            <v>DEARBORN PLANT BUILD</v>
          </cell>
          <cell r="Q68" t="str">
            <v>P221/P397</v>
          </cell>
          <cell r="R68" t="str">
            <v>ALL</v>
          </cell>
          <cell r="S68" t="str">
            <v>Door Window Regulator Loose</v>
          </cell>
          <cell r="T68">
            <v>9</v>
          </cell>
          <cell r="Y68">
            <v>2</v>
          </cell>
          <cell r="AA68">
            <v>4</v>
          </cell>
          <cell r="AB68">
            <v>3</v>
          </cell>
        </row>
        <row r="69">
          <cell r="A69">
            <v>0</v>
          </cell>
          <cell r="B69" t="str">
            <v>ALL VRTS</v>
          </cell>
          <cell r="G69" t="str">
            <v>F12</v>
          </cell>
          <cell r="H69" t="str">
            <v>F20</v>
          </cell>
          <cell r="I69" t="str">
            <v>F07</v>
          </cell>
          <cell r="J69" t="str">
            <v>V33</v>
          </cell>
          <cell r="L69">
            <v>0</v>
          </cell>
          <cell r="M69">
            <v>0</v>
          </cell>
          <cell r="N69">
            <v>-1</v>
          </cell>
          <cell r="O69">
            <v>2004</v>
          </cell>
          <cell r="P69" t="str">
            <v>DEARBORN PLANT BUILD</v>
          </cell>
          <cell r="Q69" t="str">
            <v>P221/P397</v>
          </cell>
          <cell r="R69" t="str">
            <v>ALL</v>
          </cell>
          <cell r="S69" t="str">
            <v>Hood</v>
          </cell>
          <cell r="T69">
            <v>9</v>
          </cell>
          <cell r="W69">
            <v>1</v>
          </cell>
          <cell r="X69">
            <v>1</v>
          </cell>
          <cell r="Z69">
            <v>1</v>
          </cell>
          <cell r="AA69">
            <v>4</v>
          </cell>
          <cell r="AB69">
            <v>2</v>
          </cell>
        </row>
        <row r="70">
          <cell r="A70">
            <v>0</v>
          </cell>
          <cell r="B70" t="str">
            <v>ALL VRTS</v>
          </cell>
          <cell r="C70" t="str">
            <v>5340</v>
          </cell>
          <cell r="D70" t="str">
            <v>5330</v>
          </cell>
          <cell r="E70" t="str">
            <v>TDE31-l</v>
          </cell>
          <cell r="F70" t="str">
            <v>TDW18-R</v>
          </cell>
          <cell r="G70" t="str">
            <v>L06</v>
          </cell>
          <cell r="H70" t="str">
            <v>L17</v>
          </cell>
          <cell r="I70" t="str">
            <v>L23</v>
          </cell>
          <cell r="J70" t="str">
            <v>V07</v>
          </cell>
          <cell r="L70">
            <v>0</v>
          </cell>
          <cell r="M70">
            <v>0</v>
          </cell>
          <cell r="N70">
            <v>-1</v>
          </cell>
          <cell r="O70">
            <v>2004</v>
          </cell>
          <cell r="P70" t="str">
            <v>DEARBORN PLANT BUILD</v>
          </cell>
          <cell r="Q70" t="str">
            <v>P221/P397</v>
          </cell>
          <cell r="R70" t="str">
            <v>ALL</v>
          </cell>
          <cell r="S70" t="str">
            <v>LOCK ROD ASSEMBLY LOOSE</v>
          </cell>
          <cell r="T70">
            <v>9</v>
          </cell>
          <cell r="X70">
            <v>1</v>
          </cell>
          <cell r="Y70">
            <v>2</v>
          </cell>
          <cell r="Z70">
            <v>2</v>
          </cell>
          <cell r="AA70">
            <v>2</v>
          </cell>
          <cell r="AB70">
            <v>2</v>
          </cell>
        </row>
        <row r="71">
          <cell r="A71">
            <v>0</v>
          </cell>
          <cell r="B71" t="str">
            <v>ALL VRTS</v>
          </cell>
          <cell r="C71" t="str">
            <v>6480</v>
          </cell>
          <cell r="E71" t="str">
            <v>C4E11L</v>
          </cell>
          <cell r="G71" t="str">
            <v>H04</v>
          </cell>
          <cell r="H71" t="str">
            <v>H20</v>
          </cell>
          <cell r="J71" t="str">
            <v>V21</v>
          </cell>
          <cell r="L71">
            <v>0</v>
          </cell>
          <cell r="M71">
            <v>0</v>
          </cell>
          <cell r="N71">
            <v>-1</v>
          </cell>
          <cell r="O71">
            <v>2004</v>
          </cell>
          <cell r="P71" t="str">
            <v>DEARBORN PLANT BUILD</v>
          </cell>
          <cell r="Q71" t="str">
            <v>P221/P397</v>
          </cell>
          <cell r="R71" t="str">
            <v>ALL</v>
          </cell>
          <cell r="S71" t="str">
            <v>PARK BRAKE INPROPERLY INSTALLED</v>
          </cell>
          <cell r="T71">
            <v>9</v>
          </cell>
          <cell r="X71">
            <v>1</v>
          </cell>
          <cell r="Y71">
            <v>2</v>
          </cell>
          <cell r="Z71">
            <v>1</v>
          </cell>
          <cell r="AA71">
            <v>2</v>
          </cell>
          <cell r="AB71">
            <v>3</v>
          </cell>
        </row>
        <row r="72">
          <cell r="A72">
            <v>0</v>
          </cell>
          <cell r="B72" t="str">
            <v>ALL VRTS</v>
          </cell>
          <cell r="G72" t="str">
            <v>N51</v>
          </cell>
          <cell r="H72" t="str">
            <v>N40</v>
          </cell>
          <cell r="I72" t="str">
            <v>N50</v>
          </cell>
          <cell r="J72" t="str">
            <v>V39</v>
          </cell>
          <cell r="L72">
            <v>0</v>
          </cell>
          <cell r="M72">
            <v>0</v>
          </cell>
          <cell r="N72">
            <v>-1</v>
          </cell>
          <cell r="O72">
            <v>2004</v>
          </cell>
          <cell r="P72" t="str">
            <v>DEARBORN PLANT BUILD</v>
          </cell>
          <cell r="Q72" t="str">
            <v>P221/P397</v>
          </cell>
          <cell r="R72" t="str">
            <v>ALL</v>
          </cell>
          <cell r="S72" t="str">
            <v>Rear Shock Loose</v>
          </cell>
          <cell r="T72">
            <v>9</v>
          </cell>
          <cell r="Y72">
            <v>1</v>
          </cell>
          <cell r="Z72">
            <v>3</v>
          </cell>
          <cell r="AA72">
            <v>3</v>
          </cell>
          <cell r="AB72">
            <v>2</v>
          </cell>
        </row>
        <row r="73">
          <cell r="A73">
            <v>0</v>
          </cell>
          <cell r="B73" t="str">
            <v>ALL VRTS</v>
          </cell>
          <cell r="G73" t="str">
            <v>A16</v>
          </cell>
          <cell r="H73" t="str">
            <v>A07</v>
          </cell>
          <cell r="I73" t="str">
            <v>A06</v>
          </cell>
          <cell r="J73" t="str">
            <v>V81</v>
          </cell>
          <cell r="L73">
            <v>0</v>
          </cell>
          <cell r="M73">
            <v>-1</v>
          </cell>
          <cell r="N73">
            <v>0</v>
          </cell>
          <cell r="O73">
            <v>2004</v>
          </cell>
          <cell r="P73" t="str">
            <v>DEARBORN PLANT BUILD</v>
          </cell>
          <cell r="Q73" t="str">
            <v>P221/P397</v>
          </cell>
          <cell r="R73" t="str">
            <v>ALL</v>
          </cell>
          <cell r="S73" t="str">
            <v>Repaired CD.</v>
          </cell>
          <cell r="T73">
            <v>9</v>
          </cell>
          <cell r="W73">
            <v>1</v>
          </cell>
          <cell r="Y73">
            <v>1</v>
          </cell>
          <cell r="Z73">
            <v>2</v>
          </cell>
          <cell r="AA73">
            <v>4</v>
          </cell>
          <cell r="AB73">
            <v>1</v>
          </cell>
        </row>
        <row r="74">
          <cell r="A74">
            <v>0</v>
          </cell>
          <cell r="B74" t="str">
            <v>ALL VRTS</v>
          </cell>
          <cell r="G74" t="str">
            <v>C20</v>
          </cell>
          <cell r="H74" t="str">
            <v>C05</v>
          </cell>
          <cell r="J74" t="str">
            <v>V79</v>
          </cell>
          <cell r="L74">
            <v>0</v>
          </cell>
          <cell r="M74">
            <v>-1</v>
          </cell>
          <cell r="N74">
            <v>0</v>
          </cell>
          <cell r="O74">
            <v>2004</v>
          </cell>
          <cell r="P74" t="str">
            <v>DEARBORN PLANT BUILD</v>
          </cell>
          <cell r="Q74" t="str">
            <v>P221/P397</v>
          </cell>
          <cell r="R74" t="str">
            <v>ALL</v>
          </cell>
          <cell r="S74" t="str">
            <v>Replaced Blower Motor</v>
          </cell>
          <cell r="T74">
            <v>9</v>
          </cell>
          <cell r="Z74">
            <v>1</v>
          </cell>
          <cell r="AA74">
            <v>6</v>
          </cell>
          <cell r="AB74">
            <v>2</v>
          </cell>
        </row>
        <row r="75">
          <cell r="A75">
            <v>0</v>
          </cell>
          <cell r="B75" t="str">
            <v>ALL VRTS</v>
          </cell>
          <cell r="G75" t="str">
            <v>L26</v>
          </cell>
          <cell r="H75" t="str">
            <v>L30</v>
          </cell>
          <cell r="I75" t="str">
            <v>L29</v>
          </cell>
          <cell r="J75" t="str">
            <v>V77</v>
          </cell>
          <cell r="L75">
            <v>0</v>
          </cell>
          <cell r="M75">
            <v>-1</v>
          </cell>
          <cell r="N75">
            <v>0</v>
          </cell>
          <cell r="O75">
            <v>2004</v>
          </cell>
          <cell r="P75" t="str">
            <v>DEARBORN PLANT BUILD</v>
          </cell>
          <cell r="Q75" t="str">
            <v>P221/P397</v>
          </cell>
          <cell r="R75" t="str">
            <v>ALL</v>
          </cell>
          <cell r="S75" t="str">
            <v>Replaced Bulb.</v>
          </cell>
          <cell r="T75">
            <v>9</v>
          </cell>
          <cell r="X75">
            <v>1</v>
          </cell>
          <cell r="Y75">
            <v>4</v>
          </cell>
          <cell r="Z75">
            <v>1</v>
          </cell>
          <cell r="AA75">
            <v>3</v>
          </cell>
        </row>
        <row r="76">
          <cell r="A76">
            <v>0</v>
          </cell>
          <cell r="B76" t="str">
            <v>ALL VRTS</v>
          </cell>
          <cell r="C76" t="str">
            <v>5310</v>
          </cell>
          <cell r="D76" t="str">
            <v>5550</v>
          </cell>
          <cell r="E76" t="str">
            <v>TDW48R</v>
          </cell>
          <cell r="F76" t="str">
            <v>T3E15L</v>
          </cell>
          <cell r="G76" t="str">
            <v>B43</v>
          </cell>
          <cell r="H76" t="str">
            <v>B53</v>
          </cell>
          <cell r="I76" t="str">
            <v>B95</v>
          </cell>
          <cell r="J76" t="str">
            <v>V71</v>
          </cell>
          <cell r="K76" t="str">
            <v>V73</v>
          </cell>
          <cell r="L76">
            <v>0</v>
          </cell>
          <cell r="M76">
            <v>-1</v>
          </cell>
          <cell r="N76">
            <v>-1</v>
          </cell>
          <cell r="O76">
            <v>2004</v>
          </cell>
          <cell r="P76" t="str">
            <v>DEARBORN PLANT BUILD</v>
          </cell>
          <cell r="Q76" t="str">
            <v>P221/P397</v>
          </cell>
          <cell r="R76" t="str">
            <v>ALL</v>
          </cell>
          <cell r="S76" t="str">
            <v>TRIM LOOSE</v>
          </cell>
          <cell r="T76">
            <v>9</v>
          </cell>
          <cell r="Y76">
            <v>2</v>
          </cell>
          <cell r="Z76">
            <v>1</v>
          </cell>
          <cell r="AA76">
            <v>5</v>
          </cell>
          <cell r="AB76">
            <v>1</v>
          </cell>
        </row>
        <row r="77">
          <cell r="A77">
            <v>0</v>
          </cell>
          <cell r="B77" t="str">
            <v>ALL VRTS</v>
          </cell>
          <cell r="G77" t="str">
            <v>H19</v>
          </cell>
          <cell r="J77" t="str">
            <v>V21</v>
          </cell>
          <cell r="L77">
            <v>0</v>
          </cell>
          <cell r="M77">
            <v>-1</v>
          </cell>
          <cell r="N77">
            <v>0</v>
          </cell>
          <cell r="O77">
            <v>2004</v>
          </cell>
          <cell r="P77" t="str">
            <v>DEARBORN PLANT BUILD</v>
          </cell>
          <cell r="Q77" t="str">
            <v>P221/P397</v>
          </cell>
          <cell r="R77" t="str">
            <v>ALL</v>
          </cell>
          <cell r="S77" t="str">
            <v>BRAKE ANTI - LOCK SENSOR - REPLACED</v>
          </cell>
          <cell r="T77">
            <v>8</v>
          </cell>
          <cell r="Z77">
            <v>4</v>
          </cell>
          <cell r="AA77">
            <v>3</v>
          </cell>
          <cell r="AB77">
            <v>1</v>
          </cell>
        </row>
        <row r="78">
          <cell r="A78">
            <v>0</v>
          </cell>
          <cell r="B78" t="str">
            <v>ALL VRTS</v>
          </cell>
          <cell r="C78" t="str">
            <v>34502C</v>
          </cell>
          <cell r="E78" t="str">
            <v>Metal Finishers</v>
          </cell>
          <cell r="G78" t="str">
            <v>B01</v>
          </cell>
          <cell r="J78" t="str">
            <v>V31</v>
          </cell>
          <cell r="L78">
            <v>0</v>
          </cell>
          <cell r="M78">
            <v>0</v>
          </cell>
          <cell r="N78">
            <v>-1</v>
          </cell>
          <cell r="O78">
            <v>2004</v>
          </cell>
          <cell r="P78" t="str">
            <v>DEARBORN PLANT BUILD</v>
          </cell>
          <cell r="Q78" t="str">
            <v>P221/P397</v>
          </cell>
          <cell r="R78" t="str">
            <v>ALL</v>
          </cell>
          <cell r="S78" t="str">
            <v>Ding</v>
          </cell>
          <cell r="T78">
            <v>8</v>
          </cell>
          <cell r="Z78">
            <v>1</v>
          </cell>
          <cell r="AA78">
            <v>6</v>
          </cell>
          <cell r="AB78">
            <v>1</v>
          </cell>
        </row>
        <row r="79">
          <cell r="A79">
            <v>0</v>
          </cell>
          <cell r="B79" t="str">
            <v>ALL VRTS</v>
          </cell>
          <cell r="C79" t="str">
            <v>5370</v>
          </cell>
          <cell r="D79" t="str">
            <v>5600</v>
          </cell>
          <cell r="E79" t="str">
            <v>T2E34R</v>
          </cell>
          <cell r="F79" t="str">
            <v>TDW48R</v>
          </cell>
          <cell r="G79" t="str">
            <v>B43</v>
          </cell>
          <cell r="H79" t="str">
            <v>T51</v>
          </cell>
          <cell r="I79" t="str">
            <v>T55</v>
          </cell>
          <cell r="J79" t="str">
            <v>V73</v>
          </cell>
          <cell r="K79" t="str">
            <v>V74</v>
          </cell>
          <cell r="L79">
            <v>0</v>
          </cell>
          <cell r="M79">
            <v>0</v>
          </cell>
          <cell r="N79">
            <v>-1</v>
          </cell>
          <cell r="O79">
            <v>2004</v>
          </cell>
          <cell r="P79" t="str">
            <v>DEARBORN PLANT BUILD</v>
          </cell>
          <cell r="Q79" t="str">
            <v>P221/P397</v>
          </cell>
          <cell r="R79" t="str">
            <v>ALL</v>
          </cell>
          <cell r="S79" t="str">
            <v>LOOSE</v>
          </cell>
          <cell r="T79">
            <v>8</v>
          </cell>
          <cell r="AA79">
            <v>4</v>
          </cell>
          <cell r="AB79">
            <v>4</v>
          </cell>
        </row>
        <row r="80">
          <cell r="A80">
            <v>0</v>
          </cell>
          <cell r="B80" t="str">
            <v>ALL VRTS</v>
          </cell>
          <cell r="G80" t="str">
            <v>A85</v>
          </cell>
          <cell r="H80" t="str">
            <v>C08</v>
          </cell>
          <cell r="I80" t="str">
            <v>C20</v>
          </cell>
          <cell r="J80" t="str">
            <v>V79</v>
          </cell>
          <cell r="K80" t="str">
            <v>V17</v>
          </cell>
          <cell r="L80">
            <v>0</v>
          </cell>
          <cell r="M80">
            <v>0</v>
          </cell>
          <cell r="N80">
            <v>-1</v>
          </cell>
          <cell r="O80">
            <v>2004</v>
          </cell>
          <cell r="P80" t="str">
            <v>DEARBORN PLANT BUILD</v>
          </cell>
          <cell r="Q80" t="str">
            <v>P221/P397</v>
          </cell>
          <cell r="R80" t="str">
            <v>ALL</v>
          </cell>
          <cell r="S80" t="str">
            <v>NPF.</v>
          </cell>
          <cell r="T80">
            <v>8</v>
          </cell>
          <cell r="X80">
            <v>1</v>
          </cell>
          <cell r="Y80">
            <v>3</v>
          </cell>
          <cell r="AA80">
            <v>3</v>
          </cell>
          <cell r="AB80">
            <v>1</v>
          </cell>
        </row>
        <row r="81">
          <cell r="A81">
            <v>0</v>
          </cell>
          <cell r="B81" t="str">
            <v>ALL VRTS</v>
          </cell>
          <cell r="G81" t="str">
            <v>F04</v>
          </cell>
          <cell r="H81" t="str">
            <v>F20</v>
          </cell>
          <cell r="I81" t="str">
            <v>F07</v>
          </cell>
          <cell r="J81" t="str">
            <v>V33</v>
          </cell>
          <cell r="L81">
            <v>0</v>
          </cell>
          <cell r="M81">
            <v>0</v>
          </cell>
          <cell r="N81">
            <v>-1</v>
          </cell>
          <cell r="O81">
            <v>2004</v>
          </cell>
          <cell r="P81" t="str">
            <v>DEARBORN PLANT BUILD</v>
          </cell>
          <cell r="Q81" t="str">
            <v>P221/P397</v>
          </cell>
          <cell r="R81" t="str">
            <v>ALL</v>
          </cell>
          <cell r="S81" t="str">
            <v>Rear Tailgate</v>
          </cell>
          <cell r="T81">
            <v>8</v>
          </cell>
          <cell r="X81">
            <v>1</v>
          </cell>
          <cell r="Y81">
            <v>2</v>
          </cell>
          <cell r="AA81">
            <v>4</v>
          </cell>
          <cell r="AB81">
            <v>1</v>
          </cell>
        </row>
        <row r="82">
          <cell r="A82">
            <v>0</v>
          </cell>
          <cell r="B82" t="str">
            <v>ALL VRTS</v>
          </cell>
          <cell r="G82" t="str">
            <v>K02</v>
          </cell>
          <cell r="H82" t="str">
            <v>K03</v>
          </cell>
          <cell r="I82" t="str">
            <v>E35</v>
          </cell>
          <cell r="J82" t="str">
            <v>V44</v>
          </cell>
          <cell r="K82" t="str">
            <v>V89</v>
          </cell>
          <cell r="L82">
            <v>0</v>
          </cell>
          <cell r="M82">
            <v>-1</v>
          </cell>
          <cell r="N82">
            <v>0</v>
          </cell>
          <cell r="O82">
            <v>2004</v>
          </cell>
          <cell r="P82" t="str">
            <v>DEARBORN PLANT BUILD</v>
          </cell>
          <cell r="Q82" t="str">
            <v>P221/P397</v>
          </cell>
          <cell r="R82" t="str">
            <v>ALL</v>
          </cell>
          <cell r="S82" t="str">
            <v>ring &amp; pinion replaced</v>
          </cell>
          <cell r="T82">
            <v>8</v>
          </cell>
          <cell r="V82">
            <v>1</v>
          </cell>
          <cell r="W82">
            <v>1</v>
          </cell>
          <cell r="Z82">
            <v>3</v>
          </cell>
          <cell r="AA82">
            <v>2</v>
          </cell>
          <cell r="AB82">
            <v>1</v>
          </cell>
        </row>
        <row r="83">
          <cell r="A83">
            <v>0</v>
          </cell>
          <cell r="B83" t="str">
            <v>ALL VRTS</v>
          </cell>
          <cell r="C83" t="str">
            <v>34602C</v>
          </cell>
          <cell r="D83" t="str">
            <v>5380-2-A</v>
          </cell>
          <cell r="E83" t="str">
            <v>Final Fitters</v>
          </cell>
          <cell r="F83" t="str">
            <v>T1E08R</v>
          </cell>
          <cell r="G83" t="str">
            <v>B64</v>
          </cell>
          <cell r="H83" t="str">
            <v>B66</v>
          </cell>
          <cell r="I83" t="str">
            <v>B15</v>
          </cell>
          <cell r="J83" t="str">
            <v>V75</v>
          </cell>
          <cell r="K83" t="str">
            <v>V31</v>
          </cell>
          <cell r="L83">
            <v>0</v>
          </cell>
          <cell r="M83">
            <v>0</v>
          </cell>
          <cell r="N83">
            <v>-1</v>
          </cell>
          <cell r="O83">
            <v>2004</v>
          </cell>
          <cell r="P83" t="str">
            <v>DEARBORN PLANT BUILD</v>
          </cell>
          <cell r="Q83" t="str">
            <v>P221/P397</v>
          </cell>
          <cell r="R83" t="str">
            <v>ALL</v>
          </cell>
          <cell r="S83" t="str">
            <v>ADJUSTED</v>
          </cell>
          <cell r="T83">
            <v>7</v>
          </cell>
          <cell r="Z83">
            <v>1</v>
          </cell>
          <cell r="AA83">
            <v>1</v>
          </cell>
          <cell r="AB83">
            <v>5</v>
          </cell>
        </row>
        <row r="84">
          <cell r="A84">
            <v>0</v>
          </cell>
          <cell r="B84" t="str">
            <v>ALL VRTS</v>
          </cell>
          <cell r="G84" t="str">
            <v>A07</v>
          </cell>
          <cell r="H84" t="str">
            <v>A02</v>
          </cell>
          <cell r="J84" t="str">
            <v>V81</v>
          </cell>
          <cell r="L84">
            <v>0</v>
          </cell>
          <cell r="M84">
            <v>0</v>
          </cell>
          <cell r="N84">
            <v>-1</v>
          </cell>
          <cell r="O84">
            <v>2004</v>
          </cell>
          <cell r="P84" t="str">
            <v>DEARBORN PLANT BUILD</v>
          </cell>
          <cell r="Q84" t="str">
            <v>P221/P397</v>
          </cell>
          <cell r="R84" t="str">
            <v>ALL</v>
          </cell>
          <cell r="S84" t="str">
            <v>Antenna Rein-stalled</v>
          </cell>
          <cell r="T84">
            <v>7</v>
          </cell>
          <cell r="Y84">
            <v>2</v>
          </cell>
          <cell r="AA84">
            <v>5</v>
          </cell>
        </row>
        <row r="85">
          <cell r="A85">
            <v>0</v>
          </cell>
          <cell r="B85" t="str">
            <v>ALL VRTS</v>
          </cell>
          <cell r="C85" t="str">
            <v>Repair</v>
          </cell>
          <cell r="E85" t="str">
            <v>Repair</v>
          </cell>
          <cell r="G85" t="str">
            <v>W05</v>
          </cell>
          <cell r="J85" t="str">
            <v>V16</v>
          </cell>
          <cell r="L85">
            <v>0</v>
          </cell>
          <cell r="M85">
            <v>0</v>
          </cell>
          <cell r="N85">
            <v>-1</v>
          </cell>
          <cell r="O85">
            <v>2004</v>
          </cell>
          <cell r="P85" t="str">
            <v>DEARBORN PLANT BUILD</v>
          </cell>
          <cell r="Q85" t="str">
            <v>P221/P397</v>
          </cell>
          <cell r="R85" t="str">
            <v>ALL</v>
          </cell>
          <cell r="S85" t="str">
            <v>Circuit Connector Loose.</v>
          </cell>
          <cell r="T85">
            <v>7</v>
          </cell>
          <cell r="X85">
            <v>2</v>
          </cell>
          <cell r="Y85">
            <v>1</v>
          </cell>
          <cell r="AB85">
            <v>4</v>
          </cell>
        </row>
        <row r="86">
          <cell r="A86">
            <v>0</v>
          </cell>
          <cell r="B86" t="str">
            <v>ALL VRTS</v>
          </cell>
          <cell r="G86" t="str">
            <v>H19</v>
          </cell>
          <cell r="H86" t="str">
            <v>E35</v>
          </cell>
          <cell r="I86" t="str">
            <v>H15</v>
          </cell>
          <cell r="J86" t="str">
            <v>V21</v>
          </cell>
          <cell r="L86">
            <v>0</v>
          </cell>
          <cell r="M86">
            <v>-1</v>
          </cell>
          <cell r="N86">
            <v>0</v>
          </cell>
          <cell r="O86">
            <v>2004</v>
          </cell>
          <cell r="P86" t="str">
            <v>DEARBORN PLANT BUILD</v>
          </cell>
          <cell r="Q86" t="str">
            <v>P221/P397</v>
          </cell>
          <cell r="R86" t="str">
            <v>ALL</v>
          </cell>
          <cell r="S86" t="str">
            <v>HCU REPLACED</v>
          </cell>
          <cell r="T86">
            <v>7</v>
          </cell>
          <cell r="V86">
            <v>1</v>
          </cell>
          <cell r="W86">
            <v>1</v>
          </cell>
          <cell r="X86">
            <v>2</v>
          </cell>
          <cell r="Z86">
            <v>1</v>
          </cell>
          <cell r="AA86">
            <v>2</v>
          </cell>
        </row>
        <row r="87">
          <cell r="A87">
            <v>0</v>
          </cell>
          <cell r="B87" t="str">
            <v>ALL VRTS</v>
          </cell>
          <cell r="G87" t="str">
            <v>E29</v>
          </cell>
          <cell r="J87" t="str">
            <v>V44</v>
          </cell>
          <cell r="L87">
            <v>-1</v>
          </cell>
          <cell r="M87">
            <v>-1</v>
          </cell>
          <cell r="N87">
            <v>0</v>
          </cell>
          <cell r="O87">
            <v>2004</v>
          </cell>
          <cell r="P87" t="str">
            <v>DEARBORN PLANT BUILD</v>
          </cell>
          <cell r="Q87" t="str">
            <v>P221/P397</v>
          </cell>
          <cell r="R87" t="str">
            <v>ALL</v>
          </cell>
          <cell r="S87" t="str">
            <v>HEGO defective</v>
          </cell>
          <cell r="T87">
            <v>7</v>
          </cell>
          <cell r="Y87">
            <v>1</v>
          </cell>
          <cell r="AA87">
            <v>3</v>
          </cell>
          <cell r="AB87">
            <v>3</v>
          </cell>
        </row>
        <row r="88">
          <cell r="A88">
            <v>0</v>
          </cell>
          <cell r="B88" t="str">
            <v>ALL VRTS</v>
          </cell>
          <cell r="C88" t="str">
            <v>Box Line 5400-2-B</v>
          </cell>
          <cell r="D88" t="str">
            <v>box Line 5410-2-B</v>
          </cell>
          <cell r="E88" t="str">
            <v>TBE 26B</v>
          </cell>
          <cell r="F88" t="str">
            <v>TBE38B</v>
          </cell>
          <cell r="G88" t="str">
            <v>B66</v>
          </cell>
          <cell r="H88" t="str">
            <v>B63</v>
          </cell>
          <cell r="I88" t="str">
            <v>B62</v>
          </cell>
          <cell r="J88" t="str">
            <v>V75</v>
          </cell>
          <cell r="L88">
            <v>0</v>
          </cell>
          <cell r="M88">
            <v>0</v>
          </cell>
          <cell r="N88">
            <v>-1</v>
          </cell>
          <cell r="O88">
            <v>2004</v>
          </cell>
          <cell r="P88" t="str">
            <v>DEARBORN PLANT BUILD</v>
          </cell>
          <cell r="Q88" t="str">
            <v>P221/P397</v>
          </cell>
          <cell r="R88" t="str">
            <v>ALL</v>
          </cell>
          <cell r="S88" t="str">
            <v>Molding replaced</v>
          </cell>
          <cell r="T88">
            <v>7</v>
          </cell>
          <cell r="V88">
            <v>1</v>
          </cell>
          <cell r="X88">
            <v>1</v>
          </cell>
          <cell r="AA88">
            <v>4</v>
          </cell>
          <cell r="AB88">
            <v>1</v>
          </cell>
        </row>
        <row r="89">
          <cell r="A89">
            <v>0</v>
          </cell>
          <cell r="B89" t="str">
            <v>ALL VRTS</v>
          </cell>
          <cell r="G89" t="str">
            <v>R10</v>
          </cell>
          <cell r="H89" t="str">
            <v>R02</v>
          </cell>
          <cell r="J89" t="str">
            <v>V37</v>
          </cell>
          <cell r="L89">
            <v>0</v>
          </cell>
          <cell r="M89">
            <v>0</v>
          </cell>
          <cell r="N89">
            <v>0</v>
          </cell>
          <cell r="O89">
            <v>2004</v>
          </cell>
          <cell r="P89" t="str">
            <v>DEARBORN PLANT BUILD</v>
          </cell>
          <cell r="Q89" t="str">
            <v>P221/P397</v>
          </cell>
          <cell r="R89" t="str">
            <v>ALL</v>
          </cell>
          <cell r="S89" t="str">
            <v>NVH area</v>
          </cell>
          <cell r="T89">
            <v>7</v>
          </cell>
          <cell r="Y89">
            <v>1</v>
          </cell>
          <cell r="AA89">
            <v>3</v>
          </cell>
          <cell r="AB89">
            <v>3</v>
          </cell>
        </row>
        <row r="90">
          <cell r="A90">
            <v>0</v>
          </cell>
          <cell r="B90" t="str">
            <v>ALL VRTS</v>
          </cell>
          <cell r="G90" t="str">
            <v>A07</v>
          </cell>
          <cell r="J90" t="str">
            <v>V81</v>
          </cell>
          <cell r="L90">
            <v>0</v>
          </cell>
          <cell r="M90">
            <v>-1</v>
          </cell>
          <cell r="N90">
            <v>0</v>
          </cell>
          <cell r="O90">
            <v>2004</v>
          </cell>
          <cell r="P90" t="str">
            <v>DEARBORN PLANT BUILD</v>
          </cell>
          <cell r="Q90" t="str">
            <v>P221/P397</v>
          </cell>
          <cell r="R90" t="str">
            <v>ALL</v>
          </cell>
          <cell r="S90" t="str">
            <v>Radio Replaced. / Duplicate Claim.</v>
          </cell>
          <cell r="T90">
            <v>7</v>
          </cell>
          <cell r="W90">
            <v>1</v>
          </cell>
          <cell r="X90">
            <v>1</v>
          </cell>
          <cell r="Z90">
            <v>1</v>
          </cell>
          <cell r="AA90">
            <v>4</v>
          </cell>
        </row>
        <row r="91">
          <cell r="A91">
            <v>0</v>
          </cell>
          <cell r="B91" t="str">
            <v>ALL VRTS</v>
          </cell>
          <cell r="G91" t="str">
            <v>A99</v>
          </cell>
          <cell r="J91" t="str">
            <v>V99</v>
          </cell>
          <cell r="L91">
            <v>0</v>
          </cell>
          <cell r="M91">
            <v>-1</v>
          </cell>
          <cell r="N91">
            <v>0</v>
          </cell>
          <cell r="O91">
            <v>2004</v>
          </cell>
          <cell r="P91" t="str">
            <v>DEARBORN PLANT BUILD</v>
          </cell>
          <cell r="Q91" t="str">
            <v>P221/P397</v>
          </cell>
          <cell r="R91" t="str">
            <v>ALL</v>
          </cell>
          <cell r="S91" t="str">
            <v>replaced aftermarket part</v>
          </cell>
          <cell r="T91">
            <v>7</v>
          </cell>
          <cell r="W91">
            <v>2</v>
          </cell>
          <cell r="Z91">
            <v>1</v>
          </cell>
          <cell r="AA91">
            <v>3</v>
          </cell>
          <cell r="AB91">
            <v>1</v>
          </cell>
        </row>
        <row r="92">
          <cell r="A92">
            <v>0</v>
          </cell>
          <cell r="B92" t="str">
            <v>ALL VRTS</v>
          </cell>
          <cell r="G92" t="str">
            <v>T55</v>
          </cell>
          <cell r="J92" t="str">
            <v>V74</v>
          </cell>
          <cell r="L92">
            <v>0</v>
          </cell>
          <cell r="M92">
            <v>-1</v>
          </cell>
          <cell r="N92">
            <v>0</v>
          </cell>
          <cell r="O92">
            <v>2004</v>
          </cell>
          <cell r="P92" t="str">
            <v>DEARBORN PLANT BUILD</v>
          </cell>
          <cell r="Q92" t="str">
            <v>P221/P397</v>
          </cell>
          <cell r="R92" t="str">
            <v>ALL</v>
          </cell>
          <cell r="S92" t="str">
            <v>SCREW COVER BROKEN/MISSING</v>
          </cell>
          <cell r="T92">
            <v>7</v>
          </cell>
          <cell r="V92">
            <v>1</v>
          </cell>
          <cell r="W92">
            <v>2</v>
          </cell>
          <cell r="X92">
            <v>3</v>
          </cell>
          <cell r="Y92">
            <v>1</v>
          </cell>
        </row>
        <row r="93">
          <cell r="A93">
            <v>0</v>
          </cell>
          <cell r="B93" t="str">
            <v>ALL VRTS</v>
          </cell>
          <cell r="C93" t="str">
            <v>6500</v>
          </cell>
          <cell r="E93" t="str">
            <v>C4W22R</v>
          </cell>
          <cell r="G93" t="str">
            <v>E29</v>
          </cell>
          <cell r="H93" t="str">
            <v>K02</v>
          </cell>
          <cell r="J93" t="str">
            <v>V44</v>
          </cell>
          <cell r="L93">
            <v>0</v>
          </cell>
          <cell r="M93">
            <v>0</v>
          </cell>
          <cell r="N93">
            <v>-1</v>
          </cell>
          <cell r="O93">
            <v>2004</v>
          </cell>
          <cell r="P93" t="str">
            <v>DEARBORN PLANT BUILD</v>
          </cell>
          <cell r="Q93" t="str">
            <v>P221/P397</v>
          </cell>
          <cell r="R93" t="str">
            <v>ALL</v>
          </cell>
          <cell r="S93" t="str">
            <v>vacuum line leak</v>
          </cell>
          <cell r="T93">
            <v>7</v>
          </cell>
          <cell r="AA93">
            <v>5</v>
          </cell>
          <cell r="AB93">
            <v>2</v>
          </cell>
        </row>
        <row r="94">
          <cell r="A94">
            <v>0</v>
          </cell>
          <cell r="B94" t="str">
            <v>ALL VRTS</v>
          </cell>
          <cell r="G94" t="str">
            <v>M05</v>
          </cell>
          <cell r="J94" t="str">
            <v>V13</v>
          </cell>
          <cell r="L94">
            <v>0</v>
          </cell>
          <cell r="M94">
            <v>-1</v>
          </cell>
          <cell r="N94">
            <v>0</v>
          </cell>
          <cell r="O94">
            <v>2004</v>
          </cell>
          <cell r="P94" t="str">
            <v>DEARBORN PLANT BUILD</v>
          </cell>
          <cell r="Q94" t="str">
            <v>P221/P397</v>
          </cell>
          <cell r="R94" t="str">
            <v>ALL</v>
          </cell>
          <cell r="S94" t="str">
            <v>WONT ADJUST</v>
          </cell>
          <cell r="T94">
            <v>7</v>
          </cell>
          <cell r="Y94">
            <v>1</v>
          </cell>
          <cell r="AA94">
            <v>3</v>
          </cell>
          <cell r="AB94">
            <v>3</v>
          </cell>
        </row>
        <row r="95">
          <cell r="A95">
            <v>0</v>
          </cell>
          <cell r="B95" t="str">
            <v>ALL VRTS</v>
          </cell>
          <cell r="G95" t="str">
            <v>K03</v>
          </cell>
          <cell r="H95" t="str">
            <v>K02</v>
          </cell>
          <cell r="J95" t="str">
            <v>V44</v>
          </cell>
          <cell r="L95">
            <v>-1</v>
          </cell>
          <cell r="M95">
            <v>-1</v>
          </cell>
          <cell r="N95">
            <v>0</v>
          </cell>
          <cell r="O95">
            <v>2004</v>
          </cell>
          <cell r="P95" t="str">
            <v>DEARBORN PLANT BUILD</v>
          </cell>
          <cell r="Q95" t="str">
            <v>P221/P397</v>
          </cell>
          <cell r="R95" t="str">
            <v>ALL</v>
          </cell>
          <cell r="S95" t="str">
            <v xml:space="preserve"> clutch packs defective</v>
          </cell>
          <cell r="T95">
            <v>6</v>
          </cell>
          <cell r="W95">
            <v>2</v>
          </cell>
          <cell r="Z95">
            <v>1</v>
          </cell>
          <cell r="AA95">
            <v>3</v>
          </cell>
        </row>
        <row r="96">
          <cell r="A96">
            <v>0</v>
          </cell>
          <cell r="B96" t="str">
            <v>ALL VRTS</v>
          </cell>
          <cell r="G96" t="str">
            <v>C25</v>
          </cell>
          <cell r="H96" t="str">
            <v>C27</v>
          </cell>
          <cell r="I96" t="str">
            <v>C26</v>
          </cell>
          <cell r="J96" t="str">
            <v>V19</v>
          </cell>
          <cell r="L96">
            <v>0</v>
          </cell>
          <cell r="M96">
            <v>-1</v>
          </cell>
          <cell r="N96">
            <v>0</v>
          </cell>
          <cell r="O96">
            <v>2004</v>
          </cell>
          <cell r="P96" t="str">
            <v>DEARBORN PLANT BUILD</v>
          </cell>
          <cell r="Q96" t="str">
            <v>P221/P397</v>
          </cell>
          <cell r="R96" t="str">
            <v>ALL</v>
          </cell>
          <cell r="S96" t="str">
            <v>Alternator Replaced.</v>
          </cell>
          <cell r="T96">
            <v>6</v>
          </cell>
          <cell r="V96">
            <v>1</v>
          </cell>
          <cell r="X96">
            <v>1</v>
          </cell>
          <cell r="AA96">
            <v>4</v>
          </cell>
        </row>
        <row r="97">
          <cell r="A97">
            <v>0</v>
          </cell>
          <cell r="B97" t="str">
            <v>ALL VRTS</v>
          </cell>
          <cell r="G97" t="str">
            <v>N51</v>
          </cell>
          <cell r="H97" t="str">
            <v>N42</v>
          </cell>
          <cell r="J97" t="str">
            <v>V39</v>
          </cell>
          <cell r="L97">
            <v>0</v>
          </cell>
          <cell r="M97">
            <v>0</v>
          </cell>
          <cell r="N97">
            <v>-1</v>
          </cell>
          <cell r="O97">
            <v>2004</v>
          </cell>
          <cell r="P97" t="str">
            <v>DEARBORN PLANT BUILD</v>
          </cell>
          <cell r="Q97" t="str">
            <v>P221/P397</v>
          </cell>
          <cell r="R97" t="str">
            <v>ALL</v>
          </cell>
          <cell r="S97" t="str">
            <v>Box Bolt Loose</v>
          </cell>
          <cell r="T97">
            <v>6</v>
          </cell>
          <cell r="Z97">
            <v>2</v>
          </cell>
          <cell r="AA97">
            <v>3</v>
          </cell>
          <cell r="AB97">
            <v>1</v>
          </cell>
        </row>
        <row r="98">
          <cell r="A98">
            <v>0</v>
          </cell>
          <cell r="B98" t="str">
            <v>ALL VRTS</v>
          </cell>
          <cell r="C98" t="str">
            <v>5360-2-A</v>
          </cell>
          <cell r="E98" t="str">
            <v>TDW40R</v>
          </cell>
          <cell r="G98" t="str">
            <v>A88</v>
          </cell>
          <cell r="H98" t="str">
            <v>A85</v>
          </cell>
          <cell r="J98" t="str">
            <v>V17</v>
          </cell>
          <cell r="L98">
            <v>0</v>
          </cell>
          <cell r="M98">
            <v>0</v>
          </cell>
          <cell r="N98">
            <v>-1</v>
          </cell>
          <cell r="O98">
            <v>2004</v>
          </cell>
          <cell r="P98" t="str">
            <v>DEARBORN PLANT BUILD</v>
          </cell>
          <cell r="Q98" t="str">
            <v>P221/P397</v>
          </cell>
          <cell r="R98" t="str">
            <v>ALL</v>
          </cell>
          <cell r="S98" t="str">
            <v>Connector C2095 Reinstalled Repaired.</v>
          </cell>
          <cell r="T98">
            <v>6</v>
          </cell>
          <cell r="W98">
            <v>1</v>
          </cell>
          <cell r="Y98">
            <v>4</v>
          </cell>
          <cell r="AB98">
            <v>1</v>
          </cell>
        </row>
        <row r="99">
          <cell r="A99">
            <v>0</v>
          </cell>
          <cell r="B99" t="str">
            <v>ALL VRTS</v>
          </cell>
          <cell r="G99" t="str">
            <v>L72</v>
          </cell>
          <cell r="J99" t="str">
            <v>V44</v>
          </cell>
          <cell r="L99">
            <v>-1</v>
          </cell>
          <cell r="M99">
            <v>-1</v>
          </cell>
          <cell r="N99">
            <v>0</v>
          </cell>
          <cell r="O99">
            <v>2004</v>
          </cell>
          <cell r="P99" t="str">
            <v>DEARBORN PLANT BUILD</v>
          </cell>
          <cell r="Q99" t="str">
            <v>P221/P397</v>
          </cell>
          <cell r="R99" t="str">
            <v>ALL</v>
          </cell>
          <cell r="S99" t="str">
            <v>converter seal leak</v>
          </cell>
          <cell r="T99">
            <v>6</v>
          </cell>
          <cell r="Y99">
            <v>1</v>
          </cell>
          <cell r="AA99">
            <v>5</v>
          </cell>
        </row>
        <row r="100">
          <cell r="A100">
            <v>0</v>
          </cell>
          <cell r="B100" t="str">
            <v>ALL VRTS</v>
          </cell>
          <cell r="C100" t="str">
            <v>6570</v>
          </cell>
          <cell r="E100" t="str">
            <v>C7W09L</v>
          </cell>
          <cell r="G100" t="str">
            <v>L72</v>
          </cell>
          <cell r="H100" t="str">
            <v>L65</v>
          </cell>
          <cell r="J100" t="str">
            <v>V44</v>
          </cell>
          <cell r="L100">
            <v>0</v>
          </cell>
          <cell r="M100">
            <v>-1</v>
          </cell>
          <cell r="N100">
            <v>0</v>
          </cell>
          <cell r="O100">
            <v>2004</v>
          </cell>
          <cell r="P100" t="str">
            <v>DEARBORN PLANT BUILD</v>
          </cell>
          <cell r="Q100" t="str">
            <v>P221/P397</v>
          </cell>
          <cell r="R100" t="str">
            <v>ALL</v>
          </cell>
          <cell r="S100" t="str">
            <v>dip-stick o-ring leak</v>
          </cell>
          <cell r="T100">
            <v>6</v>
          </cell>
          <cell r="Z100">
            <v>5</v>
          </cell>
          <cell r="AA100">
            <v>1</v>
          </cell>
        </row>
        <row r="101">
          <cell r="A101">
            <v>0</v>
          </cell>
          <cell r="B101" t="str">
            <v>ALL VRTS</v>
          </cell>
          <cell r="G101" t="str">
            <v>B45</v>
          </cell>
          <cell r="H101" t="str">
            <v>B92</v>
          </cell>
          <cell r="I101" t="str">
            <v>B84</v>
          </cell>
          <cell r="J101" t="str">
            <v>V71</v>
          </cell>
          <cell r="K101" t="str">
            <v>V73</v>
          </cell>
          <cell r="L101">
            <v>0</v>
          </cell>
          <cell r="M101">
            <v>-1</v>
          </cell>
          <cell r="N101">
            <v>0</v>
          </cell>
          <cell r="O101">
            <v>2004</v>
          </cell>
          <cell r="P101" t="str">
            <v>DEARBORN PLANT BUILD</v>
          </cell>
          <cell r="Q101" t="str">
            <v>P221/P397</v>
          </cell>
          <cell r="R101" t="str">
            <v>ALL</v>
          </cell>
          <cell r="S101" t="str">
            <v>DISCOLORED</v>
          </cell>
          <cell r="T101">
            <v>6</v>
          </cell>
          <cell r="W101">
            <v>2</v>
          </cell>
          <cell r="X101">
            <v>1</v>
          </cell>
          <cell r="AA101">
            <v>2</v>
          </cell>
          <cell r="AB101">
            <v>1</v>
          </cell>
        </row>
        <row r="102">
          <cell r="A102">
            <v>0</v>
          </cell>
          <cell r="B102" t="str">
            <v>ALL VRTS</v>
          </cell>
          <cell r="G102" t="str">
            <v>E29</v>
          </cell>
          <cell r="J102" t="str">
            <v>V44</v>
          </cell>
          <cell r="L102">
            <v>-1</v>
          </cell>
          <cell r="M102">
            <v>-1</v>
          </cell>
          <cell r="N102">
            <v>0</v>
          </cell>
          <cell r="O102">
            <v>2004</v>
          </cell>
          <cell r="P102" t="str">
            <v>DEARBORN PLANT BUILD</v>
          </cell>
          <cell r="Q102" t="str">
            <v>P221/P397</v>
          </cell>
          <cell r="R102" t="str">
            <v>ALL</v>
          </cell>
          <cell r="S102" t="str">
            <v>Ignition coil defective</v>
          </cell>
          <cell r="T102">
            <v>6</v>
          </cell>
          <cell r="Z102">
            <v>1</v>
          </cell>
          <cell r="AA102">
            <v>4</v>
          </cell>
          <cell r="AB102">
            <v>1</v>
          </cell>
        </row>
        <row r="103">
          <cell r="A103">
            <v>0</v>
          </cell>
          <cell r="B103" t="str">
            <v>ALL VRTS</v>
          </cell>
          <cell r="G103" t="str">
            <v>P51</v>
          </cell>
          <cell r="J103" t="str">
            <v>V48</v>
          </cell>
          <cell r="L103">
            <v>-1</v>
          </cell>
          <cell r="M103">
            <v>-1</v>
          </cell>
          <cell r="N103">
            <v>0</v>
          </cell>
          <cell r="O103">
            <v>2004</v>
          </cell>
          <cell r="P103" t="str">
            <v>DEARBORN PLANT BUILD</v>
          </cell>
          <cell r="Q103" t="str">
            <v>P221/P397</v>
          </cell>
          <cell r="R103" t="str">
            <v>ALL</v>
          </cell>
          <cell r="S103" t="str">
            <v>Lever gear shift defective</v>
          </cell>
          <cell r="T103">
            <v>6</v>
          </cell>
          <cell r="Z103">
            <v>1</v>
          </cell>
          <cell r="AA103">
            <v>3</v>
          </cell>
          <cell r="AB103">
            <v>2</v>
          </cell>
        </row>
        <row r="104">
          <cell r="A104">
            <v>0</v>
          </cell>
          <cell r="B104" t="str">
            <v>ALL VRTS</v>
          </cell>
          <cell r="G104" t="str">
            <v>H20</v>
          </cell>
          <cell r="H104" t="str">
            <v>H15</v>
          </cell>
          <cell r="I104" t="str">
            <v>H02</v>
          </cell>
          <cell r="J104" t="str">
            <v>V21</v>
          </cell>
          <cell r="L104">
            <v>0</v>
          </cell>
          <cell r="M104">
            <v>-1</v>
          </cell>
          <cell r="N104">
            <v>0</v>
          </cell>
          <cell r="O104">
            <v>2004</v>
          </cell>
          <cell r="P104" t="str">
            <v>DEARBORN PLANT BUILD</v>
          </cell>
          <cell r="Q104" t="str">
            <v>P221/P397</v>
          </cell>
          <cell r="R104" t="str">
            <v>ALL</v>
          </cell>
          <cell r="S104" t="str">
            <v>MASTER CYLINDER REPLACED</v>
          </cell>
          <cell r="T104">
            <v>6</v>
          </cell>
          <cell r="X104">
            <v>1</v>
          </cell>
          <cell r="Y104">
            <v>2</v>
          </cell>
          <cell r="Z104">
            <v>2</v>
          </cell>
          <cell r="AA104">
            <v>1</v>
          </cell>
        </row>
        <row r="105">
          <cell r="A105">
            <v>0</v>
          </cell>
          <cell r="B105" t="str">
            <v>ALL VRTS</v>
          </cell>
          <cell r="G105" t="str">
            <v>M05</v>
          </cell>
          <cell r="H105" t="str">
            <v>A99</v>
          </cell>
          <cell r="I105" t="str">
            <v>M10</v>
          </cell>
          <cell r="J105" t="str">
            <v>V13</v>
          </cell>
          <cell r="K105" t="str">
            <v>V99</v>
          </cell>
          <cell r="L105">
            <v>0</v>
          </cell>
          <cell r="M105">
            <v>-1</v>
          </cell>
          <cell r="N105">
            <v>0</v>
          </cell>
          <cell r="O105">
            <v>2004</v>
          </cell>
          <cell r="P105" t="str">
            <v>DEARBORN PLANT BUILD</v>
          </cell>
          <cell r="Q105" t="str">
            <v>P221/P397</v>
          </cell>
          <cell r="R105" t="str">
            <v>ALL</v>
          </cell>
          <cell r="S105" t="str">
            <v>MIRROR ASSY  REPLACED</v>
          </cell>
          <cell r="T105">
            <v>6</v>
          </cell>
          <cell r="Y105">
            <v>1</v>
          </cell>
          <cell r="AA105">
            <v>4</v>
          </cell>
          <cell r="AB105">
            <v>1</v>
          </cell>
        </row>
        <row r="106">
          <cell r="A106">
            <v>0</v>
          </cell>
          <cell r="B106" t="str">
            <v>ALL VRTS</v>
          </cell>
          <cell r="C106" t="str">
            <v>5410</v>
          </cell>
          <cell r="D106" t="str">
            <v>5430</v>
          </cell>
          <cell r="E106" t="str">
            <v>T5W13L</v>
          </cell>
          <cell r="F106" t="str">
            <v>TBW29F/E30B</v>
          </cell>
          <cell r="G106" t="str">
            <v>T55</v>
          </cell>
          <cell r="H106" t="str">
            <v>T54</v>
          </cell>
          <cell r="I106" t="str">
            <v>S27</v>
          </cell>
          <cell r="J106" t="str">
            <v>V74</v>
          </cell>
          <cell r="K106" t="str">
            <v>V17</v>
          </cell>
          <cell r="L106">
            <v>0</v>
          </cell>
          <cell r="M106">
            <v>0</v>
          </cell>
          <cell r="N106">
            <v>-1</v>
          </cell>
          <cell r="O106">
            <v>2004</v>
          </cell>
          <cell r="P106" t="str">
            <v>DEARBORN PLANT BUILD</v>
          </cell>
          <cell r="Q106" t="str">
            <v>P221/P397</v>
          </cell>
          <cell r="R106" t="str">
            <v>ALL</v>
          </cell>
          <cell r="S106" t="str">
            <v>MISSING</v>
          </cell>
          <cell r="T106">
            <v>6</v>
          </cell>
          <cell r="W106">
            <v>1</v>
          </cell>
          <cell r="Y106">
            <v>1</v>
          </cell>
          <cell r="Z106">
            <v>1</v>
          </cell>
          <cell r="AA106">
            <v>2</v>
          </cell>
          <cell r="AB106">
            <v>1</v>
          </cell>
        </row>
        <row r="107">
          <cell r="A107">
            <v>0</v>
          </cell>
          <cell r="B107" t="str">
            <v>ALL VRTS</v>
          </cell>
          <cell r="G107" t="str">
            <v>C02</v>
          </cell>
          <cell r="H107" t="str">
            <v>C05</v>
          </cell>
          <cell r="I107" t="str">
            <v>C24</v>
          </cell>
          <cell r="J107" t="str">
            <v>V79</v>
          </cell>
          <cell r="L107">
            <v>0</v>
          </cell>
          <cell r="M107">
            <v>0</v>
          </cell>
          <cell r="N107">
            <v>-1</v>
          </cell>
          <cell r="O107">
            <v>2004</v>
          </cell>
          <cell r="P107" t="str">
            <v>DEARBORN PLANT BUILD</v>
          </cell>
          <cell r="Q107" t="str">
            <v>P221/P397</v>
          </cell>
          <cell r="R107" t="str">
            <v>ALL</v>
          </cell>
          <cell r="S107" t="str">
            <v>O-Ring at Cowl</v>
          </cell>
          <cell r="T107">
            <v>6</v>
          </cell>
          <cell r="Y107">
            <v>3</v>
          </cell>
          <cell r="Z107">
            <v>3</v>
          </cell>
        </row>
        <row r="108">
          <cell r="A108">
            <v>0</v>
          </cell>
          <cell r="B108" t="str">
            <v>ALL VRTS</v>
          </cell>
          <cell r="G108" t="str">
            <v>D36</v>
          </cell>
          <cell r="H108" t="str">
            <v>D42</v>
          </cell>
          <cell r="J108" t="str">
            <v>V41</v>
          </cell>
          <cell r="L108">
            <v>-1</v>
          </cell>
          <cell r="M108">
            <v>-1</v>
          </cell>
          <cell r="N108">
            <v>0</v>
          </cell>
          <cell r="O108">
            <v>2004</v>
          </cell>
          <cell r="P108" t="str">
            <v>DEARBORN PLANT BUILD</v>
          </cell>
          <cell r="Q108" t="str">
            <v>P221/P397</v>
          </cell>
          <cell r="R108" t="str">
            <v>ALL</v>
          </cell>
          <cell r="S108" t="str">
            <v>performed EEC test NPF</v>
          </cell>
          <cell r="T108">
            <v>6</v>
          </cell>
          <cell r="W108">
            <v>2</v>
          </cell>
          <cell r="X108">
            <v>1</v>
          </cell>
          <cell r="Y108">
            <v>2</v>
          </cell>
          <cell r="AA108">
            <v>1</v>
          </cell>
        </row>
        <row r="109">
          <cell r="A109">
            <v>0</v>
          </cell>
          <cell r="B109" t="str">
            <v>ALL VRTS</v>
          </cell>
          <cell r="G109" t="str">
            <v>D50</v>
          </cell>
          <cell r="J109" t="str">
            <v>V44</v>
          </cell>
          <cell r="L109">
            <v>0</v>
          </cell>
          <cell r="M109">
            <v>-1</v>
          </cell>
          <cell r="N109">
            <v>0</v>
          </cell>
          <cell r="O109">
            <v>2004</v>
          </cell>
          <cell r="P109" t="str">
            <v>DEARBORN PLANT BUILD</v>
          </cell>
          <cell r="Q109" t="str">
            <v>P221/P397</v>
          </cell>
          <cell r="R109" t="str">
            <v>ALL</v>
          </cell>
          <cell r="S109" t="str">
            <v>Replaced Engine</v>
          </cell>
          <cell r="T109">
            <v>6</v>
          </cell>
          <cell r="W109">
            <v>1</v>
          </cell>
          <cell r="Z109">
            <v>1</v>
          </cell>
          <cell r="AA109">
            <v>2</v>
          </cell>
          <cell r="AB109">
            <v>2</v>
          </cell>
        </row>
        <row r="110">
          <cell r="A110">
            <v>0</v>
          </cell>
          <cell r="B110" t="str">
            <v>ALL VRTS</v>
          </cell>
          <cell r="G110" t="str">
            <v>W05</v>
          </cell>
          <cell r="J110" t="str">
            <v>V16</v>
          </cell>
          <cell r="L110">
            <v>0</v>
          </cell>
          <cell r="M110">
            <v>-1</v>
          </cell>
          <cell r="N110">
            <v>0</v>
          </cell>
          <cell r="O110">
            <v>2004</v>
          </cell>
          <cell r="P110" t="str">
            <v>DEARBORN PLANT BUILD</v>
          </cell>
          <cell r="Q110" t="str">
            <v>P221/P397</v>
          </cell>
          <cell r="R110" t="str">
            <v>ALL</v>
          </cell>
          <cell r="S110" t="str">
            <v>Replaced Wiper Motor</v>
          </cell>
          <cell r="T110">
            <v>6</v>
          </cell>
          <cell r="W110">
            <v>1</v>
          </cell>
          <cell r="Y110">
            <v>1</v>
          </cell>
          <cell r="Z110">
            <v>1</v>
          </cell>
          <cell r="AA110">
            <v>3</v>
          </cell>
        </row>
        <row r="111">
          <cell r="A111">
            <v>0</v>
          </cell>
          <cell r="B111" t="str">
            <v>ALL VRTS</v>
          </cell>
          <cell r="G111" t="str">
            <v>T51</v>
          </cell>
          <cell r="J111" t="str">
            <v>V74</v>
          </cell>
          <cell r="L111">
            <v>0</v>
          </cell>
          <cell r="M111">
            <v>-1</v>
          </cell>
          <cell r="N111">
            <v>0</v>
          </cell>
          <cell r="O111">
            <v>2004</v>
          </cell>
          <cell r="P111" t="str">
            <v>DEARBORN PLANT BUILD</v>
          </cell>
          <cell r="Q111" t="str">
            <v>P221/P397</v>
          </cell>
          <cell r="R111" t="str">
            <v>ALL</v>
          </cell>
          <cell r="S111" t="str">
            <v>SEAM SPLITTING</v>
          </cell>
          <cell r="T111">
            <v>6</v>
          </cell>
          <cell r="Y111">
            <v>1</v>
          </cell>
          <cell r="Z111">
            <v>2</v>
          </cell>
          <cell r="AA111">
            <v>1</v>
          </cell>
          <cell r="AB111">
            <v>2</v>
          </cell>
        </row>
        <row r="112">
          <cell r="A112">
            <v>0</v>
          </cell>
          <cell r="B112" t="str">
            <v>ALL VRTS</v>
          </cell>
          <cell r="C112" t="str">
            <v>6570</v>
          </cell>
          <cell r="E112" t="str">
            <v>C7W01</v>
          </cell>
          <cell r="G112" t="str">
            <v>P51</v>
          </cell>
          <cell r="J112" t="str">
            <v>V48</v>
          </cell>
          <cell r="L112">
            <v>0</v>
          </cell>
          <cell r="M112">
            <v>0</v>
          </cell>
          <cell r="N112">
            <v>-1</v>
          </cell>
          <cell r="O112">
            <v>2004</v>
          </cell>
          <cell r="P112" t="str">
            <v>DEARBORN PLANT BUILD</v>
          </cell>
          <cell r="Q112" t="str">
            <v>P221/P397</v>
          </cell>
          <cell r="R112" t="str">
            <v>ALL</v>
          </cell>
          <cell r="S112" t="str">
            <v>Shift cable not clipped in bracket</v>
          </cell>
          <cell r="T112">
            <v>6</v>
          </cell>
          <cell r="Z112">
            <v>2</v>
          </cell>
          <cell r="AA112">
            <v>4</v>
          </cell>
        </row>
        <row r="113">
          <cell r="A113">
            <v>0</v>
          </cell>
          <cell r="B113" t="str">
            <v>ALL VRTS</v>
          </cell>
          <cell r="G113" t="str">
            <v>B73</v>
          </cell>
          <cell r="H113" t="str">
            <v>T90</v>
          </cell>
          <cell r="J113" t="str">
            <v>V74</v>
          </cell>
          <cell r="L113">
            <v>0</v>
          </cell>
          <cell r="M113">
            <v>-1</v>
          </cell>
          <cell r="N113">
            <v>0</v>
          </cell>
          <cell r="O113">
            <v>2004</v>
          </cell>
          <cell r="P113" t="str">
            <v>DEARBORN PLANT BUILD</v>
          </cell>
          <cell r="Q113" t="str">
            <v>P221/P397</v>
          </cell>
          <cell r="R113" t="str">
            <v>ALL</v>
          </cell>
          <cell r="S113" t="str">
            <v>SUNSHADE</v>
          </cell>
          <cell r="T113">
            <v>6</v>
          </cell>
          <cell r="Z113">
            <v>2</v>
          </cell>
          <cell r="AA113">
            <v>2</v>
          </cell>
          <cell r="AB113">
            <v>2</v>
          </cell>
        </row>
        <row r="114">
          <cell r="A114">
            <v>0</v>
          </cell>
          <cell r="B114" t="str">
            <v>ALL VRTS</v>
          </cell>
          <cell r="C114" t="str">
            <v>5510</v>
          </cell>
          <cell r="E114" t="str">
            <v>T2W33L</v>
          </cell>
          <cell r="F114" t="str">
            <v>T2E34R</v>
          </cell>
          <cell r="G114" t="str">
            <v>T51</v>
          </cell>
          <cell r="J114" t="str">
            <v>V74</v>
          </cell>
          <cell r="L114">
            <v>0</v>
          </cell>
          <cell r="M114">
            <v>-1</v>
          </cell>
          <cell r="N114">
            <v>-1</v>
          </cell>
          <cell r="O114">
            <v>2004</v>
          </cell>
          <cell r="P114" t="str">
            <v>DEARBORN PLANT BUILD</v>
          </cell>
          <cell r="Q114" t="str">
            <v>P221/P397</v>
          </cell>
          <cell r="R114" t="str">
            <v>ALL</v>
          </cell>
          <cell r="S114" t="str">
            <v>TORN</v>
          </cell>
          <cell r="T114">
            <v>6</v>
          </cell>
          <cell r="Z114">
            <v>2</v>
          </cell>
          <cell r="AA114">
            <v>1</v>
          </cell>
          <cell r="AB114">
            <v>3</v>
          </cell>
        </row>
        <row r="115">
          <cell r="A115">
            <v>0</v>
          </cell>
          <cell r="B115" t="str">
            <v>ALL VRTS</v>
          </cell>
          <cell r="G115" t="str">
            <v>J04</v>
          </cell>
          <cell r="H115" t="str">
            <v>J03</v>
          </cell>
          <cell r="I115" t="str">
            <v>L15</v>
          </cell>
          <cell r="J115" t="str">
            <v>V09</v>
          </cell>
          <cell r="L115">
            <v>0</v>
          </cell>
          <cell r="M115">
            <v>-1</v>
          </cell>
          <cell r="N115">
            <v>0</v>
          </cell>
          <cell r="O115">
            <v>2004</v>
          </cell>
          <cell r="P115" t="str">
            <v>DEARBORN PLANT BUILD</v>
          </cell>
          <cell r="Q115" t="str">
            <v>P221/P397</v>
          </cell>
          <cell r="R115" t="str">
            <v>ALL</v>
          </cell>
          <cell r="S115" t="str">
            <v>ADJUST GLASS</v>
          </cell>
          <cell r="T115">
            <v>5</v>
          </cell>
          <cell r="X115">
            <v>1</v>
          </cell>
          <cell r="Y115">
            <v>1</v>
          </cell>
          <cell r="AA115">
            <v>1</v>
          </cell>
          <cell r="AB115">
            <v>2</v>
          </cell>
        </row>
        <row r="116">
          <cell r="A116">
            <v>0</v>
          </cell>
          <cell r="B116" t="str">
            <v>ALL VRTS</v>
          </cell>
          <cell r="C116" t="str">
            <v>5390</v>
          </cell>
          <cell r="E116" t="str">
            <v>TBE10-B</v>
          </cell>
          <cell r="F116" t="str">
            <v>TBE14-B</v>
          </cell>
          <cell r="G116" t="str">
            <v>L15</v>
          </cell>
          <cell r="H116" t="str">
            <v>L08</v>
          </cell>
          <cell r="J116" t="str">
            <v>V07</v>
          </cell>
          <cell r="L116">
            <v>0</v>
          </cell>
          <cell r="M116">
            <v>0</v>
          </cell>
          <cell r="N116">
            <v>-1</v>
          </cell>
          <cell r="O116">
            <v>2004</v>
          </cell>
          <cell r="P116" t="str">
            <v>DEARBORN PLANT BUILD</v>
          </cell>
          <cell r="Q116" t="str">
            <v>P221/P397</v>
          </cell>
          <cell r="R116" t="str">
            <v>ALL</v>
          </cell>
          <cell r="S116" t="str">
            <v>ADJUST LATCH RODS</v>
          </cell>
          <cell r="T116">
            <v>5</v>
          </cell>
          <cell r="W116">
            <v>1</v>
          </cell>
          <cell r="Z116">
            <v>2</v>
          </cell>
          <cell r="AA116">
            <v>2</v>
          </cell>
        </row>
        <row r="117">
          <cell r="A117">
            <v>0</v>
          </cell>
          <cell r="B117" t="str">
            <v>ALL VRTS</v>
          </cell>
          <cell r="C117" t="str">
            <v>6450</v>
          </cell>
          <cell r="D117" t="str">
            <v>6440</v>
          </cell>
          <cell r="E117" t="str">
            <v>C2E47F</v>
          </cell>
          <cell r="F117" t="str">
            <v>C2E45F</v>
          </cell>
          <cell r="G117" t="str">
            <v>H15</v>
          </cell>
          <cell r="H117" t="str">
            <v>H19</v>
          </cell>
          <cell r="I117" t="str">
            <v>N17</v>
          </cell>
          <cell r="J117" t="str">
            <v>V21</v>
          </cell>
          <cell r="L117">
            <v>0</v>
          </cell>
          <cell r="M117">
            <v>0</v>
          </cell>
          <cell r="N117">
            <v>-1</v>
          </cell>
          <cell r="O117">
            <v>2004</v>
          </cell>
          <cell r="P117" t="str">
            <v>DEARBORN PLANT BUILD</v>
          </cell>
          <cell r="Q117" t="str">
            <v>P221/P397</v>
          </cell>
          <cell r="R117" t="str">
            <v>ALL</v>
          </cell>
          <cell r="S117" t="str">
            <v>AIR IN CALIPER- BLEED SYSTEM</v>
          </cell>
          <cell r="T117">
            <v>5</v>
          </cell>
          <cell r="AA117">
            <v>3</v>
          </cell>
          <cell r="AB117">
            <v>2</v>
          </cell>
        </row>
        <row r="118">
          <cell r="A118">
            <v>0</v>
          </cell>
          <cell r="B118" t="str">
            <v>ALL VRTS</v>
          </cell>
          <cell r="G118" t="str">
            <v>B95</v>
          </cell>
          <cell r="H118" t="str">
            <v>T52</v>
          </cell>
          <cell r="J118" t="str">
            <v>V71</v>
          </cell>
          <cell r="L118">
            <v>0</v>
          </cell>
          <cell r="M118">
            <v>-1</v>
          </cell>
          <cell r="N118">
            <v>0</v>
          </cell>
          <cell r="O118">
            <v>2004</v>
          </cell>
          <cell r="P118" t="str">
            <v>DEARBORN PLANT BUILD</v>
          </cell>
          <cell r="Q118" t="str">
            <v>P221/P397</v>
          </cell>
          <cell r="R118" t="str">
            <v>ALL</v>
          </cell>
          <cell r="S118" t="str">
            <v>ASHTRAY</v>
          </cell>
          <cell r="T118">
            <v>5</v>
          </cell>
          <cell r="AA118">
            <v>4</v>
          </cell>
          <cell r="AB118">
            <v>1</v>
          </cell>
        </row>
        <row r="119">
          <cell r="A119">
            <v>0</v>
          </cell>
          <cell r="B119" t="str">
            <v>ALL VRTS</v>
          </cell>
          <cell r="C119" t="str">
            <v>6440</v>
          </cell>
          <cell r="D119" t="str">
            <v>6410</v>
          </cell>
          <cell r="E119" t="str">
            <v>C2E11F</v>
          </cell>
          <cell r="F119" t="str">
            <v>C2E45F</v>
          </cell>
          <cell r="G119" t="str">
            <v>L63</v>
          </cell>
          <cell r="H119" t="str">
            <v>H05</v>
          </cell>
          <cell r="J119" t="str">
            <v>V21</v>
          </cell>
          <cell r="L119">
            <v>0</v>
          </cell>
          <cell r="M119">
            <v>-1</v>
          </cell>
          <cell r="N119">
            <v>0</v>
          </cell>
          <cell r="O119">
            <v>2004</v>
          </cell>
          <cell r="P119" t="str">
            <v>DEARBORN PLANT BUILD</v>
          </cell>
          <cell r="Q119" t="str">
            <v>P221/P397</v>
          </cell>
          <cell r="R119" t="str">
            <v>ALL</v>
          </cell>
          <cell r="S119" t="str">
            <v>BRAKE LINE REPLACED</v>
          </cell>
          <cell r="T119">
            <v>5</v>
          </cell>
          <cell r="Y119">
            <v>2</v>
          </cell>
          <cell r="AA119">
            <v>1</v>
          </cell>
          <cell r="AB119">
            <v>2</v>
          </cell>
        </row>
        <row r="120">
          <cell r="A120">
            <v>0</v>
          </cell>
          <cell r="B120" t="str">
            <v>ALL VRTS</v>
          </cell>
          <cell r="G120" t="str">
            <v>N11</v>
          </cell>
          <cell r="H120" t="str">
            <v>N12</v>
          </cell>
          <cell r="J120" t="str">
            <v>V49</v>
          </cell>
          <cell r="L120">
            <v>0</v>
          </cell>
          <cell r="M120">
            <v>-1</v>
          </cell>
          <cell r="N120">
            <v>0</v>
          </cell>
          <cell r="O120">
            <v>2004</v>
          </cell>
          <cell r="P120" t="str">
            <v>DEARBORN PLANT BUILD</v>
          </cell>
          <cell r="Q120" t="str">
            <v>P221/P397</v>
          </cell>
          <cell r="R120" t="str">
            <v>ALL</v>
          </cell>
          <cell r="S120" t="str">
            <v>Camshaft Phaser Defective</v>
          </cell>
          <cell r="T120">
            <v>5</v>
          </cell>
          <cell r="AA120">
            <v>4</v>
          </cell>
          <cell r="AB120">
            <v>1</v>
          </cell>
        </row>
        <row r="121">
          <cell r="A121">
            <v>0</v>
          </cell>
          <cell r="B121" t="str">
            <v>ALL VRTS</v>
          </cell>
          <cell r="G121" t="str">
            <v>C09</v>
          </cell>
          <cell r="H121" t="str">
            <v>C20</v>
          </cell>
          <cell r="J121" t="str">
            <v>V79</v>
          </cell>
          <cell r="L121">
            <v>0</v>
          </cell>
          <cell r="M121">
            <v>-1</v>
          </cell>
          <cell r="N121">
            <v>0</v>
          </cell>
          <cell r="O121">
            <v>2004</v>
          </cell>
          <cell r="P121" t="str">
            <v>DEARBORN PLANT BUILD</v>
          </cell>
          <cell r="Q121" t="str">
            <v>P221/P397</v>
          </cell>
          <cell r="R121" t="str">
            <v>ALL</v>
          </cell>
          <cell r="S121" t="str">
            <v>Damage Cage</v>
          </cell>
          <cell r="T121">
            <v>5</v>
          </cell>
          <cell r="Y121">
            <v>4</v>
          </cell>
          <cell r="Z121">
            <v>1</v>
          </cell>
        </row>
        <row r="122">
          <cell r="A122">
            <v>0</v>
          </cell>
          <cell r="B122" t="str">
            <v>ALL VRTS</v>
          </cell>
          <cell r="C122" t="str">
            <v>unsure</v>
          </cell>
          <cell r="E122" t="str">
            <v>Paint</v>
          </cell>
          <cell r="G122" t="str">
            <v>R10</v>
          </cell>
          <cell r="H122" t="str">
            <v>R02</v>
          </cell>
          <cell r="I122" t="str">
            <v>R01</v>
          </cell>
          <cell r="J122" t="str">
            <v>V37</v>
          </cell>
          <cell r="L122">
            <v>0</v>
          </cell>
          <cell r="M122">
            <v>0</v>
          </cell>
          <cell r="N122">
            <v>-1</v>
          </cell>
          <cell r="O122">
            <v>2004</v>
          </cell>
          <cell r="P122" t="str">
            <v>DEARBORN PLANT BUILD</v>
          </cell>
          <cell r="Q122" t="str">
            <v>P221/P397</v>
          </cell>
          <cell r="R122" t="str">
            <v>ALL</v>
          </cell>
          <cell r="S122" t="str">
            <v>Dash Board / Cowl Sealer Skip</v>
          </cell>
          <cell r="T122">
            <v>5</v>
          </cell>
          <cell r="Z122">
            <v>2</v>
          </cell>
          <cell r="AB122">
            <v>3</v>
          </cell>
        </row>
        <row r="123">
          <cell r="A123">
            <v>0</v>
          </cell>
          <cell r="B123" t="str">
            <v>ALL VRTS</v>
          </cell>
          <cell r="C123" t="str">
            <v>unsure</v>
          </cell>
          <cell r="E123" t="str">
            <v>T3E22R</v>
          </cell>
          <cell r="G123" t="str">
            <v>N33</v>
          </cell>
          <cell r="H123" t="str">
            <v>N50</v>
          </cell>
          <cell r="J123" t="str">
            <v>V39</v>
          </cell>
          <cell r="L123">
            <v>0</v>
          </cell>
          <cell r="M123">
            <v>0</v>
          </cell>
          <cell r="N123">
            <v>-1</v>
          </cell>
          <cell r="O123">
            <v>2004</v>
          </cell>
          <cell r="P123" t="str">
            <v>DEARBORN PLANT BUILD</v>
          </cell>
          <cell r="Q123" t="str">
            <v>P221/P397</v>
          </cell>
          <cell r="R123" t="str">
            <v>ALL</v>
          </cell>
          <cell r="S123" t="str">
            <v>Defroster Vent Not Seated</v>
          </cell>
          <cell r="T123">
            <v>5</v>
          </cell>
          <cell r="W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</row>
        <row r="124">
          <cell r="A124">
            <v>0</v>
          </cell>
          <cell r="B124" t="str">
            <v>ALL VRTS</v>
          </cell>
          <cell r="C124" t="str">
            <v>Trim 1 5450-2-D</v>
          </cell>
          <cell r="D124" t="str">
            <v>Trim 1 5440 -D</v>
          </cell>
          <cell r="E124" t="str">
            <v>T1W07L</v>
          </cell>
          <cell r="F124" t="str">
            <v>T1E08R</v>
          </cell>
          <cell r="G124" t="str">
            <v>B63</v>
          </cell>
          <cell r="H124" t="str">
            <v>B66</v>
          </cell>
          <cell r="I124" t="str">
            <v>B62</v>
          </cell>
          <cell r="J124" t="str">
            <v>V75</v>
          </cell>
          <cell r="L124">
            <v>0</v>
          </cell>
          <cell r="M124">
            <v>0</v>
          </cell>
          <cell r="N124">
            <v>-1</v>
          </cell>
          <cell r="O124">
            <v>2004</v>
          </cell>
          <cell r="P124" t="str">
            <v>DEARBORN PLANT BUILD</v>
          </cell>
          <cell r="Q124" t="str">
            <v>P221/P397</v>
          </cell>
          <cell r="R124" t="str">
            <v>ALL</v>
          </cell>
          <cell r="S124" t="str">
            <v>Door Applique Replaced</v>
          </cell>
          <cell r="T124">
            <v>5</v>
          </cell>
          <cell r="Y124">
            <v>2</v>
          </cell>
          <cell r="Z124">
            <v>1</v>
          </cell>
          <cell r="AA124">
            <v>1</v>
          </cell>
          <cell r="AB124">
            <v>1</v>
          </cell>
        </row>
        <row r="125">
          <cell r="A125">
            <v>0</v>
          </cell>
          <cell r="B125" t="str">
            <v>ALL VRTS</v>
          </cell>
          <cell r="C125" t="str">
            <v>unsure</v>
          </cell>
          <cell r="E125" t="str">
            <v>TDW49R</v>
          </cell>
          <cell r="G125" t="str">
            <v>N59</v>
          </cell>
          <cell r="H125" t="str">
            <v>B09</v>
          </cell>
          <cell r="I125" t="str">
            <v>N40</v>
          </cell>
          <cell r="J125" t="str">
            <v>V39</v>
          </cell>
          <cell r="L125">
            <v>0</v>
          </cell>
          <cell r="M125">
            <v>0</v>
          </cell>
          <cell r="N125">
            <v>-1</v>
          </cell>
          <cell r="O125">
            <v>2004</v>
          </cell>
          <cell r="P125" t="str">
            <v>DEARBORN PLANT BUILD</v>
          </cell>
          <cell r="Q125" t="str">
            <v>P221/P397</v>
          </cell>
          <cell r="R125" t="str">
            <v>ALL</v>
          </cell>
          <cell r="S125" t="str">
            <v>Door Trim Panel Loose</v>
          </cell>
          <cell r="T125">
            <v>5</v>
          </cell>
          <cell r="W125">
            <v>1</v>
          </cell>
          <cell r="Y125">
            <v>1</v>
          </cell>
          <cell r="Z125">
            <v>2</v>
          </cell>
          <cell r="AB125">
            <v>1</v>
          </cell>
        </row>
        <row r="126">
          <cell r="A126">
            <v>0</v>
          </cell>
          <cell r="B126" t="str">
            <v>ALL VRTS</v>
          </cell>
          <cell r="G126" t="str">
            <v>E29</v>
          </cell>
          <cell r="J126" t="str">
            <v>V44</v>
          </cell>
          <cell r="L126">
            <v>-1</v>
          </cell>
          <cell r="M126">
            <v>-1</v>
          </cell>
          <cell r="N126">
            <v>0</v>
          </cell>
          <cell r="O126">
            <v>2004</v>
          </cell>
          <cell r="P126" t="str">
            <v>DEARBORN PLANT BUILD</v>
          </cell>
          <cell r="Q126" t="str">
            <v>P221/P397</v>
          </cell>
          <cell r="R126" t="str">
            <v>ALL</v>
          </cell>
          <cell r="S126" t="str">
            <v>Fuel vapor tube assy</v>
          </cell>
          <cell r="T126">
            <v>5</v>
          </cell>
          <cell r="Y126">
            <v>1</v>
          </cell>
          <cell r="AA126">
            <v>4</v>
          </cell>
        </row>
        <row r="127">
          <cell r="A127">
            <v>0</v>
          </cell>
          <cell r="B127" t="str">
            <v>ALL VRTS</v>
          </cell>
          <cell r="C127" t="str">
            <v>C5 6560-2-G</v>
          </cell>
          <cell r="D127" t="str">
            <v>Chassis 6560-2-J</v>
          </cell>
          <cell r="E127" t="str">
            <v>C7E16R</v>
          </cell>
          <cell r="F127" t="str">
            <v>C7E17R</v>
          </cell>
          <cell r="G127" t="str">
            <v>B66</v>
          </cell>
          <cell r="J127" t="str">
            <v>V75</v>
          </cell>
          <cell r="L127">
            <v>0</v>
          </cell>
          <cell r="M127">
            <v>-1</v>
          </cell>
          <cell r="N127">
            <v>0</v>
          </cell>
          <cell r="O127">
            <v>2004</v>
          </cell>
          <cell r="P127" t="str">
            <v>DEARBORN PLANT BUILD</v>
          </cell>
          <cell r="Q127" t="str">
            <v>P221/P397</v>
          </cell>
          <cell r="R127" t="str">
            <v>ALL</v>
          </cell>
          <cell r="S127" t="str">
            <v>Grill replaced</v>
          </cell>
          <cell r="T127">
            <v>5</v>
          </cell>
          <cell r="W127">
            <v>1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</row>
        <row r="128">
          <cell r="A128">
            <v>0</v>
          </cell>
          <cell r="B128" t="str">
            <v>ALL VRTS</v>
          </cell>
          <cell r="G128" t="str">
            <v>L26</v>
          </cell>
          <cell r="H128" t="str">
            <v>L25</v>
          </cell>
          <cell r="J128" t="str">
            <v>V77</v>
          </cell>
          <cell r="L128">
            <v>0</v>
          </cell>
          <cell r="M128">
            <v>0</v>
          </cell>
          <cell r="N128">
            <v>-1</v>
          </cell>
          <cell r="O128">
            <v>2004</v>
          </cell>
          <cell r="P128" t="str">
            <v>DEARBORN PLANT BUILD</v>
          </cell>
          <cell r="Q128" t="str">
            <v>P221/P397</v>
          </cell>
          <cell r="R128" t="str">
            <v>ALL</v>
          </cell>
          <cell r="S128" t="str">
            <v>Loose connection at switch.</v>
          </cell>
          <cell r="T128">
            <v>5</v>
          </cell>
          <cell r="W128">
            <v>1</v>
          </cell>
          <cell r="Z128">
            <v>1</v>
          </cell>
          <cell r="AA128">
            <v>3</v>
          </cell>
        </row>
        <row r="129">
          <cell r="A129">
            <v>0</v>
          </cell>
          <cell r="B129" t="str">
            <v>ALL VRTS</v>
          </cell>
          <cell r="G129" t="str">
            <v>C27</v>
          </cell>
          <cell r="H129" t="str">
            <v>A85</v>
          </cell>
          <cell r="I129" t="str">
            <v>A88</v>
          </cell>
          <cell r="J129" t="str">
            <v>V19</v>
          </cell>
          <cell r="L129">
            <v>0</v>
          </cell>
          <cell r="M129">
            <v>0</v>
          </cell>
          <cell r="N129">
            <v>-1</v>
          </cell>
          <cell r="O129">
            <v>2004</v>
          </cell>
          <cell r="P129" t="str">
            <v>DEARBORN PLANT BUILD</v>
          </cell>
          <cell r="Q129" t="str">
            <v>P221/P397</v>
          </cell>
          <cell r="R129" t="str">
            <v>ALL</v>
          </cell>
          <cell r="S129" t="str">
            <v>Loose Wiring Connector</v>
          </cell>
          <cell r="T129">
            <v>5</v>
          </cell>
          <cell r="Y129">
            <v>1</v>
          </cell>
          <cell r="AA129">
            <v>4</v>
          </cell>
        </row>
        <row r="130">
          <cell r="A130">
            <v>0</v>
          </cell>
          <cell r="B130" t="str">
            <v>ALL VRTS</v>
          </cell>
          <cell r="C130" t="str">
            <v>6540</v>
          </cell>
          <cell r="D130" t="str">
            <v>5340</v>
          </cell>
          <cell r="E130" t="str">
            <v>C5E19L</v>
          </cell>
          <cell r="F130" t="str">
            <v>TDE21L</v>
          </cell>
          <cell r="G130" t="str">
            <v>T53</v>
          </cell>
          <cell r="H130" t="str">
            <v>A02</v>
          </cell>
          <cell r="I130" t="str">
            <v>A07</v>
          </cell>
          <cell r="J130" t="str">
            <v>V74</v>
          </cell>
          <cell r="K130" t="str">
            <v>V81</v>
          </cell>
          <cell r="L130">
            <v>0</v>
          </cell>
          <cell r="M130">
            <v>0</v>
          </cell>
          <cell r="N130">
            <v>-1</v>
          </cell>
          <cell r="O130">
            <v>2004</v>
          </cell>
          <cell r="P130" t="str">
            <v>DEARBORN PLANT BUILD</v>
          </cell>
          <cell r="Q130" t="str">
            <v>P221/P397</v>
          </cell>
          <cell r="R130" t="str">
            <v>ALL</v>
          </cell>
          <cell r="S130" t="str">
            <v>LOOSE,TRIM</v>
          </cell>
          <cell r="T130">
            <v>5</v>
          </cell>
          <cell r="Z130">
            <v>4</v>
          </cell>
          <cell r="AA130">
            <v>1</v>
          </cell>
        </row>
        <row r="131">
          <cell r="A131">
            <v>0</v>
          </cell>
          <cell r="B131" t="str">
            <v>ALL VRTS</v>
          </cell>
          <cell r="G131" t="str">
            <v>G07</v>
          </cell>
          <cell r="J131" t="str">
            <v>V09</v>
          </cell>
          <cell r="L131">
            <v>0</v>
          </cell>
          <cell r="M131">
            <v>-1</v>
          </cell>
          <cell r="N131">
            <v>0</v>
          </cell>
          <cell r="O131">
            <v>2004</v>
          </cell>
          <cell r="P131" t="str">
            <v>DEARBORN PLANT BUILD</v>
          </cell>
          <cell r="Q131" t="str">
            <v>P221/P397</v>
          </cell>
          <cell r="R131" t="str">
            <v>ALL</v>
          </cell>
          <cell r="S131" t="str">
            <v>LUBE REGULATOR</v>
          </cell>
          <cell r="T131">
            <v>5</v>
          </cell>
          <cell r="X131">
            <v>1</v>
          </cell>
          <cell r="Z131">
            <v>1</v>
          </cell>
          <cell r="AA131">
            <v>2</v>
          </cell>
          <cell r="AB131">
            <v>1</v>
          </cell>
        </row>
        <row r="132">
          <cell r="A132">
            <v>0</v>
          </cell>
          <cell r="B132" t="str">
            <v>ALL VRTS</v>
          </cell>
          <cell r="G132" t="str">
            <v>A85</v>
          </cell>
          <cell r="H132" t="str">
            <v>C27</v>
          </cell>
          <cell r="J132" t="str">
            <v>V19</v>
          </cell>
          <cell r="L132">
            <v>0</v>
          </cell>
          <cell r="M132">
            <v>0</v>
          </cell>
          <cell r="N132">
            <v>-1</v>
          </cell>
          <cell r="O132">
            <v>2004</v>
          </cell>
          <cell r="P132" t="str">
            <v>DEARBORN PLANT BUILD</v>
          </cell>
          <cell r="Q132" t="str">
            <v>P221/P397</v>
          </cell>
          <cell r="R132" t="str">
            <v>ALL</v>
          </cell>
          <cell r="S132" t="str">
            <v>No Codes in PCM</v>
          </cell>
          <cell r="T132">
            <v>5</v>
          </cell>
          <cell r="AA132">
            <v>4</v>
          </cell>
          <cell r="AB132">
            <v>1</v>
          </cell>
        </row>
        <row r="133">
          <cell r="A133">
            <v>0</v>
          </cell>
          <cell r="B133" t="str">
            <v>ALL VRTS</v>
          </cell>
          <cell r="G133" t="str">
            <v>H22</v>
          </cell>
          <cell r="H133" t="str">
            <v>L68</v>
          </cell>
          <cell r="I133" t="str">
            <v>N58</v>
          </cell>
          <cell r="J133" t="str">
            <v>V87</v>
          </cell>
          <cell r="L133">
            <v>0</v>
          </cell>
          <cell r="M133">
            <v>-1</v>
          </cell>
          <cell r="N133">
            <v>0</v>
          </cell>
          <cell r="O133">
            <v>2004</v>
          </cell>
          <cell r="P133" t="str">
            <v>DEARBORN PLANT BUILD</v>
          </cell>
          <cell r="Q133" t="str">
            <v>P221/P397</v>
          </cell>
          <cell r="R133" t="str">
            <v>ALL</v>
          </cell>
          <cell r="S133" t="str">
            <v>POWER STEERING PUMP- REPLACED</v>
          </cell>
          <cell r="T133">
            <v>5</v>
          </cell>
          <cell r="X133">
            <v>1</v>
          </cell>
          <cell r="Y133">
            <v>2</v>
          </cell>
          <cell r="AA133">
            <v>1</v>
          </cell>
          <cell r="AB133">
            <v>1</v>
          </cell>
        </row>
        <row r="134">
          <cell r="A134">
            <v>0</v>
          </cell>
          <cell r="B134" t="str">
            <v>ALL VRTS</v>
          </cell>
          <cell r="C134" t="str">
            <v>5560</v>
          </cell>
          <cell r="E134" t="str">
            <v>T-IPA</v>
          </cell>
          <cell r="G134" t="str">
            <v>P51</v>
          </cell>
          <cell r="H134" t="str">
            <v>P59</v>
          </cell>
          <cell r="J134" t="str">
            <v>V48</v>
          </cell>
          <cell r="L134">
            <v>0</v>
          </cell>
          <cell r="M134">
            <v>0</v>
          </cell>
          <cell r="N134">
            <v>-1</v>
          </cell>
          <cell r="O134">
            <v>2004</v>
          </cell>
          <cell r="P134" t="str">
            <v>DEARBORN PLANT BUILD</v>
          </cell>
          <cell r="Q134" t="str">
            <v>P221/P397</v>
          </cell>
          <cell r="R134" t="str">
            <v>ALL</v>
          </cell>
          <cell r="S134" t="str">
            <v>PRNDL Alignment</v>
          </cell>
          <cell r="T134">
            <v>5</v>
          </cell>
          <cell r="Z134">
            <v>3</v>
          </cell>
          <cell r="AA134">
            <v>1</v>
          </cell>
          <cell r="AB134">
            <v>1</v>
          </cell>
        </row>
        <row r="135">
          <cell r="A135">
            <v>0</v>
          </cell>
          <cell r="B135" t="str">
            <v>ALL VRTS</v>
          </cell>
          <cell r="G135" t="str">
            <v>D21</v>
          </cell>
          <cell r="J135" t="str">
            <v>V42</v>
          </cell>
          <cell r="L135">
            <v>-1</v>
          </cell>
          <cell r="M135">
            <v>-1</v>
          </cell>
          <cell r="N135">
            <v>0</v>
          </cell>
          <cell r="O135">
            <v>2004</v>
          </cell>
          <cell r="P135" t="str">
            <v>DEARBORN PLANT BUILD</v>
          </cell>
          <cell r="Q135" t="str">
            <v>P221/P397</v>
          </cell>
          <cell r="R135" t="str">
            <v>ALL</v>
          </cell>
          <cell r="S135" t="str">
            <v>Purge valve replaced</v>
          </cell>
          <cell r="T135">
            <v>5</v>
          </cell>
          <cell r="AA135">
            <v>3</v>
          </cell>
          <cell r="AB135">
            <v>2</v>
          </cell>
        </row>
        <row r="136">
          <cell r="A136">
            <v>0</v>
          </cell>
          <cell r="B136" t="str">
            <v>ALL VRTS</v>
          </cell>
          <cell r="G136" t="str">
            <v>F06</v>
          </cell>
          <cell r="H136" t="str">
            <v>F20</v>
          </cell>
          <cell r="I136" t="str">
            <v>F13</v>
          </cell>
          <cell r="J136" t="str">
            <v>V33</v>
          </cell>
          <cell r="L136">
            <v>0</v>
          </cell>
          <cell r="M136">
            <v>0</v>
          </cell>
          <cell r="N136">
            <v>-1</v>
          </cell>
          <cell r="O136">
            <v>2004</v>
          </cell>
          <cell r="P136" t="str">
            <v>DEARBORN PLANT BUILD</v>
          </cell>
          <cell r="Q136" t="str">
            <v>P221/P397</v>
          </cell>
          <cell r="R136" t="str">
            <v>ALL</v>
          </cell>
          <cell r="S136" t="str">
            <v>R/S Fender</v>
          </cell>
          <cell r="T136">
            <v>5</v>
          </cell>
          <cell r="Z136">
            <v>2</v>
          </cell>
          <cell r="AA136">
            <v>2</v>
          </cell>
          <cell r="AB136">
            <v>1</v>
          </cell>
        </row>
        <row r="137">
          <cell r="A137">
            <v>0</v>
          </cell>
          <cell r="B137" t="str">
            <v>ALL VRTS</v>
          </cell>
          <cell r="G137" t="str">
            <v>F07</v>
          </cell>
          <cell r="H137" t="str">
            <v>F20</v>
          </cell>
          <cell r="I137" t="str">
            <v>F04</v>
          </cell>
          <cell r="J137" t="str">
            <v>V33</v>
          </cell>
          <cell r="L137">
            <v>0</v>
          </cell>
          <cell r="M137">
            <v>0</v>
          </cell>
          <cell r="N137">
            <v>-1</v>
          </cell>
          <cell r="O137">
            <v>2004</v>
          </cell>
          <cell r="P137" t="str">
            <v>DEARBORN PLANT BUILD</v>
          </cell>
          <cell r="Q137" t="str">
            <v>P221/P397</v>
          </cell>
          <cell r="R137" t="str">
            <v>ALL</v>
          </cell>
          <cell r="S137" t="str">
            <v>R/S Tailgate</v>
          </cell>
          <cell r="T137">
            <v>5</v>
          </cell>
          <cell r="W137">
            <v>1</v>
          </cell>
          <cell r="Z137">
            <v>1</v>
          </cell>
          <cell r="AA137">
            <v>3</v>
          </cell>
        </row>
        <row r="138">
          <cell r="A138">
            <v>0</v>
          </cell>
          <cell r="B138" t="str">
            <v>ALL VRTS</v>
          </cell>
          <cell r="G138" t="str">
            <v>L68</v>
          </cell>
          <cell r="H138" t="str">
            <v>H22</v>
          </cell>
          <cell r="J138" t="str">
            <v>V87</v>
          </cell>
          <cell r="L138">
            <v>0</v>
          </cell>
          <cell r="M138">
            <v>-1</v>
          </cell>
          <cell r="N138">
            <v>0</v>
          </cell>
          <cell r="O138">
            <v>2004</v>
          </cell>
          <cell r="P138" t="str">
            <v>DEARBORN PLANT BUILD</v>
          </cell>
          <cell r="Q138" t="str">
            <v>P221/P397</v>
          </cell>
          <cell r="R138" t="str">
            <v>ALL</v>
          </cell>
          <cell r="S138" t="str">
            <v>RACK &amp; PINION - REPLACED</v>
          </cell>
          <cell r="T138">
            <v>5</v>
          </cell>
          <cell r="Y138">
            <v>1</v>
          </cell>
          <cell r="Z138">
            <v>1</v>
          </cell>
          <cell r="AA138">
            <v>3</v>
          </cell>
        </row>
        <row r="139">
          <cell r="A139">
            <v>0</v>
          </cell>
          <cell r="B139" t="str">
            <v>ALL VRTS</v>
          </cell>
          <cell r="G139" t="str">
            <v>L29</v>
          </cell>
          <cell r="H139" t="str">
            <v>L26</v>
          </cell>
          <cell r="J139" t="str">
            <v>V77</v>
          </cell>
          <cell r="L139">
            <v>0</v>
          </cell>
          <cell r="M139">
            <v>-1</v>
          </cell>
          <cell r="N139">
            <v>0</v>
          </cell>
          <cell r="O139">
            <v>2004</v>
          </cell>
          <cell r="P139" t="str">
            <v>DEARBORN PLANT BUILD</v>
          </cell>
          <cell r="Q139" t="str">
            <v>P221/P397</v>
          </cell>
          <cell r="R139" t="str">
            <v>ALL</v>
          </cell>
          <cell r="S139" t="str">
            <v>Replace Fog Light.</v>
          </cell>
          <cell r="T139">
            <v>5</v>
          </cell>
          <cell r="X139">
            <v>1</v>
          </cell>
          <cell r="Y139">
            <v>2</v>
          </cell>
          <cell r="AB139">
            <v>2</v>
          </cell>
        </row>
        <row r="140">
          <cell r="A140">
            <v>0</v>
          </cell>
          <cell r="B140" t="str">
            <v>ALL VRTS</v>
          </cell>
          <cell r="G140" t="str">
            <v>F04</v>
          </cell>
          <cell r="H140" t="str">
            <v>F07</v>
          </cell>
          <cell r="I140" t="str">
            <v>F10</v>
          </cell>
          <cell r="J140" t="str">
            <v>V33</v>
          </cell>
          <cell r="L140">
            <v>0</v>
          </cell>
          <cell r="M140">
            <v>0</v>
          </cell>
          <cell r="N140">
            <v>-1</v>
          </cell>
          <cell r="O140">
            <v>2004</v>
          </cell>
          <cell r="P140" t="str">
            <v>DEARBORN PLANT BUILD</v>
          </cell>
          <cell r="Q140" t="str">
            <v>P221/P397</v>
          </cell>
          <cell r="R140" t="str">
            <v>ALL</v>
          </cell>
          <cell r="S140" t="str">
            <v>Roof</v>
          </cell>
          <cell r="T140">
            <v>5</v>
          </cell>
          <cell r="Y140">
            <v>1</v>
          </cell>
          <cell r="AA140">
            <v>3</v>
          </cell>
          <cell r="AB140">
            <v>1</v>
          </cell>
        </row>
        <row r="141">
          <cell r="A141">
            <v>0</v>
          </cell>
          <cell r="B141" t="str">
            <v>ALL VRTS</v>
          </cell>
          <cell r="G141" t="str">
            <v>N27</v>
          </cell>
          <cell r="H141" t="str">
            <v>H20</v>
          </cell>
          <cell r="I141" t="str">
            <v>N17</v>
          </cell>
          <cell r="J141" t="str">
            <v>V21</v>
          </cell>
          <cell r="L141">
            <v>0</v>
          </cell>
          <cell r="M141">
            <v>-1</v>
          </cell>
          <cell r="N141">
            <v>0</v>
          </cell>
          <cell r="O141">
            <v>2004</v>
          </cell>
          <cell r="P141" t="str">
            <v>DEARBORN PLANT BUILD</v>
          </cell>
          <cell r="Q141" t="str">
            <v>P221/P397</v>
          </cell>
          <cell r="R141" t="str">
            <v>ALL</v>
          </cell>
          <cell r="S141" t="str">
            <v>ROTORS - REPLACED</v>
          </cell>
          <cell r="T141">
            <v>5</v>
          </cell>
          <cell r="AA141">
            <v>4</v>
          </cell>
          <cell r="AB141">
            <v>1</v>
          </cell>
        </row>
        <row r="142">
          <cell r="A142">
            <v>0</v>
          </cell>
          <cell r="B142" t="str">
            <v>ALL VRTS</v>
          </cell>
          <cell r="G142" t="str">
            <v>A99</v>
          </cell>
          <cell r="H142" t="str">
            <v>B66</v>
          </cell>
          <cell r="J142" t="str">
            <v>V99</v>
          </cell>
          <cell r="K142" t="str">
            <v>V75</v>
          </cell>
          <cell r="L142">
            <v>0</v>
          </cell>
          <cell r="M142">
            <v>-1</v>
          </cell>
          <cell r="N142">
            <v>0</v>
          </cell>
          <cell r="O142">
            <v>2004</v>
          </cell>
          <cell r="P142" t="str">
            <v>DEARBORN PLANT BUILD</v>
          </cell>
          <cell r="Q142" t="str">
            <v>P221/P397</v>
          </cell>
          <cell r="R142" t="str">
            <v>ALL</v>
          </cell>
          <cell r="S142" t="str">
            <v>running board replaced</v>
          </cell>
          <cell r="T142">
            <v>5</v>
          </cell>
          <cell r="W142">
            <v>1</v>
          </cell>
          <cell r="X142">
            <v>1</v>
          </cell>
          <cell r="Z142">
            <v>2</v>
          </cell>
          <cell r="AA142">
            <v>1</v>
          </cell>
        </row>
        <row r="143">
          <cell r="A143">
            <v>0</v>
          </cell>
          <cell r="B143" t="str">
            <v>ALL VRTS</v>
          </cell>
          <cell r="G143" t="str">
            <v>E20</v>
          </cell>
          <cell r="H143" t="str">
            <v>E19</v>
          </cell>
          <cell r="J143" t="str">
            <v>V44</v>
          </cell>
          <cell r="L143">
            <v>-1</v>
          </cell>
          <cell r="M143">
            <v>-1</v>
          </cell>
          <cell r="N143">
            <v>0</v>
          </cell>
          <cell r="O143">
            <v>2004</v>
          </cell>
          <cell r="P143" t="str">
            <v>DEARBORN PLANT BUILD</v>
          </cell>
          <cell r="Q143" t="str">
            <v>P221/P397</v>
          </cell>
          <cell r="R143" t="str">
            <v>ALL</v>
          </cell>
          <cell r="S143" t="str">
            <v>serpentine belt</v>
          </cell>
          <cell r="T143">
            <v>5</v>
          </cell>
          <cell r="W143">
            <v>2</v>
          </cell>
          <cell r="X143">
            <v>1</v>
          </cell>
          <cell r="AA143">
            <v>1</v>
          </cell>
          <cell r="AB143">
            <v>1</v>
          </cell>
        </row>
        <row r="144">
          <cell r="A144">
            <v>0</v>
          </cell>
          <cell r="B144" t="str">
            <v>ALL VRTS</v>
          </cell>
          <cell r="C144" t="str">
            <v>5380</v>
          </cell>
          <cell r="D144" t="str">
            <v>5310</v>
          </cell>
          <cell r="E144" t="str">
            <v>TDW48R/TDE47L</v>
          </cell>
          <cell r="F144" t="str">
            <v>C5E19L</v>
          </cell>
          <cell r="G144" t="str">
            <v>B44</v>
          </cell>
          <cell r="H144" t="str">
            <v>T54</v>
          </cell>
          <cell r="I144" t="str">
            <v>B43</v>
          </cell>
          <cell r="J144" t="str">
            <v>V73</v>
          </cell>
          <cell r="K144" t="str">
            <v>V74</v>
          </cell>
          <cell r="L144">
            <v>0</v>
          </cell>
          <cell r="M144">
            <v>0</v>
          </cell>
          <cell r="N144">
            <v>-1</v>
          </cell>
          <cell r="O144">
            <v>2004</v>
          </cell>
          <cell r="P144" t="str">
            <v>DEARBORN PLANT BUILD</v>
          </cell>
          <cell r="Q144" t="str">
            <v>P221/P397</v>
          </cell>
          <cell r="R144" t="str">
            <v>ALL</v>
          </cell>
          <cell r="S144" t="str">
            <v>TRIM MISSING</v>
          </cell>
          <cell r="T144">
            <v>5</v>
          </cell>
          <cell r="Y144">
            <v>1</v>
          </cell>
          <cell r="Z144">
            <v>2</v>
          </cell>
          <cell r="AA144">
            <v>1</v>
          </cell>
          <cell r="AB144">
            <v>1</v>
          </cell>
        </row>
        <row r="145">
          <cell r="A145">
            <v>0</v>
          </cell>
          <cell r="B145" t="str">
            <v>ALL VRTS</v>
          </cell>
          <cell r="C145" t="str">
            <v>34502C</v>
          </cell>
          <cell r="E145" t="str">
            <v>Metal Finishers</v>
          </cell>
          <cell r="G145" t="str">
            <v>B01</v>
          </cell>
          <cell r="J145" t="str">
            <v>V31</v>
          </cell>
          <cell r="L145">
            <v>0</v>
          </cell>
          <cell r="M145">
            <v>0</v>
          </cell>
          <cell r="N145">
            <v>-1</v>
          </cell>
          <cell r="O145">
            <v>2004</v>
          </cell>
          <cell r="P145" t="str">
            <v>DEARBORN PLANT BUILD</v>
          </cell>
          <cell r="Q145" t="str">
            <v>P221/P397</v>
          </cell>
          <cell r="R145" t="str">
            <v>ALL</v>
          </cell>
          <cell r="S145" t="str">
            <v>wavy metal</v>
          </cell>
          <cell r="T145">
            <v>5</v>
          </cell>
          <cell r="Z145">
            <v>2</v>
          </cell>
          <cell r="AA145">
            <v>2</v>
          </cell>
          <cell r="AB145">
            <v>1</v>
          </cell>
        </row>
        <row r="146">
          <cell r="A146">
            <v>0</v>
          </cell>
          <cell r="B146" t="str">
            <v>ALL VRTS</v>
          </cell>
          <cell r="C146" t="str">
            <v>6420</v>
          </cell>
          <cell r="E146" t="str">
            <v>C2W08B</v>
          </cell>
          <cell r="G146" t="str">
            <v>TA7</v>
          </cell>
          <cell r="H146" t="str">
            <v>N24</v>
          </cell>
          <cell r="I146" t="str">
            <v>N25</v>
          </cell>
          <cell r="J146" t="str">
            <v>V89</v>
          </cell>
          <cell r="L146">
            <v>0</v>
          </cell>
          <cell r="M146">
            <v>-1</v>
          </cell>
          <cell r="N146">
            <v>0</v>
          </cell>
          <cell r="O146">
            <v>2004</v>
          </cell>
          <cell r="P146" t="str">
            <v>DEARBORN PLANT BUILD</v>
          </cell>
          <cell r="Q146" t="str">
            <v>P221/P397</v>
          </cell>
          <cell r="R146" t="str">
            <v>ALL</v>
          </cell>
          <cell r="S146" t="str">
            <v>WHEEL - REPLACED</v>
          </cell>
          <cell r="T146">
            <v>5</v>
          </cell>
          <cell r="X146">
            <v>1</v>
          </cell>
          <cell r="Y146">
            <v>1</v>
          </cell>
          <cell r="AA146">
            <v>3</v>
          </cell>
        </row>
        <row r="147">
          <cell r="A147">
            <v>0</v>
          </cell>
          <cell r="B147" t="str">
            <v>ALL VRTS</v>
          </cell>
          <cell r="G147" t="str">
            <v>D02</v>
          </cell>
          <cell r="H147" t="str">
            <v>N12</v>
          </cell>
          <cell r="J147" t="str">
            <v>V43</v>
          </cell>
          <cell r="K147" t="str">
            <v>V49</v>
          </cell>
          <cell r="L147">
            <v>-1</v>
          </cell>
          <cell r="M147">
            <v>-1</v>
          </cell>
          <cell r="N147">
            <v>0</v>
          </cell>
          <cell r="O147">
            <v>2004</v>
          </cell>
          <cell r="P147" t="str">
            <v>DEARBORN PLANT BUILD</v>
          </cell>
          <cell r="Q147" t="str">
            <v>P221/P397</v>
          </cell>
          <cell r="R147" t="str">
            <v>ALL</v>
          </cell>
          <cell r="S147" t="str">
            <v>Alternator defective</v>
          </cell>
          <cell r="T147">
            <v>4</v>
          </cell>
          <cell r="Z147">
            <v>1</v>
          </cell>
          <cell r="AA147">
            <v>3</v>
          </cell>
        </row>
        <row r="148">
          <cell r="A148">
            <v>0</v>
          </cell>
          <cell r="B148" t="str">
            <v>ALL VRTS</v>
          </cell>
          <cell r="C148" t="str">
            <v>6500</v>
          </cell>
          <cell r="D148" t="str">
            <v>5510</v>
          </cell>
          <cell r="E148" t="str">
            <v>C4W20R</v>
          </cell>
          <cell r="F148" t="str">
            <v>C7E18R</v>
          </cell>
          <cell r="G148" t="str">
            <v>B73</v>
          </cell>
          <cell r="J148" t="str">
            <v>V74</v>
          </cell>
          <cell r="L148">
            <v>0</v>
          </cell>
          <cell r="M148">
            <v>0</v>
          </cell>
          <cell r="N148">
            <v>-1</v>
          </cell>
          <cell r="O148">
            <v>2004</v>
          </cell>
          <cell r="P148" t="str">
            <v>DEARBORN PLANT BUILD</v>
          </cell>
          <cell r="Q148" t="str">
            <v>P221/P397</v>
          </cell>
          <cell r="R148" t="str">
            <v>ALL</v>
          </cell>
          <cell r="S148" t="str">
            <v>AT STRIKER COVER</v>
          </cell>
          <cell r="T148">
            <v>4</v>
          </cell>
          <cell r="W148">
            <v>2</v>
          </cell>
          <cell r="X148">
            <v>2</v>
          </cell>
        </row>
        <row r="149">
          <cell r="A149">
            <v>0</v>
          </cell>
          <cell r="B149" t="str">
            <v>ALL VRTS</v>
          </cell>
          <cell r="G149" t="str">
            <v>A07</v>
          </cell>
          <cell r="H149" t="str">
            <v>A02</v>
          </cell>
          <cell r="I149" t="str">
            <v>A06</v>
          </cell>
          <cell r="J149" t="str">
            <v>V81</v>
          </cell>
          <cell r="L149">
            <v>0</v>
          </cell>
          <cell r="M149">
            <v>0</v>
          </cell>
          <cell r="N149">
            <v>-1</v>
          </cell>
          <cell r="O149">
            <v>2004</v>
          </cell>
          <cell r="P149" t="str">
            <v>DEARBORN PLANT BUILD</v>
          </cell>
          <cell r="Q149" t="str">
            <v>P221/P397</v>
          </cell>
          <cell r="R149" t="str">
            <v>ALL</v>
          </cell>
          <cell r="S149" t="str">
            <v>Connection Behind Glove Box Connected.</v>
          </cell>
          <cell r="T149">
            <v>4</v>
          </cell>
          <cell r="Z149">
            <v>1</v>
          </cell>
          <cell r="AA149">
            <v>3</v>
          </cell>
        </row>
        <row r="150">
          <cell r="A150">
            <v>0</v>
          </cell>
          <cell r="B150" t="str">
            <v>ALL VRTS</v>
          </cell>
          <cell r="C150" t="str">
            <v>6360</v>
          </cell>
          <cell r="E150" t="str">
            <v>CEE37L</v>
          </cell>
          <cell r="G150" t="str">
            <v>L68</v>
          </cell>
          <cell r="H150" t="str">
            <v>H22</v>
          </cell>
          <cell r="J150" t="str">
            <v>V87</v>
          </cell>
          <cell r="L150">
            <v>0</v>
          </cell>
          <cell r="M150">
            <v>0</v>
          </cell>
          <cell r="N150">
            <v>-1</v>
          </cell>
          <cell r="O150">
            <v>2004</v>
          </cell>
          <cell r="P150" t="str">
            <v>DEARBORN PLANT BUILD</v>
          </cell>
          <cell r="Q150" t="str">
            <v>P221/P397</v>
          </cell>
          <cell r="R150" t="str">
            <v>ALL</v>
          </cell>
          <cell r="S150" t="str">
            <v>COOLANT LINE LOOSE- TIGHTENED</v>
          </cell>
          <cell r="T150">
            <v>4</v>
          </cell>
          <cell r="Y150">
            <v>2</v>
          </cell>
          <cell r="Z150">
            <v>1</v>
          </cell>
          <cell r="AA150">
            <v>1</v>
          </cell>
        </row>
        <row r="151">
          <cell r="A151">
            <v>0</v>
          </cell>
          <cell r="B151" t="str">
            <v>ALL VRTS</v>
          </cell>
          <cell r="C151" t="str">
            <v>6500</v>
          </cell>
          <cell r="D151" t="str">
            <v>5530</v>
          </cell>
          <cell r="E151" t="str">
            <v>C4E17L</v>
          </cell>
          <cell r="F151" t="str">
            <v>C4E21L</v>
          </cell>
          <cell r="G151" t="str">
            <v>S40</v>
          </cell>
          <cell r="J151" t="str">
            <v>V05</v>
          </cell>
          <cell r="L151">
            <v>0</v>
          </cell>
          <cell r="M151">
            <v>-1</v>
          </cell>
          <cell r="N151">
            <v>-1</v>
          </cell>
          <cell r="O151">
            <v>2004</v>
          </cell>
          <cell r="P151" t="str">
            <v>DEARBORN PLANT BUILD</v>
          </cell>
          <cell r="Q151" t="str">
            <v>P221/P397</v>
          </cell>
          <cell r="R151" t="str">
            <v>ALL</v>
          </cell>
          <cell r="S151" t="str">
            <v>COVER MISSING</v>
          </cell>
          <cell r="T151">
            <v>4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</row>
        <row r="152">
          <cell r="A152">
            <v>0</v>
          </cell>
          <cell r="B152" t="str">
            <v>ALL VRTS</v>
          </cell>
          <cell r="G152" t="str">
            <v>N25</v>
          </cell>
          <cell r="H152" t="str">
            <v>H44</v>
          </cell>
          <cell r="I152" t="str">
            <v>E35</v>
          </cell>
          <cell r="J152" t="str">
            <v>V89</v>
          </cell>
          <cell r="L152">
            <v>0</v>
          </cell>
          <cell r="M152">
            <v>-1</v>
          </cell>
          <cell r="N152">
            <v>0</v>
          </cell>
          <cell r="O152">
            <v>2004</v>
          </cell>
          <cell r="P152" t="str">
            <v>DEARBORN PLANT BUILD</v>
          </cell>
          <cell r="Q152" t="str">
            <v>P221/P397</v>
          </cell>
          <cell r="R152" t="str">
            <v>ALL</v>
          </cell>
          <cell r="S152" t="str">
            <v>DRIVE SHAFT YOKE - GREASED</v>
          </cell>
          <cell r="T152">
            <v>4</v>
          </cell>
          <cell r="W152">
            <v>2</v>
          </cell>
          <cell r="X152">
            <v>1</v>
          </cell>
          <cell r="Y152">
            <v>1</v>
          </cell>
        </row>
        <row r="153">
          <cell r="A153">
            <v>0</v>
          </cell>
          <cell r="B153" t="str">
            <v>ALL VRTS</v>
          </cell>
          <cell r="C153" t="str">
            <v>Repair</v>
          </cell>
          <cell r="E153" t="str">
            <v>NA</v>
          </cell>
          <cell r="G153" t="str">
            <v>C20</v>
          </cell>
          <cell r="H153" t="str">
            <v>C07</v>
          </cell>
          <cell r="I153" t="str">
            <v>C09</v>
          </cell>
          <cell r="J153" t="str">
            <v>V79</v>
          </cell>
          <cell r="L153">
            <v>0</v>
          </cell>
          <cell r="M153">
            <v>-1</v>
          </cell>
          <cell r="N153">
            <v>0</v>
          </cell>
          <cell r="O153">
            <v>2004</v>
          </cell>
          <cell r="P153" t="str">
            <v>DEARBORN PLANT BUILD</v>
          </cell>
          <cell r="Q153" t="str">
            <v>P221/P397</v>
          </cell>
          <cell r="R153" t="str">
            <v>ALL</v>
          </cell>
          <cell r="S153" t="str">
            <v>Heater Blower Motor Replaced.</v>
          </cell>
          <cell r="T153">
            <v>4</v>
          </cell>
          <cell r="W153">
            <v>1</v>
          </cell>
          <cell r="Y153">
            <v>2</v>
          </cell>
          <cell r="Z153">
            <v>1</v>
          </cell>
        </row>
        <row r="154">
          <cell r="A154">
            <v>0</v>
          </cell>
          <cell r="B154" t="str">
            <v>ALL VRTS</v>
          </cell>
          <cell r="G154" t="str">
            <v>F07</v>
          </cell>
          <cell r="H154" t="str">
            <v>F04</v>
          </cell>
          <cell r="I154" t="str">
            <v>F20</v>
          </cell>
          <cell r="J154" t="str">
            <v>V33</v>
          </cell>
          <cell r="L154">
            <v>0</v>
          </cell>
          <cell r="M154">
            <v>0</v>
          </cell>
          <cell r="N154">
            <v>-1</v>
          </cell>
          <cell r="O154">
            <v>2004</v>
          </cell>
          <cell r="P154" t="str">
            <v>DEARBORN PLANT BUILD</v>
          </cell>
          <cell r="Q154" t="str">
            <v>P221/P397</v>
          </cell>
          <cell r="R154" t="str">
            <v>ALL</v>
          </cell>
          <cell r="S154" t="str">
            <v>Inside Bed</v>
          </cell>
          <cell r="T154">
            <v>4</v>
          </cell>
          <cell r="Z154">
            <v>1</v>
          </cell>
          <cell r="AA154">
            <v>2</v>
          </cell>
          <cell r="AB154">
            <v>1</v>
          </cell>
        </row>
        <row r="155">
          <cell r="A155">
            <v>0</v>
          </cell>
          <cell r="B155" t="str">
            <v>ALL VRTS</v>
          </cell>
          <cell r="G155" t="str">
            <v>F20</v>
          </cell>
          <cell r="H155" t="str">
            <v>F04</v>
          </cell>
          <cell r="I155" t="str">
            <v>F19</v>
          </cell>
          <cell r="J155" t="str">
            <v>V33</v>
          </cell>
          <cell r="L155">
            <v>0</v>
          </cell>
          <cell r="M155">
            <v>0</v>
          </cell>
          <cell r="N155">
            <v>-1</v>
          </cell>
          <cell r="O155">
            <v>2004</v>
          </cell>
          <cell r="P155" t="str">
            <v>DEARBORN PLANT BUILD</v>
          </cell>
          <cell r="Q155" t="str">
            <v>P221/P397</v>
          </cell>
          <cell r="R155" t="str">
            <v>ALL</v>
          </cell>
          <cell r="S155" t="str">
            <v>L/S Front Door Bottom</v>
          </cell>
          <cell r="T155">
            <v>4</v>
          </cell>
          <cell r="Y155">
            <v>2</v>
          </cell>
          <cell r="Z155">
            <v>1</v>
          </cell>
          <cell r="AA155">
            <v>1</v>
          </cell>
        </row>
        <row r="156">
          <cell r="A156">
            <v>0</v>
          </cell>
          <cell r="B156" t="str">
            <v>ALL VRTS</v>
          </cell>
          <cell r="G156" t="str">
            <v>A34</v>
          </cell>
          <cell r="H156" t="str">
            <v>G29</v>
          </cell>
          <cell r="I156" t="str">
            <v>L26</v>
          </cell>
          <cell r="J156" t="str">
            <v>V83</v>
          </cell>
          <cell r="K156" t="str">
            <v>V77</v>
          </cell>
          <cell r="L156">
            <v>0</v>
          </cell>
          <cell r="M156">
            <v>0</v>
          </cell>
          <cell r="N156">
            <v>-1</v>
          </cell>
          <cell r="O156">
            <v>2004</v>
          </cell>
          <cell r="P156" t="str">
            <v>DEARBORN PLANT BUILD</v>
          </cell>
          <cell r="Q156" t="str">
            <v>P221/P397</v>
          </cell>
          <cell r="R156" t="str">
            <v>ALL</v>
          </cell>
          <cell r="S156" t="str">
            <v>Loose Connector</v>
          </cell>
          <cell r="T156">
            <v>4</v>
          </cell>
          <cell r="AA156">
            <v>3</v>
          </cell>
          <cell r="AB156">
            <v>1</v>
          </cell>
        </row>
        <row r="157">
          <cell r="A157">
            <v>0</v>
          </cell>
          <cell r="B157" t="str">
            <v>ALL VRTS</v>
          </cell>
          <cell r="C157" t="str">
            <v>5590-2-G</v>
          </cell>
          <cell r="D157" t="str">
            <v>unsure</v>
          </cell>
          <cell r="E157" t="str">
            <v>T4W31L</v>
          </cell>
          <cell r="F157" t="str">
            <v>TW04L</v>
          </cell>
          <cell r="G157" t="str">
            <v>N57</v>
          </cell>
          <cell r="H157" t="str">
            <v>N59</v>
          </cell>
          <cell r="J157" t="str">
            <v>V39</v>
          </cell>
          <cell r="L157">
            <v>0</v>
          </cell>
          <cell r="M157">
            <v>0</v>
          </cell>
          <cell r="N157">
            <v>-1</v>
          </cell>
          <cell r="O157">
            <v>2004</v>
          </cell>
          <cell r="P157" t="str">
            <v>DEARBORN PLANT BUILD</v>
          </cell>
          <cell r="Q157" t="str">
            <v>P221/P397</v>
          </cell>
          <cell r="R157" t="str">
            <v>ALL</v>
          </cell>
          <cell r="S157" t="str">
            <v>Loose Stock - Air Bag Bolt</v>
          </cell>
          <cell r="T157">
            <v>4</v>
          </cell>
          <cell r="V157">
            <v>1</v>
          </cell>
          <cell r="X157">
            <v>1</v>
          </cell>
          <cell r="Z157">
            <v>1</v>
          </cell>
          <cell r="AA157">
            <v>1</v>
          </cell>
        </row>
        <row r="158">
          <cell r="A158">
            <v>0</v>
          </cell>
          <cell r="B158" t="str">
            <v>ALL VRTS</v>
          </cell>
          <cell r="C158" t="str">
            <v>Trim 4 5690-G</v>
          </cell>
          <cell r="E158" t="str">
            <v>T4E36R</v>
          </cell>
          <cell r="G158" t="str">
            <v>B66</v>
          </cell>
          <cell r="H158" t="str">
            <v>B62</v>
          </cell>
          <cell r="I158" t="str">
            <v>B63</v>
          </cell>
          <cell r="J158" t="str">
            <v>V75</v>
          </cell>
          <cell r="L158">
            <v>0</v>
          </cell>
          <cell r="M158">
            <v>-1</v>
          </cell>
          <cell r="N158">
            <v>-1</v>
          </cell>
          <cell r="O158">
            <v>2004</v>
          </cell>
          <cell r="P158" t="str">
            <v>DEARBORN PLANT BUILD</v>
          </cell>
          <cell r="Q158" t="str">
            <v>P221/P397</v>
          </cell>
          <cell r="R158" t="str">
            <v>ALL</v>
          </cell>
          <cell r="S158" t="str">
            <v>Nameplate replaced</v>
          </cell>
          <cell r="T158">
            <v>4</v>
          </cell>
          <cell r="X158">
            <v>1</v>
          </cell>
          <cell r="AA158">
            <v>2</v>
          </cell>
          <cell r="AB158">
            <v>1</v>
          </cell>
        </row>
        <row r="159">
          <cell r="A159">
            <v>0</v>
          </cell>
          <cell r="B159" t="str">
            <v>ALL VRTS</v>
          </cell>
          <cell r="G159" t="str">
            <v>C27</v>
          </cell>
          <cell r="H159" t="str">
            <v>A85</v>
          </cell>
          <cell r="I159" t="str">
            <v>C25</v>
          </cell>
          <cell r="J159" t="str">
            <v>V19</v>
          </cell>
          <cell r="L159">
            <v>0</v>
          </cell>
          <cell r="M159">
            <v>-1</v>
          </cell>
          <cell r="N159">
            <v>-1</v>
          </cell>
          <cell r="O159">
            <v>2004</v>
          </cell>
          <cell r="P159" t="str">
            <v>DEARBORN PLANT BUILD</v>
          </cell>
          <cell r="Q159" t="str">
            <v>P221/P397</v>
          </cell>
          <cell r="R159" t="str">
            <v>ALL</v>
          </cell>
          <cell r="S159" t="str">
            <v>PCM  Replaced.</v>
          </cell>
          <cell r="T159">
            <v>4</v>
          </cell>
          <cell r="V159">
            <v>1</v>
          </cell>
          <cell r="W159">
            <v>1</v>
          </cell>
          <cell r="AA159">
            <v>2</v>
          </cell>
        </row>
        <row r="160">
          <cell r="A160">
            <v>0</v>
          </cell>
          <cell r="B160" t="str">
            <v>ALL VRTS</v>
          </cell>
          <cell r="G160" t="str">
            <v>D21</v>
          </cell>
          <cell r="J160" t="str">
            <v>V42</v>
          </cell>
          <cell r="L160">
            <v>-1</v>
          </cell>
          <cell r="M160">
            <v>-1</v>
          </cell>
          <cell r="N160">
            <v>0</v>
          </cell>
          <cell r="O160">
            <v>2004</v>
          </cell>
          <cell r="P160" t="str">
            <v>DEARBORN PLANT BUILD</v>
          </cell>
          <cell r="Q160" t="str">
            <v>P221/P397</v>
          </cell>
          <cell r="R160" t="str">
            <v>ALL</v>
          </cell>
          <cell r="S160" t="str">
            <v>PCM &amp; Throttle Body</v>
          </cell>
          <cell r="T160">
            <v>4</v>
          </cell>
          <cell r="AA160">
            <v>1</v>
          </cell>
          <cell r="AB160">
            <v>3</v>
          </cell>
        </row>
        <row r="161">
          <cell r="A161">
            <v>0</v>
          </cell>
          <cell r="B161" t="str">
            <v>ALL VRTS</v>
          </cell>
          <cell r="G161" t="str">
            <v>L26</v>
          </cell>
          <cell r="H161" t="str">
            <v>L25</v>
          </cell>
          <cell r="J161" t="str">
            <v>V77</v>
          </cell>
          <cell r="L161">
            <v>0</v>
          </cell>
          <cell r="M161">
            <v>0</v>
          </cell>
          <cell r="N161">
            <v>-1</v>
          </cell>
          <cell r="O161">
            <v>2004</v>
          </cell>
          <cell r="P161" t="str">
            <v>DEARBORN PLANT BUILD</v>
          </cell>
          <cell r="Q161" t="str">
            <v>P221/P397</v>
          </cell>
          <cell r="R161" t="str">
            <v>ALL</v>
          </cell>
          <cell r="S161" t="str">
            <v>Pinched Wire.</v>
          </cell>
          <cell r="T161">
            <v>4</v>
          </cell>
          <cell r="Y161">
            <v>1</v>
          </cell>
          <cell r="AA161">
            <v>1</v>
          </cell>
          <cell r="AB161">
            <v>2</v>
          </cell>
        </row>
        <row r="162">
          <cell r="A162">
            <v>0</v>
          </cell>
          <cell r="B162" t="str">
            <v>ALL VRTS</v>
          </cell>
          <cell r="G162" t="str">
            <v>L88</v>
          </cell>
          <cell r="J162" t="str">
            <v>V44</v>
          </cell>
          <cell r="L162">
            <v>-1</v>
          </cell>
          <cell r="M162">
            <v>-1</v>
          </cell>
          <cell r="N162">
            <v>0</v>
          </cell>
          <cell r="O162">
            <v>2004</v>
          </cell>
          <cell r="P162" t="str">
            <v>DEARBORN PLANT BUILD</v>
          </cell>
          <cell r="Q162" t="str">
            <v>P221/P397</v>
          </cell>
          <cell r="R162" t="str">
            <v>ALL</v>
          </cell>
          <cell r="S162" t="str">
            <v>Pinion seal leak</v>
          </cell>
          <cell r="T162">
            <v>4</v>
          </cell>
          <cell r="Z162">
            <v>1</v>
          </cell>
          <cell r="AA162">
            <v>1</v>
          </cell>
          <cell r="AB162">
            <v>2</v>
          </cell>
        </row>
        <row r="163">
          <cell r="A163">
            <v>0</v>
          </cell>
          <cell r="B163" t="str">
            <v>ALL VRTS</v>
          </cell>
          <cell r="C163" t="str">
            <v>5600</v>
          </cell>
          <cell r="D163" t="str">
            <v>6490</v>
          </cell>
          <cell r="E163" t="str">
            <v>C4E15L</v>
          </cell>
          <cell r="F163" t="str">
            <v>T4E34R</v>
          </cell>
          <cell r="G163" t="str">
            <v>B74</v>
          </cell>
          <cell r="H163" t="str">
            <v>B94</v>
          </cell>
          <cell r="I163" t="str">
            <v>B73</v>
          </cell>
          <cell r="J163" t="str">
            <v>V74</v>
          </cell>
          <cell r="K163" t="str">
            <v>V71</v>
          </cell>
          <cell r="L163">
            <v>0</v>
          </cell>
          <cell r="M163">
            <v>-1</v>
          </cell>
          <cell r="N163">
            <v>-1</v>
          </cell>
          <cell r="O163">
            <v>2004</v>
          </cell>
          <cell r="P163" t="str">
            <v>DEARBORN PLANT BUILD</v>
          </cell>
          <cell r="Q163" t="str">
            <v>P221/P397</v>
          </cell>
          <cell r="R163" t="str">
            <v>ALL</v>
          </cell>
          <cell r="S163" t="str">
            <v>POOR FIT</v>
          </cell>
          <cell r="T163">
            <v>4</v>
          </cell>
          <cell r="Y163">
            <v>2</v>
          </cell>
          <cell r="AA163">
            <v>2</v>
          </cell>
        </row>
        <row r="164">
          <cell r="A164">
            <v>0</v>
          </cell>
          <cell r="B164" t="str">
            <v>ALL VRTS</v>
          </cell>
          <cell r="G164" t="str">
            <v>A85</v>
          </cell>
          <cell r="J164" t="str">
            <v>V17</v>
          </cell>
          <cell r="L164">
            <v>0</v>
          </cell>
          <cell r="M164">
            <v>0</v>
          </cell>
          <cell r="N164">
            <v>-1</v>
          </cell>
          <cell r="O164">
            <v>2004</v>
          </cell>
          <cell r="P164" t="str">
            <v>DEARBORN PLANT BUILD</v>
          </cell>
          <cell r="Q164" t="str">
            <v>P221/P397</v>
          </cell>
          <cell r="R164" t="str">
            <v>ALL</v>
          </cell>
          <cell r="S164" t="str">
            <v>Program both keys to remotes.</v>
          </cell>
          <cell r="T164">
            <v>4</v>
          </cell>
          <cell r="V164">
            <v>1</v>
          </cell>
          <cell r="AA164">
            <v>2</v>
          </cell>
          <cell r="AB164">
            <v>1</v>
          </cell>
        </row>
        <row r="165">
          <cell r="A165">
            <v>0</v>
          </cell>
          <cell r="B165" t="str">
            <v>ALL VRTS</v>
          </cell>
          <cell r="G165" t="str">
            <v>E29</v>
          </cell>
          <cell r="J165" t="str">
            <v>V44</v>
          </cell>
          <cell r="L165">
            <v>-1</v>
          </cell>
          <cell r="M165">
            <v>-1</v>
          </cell>
          <cell r="N165">
            <v>0</v>
          </cell>
          <cell r="O165">
            <v>2004</v>
          </cell>
          <cell r="P165" t="str">
            <v>DEARBORN PLANT BUILD</v>
          </cell>
          <cell r="Q165" t="str">
            <v>P221/P397</v>
          </cell>
          <cell r="R165" t="str">
            <v>ALL</v>
          </cell>
          <cell r="S165" t="str">
            <v>r&amp;r oss sensor</v>
          </cell>
          <cell r="T165">
            <v>4</v>
          </cell>
          <cell r="Y165">
            <v>2</v>
          </cell>
          <cell r="AB165">
            <v>2</v>
          </cell>
        </row>
        <row r="166">
          <cell r="A166">
            <v>0</v>
          </cell>
          <cell r="B166" t="str">
            <v>ALL VRTS</v>
          </cell>
          <cell r="C166" t="str">
            <v>Chassis 2 6440-2-D</v>
          </cell>
          <cell r="D166" t="str">
            <v>box 5400</v>
          </cell>
          <cell r="E166" t="str">
            <v>C2W48-52B</v>
          </cell>
          <cell r="F166" t="str">
            <v>TBE26B</v>
          </cell>
          <cell r="G166" t="str">
            <v>B07</v>
          </cell>
          <cell r="H166" t="str">
            <v>B64</v>
          </cell>
          <cell r="J166" t="str">
            <v>V75</v>
          </cell>
          <cell r="L166">
            <v>0</v>
          </cell>
          <cell r="M166">
            <v>0</v>
          </cell>
          <cell r="N166">
            <v>-1</v>
          </cell>
          <cell r="O166">
            <v>2004</v>
          </cell>
          <cell r="P166" t="str">
            <v>DEARBORN PLANT BUILD</v>
          </cell>
          <cell r="Q166" t="str">
            <v>P221/P397</v>
          </cell>
          <cell r="R166" t="str">
            <v>ALL</v>
          </cell>
          <cell r="S166" t="str">
            <v>REALIGNED</v>
          </cell>
          <cell r="T166">
            <v>4</v>
          </cell>
          <cell r="Z166">
            <v>1</v>
          </cell>
          <cell r="AA166">
            <v>3</v>
          </cell>
        </row>
        <row r="167">
          <cell r="A167">
            <v>0</v>
          </cell>
          <cell r="B167" t="str">
            <v>ALL VRTS</v>
          </cell>
          <cell r="C167" t="str">
            <v>5390</v>
          </cell>
          <cell r="E167" t="str">
            <v>TBE14-B</v>
          </cell>
          <cell r="G167" t="str">
            <v>L15</v>
          </cell>
          <cell r="H167" t="str">
            <v>L07</v>
          </cell>
          <cell r="I167" t="str">
            <v>L23</v>
          </cell>
          <cell r="J167" t="str">
            <v>V07</v>
          </cell>
          <cell r="L167">
            <v>0</v>
          </cell>
          <cell r="M167">
            <v>0</v>
          </cell>
          <cell r="N167">
            <v>-1</v>
          </cell>
          <cell r="O167">
            <v>2004</v>
          </cell>
          <cell r="P167" t="str">
            <v>DEARBORN PLANT BUILD</v>
          </cell>
          <cell r="Q167" t="str">
            <v>P221/P397</v>
          </cell>
          <cell r="R167" t="str">
            <v>ALL</v>
          </cell>
          <cell r="S167" t="str">
            <v>RECODE LOCK CYLINDER</v>
          </cell>
          <cell r="T167">
            <v>4</v>
          </cell>
          <cell r="Y167">
            <v>4</v>
          </cell>
        </row>
        <row r="168">
          <cell r="A168">
            <v>0</v>
          </cell>
          <cell r="B168" t="str">
            <v>ALL VRTS</v>
          </cell>
          <cell r="G168" t="str">
            <v>K03</v>
          </cell>
          <cell r="J168" t="str">
            <v>V44</v>
          </cell>
          <cell r="L168">
            <v>0</v>
          </cell>
          <cell r="M168">
            <v>-1</v>
          </cell>
          <cell r="N168">
            <v>0</v>
          </cell>
          <cell r="O168">
            <v>2004</v>
          </cell>
          <cell r="P168" t="str">
            <v>DEARBORN PLANT BUILD</v>
          </cell>
          <cell r="Q168" t="str">
            <v>P221/P397</v>
          </cell>
          <cell r="R168" t="str">
            <v>ALL</v>
          </cell>
          <cell r="S168" t="str">
            <v>Replaced Clutch Plate</v>
          </cell>
          <cell r="T168">
            <v>4</v>
          </cell>
          <cell r="V168">
            <v>1</v>
          </cell>
          <cell r="Z168">
            <v>1</v>
          </cell>
          <cell r="AA168">
            <v>2</v>
          </cell>
        </row>
        <row r="169">
          <cell r="A169">
            <v>0</v>
          </cell>
          <cell r="B169" t="str">
            <v>ALL VRTS</v>
          </cell>
          <cell r="G169" t="str">
            <v>C20</v>
          </cell>
          <cell r="H169" t="str">
            <v>C10</v>
          </cell>
          <cell r="I169" t="str">
            <v>C09</v>
          </cell>
          <cell r="J169" t="str">
            <v>V79</v>
          </cell>
          <cell r="L169">
            <v>0</v>
          </cell>
          <cell r="M169">
            <v>-1</v>
          </cell>
          <cell r="N169">
            <v>0</v>
          </cell>
          <cell r="O169">
            <v>2004</v>
          </cell>
          <cell r="P169" t="str">
            <v>DEARBORN PLANT BUILD</v>
          </cell>
          <cell r="Q169" t="str">
            <v>P221/P397</v>
          </cell>
          <cell r="R169" t="str">
            <v>ALL</v>
          </cell>
          <cell r="S169" t="str">
            <v>Replaced Compressor &amp; Clutch Ass.</v>
          </cell>
          <cell r="T169">
            <v>4</v>
          </cell>
          <cell r="Y169">
            <v>1</v>
          </cell>
          <cell r="AA169">
            <v>3</v>
          </cell>
        </row>
        <row r="170">
          <cell r="A170">
            <v>0</v>
          </cell>
          <cell r="B170" t="str">
            <v>ALL VRTS</v>
          </cell>
          <cell r="G170" t="str">
            <v>D02</v>
          </cell>
          <cell r="J170" t="str">
            <v>V43</v>
          </cell>
          <cell r="L170">
            <v>0</v>
          </cell>
          <cell r="M170">
            <v>-1</v>
          </cell>
          <cell r="N170">
            <v>0</v>
          </cell>
          <cell r="O170">
            <v>2004</v>
          </cell>
          <cell r="P170" t="str">
            <v>DEARBORN PLANT BUILD</v>
          </cell>
          <cell r="Q170" t="str">
            <v>P221/P397</v>
          </cell>
          <cell r="R170" t="str">
            <v>ALL</v>
          </cell>
          <cell r="S170" t="str">
            <v>replaced fuel pump and driver module and fuse</v>
          </cell>
          <cell r="T170">
            <v>4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</row>
        <row r="171">
          <cell r="A171">
            <v>0</v>
          </cell>
          <cell r="B171" t="str">
            <v>ALL VRTS</v>
          </cell>
          <cell r="G171" t="str">
            <v>A85</v>
          </cell>
          <cell r="J171" t="str">
            <v>V19</v>
          </cell>
          <cell r="L171">
            <v>0</v>
          </cell>
          <cell r="M171">
            <v>-1</v>
          </cell>
          <cell r="N171">
            <v>-1</v>
          </cell>
          <cell r="O171">
            <v>2004</v>
          </cell>
          <cell r="P171" t="str">
            <v>DEARBORN PLANT BUILD</v>
          </cell>
          <cell r="Q171" t="str">
            <v>P221/P397</v>
          </cell>
          <cell r="R171" t="str">
            <v>ALL</v>
          </cell>
          <cell r="S171" t="str">
            <v>Replaced Keyless Entry Transmitter</v>
          </cell>
          <cell r="T171">
            <v>4</v>
          </cell>
          <cell r="Z171">
            <v>2</v>
          </cell>
          <cell r="AA171">
            <v>2</v>
          </cell>
        </row>
        <row r="172">
          <cell r="A172">
            <v>0</v>
          </cell>
          <cell r="B172" t="str">
            <v>ALL VRTS</v>
          </cell>
          <cell r="G172" t="str">
            <v>D21</v>
          </cell>
          <cell r="H172" t="str">
            <v>D42</v>
          </cell>
          <cell r="J172" t="str">
            <v>V42</v>
          </cell>
          <cell r="K172" t="str">
            <v>V41</v>
          </cell>
          <cell r="L172">
            <v>-1</v>
          </cell>
          <cell r="M172">
            <v>-1</v>
          </cell>
          <cell r="N172">
            <v>0</v>
          </cell>
          <cell r="O172">
            <v>2004</v>
          </cell>
          <cell r="P172" t="str">
            <v>DEARBORN PLANT BUILD</v>
          </cell>
          <cell r="Q172" t="str">
            <v>P221/P397</v>
          </cell>
          <cell r="R172" t="str">
            <v>ALL</v>
          </cell>
          <cell r="S172" t="str">
            <v>Replaced Mass air sensor</v>
          </cell>
          <cell r="T172">
            <v>4</v>
          </cell>
          <cell r="Z172">
            <v>1</v>
          </cell>
          <cell r="AA172">
            <v>1</v>
          </cell>
          <cell r="AB172">
            <v>2</v>
          </cell>
        </row>
        <row r="173">
          <cell r="A173">
            <v>0</v>
          </cell>
          <cell r="B173" t="str">
            <v>ALL VRTS</v>
          </cell>
          <cell r="C173" t="str">
            <v>T4 5580-2-G</v>
          </cell>
          <cell r="E173" t="str">
            <v>T4W01-09L</v>
          </cell>
          <cell r="G173" t="str">
            <v>M06</v>
          </cell>
          <cell r="J173" t="str">
            <v>V13</v>
          </cell>
          <cell r="L173">
            <v>0</v>
          </cell>
          <cell r="M173">
            <v>-1</v>
          </cell>
          <cell r="N173">
            <v>-1</v>
          </cell>
          <cell r="O173">
            <v>2004</v>
          </cell>
          <cell r="P173" t="str">
            <v>DEARBORN PLANT BUILD</v>
          </cell>
          <cell r="Q173" t="str">
            <v>P221/P397</v>
          </cell>
          <cell r="R173" t="str">
            <v>ALL</v>
          </cell>
          <cell r="S173" t="str">
            <v>Replaced Mirror</v>
          </cell>
          <cell r="T173">
            <v>4</v>
          </cell>
          <cell r="Z173">
            <v>2</v>
          </cell>
          <cell r="AA173">
            <v>2</v>
          </cell>
        </row>
        <row r="174">
          <cell r="A174">
            <v>0</v>
          </cell>
          <cell r="B174" t="str">
            <v>ALL VRTS</v>
          </cell>
          <cell r="G174" t="str">
            <v>A85</v>
          </cell>
          <cell r="H174" t="str">
            <v>C27</v>
          </cell>
          <cell r="J174" t="str">
            <v>V19</v>
          </cell>
          <cell r="L174">
            <v>0</v>
          </cell>
          <cell r="M174">
            <v>-1</v>
          </cell>
          <cell r="N174">
            <v>0</v>
          </cell>
          <cell r="O174">
            <v>2004</v>
          </cell>
          <cell r="P174" t="str">
            <v>DEARBORN PLANT BUILD</v>
          </cell>
          <cell r="Q174" t="str">
            <v>P221/P397</v>
          </cell>
          <cell r="R174" t="str">
            <v>ALL</v>
          </cell>
          <cell r="S174" t="str">
            <v>Replaced PCM APP code</v>
          </cell>
          <cell r="T174">
            <v>4</v>
          </cell>
          <cell r="Z174">
            <v>1</v>
          </cell>
          <cell r="AA174">
            <v>3</v>
          </cell>
        </row>
        <row r="175">
          <cell r="A175">
            <v>0</v>
          </cell>
          <cell r="B175" t="str">
            <v>ALL VRTS</v>
          </cell>
          <cell r="G175" t="str">
            <v>A34</v>
          </cell>
          <cell r="H175" t="str">
            <v>L25</v>
          </cell>
          <cell r="I175" t="str">
            <v>L26</v>
          </cell>
          <cell r="J175" t="str">
            <v>V77</v>
          </cell>
          <cell r="K175" t="str">
            <v>V83</v>
          </cell>
          <cell r="L175">
            <v>0</v>
          </cell>
          <cell r="M175">
            <v>-1</v>
          </cell>
          <cell r="N175">
            <v>-1</v>
          </cell>
          <cell r="O175">
            <v>2004</v>
          </cell>
          <cell r="P175" t="str">
            <v>DEARBORN PLANT BUILD</v>
          </cell>
          <cell r="Q175" t="str">
            <v>P221/P397</v>
          </cell>
          <cell r="R175" t="str">
            <v>ALL</v>
          </cell>
          <cell r="S175" t="str">
            <v>Replaced PDJB.</v>
          </cell>
          <cell r="T175">
            <v>4</v>
          </cell>
          <cell r="X175">
            <v>1</v>
          </cell>
          <cell r="AA175">
            <v>2</v>
          </cell>
          <cell r="AB175">
            <v>1</v>
          </cell>
        </row>
        <row r="176">
          <cell r="A176">
            <v>0</v>
          </cell>
          <cell r="B176" t="str">
            <v>ALL VRTS</v>
          </cell>
          <cell r="C176" t="str">
            <v>Trim Box 5390-2-B</v>
          </cell>
          <cell r="E176" t="str">
            <v>TBE16B</v>
          </cell>
          <cell r="G176" t="str">
            <v>B63</v>
          </cell>
          <cell r="H176" t="str">
            <v>B64</v>
          </cell>
          <cell r="I176" t="str">
            <v>B66</v>
          </cell>
          <cell r="J176" t="str">
            <v>V75</v>
          </cell>
          <cell r="L176">
            <v>0</v>
          </cell>
          <cell r="M176">
            <v>0</v>
          </cell>
          <cell r="N176">
            <v>-1</v>
          </cell>
          <cell r="O176">
            <v>2004</v>
          </cell>
          <cell r="P176" t="str">
            <v>DEARBORN PLANT BUILD</v>
          </cell>
          <cell r="Q176" t="str">
            <v>P221/P397</v>
          </cell>
          <cell r="R176" t="str">
            <v>ALL</v>
          </cell>
          <cell r="S176" t="str">
            <v>replaced tailgate mldg</v>
          </cell>
          <cell r="T176">
            <v>4</v>
          </cell>
          <cell r="W176">
            <v>1</v>
          </cell>
          <cell r="X176">
            <v>1</v>
          </cell>
          <cell r="Z176">
            <v>1</v>
          </cell>
          <cell r="AA176">
            <v>1</v>
          </cell>
        </row>
        <row r="177">
          <cell r="A177">
            <v>0</v>
          </cell>
          <cell r="B177" t="str">
            <v>ALL VRTS</v>
          </cell>
          <cell r="C177" t="str">
            <v>unsure</v>
          </cell>
          <cell r="E177" t="str">
            <v>T2E18R</v>
          </cell>
          <cell r="G177" t="str">
            <v>R04</v>
          </cell>
          <cell r="H177" t="str">
            <v>R05</v>
          </cell>
          <cell r="J177" t="str">
            <v>V37</v>
          </cell>
          <cell r="L177">
            <v>0</v>
          </cell>
          <cell r="M177">
            <v>0</v>
          </cell>
          <cell r="N177">
            <v>-1</v>
          </cell>
          <cell r="O177">
            <v>2004</v>
          </cell>
          <cell r="P177" t="str">
            <v>DEARBORN PLANT BUILD</v>
          </cell>
          <cell r="Q177" t="str">
            <v>P221/P397</v>
          </cell>
          <cell r="R177" t="str">
            <v>ALL</v>
          </cell>
          <cell r="S177" t="str">
            <v>Sealer skip around Rear Glass-Top</v>
          </cell>
          <cell r="T177">
            <v>4</v>
          </cell>
          <cell r="V177">
            <v>1</v>
          </cell>
          <cell r="AA177">
            <v>2</v>
          </cell>
          <cell r="AB177">
            <v>1</v>
          </cell>
        </row>
        <row r="178">
          <cell r="A178">
            <v>0</v>
          </cell>
          <cell r="B178" t="str">
            <v>ALL VRTS</v>
          </cell>
          <cell r="G178" t="str">
            <v>A99</v>
          </cell>
          <cell r="J178" t="str">
            <v>V99</v>
          </cell>
          <cell r="L178">
            <v>0</v>
          </cell>
          <cell r="M178">
            <v>-1</v>
          </cell>
          <cell r="N178">
            <v>0</v>
          </cell>
          <cell r="O178">
            <v>2004</v>
          </cell>
          <cell r="P178" t="str">
            <v>DEARBORN PLANT BUILD</v>
          </cell>
          <cell r="Q178" t="str">
            <v>P221/P397</v>
          </cell>
          <cell r="R178" t="str">
            <v>ALL</v>
          </cell>
          <cell r="S178" t="str">
            <v>Tonneau cover replaced</v>
          </cell>
          <cell r="T178">
            <v>4</v>
          </cell>
          <cell r="AA178">
            <v>2</v>
          </cell>
          <cell r="AB178">
            <v>2</v>
          </cell>
        </row>
        <row r="179">
          <cell r="A179">
            <v>0</v>
          </cell>
          <cell r="B179" t="str">
            <v>ALL VRTS</v>
          </cell>
          <cell r="G179" t="str">
            <v>TB6</v>
          </cell>
          <cell r="H179" t="str">
            <v>TB2</v>
          </cell>
          <cell r="J179" t="str">
            <v>V88</v>
          </cell>
          <cell r="L179">
            <v>0</v>
          </cell>
          <cell r="M179">
            <v>-1</v>
          </cell>
          <cell r="N179">
            <v>0</v>
          </cell>
          <cell r="O179">
            <v>2004</v>
          </cell>
          <cell r="P179" t="str">
            <v>DEARBORN PLANT BUILD</v>
          </cell>
          <cell r="Q179" t="str">
            <v>P221/P397</v>
          </cell>
          <cell r="R179" t="str">
            <v>ALL</v>
          </cell>
          <cell r="S179" t="str">
            <v>VALVE STEM - REPLACED</v>
          </cell>
          <cell r="T179">
            <v>4</v>
          </cell>
          <cell r="Y179">
            <v>3</v>
          </cell>
          <cell r="AA179">
            <v>1</v>
          </cell>
        </row>
        <row r="180">
          <cell r="A180">
            <v>0</v>
          </cell>
          <cell r="B180" t="str">
            <v>ALL VRTS</v>
          </cell>
          <cell r="G180" t="str">
            <v>C24</v>
          </cell>
          <cell r="H180" t="str">
            <v>C09</v>
          </cell>
          <cell r="J180" t="str">
            <v>V79</v>
          </cell>
          <cell r="L180">
            <v>0</v>
          </cell>
          <cell r="M180">
            <v>0</v>
          </cell>
          <cell r="N180">
            <v>-1</v>
          </cell>
          <cell r="O180">
            <v>2004</v>
          </cell>
          <cell r="P180" t="str">
            <v>DEARBORN PLANT BUILD</v>
          </cell>
          <cell r="Q180" t="str">
            <v>P221/P397</v>
          </cell>
          <cell r="R180" t="str">
            <v>ALL</v>
          </cell>
          <cell r="S180" t="str">
            <v>Water Cowl Behind EVAC</v>
          </cell>
          <cell r="T180">
            <v>4</v>
          </cell>
          <cell r="AA180">
            <v>3</v>
          </cell>
          <cell r="AB180">
            <v>1</v>
          </cell>
        </row>
        <row r="181">
          <cell r="A181">
            <v>0</v>
          </cell>
          <cell r="B181" t="str">
            <v>ALL VRTS</v>
          </cell>
          <cell r="G181" t="str">
            <v>G02</v>
          </cell>
          <cell r="J181" t="str">
            <v>V09</v>
          </cell>
          <cell r="L181">
            <v>0</v>
          </cell>
          <cell r="M181">
            <v>-1</v>
          </cell>
          <cell r="N181">
            <v>0</v>
          </cell>
          <cell r="O181">
            <v>2004</v>
          </cell>
          <cell r="P181" t="str">
            <v>DEARBORN PLANT BUILD</v>
          </cell>
          <cell r="Q181" t="str">
            <v>P221/P397</v>
          </cell>
          <cell r="R181" t="str">
            <v>ALL</v>
          </cell>
          <cell r="S181" t="str">
            <v>WINDSHIELD SCRATCH</v>
          </cell>
          <cell r="T181">
            <v>4</v>
          </cell>
          <cell r="Z181">
            <v>1</v>
          </cell>
          <cell r="AA181">
            <v>3</v>
          </cell>
        </row>
        <row r="182">
          <cell r="A182">
            <v>0</v>
          </cell>
          <cell r="B182" t="str">
            <v>ALL VRTS</v>
          </cell>
          <cell r="G182" t="str">
            <v>A87</v>
          </cell>
          <cell r="H182" t="str">
            <v>A85</v>
          </cell>
          <cell r="I182" t="str">
            <v>A88</v>
          </cell>
          <cell r="J182" t="str">
            <v>V17</v>
          </cell>
          <cell r="L182">
            <v>0</v>
          </cell>
          <cell r="M182">
            <v>0</v>
          </cell>
          <cell r="N182">
            <v>-1</v>
          </cell>
          <cell r="O182">
            <v>2004</v>
          </cell>
          <cell r="P182" t="str">
            <v>DEARBORN PLANT BUILD</v>
          </cell>
          <cell r="Q182" t="str">
            <v>P221/P397</v>
          </cell>
          <cell r="R182" t="str">
            <v>ALL</v>
          </cell>
          <cell r="S182" t="str">
            <v>Wires Trapped under Seat</v>
          </cell>
          <cell r="T182">
            <v>4</v>
          </cell>
          <cell r="AA182">
            <v>4</v>
          </cell>
        </row>
        <row r="183">
          <cell r="A183">
            <v>0</v>
          </cell>
          <cell r="B183" t="str">
            <v>ALL VRTS</v>
          </cell>
          <cell r="G183" t="str">
            <v>A18</v>
          </cell>
          <cell r="H183" t="str">
            <v>A06</v>
          </cell>
          <cell r="I183" t="str">
            <v>A16</v>
          </cell>
          <cell r="J183" t="str">
            <v>V81</v>
          </cell>
          <cell r="L183">
            <v>-1</v>
          </cell>
          <cell r="M183">
            <v>0</v>
          </cell>
          <cell r="N183">
            <v>0</v>
          </cell>
          <cell r="O183">
            <v>2004</v>
          </cell>
          <cell r="P183" t="str">
            <v>DEARBORN PLANT BUILD</v>
          </cell>
          <cell r="Q183" t="str">
            <v>P221/P397</v>
          </cell>
          <cell r="R183" t="str">
            <v>ALL</v>
          </cell>
          <cell r="S183" t="str">
            <v>Wrong Body Loom 005.</v>
          </cell>
          <cell r="T183">
            <v>4</v>
          </cell>
          <cell r="Y183">
            <v>2</v>
          </cell>
          <cell r="Z183">
            <v>1</v>
          </cell>
          <cell r="AA183">
            <v>1</v>
          </cell>
        </row>
        <row r="184">
          <cell r="A184">
            <v>0</v>
          </cell>
          <cell r="B184" t="str">
            <v>ALL VRTS</v>
          </cell>
          <cell r="C184" t="str">
            <v>6410</v>
          </cell>
          <cell r="E184" t="str">
            <v>C2E15FL</v>
          </cell>
          <cell r="G184" t="str">
            <v>H19</v>
          </cell>
          <cell r="H184" t="str">
            <v>H20</v>
          </cell>
          <cell r="J184" t="str">
            <v>V21</v>
          </cell>
          <cell r="L184">
            <v>0</v>
          </cell>
          <cell r="M184">
            <v>-1</v>
          </cell>
          <cell r="N184">
            <v>0</v>
          </cell>
          <cell r="O184">
            <v>2004</v>
          </cell>
          <cell r="P184" t="str">
            <v>DEARBORN PLANT BUILD</v>
          </cell>
          <cell r="Q184" t="str">
            <v>P221/P397</v>
          </cell>
          <cell r="R184" t="str">
            <v>ALL</v>
          </cell>
          <cell r="S184" t="str">
            <v>ABS AIR BRAKE VALVE-DEFECTIVE</v>
          </cell>
          <cell r="T184">
            <v>3</v>
          </cell>
          <cell r="AA184">
            <v>1</v>
          </cell>
          <cell r="AB184">
            <v>2</v>
          </cell>
        </row>
        <row r="185">
          <cell r="A185">
            <v>0</v>
          </cell>
          <cell r="B185" t="str">
            <v>ALL VRTS</v>
          </cell>
          <cell r="G185" t="str">
            <v>L07</v>
          </cell>
          <cell r="H185" t="str">
            <v>L16</v>
          </cell>
          <cell r="J185" t="str">
            <v>V07</v>
          </cell>
          <cell r="L185">
            <v>0</v>
          </cell>
          <cell r="M185">
            <v>0</v>
          </cell>
          <cell r="N185">
            <v>-1</v>
          </cell>
          <cell r="O185">
            <v>2004</v>
          </cell>
          <cell r="P185" t="str">
            <v>DEARBORN PLANT BUILD</v>
          </cell>
          <cell r="Q185" t="str">
            <v>P221/P397</v>
          </cell>
          <cell r="R185" t="str">
            <v>ALL</v>
          </cell>
          <cell r="S185" t="str">
            <v>ADJUST LOCK ROD</v>
          </cell>
          <cell r="T185">
            <v>3</v>
          </cell>
          <cell r="Y185">
            <v>1</v>
          </cell>
          <cell r="AA185">
            <v>2</v>
          </cell>
        </row>
        <row r="186">
          <cell r="A186">
            <v>0</v>
          </cell>
          <cell r="B186" t="str">
            <v>ALL VRTS</v>
          </cell>
          <cell r="G186" t="str">
            <v>A02</v>
          </cell>
          <cell r="H186" t="str">
            <v>A04</v>
          </cell>
          <cell r="J186" t="str">
            <v>V81</v>
          </cell>
          <cell r="L186">
            <v>0</v>
          </cell>
          <cell r="M186">
            <v>0</v>
          </cell>
          <cell r="N186">
            <v>-1</v>
          </cell>
          <cell r="O186">
            <v>2004</v>
          </cell>
          <cell r="P186" t="str">
            <v>DEARBORN PLANT BUILD</v>
          </cell>
          <cell r="Q186" t="str">
            <v>P221/P397</v>
          </cell>
          <cell r="R186" t="str">
            <v>ALL</v>
          </cell>
          <cell r="S186" t="str">
            <v>Antenna at mast not connected</v>
          </cell>
          <cell r="T186">
            <v>3</v>
          </cell>
          <cell r="Y186">
            <v>1</v>
          </cell>
          <cell r="AB186">
            <v>2</v>
          </cell>
        </row>
        <row r="187">
          <cell r="A187">
            <v>0</v>
          </cell>
          <cell r="B187" t="str">
            <v>ALL VRTS</v>
          </cell>
          <cell r="C187" t="str">
            <v>unsure</v>
          </cell>
          <cell r="E187" t="str">
            <v>T3E26R</v>
          </cell>
          <cell r="F187" t="str">
            <v>T3E22R</v>
          </cell>
          <cell r="G187" t="str">
            <v>N33</v>
          </cell>
          <cell r="H187" t="str">
            <v>N40</v>
          </cell>
          <cell r="J187" t="str">
            <v>V39</v>
          </cell>
          <cell r="L187">
            <v>0</v>
          </cell>
          <cell r="M187">
            <v>0</v>
          </cell>
          <cell r="N187">
            <v>-1</v>
          </cell>
          <cell r="O187">
            <v>2004</v>
          </cell>
          <cell r="P187" t="str">
            <v>DEARBORN PLANT BUILD</v>
          </cell>
          <cell r="Q187" t="str">
            <v>P221/P397</v>
          </cell>
          <cell r="R187" t="str">
            <v>ALL</v>
          </cell>
          <cell r="S187" t="str">
            <v>A-Pillar Trim Lse</v>
          </cell>
          <cell r="T187">
            <v>3</v>
          </cell>
          <cell r="AA187">
            <v>2</v>
          </cell>
          <cell r="AB187">
            <v>1</v>
          </cell>
        </row>
        <row r="188">
          <cell r="A188">
            <v>0</v>
          </cell>
          <cell r="B188" t="str">
            <v>ALL VRTS</v>
          </cell>
          <cell r="C188" t="str">
            <v>unsure</v>
          </cell>
          <cell r="E188" t="str">
            <v>T3E26R</v>
          </cell>
          <cell r="G188" t="str">
            <v>N33</v>
          </cell>
          <cell r="J188" t="str">
            <v>V39</v>
          </cell>
          <cell r="L188">
            <v>0</v>
          </cell>
          <cell r="M188">
            <v>0</v>
          </cell>
          <cell r="N188">
            <v>-1</v>
          </cell>
          <cell r="O188">
            <v>2004</v>
          </cell>
          <cell r="P188" t="str">
            <v>DEARBORN PLANT BUILD</v>
          </cell>
          <cell r="Q188" t="str">
            <v>P221/P397</v>
          </cell>
          <cell r="R188" t="str">
            <v>ALL</v>
          </cell>
          <cell r="S188" t="str">
            <v>A-Pillar Trim rubbing on Windshield</v>
          </cell>
          <cell r="T188">
            <v>3</v>
          </cell>
          <cell r="W188">
            <v>1</v>
          </cell>
          <cell r="AA188">
            <v>1</v>
          </cell>
          <cell r="AB188">
            <v>1</v>
          </cell>
        </row>
        <row r="189">
          <cell r="A189">
            <v>0</v>
          </cell>
          <cell r="B189" t="str">
            <v>ALL VRTS</v>
          </cell>
          <cell r="C189" t="str">
            <v>Trim 1 5440 -D</v>
          </cell>
          <cell r="D189" t="str">
            <v>Trim 1 5450 -D</v>
          </cell>
          <cell r="E189" t="str">
            <v>T1E02R</v>
          </cell>
          <cell r="F189" t="str">
            <v>T1W07L</v>
          </cell>
          <cell r="G189" t="str">
            <v>B66</v>
          </cell>
          <cell r="H189" t="str">
            <v>B63</v>
          </cell>
          <cell r="J189" t="str">
            <v>V75</v>
          </cell>
          <cell r="L189">
            <v>0</v>
          </cell>
          <cell r="M189">
            <v>0</v>
          </cell>
          <cell r="N189">
            <v>-1</v>
          </cell>
          <cell r="O189">
            <v>2004</v>
          </cell>
          <cell r="P189" t="str">
            <v>DEARBORN PLANT BUILD</v>
          </cell>
          <cell r="Q189" t="str">
            <v>P221/P397</v>
          </cell>
          <cell r="R189" t="str">
            <v>ALL</v>
          </cell>
          <cell r="S189" t="str">
            <v>B PILLAR APPLIQUE REPLACED</v>
          </cell>
          <cell r="T189">
            <v>3</v>
          </cell>
          <cell r="AA189">
            <v>2</v>
          </cell>
          <cell r="AB189">
            <v>1</v>
          </cell>
        </row>
        <row r="190">
          <cell r="A190">
            <v>0</v>
          </cell>
          <cell r="B190" t="str">
            <v>ALL VRTS</v>
          </cell>
          <cell r="G190" t="str">
            <v>K03</v>
          </cell>
          <cell r="J190" t="str">
            <v>V44</v>
          </cell>
          <cell r="L190">
            <v>-1</v>
          </cell>
          <cell r="M190">
            <v>-1</v>
          </cell>
          <cell r="N190">
            <v>0</v>
          </cell>
          <cell r="O190">
            <v>2004</v>
          </cell>
          <cell r="P190" t="str">
            <v>DEARBORN PLANT BUILD</v>
          </cell>
          <cell r="Q190" t="str">
            <v>P221/P397</v>
          </cell>
          <cell r="R190" t="str">
            <v>ALL</v>
          </cell>
          <cell r="S190" t="str">
            <v>Balanced Driveshaft</v>
          </cell>
          <cell r="T190">
            <v>3</v>
          </cell>
          <cell r="Y190">
            <v>1</v>
          </cell>
          <cell r="Z190">
            <v>1</v>
          </cell>
          <cell r="AA190">
            <v>1</v>
          </cell>
        </row>
        <row r="191">
          <cell r="A191">
            <v>0</v>
          </cell>
          <cell r="B191" t="str">
            <v>ALL VRTS</v>
          </cell>
          <cell r="G191" t="str">
            <v>C05</v>
          </cell>
          <cell r="H191" t="str">
            <v>C07</v>
          </cell>
          <cell r="J191" t="str">
            <v>V79</v>
          </cell>
          <cell r="L191">
            <v>0</v>
          </cell>
          <cell r="M191">
            <v>-1</v>
          </cell>
          <cell r="N191">
            <v>0</v>
          </cell>
          <cell r="O191">
            <v>2004</v>
          </cell>
          <cell r="P191" t="str">
            <v>DEARBORN PLANT BUILD</v>
          </cell>
          <cell r="Q191" t="str">
            <v>P221/P397</v>
          </cell>
          <cell r="R191" t="str">
            <v>ALL</v>
          </cell>
          <cell r="S191" t="str">
            <v>BLOWER Connecter on evap (visteon) poor connection</v>
          </cell>
          <cell r="T191">
            <v>3</v>
          </cell>
          <cell r="W191">
            <v>1</v>
          </cell>
          <cell r="Y191">
            <v>1</v>
          </cell>
          <cell r="Z191">
            <v>1</v>
          </cell>
        </row>
        <row r="192">
          <cell r="A192">
            <v>0</v>
          </cell>
          <cell r="B192" t="str">
            <v>ALL VRTS</v>
          </cell>
          <cell r="G192" t="str">
            <v>L26</v>
          </cell>
          <cell r="J192" t="str">
            <v>V77</v>
          </cell>
          <cell r="L192">
            <v>0</v>
          </cell>
          <cell r="M192">
            <v>-1</v>
          </cell>
          <cell r="N192">
            <v>0</v>
          </cell>
          <cell r="O192">
            <v>2004</v>
          </cell>
          <cell r="P192" t="str">
            <v>DEARBORN PLANT BUILD</v>
          </cell>
          <cell r="Q192" t="str">
            <v>P221/P397</v>
          </cell>
          <cell r="R192" t="str">
            <v>ALL</v>
          </cell>
          <cell r="S192" t="str">
            <v>Brake Switch replaced.</v>
          </cell>
          <cell r="T192">
            <v>3</v>
          </cell>
          <cell r="W192">
            <v>1</v>
          </cell>
          <cell r="Y192">
            <v>1</v>
          </cell>
          <cell r="AA192">
            <v>1</v>
          </cell>
        </row>
        <row r="193">
          <cell r="A193">
            <v>0</v>
          </cell>
          <cell r="B193" t="str">
            <v>ALL VRTS</v>
          </cell>
          <cell r="G193" t="str">
            <v>F41</v>
          </cell>
          <cell r="H193" t="str">
            <v>F37</v>
          </cell>
          <cell r="J193" t="str">
            <v>V75</v>
          </cell>
          <cell r="L193">
            <v>0</v>
          </cell>
          <cell r="M193">
            <v>-1</v>
          </cell>
          <cell r="N193">
            <v>0</v>
          </cell>
          <cell r="O193">
            <v>2004</v>
          </cell>
          <cell r="P193" t="str">
            <v>DEARBORN PLANT BUILD</v>
          </cell>
          <cell r="Q193" t="str">
            <v>P221/P397</v>
          </cell>
          <cell r="R193" t="str">
            <v>ALL</v>
          </cell>
          <cell r="S193" t="str">
            <v>Bumper buffed</v>
          </cell>
          <cell r="T193">
            <v>3</v>
          </cell>
          <cell r="Y193">
            <v>1</v>
          </cell>
          <cell r="AA193">
            <v>2</v>
          </cell>
        </row>
        <row r="194">
          <cell r="A194">
            <v>0</v>
          </cell>
          <cell r="B194" t="str">
            <v>ALL VRTS</v>
          </cell>
          <cell r="G194" t="str">
            <v>B07</v>
          </cell>
          <cell r="H194" t="str">
            <v>B66</v>
          </cell>
          <cell r="J194" t="str">
            <v>V75</v>
          </cell>
          <cell r="L194">
            <v>0</v>
          </cell>
          <cell r="M194">
            <v>-1</v>
          </cell>
          <cell r="N194">
            <v>0</v>
          </cell>
          <cell r="O194">
            <v>2004</v>
          </cell>
          <cell r="P194" t="str">
            <v>DEARBORN PLANT BUILD</v>
          </cell>
          <cell r="Q194" t="str">
            <v>P221/P397</v>
          </cell>
          <cell r="R194" t="str">
            <v>ALL</v>
          </cell>
          <cell r="S194" t="str">
            <v>Bumper Cover replaced</v>
          </cell>
          <cell r="T194">
            <v>3</v>
          </cell>
          <cell r="Z194">
            <v>1</v>
          </cell>
          <cell r="AA194">
            <v>1</v>
          </cell>
          <cell r="AB194">
            <v>1</v>
          </cell>
        </row>
        <row r="195">
          <cell r="A195">
            <v>0</v>
          </cell>
          <cell r="B195" t="str">
            <v>ALL VRTS</v>
          </cell>
          <cell r="G195" t="str">
            <v>B53</v>
          </cell>
          <cell r="J195" t="str">
            <v>V71</v>
          </cell>
          <cell r="L195">
            <v>0</v>
          </cell>
          <cell r="M195">
            <v>-1</v>
          </cell>
          <cell r="N195">
            <v>0</v>
          </cell>
          <cell r="O195">
            <v>2004</v>
          </cell>
          <cell r="P195" t="str">
            <v>DEARBORN PLANT BUILD</v>
          </cell>
          <cell r="Q195" t="str">
            <v>P221/P397</v>
          </cell>
          <cell r="R195" t="str">
            <v>ALL</v>
          </cell>
          <cell r="S195" t="str">
            <v>CLOCK SPRING LOOSE</v>
          </cell>
          <cell r="T195">
            <v>3</v>
          </cell>
          <cell r="Z195">
            <v>1</v>
          </cell>
          <cell r="AA195">
            <v>1</v>
          </cell>
          <cell r="AB195">
            <v>1</v>
          </cell>
        </row>
        <row r="196">
          <cell r="A196">
            <v>0</v>
          </cell>
          <cell r="B196" t="str">
            <v>ALL VRTS</v>
          </cell>
          <cell r="C196" t="str">
            <v>Chassis 7 Team 1</v>
          </cell>
          <cell r="E196" t="str">
            <v>C7E06R</v>
          </cell>
          <cell r="G196" t="str">
            <v>L26</v>
          </cell>
          <cell r="H196" t="str">
            <v>L29</v>
          </cell>
          <cell r="J196" t="str">
            <v>V77</v>
          </cell>
          <cell r="L196">
            <v>0</v>
          </cell>
          <cell r="M196">
            <v>0</v>
          </cell>
          <cell r="N196">
            <v>-1</v>
          </cell>
          <cell r="O196">
            <v>2004</v>
          </cell>
          <cell r="P196" t="str">
            <v>DEARBORN PLANT BUILD</v>
          </cell>
          <cell r="Q196" t="str">
            <v>P221/P397</v>
          </cell>
          <cell r="R196" t="str">
            <v>ALL</v>
          </cell>
          <cell r="S196" t="str">
            <v>Connector #405 poor connection</v>
          </cell>
          <cell r="T196">
            <v>3</v>
          </cell>
          <cell r="V196">
            <v>1</v>
          </cell>
          <cell r="AA196">
            <v>2</v>
          </cell>
        </row>
        <row r="197">
          <cell r="A197">
            <v>0</v>
          </cell>
          <cell r="B197" t="str">
            <v>ALL VRTS</v>
          </cell>
          <cell r="C197" t="str">
            <v>6500</v>
          </cell>
          <cell r="E197" t="str">
            <v>C4W22R</v>
          </cell>
          <cell r="G197" t="str">
            <v>S40</v>
          </cell>
          <cell r="J197" t="str">
            <v>V05</v>
          </cell>
          <cell r="L197">
            <v>0</v>
          </cell>
          <cell r="M197">
            <v>0</v>
          </cell>
          <cell r="N197">
            <v>-1</v>
          </cell>
          <cell r="O197">
            <v>2004</v>
          </cell>
          <cell r="P197" t="str">
            <v>DEARBORN PLANT BUILD</v>
          </cell>
          <cell r="Q197" t="str">
            <v>P221/P397</v>
          </cell>
          <cell r="R197" t="str">
            <v>ALL</v>
          </cell>
          <cell r="S197" t="str">
            <v>COVER DAMAGE</v>
          </cell>
          <cell r="T197">
            <v>3</v>
          </cell>
          <cell r="AA197">
            <v>1</v>
          </cell>
          <cell r="AB197">
            <v>2</v>
          </cell>
        </row>
        <row r="198">
          <cell r="A198">
            <v>0</v>
          </cell>
          <cell r="B198" t="str">
            <v>ALL VRTS</v>
          </cell>
          <cell r="C198" t="str">
            <v>5310</v>
          </cell>
          <cell r="D198" t="str">
            <v>5370</v>
          </cell>
          <cell r="E198" t="str">
            <v>TDW56R</v>
          </cell>
          <cell r="F198" t="str">
            <v>TDE47L</v>
          </cell>
          <cell r="G198" t="str">
            <v>B44</v>
          </cell>
          <cell r="J198" t="str">
            <v>V73</v>
          </cell>
          <cell r="L198">
            <v>0</v>
          </cell>
          <cell r="M198">
            <v>-1</v>
          </cell>
          <cell r="N198">
            <v>-1</v>
          </cell>
          <cell r="O198">
            <v>2004</v>
          </cell>
          <cell r="P198" t="str">
            <v>DEARBORN PLANT BUILD</v>
          </cell>
          <cell r="Q198" t="str">
            <v>P221/P397</v>
          </cell>
          <cell r="R198" t="str">
            <v>ALL</v>
          </cell>
          <cell r="S198" t="str">
            <v>CRACKED</v>
          </cell>
          <cell r="T198">
            <v>3</v>
          </cell>
          <cell r="Z198">
            <v>2</v>
          </cell>
          <cell r="AA198">
            <v>1</v>
          </cell>
        </row>
        <row r="199">
          <cell r="A199">
            <v>0</v>
          </cell>
          <cell r="B199" t="str">
            <v>ALL VRTS</v>
          </cell>
          <cell r="G199" t="str">
            <v>C05</v>
          </cell>
          <cell r="J199" t="str">
            <v>V79</v>
          </cell>
          <cell r="L199">
            <v>0</v>
          </cell>
          <cell r="M199">
            <v>-1</v>
          </cell>
          <cell r="N199">
            <v>0</v>
          </cell>
          <cell r="O199">
            <v>2004</v>
          </cell>
          <cell r="P199" t="str">
            <v>DEARBORN PLANT BUILD</v>
          </cell>
          <cell r="Q199" t="str">
            <v>P221/P397</v>
          </cell>
          <cell r="R199" t="str">
            <v>ALL</v>
          </cell>
          <cell r="S199" t="str">
            <v>Defective Pressure Switch, Re-placed switch.</v>
          </cell>
          <cell r="T199">
            <v>3</v>
          </cell>
          <cell r="X199">
            <v>1</v>
          </cell>
          <cell r="Y199">
            <v>1</v>
          </cell>
          <cell r="AA199">
            <v>1</v>
          </cell>
        </row>
        <row r="200">
          <cell r="A200">
            <v>0</v>
          </cell>
          <cell r="B200" t="str">
            <v>ALL VRTS</v>
          </cell>
          <cell r="G200" t="str">
            <v>B66</v>
          </cell>
          <cell r="J200" t="str">
            <v>V75</v>
          </cell>
          <cell r="L200">
            <v>0</v>
          </cell>
          <cell r="M200">
            <v>-1</v>
          </cell>
          <cell r="N200">
            <v>0</v>
          </cell>
          <cell r="O200">
            <v>2004</v>
          </cell>
          <cell r="P200" t="str">
            <v>DEARBORN PLANT BUILD</v>
          </cell>
          <cell r="Q200" t="str">
            <v>P221/P397</v>
          </cell>
          <cell r="R200" t="str">
            <v>ALL</v>
          </cell>
          <cell r="S200" t="str">
            <v>Door Handle replaced</v>
          </cell>
          <cell r="T200">
            <v>3</v>
          </cell>
          <cell r="Y200">
            <v>1</v>
          </cell>
          <cell r="Z200">
            <v>1</v>
          </cell>
          <cell r="AA200">
            <v>1</v>
          </cell>
        </row>
        <row r="201">
          <cell r="A201">
            <v>0</v>
          </cell>
          <cell r="B201" t="str">
            <v>ALL VRTS</v>
          </cell>
          <cell r="C201" t="str">
            <v>5350</v>
          </cell>
          <cell r="E201" t="str">
            <v>TDE31-l</v>
          </cell>
          <cell r="G201" t="str">
            <v>L15</v>
          </cell>
          <cell r="H201" t="str">
            <v>L07</v>
          </cell>
          <cell r="J201" t="str">
            <v>V07</v>
          </cell>
          <cell r="L201">
            <v>-1</v>
          </cell>
          <cell r="M201">
            <v>0</v>
          </cell>
          <cell r="N201">
            <v>-1</v>
          </cell>
          <cell r="O201">
            <v>2004</v>
          </cell>
          <cell r="P201" t="str">
            <v>DEARBORN PLANT BUILD</v>
          </cell>
          <cell r="Q201" t="str">
            <v>P221/P397</v>
          </cell>
          <cell r="R201" t="str">
            <v>ALL</v>
          </cell>
          <cell r="S201" t="str">
            <v>DOOR STRIKER RUSTY R&amp;L REAR</v>
          </cell>
          <cell r="T201">
            <v>3</v>
          </cell>
          <cell r="W201">
            <v>3</v>
          </cell>
        </row>
        <row r="202">
          <cell r="A202">
            <v>0</v>
          </cell>
          <cell r="B202" t="str">
            <v>ALL VRTS</v>
          </cell>
          <cell r="G202" t="str">
            <v>N17</v>
          </cell>
          <cell r="H202" t="str">
            <v>H20</v>
          </cell>
          <cell r="J202" t="str">
            <v>V21</v>
          </cell>
          <cell r="L202">
            <v>0</v>
          </cell>
          <cell r="M202">
            <v>-1</v>
          </cell>
          <cell r="N202">
            <v>0</v>
          </cell>
          <cell r="O202">
            <v>2004</v>
          </cell>
          <cell r="P202" t="str">
            <v>DEARBORN PLANT BUILD</v>
          </cell>
          <cell r="Q202" t="str">
            <v>P221/P397</v>
          </cell>
          <cell r="R202" t="str">
            <v>ALL</v>
          </cell>
          <cell r="S202" t="str">
            <v>DUST SHIELD  LOOSE - TIGHTENED</v>
          </cell>
          <cell r="T202">
            <v>3</v>
          </cell>
          <cell r="W202">
            <v>1</v>
          </cell>
          <cell r="AA202">
            <v>2</v>
          </cell>
        </row>
        <row r="203">
          <cell r="A203">
            <v>0</v>
          </cell>
          <cell r="B203" t="str">
            <v>ALL VRTS</v>
          </cell>
          <cell r="G203" t="str">
            <v>S06</v>
          </cell>
          <cell r="H203" t="str">
            <v>S56</v>
          </cell>
          <cell r="J203" t="str">
            <v>V03</v>
          </cell>
          <cell r="L203">
            <v>0</v>
          </cell>
          <cell r="M203">
            <v>-1</v>
          </cell>
          <cell r="N203">
            <v>0</v>
          </cell>
          <cell r="O203">
            <v>2004</v>
          </cell>
          <cell r="P203" t="str">
            <v>DEARBORN PLANT BUILD</v>
          </cell>
          <cell r="Q203" t="str">
            <v>P221/P397</v>
          </cell>
          <cell r="R203" t="str">
            <v>ALL</v>
          </cell>
          <cell r="S203" t="str">
            <v>ELECTRICAL</v>
          </cell>
          <cell r="T203">
            <v>3</v>
          </cell>
          <cell r="Z203">
            <v>1</v>
          </cell>
          <cell r="AA203">
            <v>2</v>
          </cell>
        </row>
        <row r="204">
          <cell r="A204">
            <v>0</v>
          </cell>
          <cell r="B204" t="str">
            <v>ALL VRTS</v>
          </cell>
          <cell r="C204" t="str">
            <v>unsure</v>
          </cell>
          <cell r="E204" t="str">
            <v>C2W28B</v>
          </cell>
          <cell r="G204" t="str">
            <v>N51</v>
          </cell>
          <cell r="H204" t="str">
            <v>B09</v>
          </cell>
          <cell r="J204" t="str">
            <v>V39</v>
          </cell>
          <cell r="L204">
            <v>0</v>
          </cell>
          <cell r="M204">
            <v>0</v>
          </cell>
          <cell r="N204">
            <v>-1</v>
          </cell>
          <cell r="O204">
            <v>2004</v>
          </cell>
          <cell r="P204" t="str">
            <v>DEARBORN PLANT BUILD</v>
          </cell>
          <cell r="Q204" t="str">
            <v>P221/P397</v>
          </cell>
          <cell r="R204" t="str">
            <v>ALL</v>
          </cell>
          <cell r="S204" t="str">
            <v>Exhaust Heat Shield not secure</v>
          </cell>
          <cell r="T204">
            <v>3</v>
          </cell>
          <cell r="W204">
            <v>1</v>
          </cell>
          <cell r="AA204">
            <v>2</v>
          </cell>
        </row>
        <row r="205">
          <cell r="A205">
            <v>0</v>
          </cell>
          <cell r="B205" t="str">
            <v>ALL VRTS</v>
          </cell>
          <cell r="G205" t="str">
            <v>N17</v>
          </cell>
          <cell r="H205" t="str">
            <v>H02</v>
          </cell>
          <cell r="J205" t="str">
            <v>V21</v>
          </cell>
          <cell r="L205">
            <v>-1</v>
          </cell>
          <cell r="M205">
            <v>-1</v>
          </cell>
          <cell r="N205">
            <v>0</v>
          </cell>
          <cell r="O205">
            <v>2004</v>
          </cell>
          <cell r="P205" t="str">
            <v>DEARBORN PLANT BUILD</v>
          </cell>
          <cell r="Q205" t="str">
            <v>P221/P397</v>
          </cell>
          <cell r="R205" t="str">
            <v>ALL</v>
          </cell>
          <cell r="S205" t="str">
            <v>FRONT BRAKE PADS - REPLACED</v>
          </cell>
          <cell r="T205">
            <v>3</v>
          </cell>
          <cell r="Y205">
            <v>1</v>
          </cell>
          <cell r="AA205">
            <v>1</v>
          </cell>
          <cell r="AB205">
            <v>1</v>
          </cell>
        </row>
        <row r="206">
          <cell r="A206">
            <v>0</v>
          </cell>
          <cell r="B206" t="str">
            <v>ALL VRTS</v>
          </cell>
          <cell r="G206" t="str">
            <v>G07</v>
          </cell>
          <cell r="H206" t="str">
            <v>G05</v>
          </cell>
          <cell r="J206" t="str">
            <v>V09</v>
          </cell>
          <cell r="L206">
            <v>0</v>
          </cell>
          <cell r="M206">
            <v>-1</v>
          </cell>
          <cell r="N206">
            <v>0</v>
          </cell>
          <cell r="O206">
            <v>2004</v>
          </cell>
          <cell r="P206" t="str">
            <v>DEARBORN PLANT BUILD</v>
          </cell>
          <cell r="Q206" t="str">
            <v>P221/P397</v>
          </cell>
          <cell r="R206" t="str">
            <v>ALL</v>
          </cell>
          <cell r="S206" t="str">
            <v>INSTALL NEW REGULATOR</v>
          </cell>
          <cell r="T206">
            <v>3</v>
          </cell>
          <cell r="AA206">
            <v>1</v>
          </cell>
          <cell r="AB206">
            <v>2</v>
          </cell>
        </row>
        <row r="207">
          <cell r="A207">
            <v>0</v>
          </cell>
          <cell r="B207" t="str">
            <v>ALL VRTS</v>
          </cell>
          <cell r="G207" t="str">
            <v>K03</v>
          </cell>
          <cell r="H207" t="str">
            <v>K02</v>
          </cell>
          <cell r="J207" t="str">
            <v>V44</v>
          </cell>
          <cell r="L207">
            <v>0</v>
          </cell>
          <cell r="M207">
            <v>-1</v>
          </cell>
          <cell r="N207">
            <v>0</v>
          </cell>
          <cell r="O207">
            <v>2004</v>
          </cell>
          <cell r="P207" t="str">
            <v>DEARBORN PLANT BUILD</v>
          </cell>
          <cell r="Q207" t="str">
            <v>P221/P397</v>
          </cell>
          <cell r="R207" t="str">
            <v>ALL</v>
          </cell>
          <cell r="S207" t="str">
            <v>Installed Damper</v>
          </cell>
          <cell r="T207">
            <v>3</v>
          </cell>
          <cell r="Z207">
            <v>1</v>
          </cell>
          <cell r="AA207">
            <v>2</v>
          </cell>
        </row>
        <row r="208">
          <cell r="A208">
            <v>0</v>
          </cell>
          <cell r="B208" t="str">
            <v>ALL VRTS</v>
          </cell>
          <cell r="C208" t="str">
            <v>unsure</v>
          </cell>
          <cell r="E208" t="str">
            <v>T3E22R</v>
          </cell>
          <cell r="G208" t="str">
            <v>N33</v>
          </cell>
          <cell r="H208" t="str">
            <v>N50</v>
          </cell>
          <cell r="J208" t="str">
            <v>V39</v>
          </cell>
          <cell r="L208">
            <v>0</v>
          </cell>
          <cell r="M208">
            <v>0</v>
          </cell>
          <cell r="N208">
            <v>-1</v>
          </cell>
          <cell r="O208">
            <v>2004</v>
          </cell>
          <cell r="P208" t="str">
            <v>DEARBORN PLANT BUILD</v>
          </cell>
          <cell r="Q208" t="str">
            <v>P221/P397</v>
          </cell>
          <cell r="R208" t="str">
            <v>ALL</v>
          </cell>
          <cell r="S208" t="str">
            <v>IP Bolt Loose - RT</v>
          </cell>
          <cell r="T208">
            <v>3</v>
          </cell>
          <cell r="AA208">
            <v>1</v>
          </cell>
          <cell r="AB208">
            <v>2</v>
          </cell>
        </row>
        <row r="209">
          <cell r="A209">
            <v>0</v>
          </cell>
          <cell r="B209" t="str">
            <v>ALL VRTS</v>
          </cell>
          <cell r="G209" t="str">
            <v>C01</v>
          </cell>
          <cell r="H209" t="str">
            <v>C02</v>
          </cell>
          <cell r="I209" t="str">
            <v>C05</v>
          </cell>
          <cell r="J209" t="str">
            <v>V79</v>
          </cell>
          <cell r="L209">
            <v>0</v>
          </cell>
          <cell r="M209">
            <v>0</v>
          </cell>
          <cell r="N209">
            <v>-1</v>
          </cell>
          <cell r="O209">
            <v>2004</v>
          </cell>
          <cell r="P209" t="str">
            <v>DEARBORN PLANT BUILD</v>
          </cell>
          <cell r="Q209" t="str">
            <v>P221/P397</v>
          </cell>
          <cell r="R209" t="str">
            <v>ALL</v>
          </cell>
          <cell r="S209" t="str">
            <v>Leak at liquid line to condensor</v>
          </cell>
          <cell r="T209">
            <v>3</v>
          </cell>
          <cell r="W209">
            <v>1</v>
          </cell>
          <cell r="Y209">
            <v>1</v>
          </cell>
          <cell r="Z209">
            <v>1</v>
          </cell>
        </row>
        <row r="210">
          <cell r="A210">
            <v>0</v>
          </cell>
          <cell r="B210" t="str">
            <v>ALL VRTS</v>
          </cell>
          <cell r="G210" t="str">
            <v>W05</v>
          </cell>
          <cell r="J210" t="str">
            <v>V16</v>
          </cell>
          <cell r="L210">
            <v>0</v>
          </cell>
          <cell r="M210">
            <v>-1</v>
          </cell>
          <cell r="N210">
            <v>0</v>
          </cell>
          <cell r="O210">
            <v>2004</v>
          </cell>
          <cell r="P210" t="str">
            <v>DEARBORN PLANT BUILD</v>
          </cell>
          <cell r="Q210" t="str">
            <v>P221/P397</v>
          </cell>
          <cell r="R210" t="str">
            <v>ALL</v>
          </cell>
          <cell r="S210" t="str">
            <v>Lse Connector Multi-Function</v>
          </cell>
          <cell r="T210">
            <v>3</v>
          </cell>
          <cell r="Y210">
            <v>1</v>
          </cell>
          <cell r="AB210">
            <v>2</v>
          </cell>
        </row>
        <row r="211">
          <cell r="A211">
            <v>0</v>
          </cell>
          <cell r="B211" t="str">
            <v>ALL VRTS</v>
          </cell>
          <cell r="G211" t="str">
            <v>A06</v>
          </cell>
          <cell r="H211" t="str">
            <v>A07</v>
          </cell>
          <cell r="J211" t="str">
            <v>V81</v>
          </cell>
          <cell r="L211">
            <v>0</v>
          </cell>
          <cell r="M211">
            <v>0</v>
          </cell>
          <cell r="N211">
            <v>-1</v>
          </cell>
          <cell r="O211">
            <v>2004</v>
          </cell>
          <cell r="P211" t="str">
            <v>DEARBORN PLANT BUILD</v>
          </cell>
          <cell r="Q211" t="str">
            <v>P221/P397</v>
          </cell>
          <cell r="R211" t="str">
            <v>ALL</v>
          </cell>
          <cell r="S211" t="str">
            <v>N/C Speaker</v>
          </cell>
          <cell r="T211">
            <v>3</v>
          </cell>
          <cell r="X211">
            <v>2</v>
          </cell>
          <cell r="Z211">
            <v>1</v>
          </cell>
        </row>
        <row r="212">
          <cell r="A212">
            <v>0</v>
          </cell>
          <cell r="B212" t="str">
            <v>ALL VRTS</v>
          </cell>
          <cell r="G212" t="str">
            <v>A85</v>
          </cell>
          <cell r="H212" t="str">
            <v>A88</v>
          </cell>
          <cell r="J212" t="str">
            <v>V17</v>
          </cell>
          <cell r="L212">
            <v>0</v>
          </cell>
          <cell r="M212">
            <v>0</v>
          </cell>
          <cell r="N212">
            <v>-1</v>
          </cell>
          <cell r="O212">
            <v>2004</v>
          </cell>
          <cell r="P212" t="str">
            <v>DEARBORN PLANT BUILD</v>
          </cell>
          <cell r="Q212" t="str">
            <v>P221/P397</v>
          </cell>
          <cell r="R212" t="str">
            <v>ALL</v>
          </cell>
          <cell r="S212" t="str">
            <v>No Connect at Module</v>
          </cell>
          <cell r="T212">
            <v>3</v>
          </cell>
          <cell r="W212">
            <v>1</v>
          </cell>
          <cell r="X212">
            <v>1</v>
          </cell>
          <cell r="AB212">
            <v>1</v>
          </cell>
        </row>
        <row r="213">
          <cell r="A213">
            <v>0</v>
          </cell>
          <cell r="B213" t="str">
            <v>ALL VRTS</v>
          </cell>
          <cell r="G213" t="str">
            <v>A87</v>
          </cell>
          <cell r="H213" t="str">
            <v>A88</v>
          </cell>
          <cell r="J213" t="str">
            <v>V17</v>
          </cell>
          <cell r="L213">
            <v>0</v>
          </cell>
          <cell r="M213">
            <v>0</v>
          </cell>
          <cell r="N213">
            <v>-1</v>
          </cell>
          <cell r="O213">
            <v>2004</v>
          </cell>
          <cell r="P213" t="str">
            <v>DEARBORN PLANT BUILD</v>
          </cell>
          <cell r="Q213" t="str">
            <v>P221/P397</v>
          </cell>
          <cell r="R213" t="str">
            <v>ALL</v>
          </cell>
          <cell r="S213" t="str">
            <v>Open Circult 120, Fuse replaced.</v>
          </cell>
          <cell r="T213">
            <v>3</v>
          </cell>
          <cell r="W213">
            <v>1</v>
          </cell>
          <cell r="Z213">
            <v>1</v>
          </cell>
          <cell r="AA213">
            <v>1</v>
          </cell>
        </row>
        <row r="214">
          <cell r="A214">
            <v>0</v>
          </cell>
          <cell r="B214" t="str">
            <v>ALL VRTS</v>
          </cell>
          <cell r="G214" t="str">
            <v>C05</v>
          </cell>
          <cell r="H214" t="str">
            <v>C02</v>
          </cell>
          <cell r="J214" t="str">
            <v>V79</v>
          </cell>
          <cell r="L214">
            <v>0</v>
          </cell>
          <cell r="M214">
            <v>0</v>
          </cell>
          <cell r="N214">
            <v>-1</v>
          </cell>
          <cell r="O214">
            <v>2004</v>
          </cell>
          <cell r="P214" t="str">
            <v>DEARBORN PLANT BUILD</v>
          </cell>
          <cell r="Q214" t="str">
            <v>P221/P397</v>
          </cell>
          <cell r="R214" t="str">
            <v>ALL</v>
          </cell>
          <cell r="S214" t="str">
            <v>Open Circult.</v>
          </cell>
          <cell r="T214">
            <v>3</v>
          </cell>
          <cell r="X214">
            <v>1</v>
          </cell>
          <cell r="AA214">
            <v>2</v>
          </cell>
        </row>
        <row r="215">
          <cell r="A215">
            <v>0</v>
          </cell>
          <cell r="B215" t="str">
            <v>ALL VRTS</v>
          </cell>
          <cell r="G215" t="str">
            <v>S39</v>
          </cell>
          <cell r="J215" t="str">
            <v>V05</v>
          </cell>
          <cell r="L215">
            <v>-1</v>
          </cell>
          <cell r="M215">
            <v>0</v>
          </cell>
          <cell r="N215">
            <v>0</v>
          </cell>
          <cell r="O215">
            <v>2004</v>
          </cell>
          <cell r="P215" t="str">
            <v>DEARBORN PLANT BUILD</v>
          </cell>
          <cell r="Q215" t="str">
            <v>P221/P397</v>
          </cell>
          <cell r="R215" t="str">
            <v>ALL</v>
          </cell>
          <cell r="S215" t="str">
            <v>PASS. SEAT-NPF</v>
          </cell>
          <cell r="T215">
            <v>3</v>
          </cell>
          <cell r="W215">
            <v>1</v>
          </cell>
          <cell r="Y215">
            <v>1</v>
          </cell>
          <cell r="AA215">
            <v>1</v>
          </cell>
        </row>
        <row r="216">
          <cell r="A216">
            <v>0</v>
          </cell>
          <cell r="B216" t="str">
            <v>ALL VRTS</v>
          </cell>
          <cell r="C216" t="str">
            <v>Trim 3 5560-2-F</v>
          </cell>
          <cell r="D216" t="str">
            <v>Trim 4 5690-2-G</v>
          </cell>
          <cell r="E216" t="str">
            <v>T3E34 R</v>
          </cell>
          <cell r="F216" t="str">
            <v>T4W19L</v>
          </cell>
          <cell r="G216" t="str">
            <v>B66</v>
          </cell>
          <cell r="H216" t="str">
            <v>B65</v>
          </cell>
          <cell r="I216" t="str">
            <v>B63</v>
          </cell>
          <cell r="J216" t="str">
            <v>V75</v>
          </cell>
          <cell r="L216">
            <v>0</v>
          </cell>
          <cell r="M216">
            <v>0</v>
          </cell>
          <cell r="N216">
            <v>-1</v>
          </cell>
          <cell r="O216">
            <v>2004</v>
          </cell>
          <cell r="P216" t="str">
            <v>DEARBORN PLANT BUILD</v>
          </cell>
          <cell r="Q216" t="str">
            <v>P221/P397</v>
          </cell>
          <cell r="R216" t="str">
            <v>ALL</v>
          </cell>
          <cell r="S216" t="str">
            <v>push pin installed</v>
          </cell>
          <cell r="T216">
            <v>3</v>
          </cell>
          <cell r="W216">
            <v>1</v>
          </cell>
          <cell r="AA216">
            <v>2</v>
          </cell>
        </row>
        <row r="217">
          <cell r="A217">
            <v>0</v>
          </cell>
          <cell r="B217" t="str">
            <v>ALL VRTS</v>
          </cell>
          <cell r="G217" t="str">
            <v>E29</v>
          </cell>
          <cell r="J217" t="str">
            <v>V44</v>
          </cell>
          <cell r="L217">
            <v>-1</v>
          </cell>
          <cell r="M217">
            <v>-1</v>
          </cell>
          <cell r="N217">
            <v>0</v>
          </cell>
          <cell r="O217">
            <v>2004</v>
          </cell>
          <cell r="P217" t="str">
            <v>DEARBORN PLANT BUILD</v>
          </cell>
          <cell r="Q217" t="str">
            <v>P221/P397</v>
          </cell>
          <cell r="R217" t="str">
            <v>ALL</v>
          </cell>
          <cell r="S217" t="str">
            <v>R&amp;R Gas Tank</v>
          </cell>
          <cell r="T217">
            <v>3</v>
          </cell>
          <cell r="Z217">
            <v>1</v>
          </cell>
          <cell r="AA217">
            <v>2</v>
          </cell>
        </row>
        <row r="218">
          <cell r="A218">
            <v>0</v>
          </cell>
          <cell r="B218" t="str">
            <v>ALL VRTS</v>
          </cell>
          <cell r="G218" t="str">
            <v>A07</v>
          </cell>
          <cell r="H218" t="str">
            <v>A04</v>
          </cell>
          <cell r="J218" t="str">
            <v>V81</v>
          </cell>
          <cell r="L218">
            <v>0</v>
          </cell>
          <cell r="M218">
            <v>-1</v>
          </cell>
          <cell r="N218">
            <v>0</v>
          </cell>
          <cell r="O218">
            <v>2004</v>
          </cell>
          <cell r="P218" t="str">
            <v>DEARBORN PLANT BUILD</v>
          </cell>
          <cell r="Q218" t="str">
            <v>P221/P397</v>
          </cell>
          <cell r="R218" t="str">
            <v>ALL</v>
          </cell>
          <cell r="S218" t="str">
            <v>Radio Reinstalled, Repaired shorted wiring.</v>
          </cell>
          <cell r="T218">
            <v>3</v>
          </cell>
          <cell r="AA218">
            <v>1</v>
          </cell>
          <cell r="AB218">
            <v>2</v>
          </cell>
        </row>
        <row r="219">
          <cell r="A219">
            <v>0</v>
          </cell>
          <cell r="B219" t="str">
            <v>ALL VRTS</v>
          </cell>
          <cell r="C219" t="str">
            <v>Trim2 Team 4</v>
          </cell>
          <cell r="E219" t="str">
            <v>T2W35L</v>
          </cell>
          <cell r="G219" t="str">
            <v>L25</v>
          </cell>
          <cell r="J219" t="str">
            <v>V77</v>
          </cell>
          <cell r="L219">
            <v>0</v>
          </cell>
          <cell r="M219">
            <v>0</v>
          </cell>
          <cell r="N219">
            <v>-1</v>
          </cell>
          <cell r="O219">
            <v>2004</v>
          </cell>
          <cell r="P219" t="str">
            <v>DEARBORN PLANT BUILD</v>
          </cell>
          <cell r="Q219" t="str">
            <v>P221/P397</v>
          </cell>
          <cell r="R219" t="str">
            <v>ALL</v>
          </cell>
          <cell r="S219" t="str">
            <v>Repaired connector pins at c pillar</v>
          </cell>
          <cell r="T219">
            <v>3</v>
          </cell>
          <cell r="W219">
            <v>1</v>
          </cell>
          <cell r="X219">
            <v>1</v>
          </cell>
          <cell r="AA219">
            <v>1</v>
          </cell>
        </row>
        <row r="220">
          <cell r="A220">
            <v>0</v>
          </cell>
          <cell r="B220" t="str">
            <v>ALL VRTS</v>
          </cell>
          <cell r="G220" t="str">
            <v>L26</v>
          </cell>
          <cell r="H220" t="str">
            <v>L29</v>
          </cell>
          <cell r="J220" t="str">
            <v>V77</v>
          </cell>
          <cell r="L220">
            <v>0</v>
          </cell>
          <cell r="M220">
            <v>0</v>
          </cell>
          <cell r="N220">
            <v>-1</v>
          </cell>
          <cell r="O220">
            <v>2004</v>
          </cell>
          <cell r="P220" t="str">
            <v>DEARBORN PLANT BUILD</v>
          </cell>
          <cell r="Q220" t="str">
            <v>P221/P397</v>
          </cell>
          <cell r="R220" t="str">
            <v>ALL</v>
          </cell>
          <cell r="S220" t="str">
            <v>Repaired wiring.</v>
          </cell>
          <cell r="T220">
            <v>3</v>
          </cell>
          <cell r="Y220">
            <v>2</v>
          </cell>
          <cell r="AA220">
            <v>1</v>
          </cell>
        </row>
        <row r="221">
          <cell r="A221">
            <v>0</v>
          </cell>
          <cell r="B221" t="str">
            <v>ALL VRTS</v>
          </cell>
          <cell r="G221" t="str">
            <v>L26</v>
          </cell>
          <cell r="H221" t="str">
            <v>L30</v>
          </cell>
          <cell r="J221" t="str">
            <v>V77</v>
          </cell>
          <cell r="L221">
            <v>0</v>
          </cell>
          <cell r="M221">
            <v>-1</v>
          </cell>
          <cell r="N221">
            <v>0</v>
          </cell>
          <cell r="O221">
            <v>2004</v>
          </cell>
          <cell r="P221" t="str">
            <v>DEARBORN PLANT BUILD</v>
          </cell>
          <cell r="Q221" t="str">
            <v>P221/P397</v>
          </cell>
          <cell r="R221" t="str">
            <v>ALL</v>
          </cell>
          <cell r="S221" t="str">
            <v>Replace fuse.</v>
          </cell>
          <cell r="T221">
            <v>3</v>
          </cell>
          <cell r="Y221">
            <v>1</v>
          </cell>
          <cell r="AA221">
            <v>1</v>
          </cell>
          <cell r="AB221">
            <v>1</v>
          </cell>
        </row>
        <row r="222">
          <cell r="A222">
            <v>0</v>
          </cell>
          <cell r="B222" t="str">
            <v>ALL VRTS</v>
          </cell>
          <cell r="G222" t="str">
            <v>A85</v>
          </cell>
          <cell r="J222" t="str">
            <v>V17</v>
          </cell>
          <cell r="L222">
            <v>0</v>
          </cell>
          <cell r="M222">
            <v>-1</v>
          </cell>
          <cell r="N222">
            <v>0</v>
          </cell>
          <cell r="O222">
            <v>2004</v>
          </cell>
          <cell r="P222" t="str">
            <v>DEARBORN PLANT BUILD</v>
          </cell>
          <cell r="Q222" t="str">
            <v>P221/P397</v>
          </cell>
          <cell r="R222" t="str">
            <v>ALL</v>
          </cell>
          <cell r="S222" t="str">
            <v>Replace Mirror and Motor.</v>
          </cell>
          <cell r="T222">
            <v>3</v>
          </cell>
          <cell r="Y222">
            <v>1</v>
          </cell>
          <cell r="Z222">
            <v>1</v>
          </cell>
          <cell r="AA222">
            <v>1</v>
          </cell>
        </row>
        <row r="223">
          <cell r="A223">
            <v>0</v>
          </cell>
          <cell r="B223" t="str">
            <v>ALL VRTS</v>
          </cell>
          <cell r="C223" t="str">
            <v>6540</v>
          </cell>
          <cell r="E223" t="str">
            <v>C5E23L</v>
          </cell>
          <cell r="G223" t="str">
            <v>D50</v>
          </cell>
          <cell r="J223" t="str">
            <v>V44</v>
          </cell>
          <cell r="L223">
            <v>0</v>
          </cell>
          <cell r="M223">
            <v>-1</v>
          </cell>
          <cell r="N223">
            <v>0</v>
          </cell>
          <cell r="O223">
            <v>2004</v>
          </cell>
          <cell r="P223" t="str">
            <v>DEARBORN PLANT BUILD</v>
          </cell>
          <cell r="Q223" t="str">
            <v>P221/P397</v>
          </cell>
          <cell r="R223" t="str">
            <v>ALL</v>
          </cell>
          <cell r="S223" t="str">
            <v>replaced air filter mounting clip</v>
          </cell>
          <cell r="T223">
            <v>3</v>
          </cell>
          <cell r="Y223">
            <v>1</v>
          </cell>
          <cell r="Z223">
            <v>1</v>
          </cell>
          <cell r="AA223">
            <v>1</v>
          </cell>
        </row>
        <row r="224">
          <cell r="A224">
            <v>0</v>
          </cell>
          <cell r="B224" t="str">
            <v>ALL VRTS</v>
          </cell>
          <cell r="G224" t="str">
            <v>P59</v>
          </cell>
          <cell r="J224" t="str">
            <v>V48</v>
          </cell>
          <cell r="L224">
            <v>0</v>
          </cell>
          <cell r="M224">
            <v>-1</v>
          </cell>
          <cell r="N224">
            <v>0</v>
          </cell>
          <cell r="O224">
            <v>2004</v>
          </cell>
          <cell r="P224" t="str">
            <v>DEARBORN PLANT BUILD</v>
          </cell>
          <cell r="Q224" t="str">
            <v>P221/P397</v>
          </cell>
          <cell r="R224" t="str">
            <v>ALL</v>
          </cell>
          <cell r="S224" t="str">
            <v>Replaced Bulkhead asy</v>
          </cell>
          <cell r="T224">
            <v>3</v>
          </cell>
          <cell r="AA224">
            <v>2</v>
          </cell>
          <cell r="AB224">
            <v>1</v>
          </cell>
        </row>
        <row r="225">
          <cell r="A225">
            <v>0</v>
          </cell>
          <cell r="B225" t="str">
            <v>ALL VRTS</v>
          </cell>
          <cell r="G225" t="str">
            <v>E29</v>
          </cell>
          <cell r="J225" t="str">
            <v>V44</v>
          </cell>
          <cell r="L225">
            <v>-1</v>
          </cell>
          <cell r="M225">
            <v>-1</v>
          </cell>
          <cell r="N225">
            <v>0</v>
          </cell>
          <cell r="O225">
            <v>2004</v>
          </cell>
          <cell r="P225" t="str">
            <v>DEARBORN PLANT BUILD</v>
          </cell>
          <cell r="Q225" t="str">
            <v>P221/P397</v>
          </cell>
          <cell r="R225" t="str">
            <v>ALL</v>
          </cell>
          <cell r="S225" t="str">
            <v>replaced cam gear &amp; valve</v>
          </cell>
          <cell r="T225">
            <v>3</v>
          </cell>
          <cell r="X225">
            <v>2</v>
          </cell>
          <cell r="Y225">
            <v>1</v>
          </cell>
        </row>
        <row r="226">
          <cell r="A226">
            <v>0</v>
          </cell>
          <cell r="B226" t="str">
            <v>ALL VRTS</v>
          </cell>
          <cell r="G226" t="str">
            <v>A37</v>
          </cell>
          <cell r="H226" t="str">
            <v>G30</v>
          </cell>
          <cell r="I226" t="str">
            <v>G32</v>
          </cell>
          <cell r="J226" t="str">
            <v>V83</v>
          </cell>
          <cell r="L226">
            <v>0</v>
          </cell>
          <cell r="M226">
            <v>-1</v>
          </cell>
          <cell r="N226">
            <v>0</v>
          </cell>
          <cell r="O226">
            <v>2004</v>
          </cell>
          <cell r="P226" t="str">
            <v>DEARBORN PLANT BUILD</v>
          </cell>
          <cell r="Q226" t="str">
            <v>P221/P397</v>
          </cell>
          <cell r="R226" t="str">
            <v>ALL</v>
          </cell>
          <cell r="S226" t="str">
            <v>Replaced Cluster.</v>
          </cell>
          <cell r="T226">
            <v>3</v>
          </cell>
          <cell r="AA226">
            <v>2</v>
          </cell>
          <cell r="AB226">
            <v>1</v>
          </cell>
        </row>
        <row r="227">
          <cell r="A227">
            <v>0</v>
          </cell>
          <cell r="B227" t="str">
            <v>ALL VRTS</v>
          </cell>
          <cell r="C227" t="str">
            <v>6500</v>
          </cell>
          <cell r="E227" t="str">
            <v>C4E21L</v>
          </cell>
          <cell r="G227" t="str">
            <v>L72</v>
          </cell>
          <cell r="J227" t="str">
            <v>V44</v>
          </cell>
          <cell r="L227">
            <v>-1</v>
          </cell>
          <cell r="M227">
            <v>0</v>
          </cell>
          <cell r="N227">
            <v>-1</v>
          </cell>
          <cell r="O227">
            <v>2004</v>
          </cell>
          <cell r="P227" t="str">
            <v>DEARBORN PLANT BUILD</v>
          </cell>
          <cell r="Q227" t="str">
            <v>P221/P397</v>
          </cell>
          <cell r="R227" t="str">
            <v>ALL</v>
          </cell>
          <cell r="S227" t="str">
            <v>replaced cooler line</v>
          </cell>
          <cell r="T227">
            <v>3</v>
          </cell>
          <cell r="Z227">
            <v>3</v>
          </cell>
        </row>
        <row r="228">
          <cell r="A228">
            <v>0</v>
          </cell>
          <cell r="B228" t="str">
            <v>ALL VRTS</v>
          </cell>
          <cell r="G228" t="str">
            <v>E29</v>
          </cell>
          <cell r="H228" t="str">
            <v>D21</v>
          </cell>
          <cell r="J228" t="str">
            <v>V44</v>
          </cell>
          <cell r="K228" t="str">
            <v>V42</v>
          </cell>
          <cell r="L228">
            <v>-1</v>
          </cell>
          <cell r="M228">
            <v>-1</v>
          </cell>
          <cell r="N228">
            <v>0</v>
          </cell>
          <cell r="O228">
            <v>2004</v>
          </cell>
          <cell r="P228" t="str">
            <v>DEARBORN PLANT BUILD</v>
          </cell>
          <cell r="Q228" t="str">
            <v>P221/P397</v>
          </cell>
          <cell r="R228" t="str">
            <v>ALL</v>
          </cell>
          <cell r="S228" t="str">
            <v>Replaced Crank Sensor</v>
          </cell>
          <cell r="T228">
            <v>3</v>
          </cell>
          <cell r="AA228">
            <v>1</v>
          </cell>
          <cell r="AB228">
            <v>2</v>
          </cell>
        </row>
        <row r="229">
          <cell r="A229">
            <v>0</v>
          </cell>
          <cell r="B229" t="str">
            <v>ALL VRTS</v>
          </cell>
          <cell r="G229" t="str">
            <v>A85</v>
          </cell>
          <cell r="H229" t="str">
            <v>A87</v>
          </cell>
          <cell r="J229" t="str">
            <v>V17</v>
          </cell>
          <cell r="L229">
            <v>0</v>
          </cell>
          <cell r="M229">
            <v>0</v>
          </cell>
          <cell r="N229">
            <v>-1</v>
          </cell>
          <cell r="O229">
            <v>2004</v>
          </cell>
          <cell r="P229" t="str">
            <v>DEARBORN PLANT BUILD</v>
          </cell>
          <cell r="Q229" t="str">
            <v>P221/P397</v>
          </cell>
          <cell r="R229" t="str">
            <v>ALL</v>
          </cell>
          <cell r="S229" t="str">
            <v>Replaced Fuse</v>
          </cell>
          <cell r="T229">
            <v>3</v>
          </cell>
          <cell r="Z229">
            <v>1</v>
          </cell>
          <cell r="AB229">
            <v>2</v>
          </cell>
        </row>
        <row r="230">
          <cell r="A230">
            <v>0</v>
          </cell>
          <cell r="B230" t="str">
            <v>ALL VRTS</v>
          </cell>
          <cell r="G230" t="str">
            <v>L25</v>
          </cell>
          <cell r="H230" t="str">
            <v>L26</v>
          </cell>
          <cell r="I230" t="str">
            <v>L29</v>
          </cell>
          <cell r="J230" t="str">
            <v>V77</v>
          </cell>
          <cell r="L230">
            <v>0</v>
          </cell>
          <cell r="M230">
            <v>-1</v>
          </cell>
          <cell r="N230">
            <v>0</v>
          </cell>
          <cell r="O230">
            <v>2004</v>
          </cell>
          <cell r="P230" t="str">
            <v>DEARBORN PLANT BUILD</v>
          </cell>
          <cell r="Q230" t="str">
            <v>P221/P397</v>
          </cell>
          <cell r="R230" t="str">
            <v>ALL</v>
          </cell>
          <cell r="S230" t="str">
            <v>Replaced Headlamp Swith.</v>
          </cell>
          <cell r="T230">
            <v>3</v>
          </cell>
          <cell r="Z230">
            <v>2</v>
          </cell>
          <cell r="AB230">
            <v>1</v>
          </cell>
        </row>
        <row r="231">
          <cell r="A231">
            <v>0</v>
          </cell>
          <cell r="B231" t="str">
            <v>ALL VRTS</v>
          </cell>
          <cell r="G231" t="str">
            <v>C27</v>
          </cell>
          <cell r="J231" t="str">
            <v>V19</v>
          </cell>
          <cell r="L231">
            <v>0</v>
          </cell>
          <cell r="M231">
            <v>-1</v>
          </cell>
          <cell r="N231">
            <v>0</v>
          </cell>
          <cell r="O231">
            <v>2004</v>
          </cell>
          <cell r="P231" t="str">
            <v>DEARBORN PLANT BUILD</v>
          </cell>
          <cell r="Q231" t="str">
            <v>P221/P397</v>
          </cell>
          <cell r="R231" t="str">
            <v>ALL</v>
          </cell>
          <cell r="S231" t="str">
            <v>Replaced Window Motor</v>
          </cell>
          <cell r="T231">
            <v>3</v>
          </cell>
          <cell r="Z231">
            <v>2</v>
          </cell>
          <cell r="AB231">
            <v>1</v>
          </cell>
        </row>
        <row r="232">
          <cell r="A232">
            <v>0</v>
          </cell>
          <cell r="B232" t="str">
            <v>ALL VRTS</v>
          </cell>
          <cell r="C232" t="str">
            <v>6580</v>
          </cell>
          <cell r="E232" t="str">
            <v>C7W25L</v>
          </cell>
          <cell r="F232" t="str">
            <v>C7E18R</v>
          </cell>
          <cell r="G232" t="str">
            <v>D02</v>
          </cell>
          <cell r="H232" t="str">
            <v>D03</v>
          </cell>
          <cell r="J232" t="str">
            <v>V43</v>
          </cell>
          <cell r="L232">
            <v>0</v>
          </cell>
          <cell r="M232">
            <v>-1</v>
          </cell>
          <cell r="N232">
            <v>-1</v>
          </cell>
          <cell r="O232">
            <v>2004</v>
          </cell>
          <cell r="P232" t="str">
            <v>DEARBORN PLANT BUILD</v>
          </cell>
          <cell r="Q232" t="str">
            <v>P221/P397</v>
          </cell>
          <cell r="R232" t="str">
            <v>ALL</v>
          </cell>
          <cell r="S232" t="str">
            <v>Reprogram keys</v>
          </cell>
          <cell r="T232">
            <v>3</v>
          </cell>
          <cell r="V232">
            <v>1</v>
          </cell>
          <cell r="AA232">
            <v>2</v>
          </cell>
        </row>
        <row r="233">
          <cell r="A233">
            <v>0</v>
          </cell>
          <cell r="B233" t="str">
            <v>ALL VRTS</v>
          </cell>
          <cell r="G233" t="str">
            <v>G29</v>
          </cell>
          <cell r="J233" t="str">
            <v>V83</v>
          </cell>
          <cell r="L233">
            <v>0</v>
          </cell>
          <cell r="M233">
            <v>0</v>
          </cell>
          <cell r="N233">
            <v>-1</v>
          </cell>
          <cell r="O233">
            <v>2004</v>
          </cell>
          <cell r="P233" t="str">
            <v>DEARBORN PLANT BUILD</v>
          </cell>
          <cell r="Q233" t="str">
            <v>P221/P397</v>
          </cell>
          <cell r="R233" t="str">
            <v>ALL</v>
          </cell>
          <cell r="S233" t="str">
            <v>Reprogram PCM</v>
          </cell>
          <cell r="T233">
            <v>3</v>
          </cell>
          <cell r="AB233">
            <v>3</v>
          </cell>
        </row>
        <row r="234">
          <cell r="A234">
            <v>0</v>
          </cell>
          <cell r="B234" t="str">
            <v>ALL VRTS</v>
          </cell>
          <cell r="G234" t="str">
            <v>B53</v>
          </cell>
          <cell r="H234" t="str">
            <v>B95</v>
          </cell>
          <cell r="J234" t="str">
            <v>V71</v>
          </cell>
          <cell r="L234">
            <v>0</v>
          </cell>
          <cell r="M234">
            <v>-1</v>
          </cell>
          <cell r="N234">
            <v>0</v>
          </cell>
          <cell r="O234">
            <v>2004</v>
          </cell>
          <cell r="P234" t="str">
            <v>DEARBORN PLANT BUILD</v>
          </cell>
          <cell r="Q234" t="str">
            <v>P221/P397</v>
          </cell>
          <cell r="R234" t="str">
            <v>ALL</v>
          </cell>
          <cell r="S234" t="str">
            <v>SHIFT INDICATOR</v>
          </cell>
          <cell r="T234">
            <v>3</v>
          </cell>
          <cell r="Y234">
            <v>1</v>
          </cell>
          <cell r="AA234">
            <v>2</v>
          </cell>
        </row>
        <row r="235">
          <cell r="A235">
            <v>0</v>
          </cell>
          <cell r="B235" t="str">
            <v>ALL VRTS</v>
          </cell>
          <cell r="G235" t="str">
            <v>G02</v>
          </cell>
          <cell r="J235" t="str">
            <v>V09</v>
          </cell>
          <cell r="L235">
            <v>0</v>
          </cell>
          <cell r="M235">
            <v>-1</v>
          </cell>
          <cell r="N235">
            <v>0</v>
          </cell>
          <cell r="O235">
            <v>2004</v>
          </cell>
          <cell r="P235" t="str">
            <v>DEARBORN PLANT BUILD</v>
          </cell>
          <cell r="Q235" t="str">
            <v>P221/P397</v>
          </cell>
          <cell r="R235" t="str">
            <v>ALL</v>
          </cell>
          <cell r="S235" t="str">
            <v>SPOT ON WINDSHIELD</v>
          </cell>
          <cell r="T235">
            <v>3</v>
          </cell>
          <cell r="W235">
            <v>1</v>
          </cell>
          <cell r="Y235">
            <v>1</v>
          </cell>
          <cell r="AA235">
            <v>1</v>
          </cell>
        </row>
        <row r="236">
          <cell r="A236">
            <v>0</v>
          </cell>
          <cell r="B236" t="str">
            <v>ALL VRTS</v>
          </cell>
          <cell r="G236" t="str">
            <v>N51</v>
          </cell>
          <cell r="H236" t="str">
            <v>N50</v>
          </cell>
          <cell r="J236" t="str">
            <v>V39</v>
          </cell>
          <cell r="L236">
            <v>0</v>
          </cell>
          <cell r="M236">
            <v>-1</v>
          </cell>
          <cell r="N236">
            <v>0</v>
          </cell>
          <cell r="O236">
            <v>2004</v>
          </cell>
          <cell r="P236" t="str">
            <v>DEARBORN PLANT BUILD</v>
          </cell>
          <cell r="Q236" t="str">
            <v>P221/P397</v>
          </cell>
          <cell r="R236" t="str">
            <v>ALL</v>
          </cell>
          <cell r="S236" t="str">
            <v>Spring Muffler - Lubed</v>
          </cell>
          <cell r="T236">
            <v>3</v>
          </cell>
          <cell r="Z236">
            <v>1</v>
          </cell>
          <cell r="AA236">
            <v>2</v>
          </cell>
        </row>
        <row r="237">
          <cell r="A237">
            <v>0</v>
          </cell>
          <cell r="B237" t="str">
            <v>ALL VRTS</v>
          </cell>
          <cell r="G237" t="str">
            <v>S15</v>
          </cell>
          <cell r="J237" t="str">
            <v>V03</v>
          </cell>
          <cell r="L237">
            <v>0</v>
          </cell>
          <cell r="M237">
            <v>-1</v>
          </cell>
          <cell r="N237">
            <v>0</v>
          </cell>
          <cell r="O237">
            <v>2004</v>
          </cell>
          <cell r="P237" t="str">
            <v>DEARBORN PLANT BUILD</v>
          </cell>
          <cell r="Q237" t="str">
            <v>P221/P397</v>
          </cell>
          <cell r="R237" t="str">
            <v>ALL</v>
          </cell>
          <cell r="S237" t="str">
            <v>SWITCH,UNPLUGGED L/F</v>
          </cell>
          <cell r="T237">
            <v>3</v>
          </cell>
          <cell r="X237">
            <v>1</v>
          </cell>
          <cell r="Y237">
            <v>1</v>
          </cell>
          <cell r="Z237">
            <v>1</v>
          </cell>
        </row>
        <row r="238">
          <cell r="A238">
            <v>0</v>
          </cell>
          <cell r="B238" t="str">
            <v>ALL VRTS</v>
          </cell>
          <cell r="G238" t="str">
            <v>C02</v>
          </cell>
          <cell r="H238" t="str">
            <v>C05</v>
          </cell>
          <cell r="I238" t="str">
            <v>G32</v>
          </cell>
          <cell r="J238" t="str">
            <v>V79</v>
          </cell>
          <cell r="K238" t="str">
            <v>V83</v>
          </cell>
          <cell r="L238">
            <v>0</v>
          </cell>
          <cell r="M238">
            <v>0</v>
          </cell>
          <cell r="N238">
            <v>-1</v>
          </cell>
          <cell r="O238">
            <v>2004</v>
          </cell>
          <cell r="P238" t="str">
            <v>DEARBORN PLANT BUILD</v>
          </cell>
          <cell r="Q238" t="str">
            <v>P221/P397</v>
          </cell>
          <cell r="R238" t="str">
            <v>ALL</v>
          </cell>
          <cell r="S238" t="str">
            <v>System over charged.</v>
          </cell>
          <cell r="T238">
            <v>3</v>
          </cell>
          <cell r="AA238">
            <v>3</v>
          </cell>
        </row>
        <row r="239">
          <cell r="A239">
            <v>0</v>
          </cell>
          <cell r="B239" t="str">
            <v>ALL VRTS</v>
          </cell>
          <cell r="C239" t="str">
            <v>6340</v>
          </cell>
          <cell r="E239" t="str">
            <v>CEE23L</v>
          </cell>
          <cell r="G239" t="str">
            <v>N18</v>
          </cell>
          <cell r="J239" t="str">
            <v>V49</v>
          </cell>
          <cell r="L239">
            <v>0</v>
          </cell>
          <cell r="M239">
            <v>0</v>
          </cell>
          <cell r="N239">
            <v>-1</v>
          </cell>
          <cell r="O239">
            <v>2004</v>
          </cell>
          <cell r="P239" t="str">
            <v>DEARBORN PLANT BUILD</v>
          </cell>
          <cell r="Q239" t="str">
            <v>P221/P397</v>
          </cell>
          <cell r="R239" t="str">
            <v>ALL</v>
          </cell>
          <cell r="S239" t="str">
            <v>Trans mount loose</v>
          </cell>
          <cell r="T239">
            <v>3</v>
          </cell>
          <cell r="AA239">
            <v>3</v>
          </cell>
        </row>
        <row r="240">
          <cell r="A240">
            <v>0</v>
          </cell>
          <cell r="B240" t="str">
            <v>ALL VRTS</v>
          </cell>
          <cell r="G240" t="str">
            <v>F30</v>
          </cell>
          <cell r="H240" t="str">
            <v>F10</v>
          </cell>
          <cell r="I240" t="str">
            <v>F20</v>
          </cell>
          <cell r="J240" t="str">
            <v>V33</v>
          </cell>
          <cell r="L240">
            <v>0</v>
          </cell>
          <cell r="M240">
            <v>0</v>
          </cell>
          <cell r="N240">
            <v>-1</v>
          </cell>
          <cell r="O240">
            <v>2004</v>
          </cell>
          <cell r="P240" t="str">
            <v>DEARBORN PLANT BUILD</v>
          </cell>
          <cell r="Q240" t="str">
            <v>P221/P397</v>
          </cell>
          <cell r="R240" t="str">
            <v>ALL</v>
          </cell>
          <cell r="S240" t="str">
            <v>Tu-Tone Area</v>
          </cell>
          <cell r="T240">
            <v>3</v>
          </cell>
          <cell r="Y240">
            <v>1</v>
          </cell>
          <cell r="AA240">
            <v>2</v>
          </cell>
        </row>
        <row r="241">
          <cell r="A241">
            <v>0</v>
          </cell>
          <cell r="B241" t="str">
            <v>ALL VRTS</v>
          </cell>
          <cell r="G241" t="str">
            <v>C27</v>
          </cell>
          <cell r="H241" t="str">
            <v>W04</v>
          </cell>
          <cell r="J241" t="str">
            <v>V19</v>
          </cell>
          <cell r="L241">
            <v>0</v>
          </cell>
          <cell r="M241">
            <v>0</v>
          </cell>
          <cell r="N241">
            <v>-1</v>
          </cell>
          <cell r="O241">
            <v>2004</v>
          </cell>
          <cell r="P241" t="str">
            <v>DEARBORN PLANT BUILD</v>
          </cell>
          <cell r="Q241" t="str">
            <v>P221/P397</v>
          </cell>
          <cell r="R241" t="str">
            <v>ALL</v>
          </cell>
          <cell r="S241" t="str">
            <v>Unplugged at Door switch</v>
          </cell>
          <cell r="T241">
            <v>3</v>
          </cell>
          <cell r="Y241">
            <v>1</v>
          </cell>
          <cell r="AB241">
            <v>2</v>
          </cell>
        </row>
        <row r="242">
          <cell r="A242">
            <v>0</v>
          </cell>
          <cell r="B242" t="str">
            <v>ALL VRTS</v>
          </cell>
          <cell r="C242" t="str">
            <v>6370</v>
          </cell>
          <cell r="E242" t="str">
            <v>C1E17F</v>
          </cell>
          <cell r="G242" t="str">
            <v>C50</v>
          </cell>
          <cell r="H242" t="str">
            <v>E35</v>
          </cell>
          <cell r="J242" t="str">
            <v>V89</v>
          </cell>
          <cell r="L242">
            <v>0</v>
          </cell>
          <cell r="M242">
            <v>0</v>
          </cell>
          <cell r="N242">
            <v>-1</v>
          </cell>
          <cell r="O242">
            <v>2004</v>
          </cell>
          <cell r="P242" t="str">
            <v>DEARBORN PLANT BUILD</v>
          </cell>
          <cell r="Q242" t="str">
            <v>P221/P397</v>
          </cell>
          <cell r="R242" t="str">
            <v>ALL</v>
          </cell>
          <cell r="S242" t="str">
            <v>UPPER CTRL ARM CAME LOOSE - REPLACED</v>
          </cell>
          <cell r="T242">
            <v>3</v>
          </cell>
          <cell r="Z242">
            <v>1</v>
          </cell>
          <cell r="AA242">
            <v>1</v>
          </cell>
          <cell r="AB242">
            <v>1</v>
          </cell>
        </row>
        <row r="243">
          <cell r="A243">
            <v>0</v>
          </cell>
          <cell r="B243" t="str">
            <v>ALL VRTS</v>
          </cell>
          <cell r="C243" t="str">
            <v>6480</v>
          </cell>
          <cell r="E243" t="str">
            <v>C4W02R</v>
          </cell>
          <cell r="F243" t="str">
            <v>IC4E01L</v>
          </cell>
          <cell r="G243" t="str">
            <v>H19</v>
          </cell>
          <cell r="J243" t="str">
            <v>V21</v>
          </cell>
          <cell r="L243">
            <v>0</v>
          </cell>
          <cell r="M243">
            <v>0</v>
          </cell>
          <cell r="N243">
            <v>-1</v>
          </cell>
          <cell r="O243">
            <v>2004</v>
          </cell>
          <cell r="P243" t="str">
            <v>DEARBORN PLANT BUILD</v>
          </cell>
          <cell r="Q243" t="str">
            <v>P221/P397</v>
          </cell>
          <cell r="R243" t="str">
            <v>ALL</v>
          </cell>
          <cell r="S243" t="str">
            <v>WHEEL SPEED SENSOR NOT CONNECTED - CONNECTED</v>
          </cell>
          <cell r="T243">
            <v>3</v>
          </cell>
          <cell r="AA243">
            <v>2</v>
          </cell>
          <cell r="AB243">
            <v>1</v>
          </cell>
        </row>
        <row r="244">
          <cell r="A244">
            <v>0</v>
          </cell>
          <cell r="B244" t="str">
            <v>ALL VRTS</v>
          </cell>
          <cell r="C244" t="str">
            <v>5340</v>
          </cell>
          <cell r="E244" t="str">
            <v>TDW22R</v>
          </cell>
          <cell r="G244" t="str">
            <v>T90</v>
          </cell>
          <cell r="H244" t="str">
            <v>T53</v>
          </cell>
          <cell r="J244" t="str">
            <v>V74</v>
          </cell>
          <cell r="L244">
            <v>0</v>
          </cell>
          <cell r="M244">
            <v>0</v>
          </cell>
          <cell r="N244">
            <v>-1</v>
          </cell>
          <cell r="O244">
            <v>2004</v>
          </cell>
          <cell r="P244" t="str">
            <v>DEARBORN PLANT BUILD</v>
          </cell>
          <cell r="Q244" t="str">
            <v>P221/P397</v>
          </cell>
          <cell r="R244" t="str">
            <v>ALL</v>
          </cell>
          <cell r="S244" t="str">
            <v>WINDOW MOULDING</v>
          </cell>
          <cell r="T244">
            <v>3</v>
          </cell>
          <cell r="Y244">
            <v>1</v>
          </cell>
          <cell r="Z244">
            <v>1</v>
          </cell>
          <cell r="AB244">
            <v>1</v>
          </cell>
        </row>
        <row r="245">
          <cell r="A245">
            <v>0</v>
          </cell>
          <cell r="B245" t="str">
            <v>ALL VRTS</v>
          </cell>
          <cell r="C245" t="str">
            <v>34602C</v>
          </cell>
          <cell r="D245" t="str">
            <v>34502C</v>
          </cell>
          <cell r="E245" t="str">
            <v>Metal Finishers</v>
          </cell>
          <cell r="F245" t="str">
            <v>Final Fitters</v>
          </cell>
          <cell r="G245" t="str">
            <v>B15</v>
          </cell>
          <cell r="H245" t="str">
            <v>B05</v>
          </cell>
          <cell r="J245" t="str">
            <v>V31</v>
          </cell>
          <cell r="L245">
            <v>0</v>
          </cell>
          <cell r="M245">
            <v>0</v>
          </cell>
          <cell r="N245">
            <v>-1</v>
          </cell>
          <cell r="O245">
            <v>2004</v>
          </cell>
          <cell r="P245" t="str">
            <v>DEARBORN PLANT BUILD</v>
          </cell>
          <cell r="Q245" t="str">
            <v>P221/P397</v>
          </cell>
          <cell r="R245" t="str">
            <v>ALL</v>
          </cell>
          <cell r="S245" t="str">
            <v xml:space="preserve"> Adjust and lube latch</v>
          </cell>
          <cell r="T245">
            <v>2</v>
          </cell>
          <cell r="AA245">
            <v>1</v>
          </cell>
          <cell r="AB245">
            <v>1</v>
          </cell>
        </row>
        <row r="246">
          <cell r="A246">
            <v>0</v>
          </cell>
          <cell r="B246" t="str">
            <v>ALL VRTS</v>
          </cell>
          <cell r="G246" t="str">
            <v>B73</v>
          </cell>
          <cell r="J246" t="str">
            <v>V74</v>
          </cell>
          <cell r="L246">
            <v>-1</v>
          </cell>
          <cell r="M246">
            <v>-1</v>
          </cell>
          <cell r="N246">
            <v>0</v>
          </cell>
          <cell r="O246">
            <v>2004</v>
          </cell>
          <cell r="P246" t="str">
            <v>DEARBORN PLANT BUILD</v>
          </cell>
          <cell r="Q246" t="str">
            <v>P221/P397</v>
          </cell>
          <cell r="R246" t="str">
            <v>ALL</v>
          </cell>
          <cell r="S246" t="str">
            <v>ADDED FOAM</v>
          </cell>
          <cell r="T246">
            <v>2</v>
          </cell>
          <cell r="X246">
            <v>1</v>
          </cell>
          <cell r="Z246">
            <v>1</v>
          </cell>
        </row>
        <row r="247">
          <cell r="A247">
            <v>0</v>
          </cell>
          <cell r="B247" t="str">
            <v>ALL VRTS</v>
          </cell>
          <cell r="G247" t="str">
            <v>L15</v>
          </cell>
          <cell r="J247" t="str">
            <v>V07</v>
          </cell>
          <cell r="L247">
            <v>0</v>
          </cell>
          <cell r="M247">
            <v>0</v>
          </cell>
          <cell r="N247">
            <v>-1</v>
          </cell>
          <cell r="O247">
            <v>2004</v>
          </cell>
          <cell r="P247" t="str">
            <v>DEARBORN PLANT BUILD</v>
          </cell>
          <cell r="Q247" t="str">
            <v>P221/P397</v>
          </cell>
          <cell r="R247" t="str">
            <v>ALL</v>
          </cell>
          <cell r="S247" t="str">
            <v>ADJUST DOOR STRIKER</v>
          </cell>
          <cell r="T247">
            <v>2</v>
          </cell>
          <cell r="AA247">
            <v>1</v>
          </cell>
          <cell r="AB247">
            <v>1</v>
          </cell>
        </row>
        <row r="248">
          <cell r="A248">
            <v>0</v>
          </cell>
          <cell r="B248" t="str">
            <v>ALL VRTS</v>
          </cell>
          <cell r="G248" t="str">
            <v>W05</v>
          </cell>
          <cell r="J248" t="str">
            <v>V16</v>
          </cell>
          <cell r="L248">
            <v>0</v>
          </cell>
          <cell r="M248">
            <v>0</v>
          </cell>
          <cell r="N248">
            <v>-1</v>
          </cell>
          <cell r="O248">
            <v>2004</v>
          </cell>
          <cell r="P248" t="str">
            <v>DEARBORN PLANT BUILD</v>
          </cell>
          <cell r="Q248" t="str">
            <v>P221/P397</v>
          </cell>
          <cell r="R248" t="str">
            <v>ALL</v>
          </cell>
          <cell r="S248" t="str">
            <v>Adjusted wiper arm</v>
          </cell>
          <cell r="T248">
            <v>2</v>
          </cell>
          <cell r="AB248">
            <v>2</v>
          </cell>
        </row>
        <row r="249">
          <cell r="A249">
            <v>0</v>
          </cell>
          <cell r="B249" t="str">
            <v>ALL VRTS</v>
          </cell>
          <cell r="G249" t="str">
            <v>C27</v>
          </cell>
          <cell r="H249" t="str">
            <v>C25</v>
          </cell>
          <cell r="J249" t="str">
            <v>V19</v>
          </cell>
          <cell r="L249">
            <v>0</v>
          </cell>
          <cell r="M249">
            <v>-1</v>
          </cell>
          <cell r="N249">
            <v>-1</v>
          </cell>
          <cell r="O249">
            <v>2004</v>
          </cell>
          <cell r="P249" t="str">
            <v>DEARBORN PLANT BUILD</v>
          </cell>
          <cell r="Q249" t="str">
            <v>P221/P397</v>
          </cell>
          <cell r="R249" t="str">
            <v>ALL</v>
          </cell>
          <cell r="S249" t="str">
            <v>Battery Cable Bolt replaced.</v>
          </cell>
          <cell r="T249">
            <v>2</v>
          </cell>
          <cell r="AA249">
            <v>2</v>
          </cell>
        </row>
        <row r="250">
          <cell r="A250">
            <v>0</v>
          </cell>
          <cell r="B250" t="str">
            <v>ALL VRTS</v>
          </cell>
          <cell r="C250" t="str">
            <v>5350-2-A</v>
          </cell>
          <cell r="D250" t="str">
            <v>door line 5350-2-A</v>
          </cell>
          <cell r="E250" t="str">
            <v>TDE32R</v>
          </cell>
          <cell r="F250" t="str">
            <v>TDW32R</v>
          </cell>
          <cell r="G250" t="str">
            <v>B64</v>
          </cell>
          <cell r="J250" t="str">
            <v>V75</v>
          </cell>
          <cell r="L250">
            <v>0</v>
          </cell>
          <cell r="M250">
            <v>0</v>
          </cell>
          <cell r="N250">
            <v>-1</v>
          </cell>
          <cell r="O250">
            <v>2004</v>
          </cell>
          <cell r="P250" t="str">
            <v>DEARBORN PLANT BUILD</v>
          </cell>
          <cell r="Q250" t="str">
            <v>P221/P397</v>
          </cell>
          <cell r="R250" t="str">
            <v>ALL</v>
          </cell>
          <cell r="S250" t="str">
            <v>belt mldg replaced</v>
          </cell>
          <cell r="T250">
            <v>2</v>
          </cell>
          <cell r="Z250">
            <v>1</v>
          </cell>
          <cell r="AB250">
            <v>1</v>
          </cell>
        </row>
        <row r="251">
          <cell r="A251">
            <v>0</v>
          </cell>
          <cell r="B251" t="str">
            <v>ALL VRTS</v>
          </cell>
          <cell r="G251" t="str">
            <v>A06</v>
          </cell>
          <cell r="H251" t="str">
            <v>A02</v>
          </cell>
          <cell r="J251" t="str">
            <v>V81</v>
          </cell>
          <cell r="L251">
            <v>0</v>
          </cell>
          <cell r="M251">
            <v>0</v>
          </cell>
          <cell r="N251">
            <v>-1</v>
          </cell>
          <cell r="O251">
            <v>2004</v>
          </cell>
          <cell r="P251" t="str">
            <v>DEARBORN PLANT BUILD</v>
          </cell>
          <cell r="Q251" t="str">
            <v>P221/P397</v>
          </cell>
          <cell r="R251" t="str">
            <v>ALL</v>
          </cell>
          <cell r="S251" t="str">
            <v>BENT  TERMINAL IN C2095</v>
          </cell>
          <cell r="T251">
            <v>2</v>
          </cell>
          <cell r="V251">
            <v>1</v>
          </cell>
          <cell r="AA251">
            <v>1</v>
          </cell>
        </row>
        <row r="252">
          <cell r="A252">
            <v>0</v>
          </cell>
          <cell r="B252" t="str">
            <v>ALL VRTS</v>
          </cell>
          <cell r="G252" t="str">
            <v>A04</v>
          </cell>
          <cell r="J252" t="str">
            <v>V81</v>
          </cell>
          <cell r="L252">
            <v>-1</v>
          </cell>
          <cell r="M252">
            <v>-1</v>
          </cell>
          <cell r="N252">
            <v>0</v>
          </cell>
          <cell r="O252">
            <v>2004</v>
          </cell>
          <cell r="P252" t="str">
            <v>DEARBORN PLANT BUILD</v>
          </cell>
          <cell r="Q252" t="str">
            <v>P221/P397</v>
          </cell>
          <cell r="R252" t="str">
            <v>ALL</v>
          </cell>
          <cell r="S252" t="str">
            <v>BENT  TERMINAL IN C2108</v>
          </cell>
          <cell r="T252">
            <v>2</v>
          </cell>
          <cell r="AA252">
            <v>2</v>
          </cell>
        </row>
        <row r="253">
          <cell r="A253">
            <v>0</v>
          </cell>
          <cell r="B253" t="str">
            <v>ALL VRTS</v>
          </cell>
          <cell r="C253" t="str">
            <v>5370</v>
          </cell>
          <cell r="D253" t="str">
            <v>5510</v>
          </cell>
          <cell r="E253" t="str">
            <v>TDE47L</v>
          </cell>
          <cell r="F253" t="str">
            <v>T2E34R</v>
          </cell>
          <cell r="G253" t="str">
            <v>B45</v>
          </cell>
          <cell r="H253" t="str">
            <v>T51</v>
          </cell>
          <cell r="J253" t="str">
            <v>V73</v>
          </cell>
          <cell r="K253" t="str">
            <v>V74</v>
          </cell>
          <cell r="L253">
            <v>0</v>
          </cell>
          <cell r="M253">
            <v>-1</v>
          </cell>
          <cell r="N253">
            <v>-1</v>
          </cell>
          <cell r="O253">
            <v>2004</v>
          </cell>
          <cell r="P253" t="str">
            <v>DEARBORN PLANT BUILD</v>
          </cell>
          <cell r="Q253" t="str">
            <v>P221/P397</v>
          </cell>
          <cell r="R253" t="str">
            <v>ALL</v>
          </cell>
          <cell r="S253" t="str">
            <v>BLEMISH/MARRED</v>
          </cell>
          <cell r="T253">
            <v>2</v>
          </cell>
          <cell r="Y253">
            <v>1</v>
          </cell>
          <cell r="Z253">
            <v>1</v>
          </cell>
        </row>
        <row r="254">
          <cell r="A254">
            <v>0</v>
          </cell>
          <cell r="B254" t="str">
            <v>ALL VRTS</v>
          </cell>
          <cell r="C254" t="str">
            <v>6430</v>
          </cell>
          <cell r="E254" t="str">
            <v>C2E21F</v>
          </cell>
          <cell r="G254" t="str">
            <v>H15</v>
          </cell>
          <cell r="J254" t="str">
            <v>V21</v>
          </cell>
          <cell r="L254">
            <v>0</v>
          </cell>
          <cell r="M254">
            <v>0</v>
          </cell>
          <cell r="N254">
            <v>-1</v>
          </cell>
          <cell r="O254">
            <v>2004</v>
          </cell>
          <cell r="P254" t="str">
            <v>DEARBORN PLANT BUILD</v>
          </cell>
          <cell r="Q254" t="str">
            <v>P221/P397</v>
          </cell>
          <cell r="R254" t="str">
            <v>ALL</v>
          </cell>
          <cell r="S254" t="str">
            <v>BRAKE LINE LOOSE - TIGHTENED</v>
          </cell>
          <cell r="T254">
            <v>2</v>
          </cell>
          <cell r="Z254">
            <v>1</v>
          </cell>
          <cell r="AB254">
            <v>1</v>
          </cell>
        </row>
        <row r="255">
          <cell r="A255">
            <v>0</v>
          </cell>
          <cell r="B255" t="str">
            <v>ALL VRTS</v>
          </cell>
          <cell r="C255" t="str">
            <v>Chassis 2 6440-2-D</v>
          </cell>
          <cell r="E255" t="str">
            <v>C2W48-52B</v>
          </cell>
          <cell r="G255" t="str">
            <v>B07</v>
          </cell>
          <cell r="H255" t="str">
            <v>B69</v>
          </cell>
          <cell r="J255" t="str">
            <v>V75</v>
          </cell>
          <cell r="L255">
            <v>0</v>
          </cell>
          <cell r="M255">
            <v>0</v>
          </cell>
          <cell r="N255">
            <v>-1</v>
          </cell>
          <cell r="O255">
            <v>2004</v>
          </cell>
          <cell r="P255" t="str">
            <v>DEARBORN PLANT BUILD</v>
          </cell>
          <cell r="Q255" t="str">
            <v>P221/P397</v>
          </cell>
          <cell r="R255" t="str">
            <v>ALL</v>
          </cell>
          <cell r="S255" t="str">
            <v>Bumper realigned</v>
          </cell>
          <cell r="T255">
            <v>2</v>
          </cell>
          <cell r="AA255">
            <v>2</v>
          </cell>
        </row>
        <row r="256">
          <cell r="A256">
            <v>0</v>
          </cell>
          <cell r="B256" t="str">
            <v>ALL VRTS</v>
          </cell>
          <cell r="G256" t="str">
            <v>S27</v>
          </cell>
          <cell r="J256" t="str">
            <v>V05</v>
          </cell>
          <cell r="L256">
            <v>0</v>
          </cell>
          <cell r="M256">
            <v>-1</v>
          </cell>
          <cell r="N256">
            <v>0</v>
          </cell>
          <cell r="O256">
            <v>2004</v>
          </cell>
          <cell r="P256" t="str">
            <v>DEARBORN PLANT BUILD</v>
          </cell>
          <cell r="Q256" t="str">
            <v>P221/P397</v>
          </cell>
          <cell r="R256" t="str">
            <v>ALL</v>
          </cell>
          <cell r="S256" t="str">
            <v>BUTTONS INOP.-REPLACED</v>
          </cell>
          <cell r="T256">
            <v>2</v>
          </cell>
          <cell r="W256">
            <v>1</v>
          </cell>
          <cell r="AA256">
            <v>1</v>
          </cell>
        </row>
        <row r="257">
          <cell r="A257">
            <v>0</v>
          </cell>
          <cell r="B257" t="str">
            <v>ALL VRTS</v>
          </cell>
          <cell r="G257" t="str">
            <v>A85</v>
          </cell>
          <cell r="J257" t="str">
            <v>V17</v>
          </cell>
          <cell r="L257">
            <v>-1</v>
          </cell>
          <cell r="M257">
            <v>0</v>
          </cell>
          <cell r="N257">
            <v>0</v>
          </cell>
          <cell r="O257">
            <v>2004</v>
          </cell>
          <cell r="P257" t="str">
            <v>DEARBORN PLANT BUILD</v>
          </cell>
          <cell r="Q257" t="str">
            <v>P221/P397</v>
          </cell>
          <cell r="R257" t="str">
            <v>ALL</v>
          </cell>
          <cell r="S257" t="str">
            <v>Calibrate Compass</v>
          </cell>
          <cell r="T257">
            <v>2</v>
          </cell>
          <cell r="AA257">
            <v>1</v>
          </cell>
          <cell r="AB257">
            <v>1</v>
          </cell>
        </row>
        <row r="258">
          <cell r="A258">
            <v>0</v>
          </cell>
          <cell r="B258" t="str">
            <v>ALL VRTS</v>
          </cell>
          <cell r="C258" t="str">
            <v>box Line 5410-2-B</v>
          </cell>
          <cell r="E258" t="str">
            <v>TBE37F</v>
          </cell>
          <cell r="G258" t="str">
            <v>B07</v>
          </cell>
          <cell r="H258" t="str">
            <v>B63</v>
          </cell>
          <cell r="J258" t="str">
            <v>V75</v>
          </cell>
          <cell r="L258">
            <v>0</v>
          </cell>
          <cell r="M258">
            <v>0</v>
          </cell>
          <cell r="N258">
            <v>-1</v>
          </cell>
          <cell r="O258">
            <v>2004</v>
          </cell>
          <cell r="P258" t="str">
            <v>DEARBORN PLANT BUILD</v>
          </cell>
          <cell r="Q258" t="str">
            <v>P221/P397</v>
          </cell>
          <cell r="R258" t="str">
            <v>ALL</v>
          </cell>
          <cell r="S258" t="str">
            <v>Chip Shield installed</v>
          </cell>
          <cell r="T258">
            <v>2</v>
          </cell>
          <cell r="W258">
            <v>1</v>
          </cell>
          <cell r="AB258">
            <v>1</v>
          </cell>
        </row>
        <row r="259">
          <cell r="A259">
            <v>0</v>
          </cell>
          <cell r="B259" t="str">
            <v>ALL VRTS</v>
          </cell>
          <cell r="G259" t="str">
            <v>A85</v>
          </cell>
          <cell r="H259" t="str">
            <v>A87</v>
          </cell>
          <cell r="J259" t="str">
            <v>V17</v>
          </cell>
          <cell r="L259">
            <v>0</v>
          </cell>
          <cell r="M259">
            <v>0</v>
          </cell>
          <cell r="N259">
            <v>-1</v>
          </cell>
          <cell r="O259">
            <v>2004</v>
          </cell>
          <cell r="P259" t="str">
            <v>DEARBORN PLANT BUILD</v>
          </cell>
          <cell r="Q259" t="str">
            <v>P221/P397</v>
          </cell>
          <cell r="R259" t="str">
            <v>ALL</v>
          </cell>
          <cell r="S259" t="str">
            <v>Cigar Lighter Replace</v>
          </cell>
          <cell r="T259">
            <v>2</v>
          </cell>
          <cell r="W259">
            <v>1</v>
          </cell>
          <cell r="Z259">
            <v>1</v>
          </cell>
        </row>
        <row r="260">
          <cell r="A260">
            <v>0</v>
          </cell>
          <cell r="B260" t="str">
            <v>ALL VRTS</v>
          </cell>
          <cell r="G260" t="str">
            <v>C02</v>
          </cell>
          <cell r="H260" t="str">
            <v>C20</v>
          </cell>
          <cell r="J260" t="str">
            <v>V79</v>
          </cell>
          <cell r="L260">
            <v>0</v>
          </cell>
          <cell r="M260">
            <v>0</v>
          </cell>
          <cell r="N260">
            <v>-1</v>
          </cell>
          <cell r="O260">
            <v>2004</v>
          </cell>
          <cell r="P260" t="str">
            <v>DEARBORN PLANT BUILD</v>
          </cell>
          <cell r="Q260" t="str">
            <v>P221/P397</v>
          </cell>
          <cell r="R260" t="str">
            <v>ALL</v>
          </cell>
          <cell r="S260" t="str">
            <v>Connecter C270 not seated Lse. Repaired.</v>
          </cell>
          <cell r="T260">
            <v>2</v>
          </cell>
          <cell r="X260">
            <v>1</v>
          </cell>
          <cell r="AB260">
            <v>1</v>
          </cell>
        </row>
        <row r="261">
          <cell r="A261">
            <v>0</v>
          </cell>
          <cell r="B261" t="str">
            <v>ALL VRTS</v>
          </cell>
          <cell r="G261" t="str">
            <v>L26</v>
          </cell>
          <cell r="J261" t="str">
            <v>V77</v>
          </cell>
          <cell r="L261">
            <v>0</v>
          </cell>
          <cell r="M261">
            <v>0</v>
          </cell>
          <cell r="N261">
            <v>-1</v>
          </cell>
          <cell r="O261">
            <v>2004</v>
          </cell>
          <cell r="P261" t="str">
            <v>DEARBORN PLANT BUILD</v>
          </cell>
          <cell r="Q261" t="str">
            <v>P221/P397</v>
          </cell>
          <cell r="R261" t="str">
            <v>ALL</v>
          </cell>
          <cell r="S261" t="str">
            <v>Connector #270 Loose</v>
          </cell>
          <cell r="T261">
            <v>2</v>
          </cell>
          <cell r="AA261">
            <v>1</v>
          </cell>
          <cell r="AB261">
            <v>1</v>
          </cell>
        </row>
        <row r="262">
          <cell r="A262">
            <v>0</v>
          </cell>
          <cell r="B262" t="str">
            <v>ALL VRTS</v>
          </cell>
          <cell r="G262" t="str">
            <v>A34</v>
          </cell>
          <cell r="J262" t="str">
            <v>V83</v>
          </cell>
          <cell r="L262">
            <v>0</v>
          </cell>
          <cell r="M262">
            <v>-1</v>
          </cell>
          <cell r="N262">
            <v>-1</v>
          </cell>
          <cell r="O262">
            <v>2004</v>
          </cell>
          <cell r="P262" t="str">
            <v>DEARBORN PLANT BUILD</v>
          </cell>
          <cell r="Q262" t="str">
            <v>P221/P397</v>
          </cell>
          <cell r="R262" t="str">
            <v>ALL</v>
          </cell>
          <cell r="S262" t="str">
            <v>Connector Lse. and fuse replaced.</v>
          </cell>
          <cell r="T262">
            <v>2</v>
          </cell>
          <cell r="W262">
            <v>1</v>
          </cell>
          <cell r="Y262">
            <v>1</v>
          </cell>
        </row>
        <row r="263">
          <cell r="A263">
            <v>0</v>
          </cell>
          <cell r="B263" t="str">
            <v>ALL VRTS</v>
          </cell>
          <cell r="G263" t="str">
            <v>G32</v>
          </cell>
          <cell r="J263" t="str">
            <v>V17</v>
          </cell>
          <cell r="L263">
            <v>0</v>
          </cell>
          <cell r="M263">
            <v>-1</v>
          </cell>
          <cell r="N263">
            <v>0</v>
          </cell>
          <cell r="O263">
            <v>2004</v>
          </cell>
          <cell r="P263" t="str">
            <v>DEARBORN PLANT BUILD</v>
          </cell>
          <cell r="Q263" t="str">
            <v>P221/P397</v>
          </cell>
          <cell r="R263" t="str">
            <v>ALL</v>
          </cell>
          <cell r="S263" t="str">
            <v>Control Module , circuit repaired</v>
          </cell>
          <cell r="T263">
            <v>2</v>
          </cell>
          <cell r="AA263">
            <v>2</v>
          </cell>
        </row>
        <row r="264">
          <cell r="A264">
            <v>0</v>
          </cell>
          <cell r="B264" t="str">
            <v>ALL VRTS</v>
          </cell>
          <cell r="C264" t="str">
            <v>6360</v>
          </cell>
          <cell r="E264" t="str">
            <v>CEW50R</v>
          </cell>
          <cell r="G264" t="str">
            <v>E29</v>
          </cell>
          <cell r="J264" t="str">
            <v>V44</v>
          </cell>
          <cell r="L264">
            <v>0</v>
          </cell>
          <cell r="M264">
            <v>0</v>
          </cell>
          <cell r="N264">
            <v>-1</v>
          </cell>
          <cell r="O264">
            <v>2004</v>
          </cell>
          <cell r="P264" t="str">
            <v>DEARBORN PLANT BUILD</v>
          </cell>
          <cell r="Q264" t="str">
            <v>P221/P397</v>
          </cell>
          <cell r="R264" t="str">
            <v>ALL</v>
          </cell>
          <cell r="S264" t="str">
            <v>crankcase vent tube not properly connected</v>
          </cell>
          <cell r="T264">
            <v>2</v>
          </cell>
          <cell r="V264">
            <v>1</v>
          </cell>
          <cell r="W264">
            <v>1</v>
          </cell>
        </row>
        <row r="265">
          <cell r="A265">
            <v>0</v>
          </cell>
          <cell r="B265" t="str">
            <v>ALL VRTS</v>
          </cell>
          <cell r="G265" t="str">
            <v>T50</v>
          </cell>
          <cell r="J265" t="str">
            <v>V71</v>
          </cell>
          <cell r="L265">
            <v>0</v>
          </cell>
          <cell r="M265">
            <v>-1</v>
          </cell>
          <cell r="N265">
            <v>0</v>
          </cell>
          <cell r="O265">
            <v>2004</v>
          </cell>
          <cell r="P265" t="str">
            <v>DEARBORN PLANT BUILD</v>
          </cell>
          <cell r="Q265" t="str">
            <v>P221/P397</v>
          </cell>
          <cell r="R265" t="str">
            <v>ALL</v>
          </cell>
          <cell r="S265" t="str">
            <v>CUPHOLDER LOOSE</v>
          </cell>
          <cell r="T265">
            <v>2</v>
          </cell>
          <cell r="X265">
            <v>1</v>
          </cell>
          <cell r="AA265">
            <v>1</v>
          </cell>
        </row>
        <row r="266">
          <cell r="A266">
            <v>0</v>
          </cell>
          <cell r="B266" t="str">
            <v>ALL VRTS</v>
          </cell>
          <cell r="G266" t="str">
            <v>S52</v>
          </cell>
          <cell r="H266" t="str">
            <v>S50</v>
          </cell>
          <cell r="J266" t="str">
            <v>V03</v>
          </cell>
          <cell r="L266">
            <v>0</v>
          </cell>
          <cell r="M266">
            <v>-1</v>
          </cell>
          <cell r="N266">
            <v>0</v>
          </cell>
          <cell r="O266">
            <v>2004</v>
          </cell>
          <cell r="P266" t="str">
            <v>DEARBORN PLANT BUILD</v>
          </cell>
          <cell r="Q266" t="str">
            <v>P221/P397</v>
          </cell>
          <cell r="R266" t="str">
            <v>ALL</v>
          </cell>
          <cell r="S266" t="str">
            <v>CUSHION COVER DEFECTIVE</v>
          </cell>
          <cell r="T266">
            <v>2</v>
          </cell>
          <cell r="AA266">
            <v>2</v>
          </cell>
        </row>
        <row r="267">
          <cell r="A267">
            <v>0</v>
          </cell>
          <cell r="B267" t="str">
            <v>ALL VRTS</v>
          </cell>
          <cell r="G267" t="str">
            <v>A85</v>
          </cell>
          <cell r="J267" t="str">
            <v>V17</v>
          </cell>
          <cell r="K267" t="str">
            <v>V19</v>
          </cell>
          <cell r="L267">
            <v>-1</v>
          </cell>
          <cell r="M267">
            <v>0</v>
          </cell>
          <cell r="N267">
            <v>-1</v>
          </cell>
          <cell r="O267">
            <v>2004</v>
          </cell>
          <cell r="P267" t="str">
            <v>DEARBORN PLANT BUILD</v>
          </cell>
          <cell r="Q267" t="str">
            <v>P221/P397</v>
          </cell>
          <cell r="R267" t="str">
            <v>ALL</v>
          </cell>
          <cell r="S267" t="str">
            <v>Customer Percetion</v>
          </cell>
          <cell r="T267">
            <v>2</v>
          </cell>
          <cell r="Y267">
            <v>1</v>
          </cell>
          <cell r="Z267">
            <v>1</v>
          </cell>
        </row>
        <row r="268">
          <cell r="A268">
            <v>0</v>
          </cell>
          <cell r="B268" t="str">
            <v>ALL VRTS</v>
          </cell>
          <cell r="G268" t="str">
            <v>A07</v>
          </cell>
          <cell r="J268" t="str">
            <v>V81</v>
          </cell>
          <cell r="L268">
            <v>0</v>
          </cell>
          <cell r="M268">
            <v>0</v>
          </cell>
          <cell r="N268">
            <v>-1</v>
          </cell>
          <cell r="O268">
            <v>2004</v>
          </cell>
          <cell r="P268" t="str">
            <v>DEARBORN PLANT BUILD</v>
          </cell>
          <cell r="Q268" t="str">
            <v>P221/P397</v>
          </cell>
          <cell r="R268" t="str">
            <v>ALL</v>
          </cell>
          <cell r="S268" t="str">
            <v>Door ajar, no connect</v>
          </cell>
          <cell r="T268">
            <v>2</v>
          </cell>
          <cell r="Y268">
            <v>1</v>
          </cell>
          <cell r="Z268">
            <v>1</v>
          </cell>
        </row>
        <row r="269">
          <cell r="A269">
            <v>0</v>
          </cell>
          <cell r="B269" t="str">
            <v>ALL VRTS</v>
          </cell>
          <cell r="C269" t="str">
            <v>…</v>
          </cell>
          <cell r="D269" t="str">
            <v>5460</v>
          </cell>
          <cell r="E269" t="str">
            <v>T1W23L</v>
          </cell>
          <cell r="F269" t="str">
            <v>T1E22R</v>
          </cell>
          <cell r="G269" t="str">
            <v>R02</v>
          </cell>
          <cell r="H269" t="str">
            <v>R31</v>
          </cell>
          <cell r="J269" t="str">
            <v>V11</v>
          </cell>
          <cell r="K269" t="str">
            <v>V37</v>
          </cell>
          <cell r="L269">
            <v>0</v>
          </cell>
          <cell r="M269">
            <v>0</v>
          </cell>
          <cell r="N269">
            <v>-1</v>
          </cell>
          <cell r="O269">
            <v>2004</v>
          </cell>
          <cell r="P269" t="str">
            <v>DEARBORN PLANT BUILD</v>
          </cell>
          <cell r="Q269" t="str">
            <v>P221/P397</v>
          </cell>
          <cell r="R269" t="str">
            <v>ALL</v>
          </cell>
          <cell r="S269" t="str">
            <v>DOP Primary Seal N/Seated</v>
          </cell>
          <cell r="T269">
            <v>2</v>
          </cell>
          <cell r="AA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C270" t="str">
            <v>unsure</v>
          </cell>
          <cell r="E270" t="str">
            <v>Sheet Metal</v>
          </cell>
          <cell r="G270" t="str">
            <v>R09</v>
          </cell>
          <cell r="H270" t="str">
            <v>R10</v>
          </cell>
          <cell r="J270" t="str">
            <v>V37</v>
          </cell>
          <cell r="L270">
            <v>-1</v>
          </cell>
          <cell r="M270">
            <v>0</v>
          </cell>
          <cell r="N270">
            <v>-1</v>
          </cell>
          <cell r="O270">
            <v>2004</v>
          </cell>
          <cell r="P270" t="str">
            <v>DEARBORN PLANT BUILD</v>
          </cell>
          <cell r="Q270" t="str">
            <v>P221/P397</v>
          </cell>
          <cell r="R270" t="str">
            <v>ALL</v>
          </cell>
          <cell r="S270" t="str">
            <v>Drain Tube</v>
          </cell>
          <cell r="T270">
            <v>2</v>
          </cell>
          <cell r="AA270">
            <v>2</v>
          </cell>
        </row>
        <row r="271">
          <cell r="A271">
            <v>0</v>
          </cell>
          <cell r="B271" t="str">
            <v>ALL VRTS</v>
          </cell>
          <cell r="G271" t="str">
            <v>N51</v>
          </cell>
          <cell r="J271" t="str">
            <v>V39</v>
          </cell>
          <cell r="L271">
            <v>0</v>
          </cell>
          <cell r="M271">
            <v>0</v>
          </cell>
          <cell r="N271">
            <v>-1</v>
          </cell>
          <cell r="O271">
            <v>2004</v>
          </cell>
          <cell r="P271" t="str">
            <v>DEARBORN PLANT BUILD</v>
          </cell>
          <cell r="Q271" t="str">
            <v>P221/P397</v>
          </cell>
          <cell r="R271" t="str">
            <v>ALL</v>
          </cell>
          <cell r="S271" t="str">
            <v>Driveshaft Dust Shield Cover mis-position</v>
          </cell>
          <cell r="T271">
            <v>2</v>
          </cell>
          <cell r="AB271">
            <v>2</v>
          </cell>
        </row>
        <row r="272">
          <cell r="A272">
            <v>0</v>
          </cell>
          <cell r="B272" t="str">
            <v>ALL VRTS</v>
          </cell>
          <cell r="G272" t="str">
            <v>K03</v>
          </cell>
          <cell r="J272" t="str">
            <v>V44</v>
          </cell>
          <cell r="L272">
            <v>-1</v>
          </cell>
          <cell r="M272">
            <v>-1</v>
          </cell>
          <cell r="N272">
            <v>0</v>
          </cell>
          <cell r="O272">
            <v>2004</v>
          </cell>
          <cell r="P272" t="str">
            <v>DEARBORN PLANT BUILD</v>
          </cell>
          <cell r="Q272" t="str">
            <v>P221/P397</v>
          </cell>
          <cell r="R272" t="str">
            <v>ALL</v>
          </cell>
          <cell r="S272" t="str">
            <v>Driveshaft U-Joint</v>
          </cell>
          <cell r="T272">
            <v>2</v>
          </cell>
          <cell r="AA272">
            <v>2</v>
          </cell>
        </row>
        <row r="273">
          <cell r="A273">
            <v>0</v>
          </cell>
          <cell r="B273" t="str">
            <v>ALL VRTS</v>
          </cell>
          <cell r="G273" t="str">
            <v>A18</v>
          </cell>
          <cell r="J273" t="str">
            <v>V81</v>
          </cell>
          <cell r="L273">
            <v>0</v>
          </cell>
          <cell r="M273">
            <v>-1</v>
          </cell>
          <cell r="N273">
            <v>0</v>
          </cell>
          <cell r="O273">
            <v>2004</v>
          </cell>
          <cell r="P273" t="str">
            <v>DEARBORN PLANT BUILD</v>
          </cell>
          <cell r="Q273" t="str">
            <v>P221/P397</v>
          </cell>
          <cell r="R273" t="str">
            <v>ALL</v>
          </cell>
          <cell r="S273" t="str">
            <v>DVD Replaced</v>
          </cell>
          <cell r="T273">
            <v>2</v>
          </cell>
          <cell r="Z273">
            <v>1</v>
          </cell>
          <cell r="AA273">
            <v>1</v>
          </cell>
        </row>
        <row r="274">
          <cell r="A274">
            <v>0</v>
          </cell>
          <cell r="B274" t="str">
            <v>ALL VRTS</v>
          </cell>
          <cell r="G274" t="str">
            <v>H02</v>
          </cell>
          <cell r="H274" t="str">
            <v>N17</v>
          </cell>
          <cell r="J274" t="str">
            <v>V21</v>
          </cell>
          <cell r="L274">
            <v>0</v>
          </cell>
          <cell r="M274">
            <v>-1</v>
          </cell>
          <cell r="N274">
            <v>0</v>
          </cell>
          <cell r="O274">
            <v>2004</v>
          </cell>
          <cell r="P274" t="str">
            <v>DEARBORN PLANT BUILD</v>
          </cell>
          <cell r="Q274" t="str">
            <v>P221/P397</v>
          </cell>
          <cell r="R274" t="str">
            <v>ALL</v>
          </cell>
          <cell r="S274" t="str">
            <v>E BRAKE SHOES CAME LOOSE - FIXED OR REPLACED PARTS</v>
          </cell>
          <cell r="T274">
            <v>2</v>
          </cell>
          <cell r="Z274">
            <v>1</v>
          </cell>
          <cell r="AA274">
            <v>1</v>
          </cell>
        </row>
        <row r="275">
          <cell r="A275">
            <v>0</v>
          </cell>
          <cell r="B275" t="str">
            <v>ALL VRTS</v>
          </cell>
          <cell r="G275" t="str">
            <v>N59</v>
          </cell>
          <cell r="H275" t="str">
            <v>N42</v>
          </cell>
          <cell r="J275" t="str">
            <v>V39</v>
          </cell>
          <cell r="L275">
            <v>0</v>
          </cell>
          <cell r="M275">
            <v>0</v>
          </cell>
          <cell r="N275">
            <v>-1</v>
          </cell>
          <cell r="O275">
            <v>2004</v>
          </cell>
          <cell r="P275" t="str">
            <v>DEARBORN PLANT BUILD</v>
          </cell>
          <cell r="Q275" t="str">
            <v>P221/P397</v>
          </cell>
          <cell r="R275" t="str">
            <v>ALL</v>
          </cell>
          <cell r="S275" t="str">
            <v>Exhaust Misalign</v>
          </cell>
          <cell r="T275">
            <v>2</v>
          </cell>
          <cell r="Z275">
            <v>1</v>
          </cell>
          <cell r="AA275">
            <v>1</v>
          </cell>
        </row>
        <row r="276">
          <cell r="A276">
            <v>0</v>
          </cell>
          <cell r="B276" t="str">
            <v>ALL VRTS</v>
          </cell>
          <cell r="G276" t="str">
            <v>L72</v>
          </cell>
          <cell r="J276" t="str">
            <v>V44</v>
          </cell>
          <cell r="L276">
            <v>0</v>
          </cell>
          <cell r="M276">
            <v>-1</v>
          </cell>
          <cell r="N276">
            <v>0</v>
          </cell>
          <cell r="O276">
            <v>2004</v>
          </cell>
          <cell r="P276" t="str">
            <v>DEARBORN PLANT BUILD</v>
          </cell>
          <cell r="Q276" t="str">
            <v>P221/P397</v>
          </cell>
          <cell r="R276" t="str">
            <v>ALL</v>
          </cell>
          <cell r="S276" t="str">
            <v>Ext.Housing seal</v>
          </cell>
          <cell r="T276">
            <v>2</v>
          </cell>
          <cell r="AB276">
            <v>2</v>
          </cell>
        </row>
        <row r="277">
          <cell r="A277">
            <v>0</v>
          </cell>
          <cell r="B277" t="str">
            <v>ALL VRTS</v>
          </cell>
          <cell r="G277" t="str">
            <v>A99</v>
          </cell>
          <cell r="J277" t="str">
            <v>V99</v>
          </cell>
          <cell r="L277">
            <v>0</v>
          </cell>
          <cell r="M277">
            <v>-1</v>
          </cell>
          <cell r="N277">
            <v>-1</v>
          </cell>
          <cell r="O277">
            <v>2004</v>
          </cell>
          <cell r="P277" t="str">
            <v>DEARBORN PLANT BUILD</v>
          </cell>
          <cell r="Q277" t="str">
            <v>P221/P397</v>
          </cell>
          <cell r="R277" t="str">
            <v>ALL</v>
          </cell>
          <cell r="S277" t="str">
            <v>Fix bedliner</v>
          </cell>
          <cell r="T277">
            <v>2</v>
          </cell>
          <cell r="AA277">
            <v>2</v>
          </cell>
        </row>
        <row r="278">
          <cell r="A278">
            <v>0</v>
          </cell>
          <cell r="B278" t="str">
            <v>ALL VRTS</v>
          </cell>
          <cell r="G278" t="str">
            <v>E29</v>
          </cell>
          <cell r="J278" t="str">
            <v>V44</v>
          </cell>
          <cell r="L278">
            <v>-1</v>
          </cell>
          <cell r="M278">
            <v>-1</v>
          </cell>
          <cell r="N278">
            <v>0</v>
          </cell>
          <cell r="O278">
            <v>2004</v>
          </cell>
          <cell r="P278" t="str">
            <v>DEARBORN PLANT BUILD</v>
          </cell>
          <cell r="Q278" t="str">
            <v>P221/P397</v>
          </cell>
          <cell r="R278" t="str">
            <v>ALL</v>
          </cell>
          <cell r="S278" t="str">
            <v>Fuel inj asy</v>
          </cell>
          <cell r="T278">
            <v>2</v>
          </cell>
          <cell r="Z278">
            <v>1</v>
          </cell>
          <cell r="AB278">
            <v>1</v>
          </cell>
        </row>
        <row r="279">
          <cell r="A279">
            <v>0</v>
          </cell>
          <cell r="B279" t="str">
            <v>ALL VRTS</v>
          </cell>
          <cell r="G279" t="str">
            <v>D21</v>
          </cell>
          <cell r="J279" t="str">
            <v>V42</v>
          </cell>
          <cell r="L279">
            <v>-1</v>
          </cell>
          <cell r="M279">
            <v>-1</v>
          </cell>
          <cell r="N279">
            <v>0</v>
          </cell>
          <cell r="O279">
            <v>2004</v>
          </cell>
          <cell r="P279" t="str">
            <v>DEARBORN PLANT BUILD</v>
          </cell>
          <cell r="Q279" t="str">
            <v>P221/P397</v>
          </cell>
          <cell r="R279" t="str">
            <v>ALL</v>
          </cell>
          <cell r="S279" t="str">
            <v>fuel inj sensor asy</v>
          </cell>
          <cell r="T279">
            <v>2</v>
          </cell>
          <cell r="Z279">
            <v>1</v>
          </cell>
          <cell r="AA279">
            <v>1</v>
          </cell>
        </row>
        <row r="280">
          <cell r="A280">
            <v>0</v>
          </cell>
          <cell r="B280" t="str">
            <v>ALL VRTS</v>
          </cell>
          <cell r="G280" t="str">
            <v>B63</v>
          </cell>
          <cell r="H280" t="str">
            <v>B66</v>
          </cell>
          <cell r="J280" t="str">
            <v>V75</v>
          </cell>
          <cell r="L280">
            <v>0</v>
          </cell>
          <cell r="M280">
            <v>-1</v>
          </cell>
          <cell r="N280">
            <v>0</v>
          </cell>
          <cell r="O280">
            <v>2004</v>
          </cell>
          <cell r="P280" t="str">
            <v>DEARBORN PLANT BUILD</v>
          </cell>
          <cell r="Q280" t="str">
            <v>P221/P397</v>
          </cell>
          <cell r="R280" t="str">
            <v>ALL</v>
          </cell>
          <cell r="S280" t="str">
            <v>GRILLE REPLACED</v>
          </cell>
          <cell r="T280">
            <v>2</v>
          </cell>
          <cell r="Z280">
            <v>1</v>
          </cell>
          <cell r="AA280">
            <v>1</v>
          </cell>
        </row>
        <row r="281">
          <cell r="A281">
            <v>0</v>
          </cell>
          <cell r="B281" t="str">
            <v>ALL VRTS</v>
          </cell>
          <cell r="G281" t="str">
            <v>L29</v>
          </cell>
          <cell r="H281" t="str">
            <v>L26</v>
          </cell>
          <cell r="J281" t="str">
            <v>V77</v>
          </cell>
          <cell r="L281">
            <v>0</v>
          </cell>
          <cell r="M281">
            <v>-1</v>
          </cell>
          <cell r="N281">
            <v>0</v>
          </cell>
          <cell r="O281">
            <v>2004</v>
          </cell>
          <cell r="P281" t="str">
            <v>DEARBORN PLANT BUILD</v>
          </cell>
          <cell r="Q281" t="str">
            <v>P221/P397</v>
          </cell>
          <cell r="R281" t="str">
            <v>ALL</v>
          </cell>
          <cell r="S281" t="str">
            <v>Headlamp replaced</v>
          </cell>
          <cell r="T281">
            <v>2</v>
          </cell>
          <cell r="Z281">
            <v>1</v>
          </cell>
          <cell r="AA281">
            <v>1</v>
          </cell>
        </row>
        <row r="282">
          <cell r="A282">
            <v>0</v>
          </cell>
          <cell r="B282" t="str">
            <v>ALL VRTS</v>
          </cell>
          <cell r="C282" t="str">
            <v>5430</v>
          </cell>
          <cell r="E282" t="str">
            <v>T513M</v>
          </cell>
          <cell r="G282" t="str">
            <v>E23</v>
          </cell>
          <cell r="H282" t="str">
            <v>L87</v>
          </cell>
          <cell r="J282" t="str">
            <v>V44</v>
          </cell>
          <cell r="L282">
            <v>0</v>
          </cell>
          <cell r="M282">
            <v>0</v>
          </cell>
          <cell r="N282">
            <v>-1</v>
          </cell>
          <cell r="O282">
            <v>2004</v>
          </cell>
          <cell r="P282" t="str">
            <v>DEARBORN PLANT BUILD</v>
          </cell>
          <cell r="Q282" t="str">
            <v>P221/P397</v>
          </cell>
          <cell r="R282" t="str">
            <v>ALL</v>
          </cell>
          <cell r="S282" t="str">
            <v>Heater hose disconnected</v>
          </cell>
          <cell r="T282">
            <v>2</v>
          </cell>
          <cell r="AB282">
            <v>2</v>
          </cell>
        </row>
        <row r="283">
          <cell r="A283">
            <v>0</v>
          </cell>
          <cell r="B283" t="str">
            <v>ALL VRTS</v>
          </cell>
          <cell r="C283" t="str">
            <v>6490</v>
          </cell>
          <cell r="E283" t="str">
            <v>C4W16R</v>
          </cell>
          <cell r="G283" t="str">
            <v>B74</v>
          </cell>
          <cell r="J283" t="str">
            <v>V74</v>
          </cell>
          <cell r="L283">
            <v>0</v>
          </cell>
          <cell r="M283">
            <v>-1</v>
          </cell>
          <cell r="N283">
            <v>-1</v>
          </cell>
          <cell r="O283">
            <v>2004</v>
          </cell>
          <cell r="P283" t="str">
            <v>DEARBORN PLANT BUILD</v>
          </cell>
          <cell r="Q283" t="str">
            <v>P221/P397</v>
          </cell>
          <cell r="R283" t="str">
            <v>ALL</v>
          </cell>
          <cell r="S283" t="str">
            <v>HOLE</v>
          </cell>
          <cell r="T283">
            <v>2</v>
          </cell>
          <cell r="Y283">
            <v>1</v>
          </cell>
          <cell r="AA283">
            <v>1</v>
          </cell>
        </row>
        <row r="284">
          <cell r="A284">
            <v>0</v>
          </cell>
          <cell r="B284" t="str">
            <v>ALL VRTS</v>
          </cell>
          <cell r="G284" t="str">
            <v>A85</v>
          </cell>
          <cell r="J284" t="str">
            <v>V17</v>
          </cell>
          <cell r="L284">
            <v>-1</v>
          </cell>
          <cell r="M284">
            <v>0</v>
          </cell>
          <cell r="N284">
            <v>0</v>
          </cell>
          <cell r="O284">
            <v>2004</v>
          </cell>
          <cell r="P284" t="str">
            <v>DEARBORN PLANT BUILD</v>
          </cell>
          <cell r="Q284" t="str">
            <v>P221/P397</v>
          </cell>
          <cell r="R284" t="str">
            <v>ALL</v>
          </cell>
          <cell r="S284" t="str">
            <v>Holes in connector C/O date 9/12/04</v>
          </cell>
          <cell r="T284">
            <v>2</v>
          </cell>
          <cell r="Z284">
            <v>1</v>
          </cell>
          <cell r="AB284">
            <v>1</v>
          </cell>
        </row>
        <row r="285">
          <cell r="A285">
            <v>0</v>
          </cell>
          <cell r="B285" t="str">
            <v>ALL VRTS</v>
          </cell>
          <cell r="G285" t="str">
            <v>C20</v>
          </cell>
          <cell r="J285" t="str">
            <v>V79</v>
          </cell>
          <cell r="L285">
            <v>0</v>
          </cell>
          <cell r="M285">
            <v>0</v>
          </cell>
          <cell r="N285">
            <v>-1</v>
          </cell>
          <cell r="O285">
            <v>2004</v>
          </cell>
          <cell r="P285" t="str">
            <v>DEARBORN PLANT BUILD</v>
          </cell>
          <cell r="Q285" t="str">
            <v>P221/P397</v>
          </cell>
          <cell r="R285" t="str">
            <v>ALL</v>
          </cell>
          <cell r="S285" t="str">
            <v>Improper Hose routing.</v>
          </cell>
          <cell r="T285">
            <v>2</v>
          </cell>
          <cell r="W285">
            <v>1</v>
          </cell>
          <cell r="Y285">
            <v>1</v>
          </cell>
        </row>
        <row r="286">
          <cell r="A286">
            <v>0</v>
          </cell>
          <cell r="B286" t="str">
            <v>ALL VRTS</v>
          </cell>
          <cell r="G286" t="str">
            <v>L88</v>
          </cell>
          <cell r="H286" t="str">
            <v>L86</v>
          </cell>
          <cell r="J286" t="str">
            <v>V44</v>
          </cell>
          <cell r="L286">
            <v>-1</v>
          </cell>
          <cell r="M286">
            <v>-1</v>
          </cell>
          <cell r="N286">
            <v>0</v>
          </cell>
          <cell r="O286">
            <v>2004</v>
          </cell>
          <cell r="P286" t="str">
            <v>DEARBORN PLANT BUILD</v>
          </cell>
          <cell r="Q286" t="str">
            <v>P221/P397</v>
          </cell>
          <cell r="R286" t="str">
            <v>ALL</v>
          </cell>
          <cell r="S286" t="str">
            <v>Input seal leak</v>
          </cell>
          <cell r="T286">
            <v>2</v>
          </cell>
          <cell r="Z286">
            <v>1</v>
          </cell>
          <cell r="AA286">
            <v>1</v>
          </cell>
        </row>
        <row r="287">
          <cell r="A287">
            <v>0</v>
          </cell>
          <cell r="B287" t="str">
            <v>ALL VRTS</v>
          </cell>
          <cell r="G287" t="str">
            <v>F04</v>
          </cell>
          <cell r="J287" t="str">
            <v>V33</v>
          </cell>
          <cell r="L287">
            <v>0</v>
          </cell>
          <cell r="M287">
            <v>0</v>
          </cell>
          <cell r="N287">
            <v>-1</v>
          </cell>
          <cell r="O287">
            <v>2004</v>
          </cell>
          <cell r="P287" t="str">
            <v>DEARBORN PLANT BUILD</v>
          </cell>
          <cell r="Q287" t="str">
            <v>P221/P397</v>
          </cell>
          <cell r="R287" t="str">
            <v>ALL</v>
          </cell>
          <cell r="S287" t="str">
            <v>Inside Tailgate</v>
          </cell>
          <cell r="T287">
            <v>2</v>
          </cell>
          <cell r="Z287">
            <v>2</v>
          </cell>
        </row>
        <row r="288">
          <cell r="A288">
            <v>0</v>
          </cell>
          <cell r="B288" t="str">
            <v>ALL VRTS</v>
          </cell>
          <cell r="G288" t="str">
            <v>G02</v>
          </cell>
          <cell r="H288" t="str">
            <v>G07</v>
          </cell>
          <cell r="J288" t="str">
            <v>V09</v>
          </cell>
          <cell r="L288">
            <v>0</v>
          </cell>
          <cell r="M288">
            <v>-1</v>
          </cell>
          <cell r="N288">
            <v>0</v>
          </cell>
          <cell r="O288">
            <v>2004</v>
          </cell>
          <cell r="P288" t="str">
            <v>DEARBORN PLANT BUILD</v>
          </cell>
          <cell r="Q288" t="str">
            <v>P221/P397</v>
          </cell>
          <cell r="R288" t="str">
            <v>ALL</v>
          </cell>
          <cell r="S288" t="str">
            <v>INSTALL NEW WINDOW</v>
          </cell>
          <cell r="T288">
            <v>2</v>
          </cell>
          <cell r="AA288">
            <v>2</v>
          </cell>
        </row>
        <row r="289">
          <cell r="A289">
            <v>0</v>
          </cell>
          <cell r="B289" t="str">
            <v>ALL VRTS</v>
          </cell>
          <cell r="G289" t="str">
            <v>A85</v>
          </cell>
          <cell r="J289" t="str">
            <v>V19</v>
          </cell>
          <cell r="L289">
            <v>0</v>
          </cell>
          <cell r="M289">
            <v>0</v>
          </cell>
          <cell r="N289">
            <v>-1</v>
          </cell>
          <cell r="O289">
            <v>2004</v>
          </cell>
          <cell r="P289" t="str">
            <v>DEARBORN PLANT BUILD</v>
          </cell>
          <cell r="Q289" t="str">
            <v>P221/P397</v>
          </cell>
          <cell r="R289" t="str">
            <v>ALL</v>
          </cell>
          <cell r="S289" t="str">
            <v>Interlock connecter not plugged in.</v>
          </cell>
          <cell r="T289">
            <v>2</v>
          </cell>
          <cell r="V289">
            <v>1</v>
          </cell>
          <cell r="Y289">
            <v>1</v>
          </cell>
        </row>
        <row r="290">
          <cell r="A290">
            <v>0</v>
          </cell>
          <cell r="B290" t="str">
            <v>ALL VRTS</v>
          </cell>
          <cell r="G290" t="str">
            <v>L69</v>
          </cell>
          <cell r="J290" t="str">
            <v>V25</v>
          </cell>
          <cell r="L290">
            <v>0</v>
          </cell>
          <cell r="M290">
            <v>-1</v>
          </cell>
          <cell r="N290">
            <v>0</v>
          </cell>
          <cell r="O290">
            <v>2004</v>
          </cell>
          <cell r="P290" t="str">
            <v>DEARBORN PLANT BUILD</v>
          </cell>
          <cell r="Q290" t="str">
            <v>P221/P397</v>
          </cell>
          <cell r="R290" t="str">
            <v>ALL</v>
          </cell>
          <cell r="S290" t="str">
            <v>intermittant open circuit in sending unit</v>
          </cell>
          <cell r="T290">
            <v>2</v>
          </cell>
          <cell r="W290">
            <v>1</v>
          </cell>
          <cell r="Y290">
            <v>1</v>
          </cell>
        </row>
        <row r="291">
          <cell r="A291">
            <v>0</v>
          </cell>
          <cell r="B291" t="str">
            <v>ALL VRTS</v>
          </cell>
          <cell r="G291" t="str">
            <v>L20</v>
          </cell>
          <cell r="J291" t="str">
            <v>V07</v>
          </cell>
          <cell r="L291">
            <v>0</v>
          </cell>
          <cell r="M291">
            <v>-1</v>
          </cell>
          <cell r="N291">
            <v>0</v>
          </cell>
          <cell r="O291">
            <v>2004</v>
          </cell>
          <cell r="P291" t="str">
            <v>DEARBORN PLANT BUILD</v>
          </cell>
          <cell r="Q291" t="str">
            <v>P221/P397</v>
          </cell>
          <cell r="R291" t="str">
            <v>ALL</v>
          </cell>
          <cell r="S291" t="str">
            <v>KEYBOARD ACTUATOR INOP</v>
          </cell>
          <cell r="T291">
            <v>2</v>
          </cell>
          <cell r="V291">
            <v>2</v>
          </cell>
        </row>
        <row r="292">
          <cell r="A292">
            <v>0</v>
          </cell>
          <cell r="B292" t="str">
            <v>ALL VRTS</v>
          </cell>
          <cell r="C292" t="str">
            <v>unsure</v>
          </cell>
          <cell r="E292" t="str">
            <v>T3W23L</v>
          </cell>
          <cell r="G292" t="str">
            <v>N33</v>
          </cell>
          <cell r="J292" t="str">
            <v>V39</v>
          </cell>
          <cell r="L292">
            <v>0</v>
          </cell>
          <cell r="M292">
            <v>0</v>
          </cell>
          <cell r="N292">
            <v>-1</v>
          </cell>
          <cell r="O292">
            <v>2004</v>
          </cell>
          <cell r="P292" t="str">
            <v>DEARBORN PLANT BUILD</v>
          </cell>
          <cell r="Q292" t="str">
            <v>P221/P397</v>
          </cell>
          <cell r="R292" t="str">
            <v>ALL</v>
          </cell>
          <cell r="S292" t="str">
            <v>Knee Bolster not secure</v>
          </cell>
          <cell r="T292">
            <v>2</v>
          </cell>
          <cell r="W292">
            <v>1</v>
          </cell>
          <cell r="AA292">
            <v>1</v>
          </cell>
        </row>
        <row r="293">
          <cell r="A293">
            <v>0</v>
          </cell>
          <cell r="B293" t="str">
            <v>ALL VRTS</v>
          </cell>
          <cell r="G293" t="str">
            <v>F04</v>
          </cell>
          <cell r="H293" t="str">
            <v>F19</v>
          </cell>
          <cell r="J293" t="str">
            <v>V33</v>
          </cell>
          <cell r="L293">
            <v>0</v>
          </cell>
          <cell r="M293">
            <v>0</v>
          </cell>
          <cell r="N293">
            <v>-1</v>
          </cell>
          <cell r="O293">
            <v>2004</v>
          </cell>
          <cell r="P293" t="str">
            <v>DEARBORN PLANT BUILD</v>
          </cell>
          <cell r="Q293" t="str">
            <v>P221/P397</v>
          </cell>
          <cell r="R293" t="str">
            <v>ALL</v>
          </cell>
          <cell r="S293" t="str">
            <v>L/S C-Pillar</v>
          </cell>
          <cell r="T293">
            <v>2</v>
          </cell>
          <cell r="Y293">
            <v>2</v>
          </cell>
        </row>
        <row r="294">
          <cell r="A294">
            <v>0</v>
          </cell>
          <cell r="B294" t="str">
            <v>ALL VRTS</v>
          </cell>
          <cell r="C294" t="str">
            <v>6540</v>
          </cell>
          <cell r="E294" t="str">
            <v>C5E17L</v>
          </cell>
          <cell r="G294" t="str">
            <v>S03</v>
          </cell>
          <cell r="H294" t="str">
            <v>S15</v>
          </cell>
          <cell r="J294" t="str">
            <v>V03</v>
          </cell>
          <cell r="L294">
            <v>0</v>
          </cell>
          <cell r="M294">
            <v>-1</v>
          </cell>
          <cell r="N294">
            <v>-1</v>
          </cell>
          <cell r="O294">
            <v>2004</v>
          </cell>
          <cell r="P294" t="str">
            <v>DEARBORN PLANT BUILD</v>
          </cell>
          <cell r="Q294" t="str">
            <v>P221/P397</v>
          </cell>
          <cell r="R294" t="str">
            <v>ALL</v>
          </cell>
          <cell r="S294" t="str">
            <v>LOOSE BOLTS</v>
          </cell>
          <cell r="T294">
            <v>2</v>
          </cell>
          <cell r="Z294">
            <v>1</v>
          </cell>
          <cell r="AA294">
            <v>1</v>
          </cell>
        </row>
        <row r="295">
          <cell r="A295">
            <v>0</v>
          </cell>
          <cell r="B295" t="str">
            <v>ALL VRTS</v>
          </cell>
          <cell r="C295" t="str">
            <v>5590</v>
          </cell>
          <cell r="E295" t="str">
            <v>T4W27L</v>
          </cell>
          <cell r="G295" t="str">
            <v>S27</v>
          </cell>
          <cell r="J295" t="str">
            <v>V05</v>
          </cell>
          <cell r="L295">
            <v>0</v>
          </cell>
          <cell r="M295">
            <v>-1</v>
          </cell>
          <cell r="N295">
            <v>-1</v>
          </cell>
          <cell r="O295">
            <v>2004</v>
          </cell>
          <cell r="P295" t="str">
            <v>DEARBORN PLANT BUILD</v>
          </cell>
          <cell r="Q295" t="str">
            <v>P221/P397</v>
          </cell>
          <cell r="R295" t="str">
            <v>ALL</v>
          </cell>
          <cell r="S295" t="str">
            <v>MARRED</v>
          </cell>
          <cell r="T295">
            <v>2</v>
          </cell>
          <cell r="X295">
            <v>1</v>
          </cell>
          <cell r="AA295">
            <v>1</v>
          </cell>
        </row>
        <row r="296">
          <cell r="A296">
            <v>0</v>
          </cell>
          <cell r="B296" t="str">
            <v>ALL VRTS</v>
          </cell>
          <cell r="G296" t="str">
            <v>A85</v>
          </cell>
          <cell r="J296" t="str">
            <v>V17</v>
          </cell>
          <cell r="L296">
            <v>0</v>
          </cell>
          <cell r="M296">
            <v>0</v>
          </cell>
          <cell r="N296">
            <v>-1</v>
          </cell>
          <cell r="O296">
            <v>2004</v>
          </cell>
          <cell r="P296" t="str">
            <v>DEARBORN PLANT BUILD</v>
          </cell>
          <cell r="Q296" t="str">
            <v>P221/P397</v>
          </cell>
          <cell r="R296" t="str">
            <v>ALL</v>
          </cell>
          <cell r="S296" t="str">
            <v>Mirror unplugged, not connected</v>
          </cell>
          <cell r="T296">
            <v>2</v>
          </cell>
          <cell r="Y296">
            <v>1</v>
          </cell>
          <cell r="AA296">
            <v>1</v>
          </cell>
        </row>
        <row r="297">
          <cell r="A297">
            <v>0</v>
          </cell>
          <cell r="B297" t="str">
            <v>ALL VRTS</v>
          </cell>
          <cell r="G297" t="str">
            <v>L22</v>
          </cell>
          <cell r="H297" t="str">
            <v>L29</v>
          </cell>
          <cell r="J297" t="str">
            <v>V77</v>
          </cell>
          <cell r="L297">
            <v>0</v>
          </cell>
          <cell r="M297">
            <v>0</v>
          </cell>
          <cell r="N297">
            <v>-1</v>
          </cell>
          <cell r="O297">
            <v>2004</v>
          </cell>
          <cell r="P297" t="str">
            <v>DEARBORN PLANT BUILD</v>
          </cell>
          <cell r="Q297" t="str">
            <v>P221/P397</v>
          </cell>
          <cell r="R297" t="str">
            <v>ALL</v>
          </cell>
          <cell r="S297" t="str">
            <v>Misalignment</v>
          </cell>
          <cell r="T297">
            <v>2</v>
          </cell>
          <cell r="AA297">
            <v>1</v>
          </cell>
          <cell r="AB297">
            <v>1</v>
          </cell>
        </row>
        <row r="298">
          <cell r="A298">
            <v>0</v>
          </cell>
          <cell r="B298" t="str">
            <v>ALL VRTS</v>
          </cell>
          <cell r="C298" t="str">
            <v>5590</v>
          </cell>
          <cell r="E298" t="str">
            <v>T4W27L</v>
          </cell>
          <cell r="F298" t="str">
            <v>T4W29L</v>
          </cell>
          <cell r="G298" t="str">
            <v>S27</v>
          </cell>
          <cell r="J298" t="str">
            <v>V05</v>
          </cell>
          <cell r="L298">
            <v>0</v>
          </cell>
          <cell r="M298">
            <v>0</v>
          </cell>
          <cell r="N298">
            <v>-1</v>
          </cell>
          <cell r="O298">
            <v>2004</v>
          </cell>
          <cell r="P298" t="str">
            <v>DEARBORN PLANT BUILD</v>
          </cell>
          <cell r="Q298" t="str">
            <v>P221/P397</v>
          </cell>
          <cell r="R298" t="str">
            <v>ALL</v>
          </cell>
          <cell r="S298" t="str">
            <v>MISBUILD</v>
          </cell>
          <cell r="T298">
            <v>2</v>
          </cell>
          <cell r="X298">
            <v>1</v>
          </cell>
          <cell r="Y298">
            <v>1</v>
          </cell>
        </row>
        <row r="299">
          <cell r="A299">
            <v>0</v>
          </cell>
          <cell r="B299" t="str">
            <v>ALL VRTS</v>
          </cell>
          <cell r="C299" t="str">
            <v>door line 5350-2-A</v>
          </cell>
          <cell r="E299" t="str">
            <v>TDW32R</v>
          </cell>
          <cell r="G299" t="str">
            <v>B64</v>
          </cell>
          <cell r="H299" t="str">
            <v>B63</v>
          </cell>
          <cell r="J299" t="str">
            <v>V75</v>
          </cell>
          <cell r="L299">
            <v>0</v>
          </cell>
          <cell r="M299">
            <v>0</v>
          </cell>
          <cell r="N299">
            <v>-1</v>
          </cell>
          <cell r="O299">
            <v>2004</v>
          </cell>
          <cell r="P299" t="str">
            <v>DEARBORN PLANT BUILD</v>
          </cell>
          <cell r="Q299" t="str">
            <v>P221/P397</v>
          </cell>
          <cell r="R299" t="str">
            <v>ALL</v>
          </cell>
          <cell r="S299" t="str">
            <v>Mldg reattached</v>
          </cell>
          <cell r="T299">
            <v>2</v>
          </cell>
          <cell r="AA299">
            <v>2</v>
          </cell>
        </row>
        <row r="300">
          <cell r="A300">
            <v>0</v>
          </cell>
          <cell r="B300" t="str">
            <v>ALL VRTS</v>
          </cell>
          <cell r="C300" t="str">
            <v>unsure</v>
          </cell>
          <cell r="E300" t="str">
            <v>T2W11L</v>
          </cell>
          <cell r="G300" t="str">
            <v>N30</v>
          </cell>
          <cell r="H300" t="str">
            <v>N43</v>
          </cell>
          <cell r="J300" t="str">
            <v>V39</v>
          </cell>
          <cell r="L300">
            <v>0</v>
          </cell>
          <cell r="M300">
            <v>0</v>
          </cell>
          <cell r="N300">
            <v>-1</v>
          </cell>
          <cell r="O300">
            <v>2004</v>
          </cell>
          <cell r="P300" t="str">
            <v>DEARBORN PLANT BUILD</v>
          </cell>
          <cell r="Q300" t="str">
            <v>P221/P397</v>
          </cell>
          <cell r="R300" t="str">
            <v>ALL</v>
          </cell>
          <cell r="S300" t="str">
            <v>Moonroof bolts loose on frame</v>
          </cell>
          <cell r="T300">
            <v>2</v>
          </cell>
          <cell r="V300">
            <v>1</v>
          </cell>
          <cell r="Z300">
            <v>1</v>
          </cell>
        </row>
        <row r="301">
          <cell r="A301">
            <v>0</v>
          </cell>
          <cell r="B301" t="str">
            <v>ALL VRTS</v>
          </cell>
          <cell r="G301" t="str">
            <v>L29</v>
          </cell>
          <cell r="H301" t="str">
            <v>G29</v>
          </cell>
          <cell r="J301" t="str">
            <v>V77</v>
          </cell>
          <cell r="L301">
            <v>0</v>
          </cell>
          <cell r="M301">
            <v>-1</v>
          </cell>
          <cell r="N301">
            <v>-1</v>
          </cell>
          <cell r="O301">
            <v>2004</v>
          </cell>
          <cell r="P301" t="str">
            <v>DEARBORN PLANT BUILD</v>
          </cell>
          <cell r="Q301" t="str">
            <v>P221/P397</v>
          </cell>
          <cell r="R301" t="str">
            <v>ALL</v>
          </cell>
          <cell r="S301" t="str">
            <v>No Connect at Brake Master Cylinder.</v>
          </cell>
          <cell r="T301">
            <v>2</v>
          </cell>
          <cell r="W301">
            <v>1</v>
          </cell>
          <cell r="AB301">
            <v>1</v>
          </cell>
        </row>
        <row r="302">
          <cell r="A302">
            <v>0</v>
          </cell>
          <cell r="B302" t="str">
            <v>ALL VRTS</v>
          </cell>
          <cell r="G302" t="str">
            <v>A85</v>
          </cell>
          <cell r="J302" t="str">
            <v>V17</v>
          </cell>
          <cell r="L302">
            <v>0</v>
          </cell>
          <cell r="M302">
            <v>-1</v>
          </cell>
          <cell r="N302">
            <v>-1</v>
          </cell>
          <cell r="O302">
            <v>2004</v>
          </cell>
          <cell r="P302" t="str">
            <v>DEARBORN PLANT BUILD</v>
          </cell>
          <cell r="Q302" t="str">
            <v>P221/P397</v>
          </cell>
          <cell r="R302" t="str">
            <v>ALL</v>
          </cell>
          <cell r="S302" t="str">
            <v>Open Circuit in cluster.</v>
          </cell>
          <cell r="T302">
            <v>2</v>
          </cell>
          <cell r="X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G303" t="str">
            <v>TB3</v>
          </cell>
          <cell r="J303" t="str">
            <v>V88</v>
          </cell>
          <cell r="L303">
            <v>0</v>
          </cell>
          <cell r="M303">
            <v>-1</v>
          </cell>
          <cell r="N303">
            <v>0</v>
          </cell>
          <cell r="O303">
            <v>2004</v>
          </cell>
          <cell r="P303" t="str">
            <v>DEARBORN PLANT BUILD</v>
          </cell>
          <cell r="Q303" t="str">
            <v>P221/P397</v>
          </cell>
          <cell r="R303" t="str">
            <v>ALL</v>
          </cell>
          <cell r="S303" t="str">
            <v>OUT OF ROUND  - REPLACED</v>
          </cell>
          <cell r="T303">
            <v>2</v>
          </cell>
          <cell r="AA303">
            <v>2</v>
          </cell>
        </row>
        <row r="304">
          <cell r="A304">
            <v>0</v>
          </cell>
          <cell r="B304" t="str">
            <v>ALL VRTS</v>
          </cell>
          <cell r="G304" t="str">
            <v>L72</v>
          </cell>
          <cell r="H304" t="str">
            <v>L88</v>
          </cell>
          <cell r="J304" t="str">
            <v>V44</v>
          </cell>
          <cell r="L304">
            <v>-1</v>
          </cell>
          <cell r="M304">
            <v>-1</v>
          </cell>
          <cell r="N304">
            <v>0</v>
          </cell>
          <cell r="O304">
            <v>2004</v>
          </cell>
          <cell r="P304" t="str">
            <v>DEARBORN PLANT BUILD</v>
          </cell>
          <cell r="Q304" t="str">
            <v>P221/P397</v>
          </cell>
          <cell r="R304" t="str">
            <v>ALL</v>
          </cell>
          <cell r="S304" t="str">
            <v>Output shaft seal</v>
          </cell>
          <cell r="T304">
            <v>2</v>
          </cell>
          <cell r="AA304">
            <v>1</v>
          </cell>
          <cell r="AB304">
            <v>1</v>
          </cell>
        </row>
        <row r="305">
          <cell r="A305">
            <v>0</v>
          </cell>
          <cell r="B305" t="str">
            <v>ALL VRTS</v>
          </cell>
          <cell r="G305" t="str">
            <v>L72</v>
          </cell>
          <cell r="J305" t="str">
            <v>V44</v>
          </cell>
          <cell r="L305">
            <v>0</v>
          </cell>
          <cell r="M305">
            <v>-1</v>
          </cell>
          <cell r="N305">
            <v>0</v>
          </cell>
          <cell r="O305">
            <v>2004</v>
          </cell>
          <cell r="P305" t="str">
            <v>DEARBORN PLANT BUILD</v>
          </cell>
          <cell r="Q305" t="str">
            <v>P221/P397</v>
          </cell>
          <cell r="R305" t="str">
            <v>ALL</v>
          </cell>
          <cell r="S305" t="str">
            <v>Overhauled Transmission</v>
          </cell>
          <cell r="T305">
            <v>2</v>
          </cell>
          <cell r="AA305">
            <v>1</v>
          </cell>
          <cell r="AB305">
            <v>1</v>
          </cell>
        </row>
        <row r="306">
          <cell r="A306">
            <v>0</v>
          </cell>
          <cell r="B306" t="str">
            <v>ALL VRTS</v>
          </cell>
          <cell r="G306" t="str">
            <v>N33</v>
          </cell>
          <cell r="J306" t="str">
            <v>V39</v>
          </cell>
          <cell r="L306">
            <v>0</v>
          </cell>
          <cell r="M306">
            <v>-1</v>
          </cell>
          <cell r="N306">
            <v>0</v>
          </cell>
          <cell r="O306">
            <v>2004</v>
          </cell>
          <cell r="P306" t="str">
            <v>DEARBORN PLANT BUILD</v>
          </cell>
          <cell r="Q306" t="str">
            <v>P221/P397</v>
          </cell>
          <cell r="R306" t="str">
            <v>ALL</v>
          </cell>
          <cell r="S306" t="str">
            <v>Passenger Air Bag Squeak/Rattle</v>
          </cell>
          <cell r="T306">
            <v>2</v>
          </cell>
          <cell r="AA306">
            <v>1</v>
          </cell>
          <cell r="AB306">
            <v>1</v>
          </cell>
        </row>
        <row r="307">
          <cell r="A307">
            <v>0</v>
          </cell>
          <cell r="B307" t="str">
            <v>ALL VRTS</v>
          </cell>
          <cell r="G307" t="str">
            <v>D02</v>
          </cell>
          <cell r="J307" t="str">
            <v>V43</v>
          </cell>
          <cell r="L307">
            <v>-1</v>
          </cell>
          <cell r="M307">
            <v>-1</v>
          </cell>
          <cell r="N307">
            <v>0</v>
          </cell>
          <cell r="O307">
            <v>2004</v>
          </cell>
          <cell r="P307" t="str">
            <v>DEARBORN PLANT BUILD</v>
          </cell>
          <cell r="Q307" t="str">
            <v>P221/P397</v>
          </cell>
          <cell r="R307" t="str">
            <v>ALL</v>
          </cell>
          <cell r="S307" t="str">
            <v>PCM Relay defective</v>
          </cell>
          <cell r="T307">
            <v>2</v>
          </cell>
          <cell r="AA307">
            <v>2</v>
          </cell>
        </row>
        <row r="308">
          <cell r="A308">
            <v>0</v>
          </cell>
          <cell r="B308" t="str">
            <v>ALL VRTS</v>
          </cell>
          <cell r="G308" t="str">
            <v>A88</v>
          </cell>
          <cell r="H308" t="str">
            <v>C27</v>
          </cell>
          <cell r="J308" t="str">
            <v>V17</v>
          </cell>
          <cell r="L308">
            <v>0</v>
          </cell>
          <cell r="M308">
            <v>-1</v>
          </cell>
          <cell r="N308">
            <v>-1</v>
          </cell>
          <cell r="O308">
            <v>2004</v>
          </cell>
          <cell r="P308" t="str">
            <v>DEARBORN PLANT BUILD</v>
          </cell>
          <cell r="Q308" t="str">
            <v>P221/P397</v>
          </cell>
          <cell r="R308" t="str">
            <v>ALL</v>
          </cell>
          <cell r="S308" t="str">
            <v>Pigtail connector, replaced.</v>
          </cell>
          <cell r="T308">
            <v>2</v>
          </cell>
          <cell r="W308">
            <v>2</v>
          </cell>
        </row>
        <row r="309">
          <cell r="A309">
            <v>0</v>
          </cell>
          <cell r="B309" t="str">
            <v>ALL VRTS</v>
          </cell>
          <cell r="G309" t="str">
            <v>L68</v>
          </cell>
          <cell r="H309" t="str">
            <v>N58</v>
          </cell>
          <cell r="J309" t="str">
            <v>V87</v>
          </cell>
          <cell r="L309">
            <v>0</v>
          </cell>
          <cell r="M309">
            <v>-1</v>
          </cell>
          <cell r="N309">
            <v>0</v>
          </cell>
          <cell r="O309">
            <v>2004</v>
          </cell>
          <cell r="P309" t="str">
            <v>DEARBORN PLANT BUILD</v>
          </cell>
          <cell r="Q309" t="str">
            <v>P221/P397</v>
          </cell>
          <cell r="R309" t="str">
            <v>ALL</v>
          </cell>
          <cell r="S309" t="str">
            <v>POWER STEERING PRESSURE LINE - REPLACED</v>
          </cell>
          <cell r="T309">
            <v>2</v>
          </cell>
          <cell r="AA309">
            <v>1</v>
          </cell>
          <cell r="AB309">
            <v>1</v>
          </cell>
        </row>
        <row r="310">
          <cell r="A310">
            <v>0</v>
          </cell>
          <cell r="B310" t="str">
            <v>ALL VRTS</v>
          </cell>
          <cell r="C310" t="str">
            <v>6450</v>
          </cell>
          <cell r="E310" t="str">
            <v>C2E47F</v>
          </cell>
          <cell r="G310" t="str">
            <v>L68</v>
          </cell>
          <cell r="J310" t="str">
            <v>V87</v>
          </cell>
          <cell r="L310">
            <v>0</v>
          </cell>
          <cell r="M310">
            <v>-1</v>
          </cell>
          <cell r="N310">
            <v>-1</v>
          </cell>
          <cell r="O310">
            <v>2004</v>
          </cell>
          <cell r="P310" t="str">
            <v>DEARBORN PLANT BUILD</v>
          </cell>
          <cell r="Q310" t="str">
            <v>P221/P397</v>
          </cell>
          <cell r="R310" t="str">
            <v>ALL</v>
          </cell>
          <cell r="S310" t="str">
            <v>POWER STEERING REFILLED</v>
          </cell>
          <cell r="T310">
            <v>2</v>
          </cell>
          <cell r="X310">
            <v>1</v>
          </cell>
          <cell r="Z310">
            <v>1</v>
          </cell>
        </row>
        <row r="311">
          <cell r="A311">
            <v>0</v>
          </cell>
          <cell r="B311" t="str">
            <v>ALL VRTS</v>
          </cell>
          <cell r="G311" t="str">
            <v>G29</v>
          </cell>
          <cell r="J311" t="str">
            <v>V83</v>
          </cell>
          <cell r="L311">
            <v>0</v>
          </cell>
          <cell r="M311">
            <v>-1</v>
          </cell>
          <cell r="N311">
            <v>0</v>
          </cell>
          <cell r="O311">
            <v>2004</v>
          </cell>
          <cell r="P311" t="str">
            <v>DEARBORN PLANT BUILD</v>
          </cell>
          <cell r="Q311" t="str">
            <v>P221/P397</v>
          </cell>
          <cell r="R311" t="str">
            <v>ALL</v>
          </cell>
          <cell r="S311" t="str">
            <v>Processor Defective.</v>
          </cell>
          <cell r="T311">
            <v>2</v>
          </cell>
          <cell r="Y311">
            <v>1</v>
          </cell>
          <cell r="AA311">
            <v>1</v>
          </cell>
        </row>
        <row r="312">
          <cell r="A312">
            <v>0</v>
          </cell>
          <cell r="B312" t="str">
            <v>ALL VRTS</v>
          </cell>
          <cell r="G312" t="str">
            <v>F06</v>
          </cell>
          <cell r="H312" t="str">
            <v>F20</v>
          </cell>
          <cell r="J312" t="str">
            <v>V33</v>
          </cell>
          <cell r="L312">
            <v>0</v>
          </cell>
          <cell r="M312">
            <v>0</v>
          </cell>
          <cell r="N312">
            <v>-1</v>
          </cell>
          <cell r="O312">
            <v>2004</v>
          </cell>
          <cell r="P312" t="str">
            <v>DEARBORN PLANT BUILD</v>
          </cell>
          <cell r="Q312" t="str">
            <v>P221/P397</v>
          </cell>
          <cell r="R312" t="str">
            <v>ALL</v>
          </cell>
          <cell r="S312" t="str">
            <v>PVC</v>
          </cell>
          <cell r="T312">
            <v>2</v>
          </cell>
          <cell r="AA312">
            <v>2</v>
          </cell>
        </row>
        <row r="313">
          <cell r="A313">
            <v>0</v>
          </cell>
          <cell r="B313" t="str">
            <v>ALL VRTS</v>
          </cell>
          <cell r="C313" t="str">
            <v>6410</v>
          </cell>
          <cell r="D313" t="str">
            <v>6420</v>
          </cell>
          <cell r="E313" t="str">
            <v>C2W08B</v>
          </cell>
          <cell r="G313" t="str">
            <v>E35</v>
          </cell>
          <cell r="H313" t="str">
            <v>C50</v>
          </cell>
          <cell r="J313" t="str">
            <v>V89</v>
          </cell>
          <cell r="L313">
            <v>0</v>
          </cell>
          <cell r="M313">
            <v>0</v>
          </cell>
          <cell r="N313">
            <v>-1</v>
          </cell>
          <cell r="O313">
            <v>2004</v>
          </cell>
          <cell r="P313" t="str">
            <v>DEARBORN PLANT BUILD</v>
          </cell>
          <cell r="Q313" t="str">
            <v>P221/P397</v>
          </cell>
          <cell r="R313" t="str">
            <v>ALL</v>
          </cell>
          <cell r="S313" t="str">
            <v>R/R SHOCK BOLT AND NUT MISSING - REPLACED</v>
          </cell>
          <cell r="T313">
            <v>2</v>
          </cell>
          <cell r="Y313">
            <v>1</v>
          </cell>
          <cell r="AA313">
            <v>1</v>
          </cell>
        </row>
        <row r="314">
          <cell r="A314">
            <v>0</v>
          </cell>
          <cell r="B314" t="str">
            <v>ALL VRTS</v>
          </cell>
          <cell r="G314" t="str">
            <v>L87</v>
          </cell>
          <cell r="J314" t="str">
            <v>V44</v>
          </cell>
          <cell r="L314">
            <v>0</v>
          </cell>
          <cell r="M314">
            <v>-1</v>
          </cell>
          <cell r="N314">
            <v>0</v>
          </cell>
          <cell r="O314">
            <v>2004</v>
          </cell>
          <cell r="P314" t="str">
            <v>DEARBORN PLANT BUILD</v>
          </cell>
          <cell r="Q314" t="str">
            <v>P221/P397</v>
          </cell>
          <cell r="R314" t="str">
            <v>ALL</v>
          </cell>
          <cell r="S314" t="str">
            <v>Radiator Defective</v>
          </cell>
          <cell r="T314">
            <v>2</v>
          </cell>
          <cell r="AA314">
            <v>1</v>
          </cell>
          <cell r="AB314">
            <v>1</v>
          </cell>
        </row>
        <row r="315">
          <cell r="A315">
            <v>0</v>
          </cell>
          <cell r="B315" t="str">
            <v>ALL VRTS</v>
          </cell>
          <cell r="G315" t="str">
            <v>A07</v>
          </cell>
          <cell r="J315" t="str">
            <v>V81</v>
          </cell>
          <cell r="L315">
            <v>0</v>
          </cell>
          <cell r="M315">
            <v>-1</v>
          </cell>
          <cell r="N315">
            <v>0</v>
          </cell>
          <cell r="O315">
            <v>2004</v>
          </cell>
          <cell r="P315" t="str">
            <v>DEARBORN PLANT BUILD</v>
          </cell>
          <cell r="Q315" t="str">
            <v>P221/P397</v>
          </cell>
          <cell r="R315" t="str">
            <v>ALL</v>
          </cell>
          <cell r="S315" t="str">
            <v>Radio Reinstalled</v>
          </cell>
          <cell r="T315">
            <v>2</v>
          </cell>
          <cell r="V315">
            <v>1</v>
          </cell>
          <cell r="W315">
            <v>1</v>
          </cell>
        </row>
        <row r="316">
          <cell r="A316">
            <v>0</v>
          </cell>
          <cell r="B316" t="str">
            <v>ALL VRTS</v>
          </cell>
          <cell r="G316" t="str">
            <v>G09</v>
          </cell>
          <cell r="H316" t="str">
            <v>N51</v>
          </cell>
          <cell r="J316" t="str">
            <v>V39</v>
          </cell>
          <cell r="L316">
            <v>0</v>
          </cell>
          <cell r="M316">
            <v>-1</v>
          </cell>
          <cell r="N316">
            <v>0</v>
          </cell>
          <cell r="O316">
            <v>2004</v>
          </cell>
          <cell r="P316" t="str">
            <v>DEARBORN PLANT BUILD</v>
          </cell>
          <cell r="Q316" t="str">
            <v>P221/P397</v>
          </cell>
          <cell r="R316" t="str">
            <v>ALL</v>
          </cell>
          <cell r="S316" t="str">
            <v>Rear Backlite Assembly Track to Glass</v>
          </cell>
          <cell r="T316">
            <v>2</v>
          </cell>
          <cell r="AA316">
            <v>2</v>
          </cell>
        </row>
        <row r="317">
          <cell r="A317">
            <v>0</v>
          </cell>
          <cell r="B317" t="str">
            <v>ALL VRTS</v>
          </cell>
          <cell r="G317" t="str">
            <v>B66</v>
          </cell>
          <cell r="H317" t="str">
            <v>B69</v>
          </cell>
          <cell r="J317" t="str">
            <v>V75</v>
          </cell>
          <cell r="L317">
            <v>0</v>
          </cell>
          <cell r="M317">
            <v>-1</v>
          </cell>
          <cell r="N317">
            <v>0</v>
          </cell>
          <cell r="O317">
            <v>2004</v>
          </cell>
          <cell r="P317" t="str">
            <v>DEARBORN PLANT BUILD</v>
          </cell>
          <cell r="Q317" t="str">
            <v>P221/P397</v>
          </cell>
          <cell r="R317" t="str">
            <v>ALL</v>
          </cell>
          <cell r="S317" t="str">
            <v>Rear Bumper Cover Replaced</v>
          </cell>
          <cell r="T317">
            <v>2</v>
          </cell>
          <cell r="Y317">
            <v>1</v>
          </cell>
          <cell r="AA317">
            <v>1</v>
          </cell>
        </row>
        <row r="318">
          <cell r="A318">
            <v>0</v>
          </cell>
          <cell r="B318" t="str">
            <v>ALL VRTS</v>
          </cell>
          <cell r="G318" t="str">
            <v>F12</v>
          </cell>
          <cell r="H318" t="str">
            <v>F19</v>
          </cell>
          <cell r="J318" t="str">
            <v>V33</v>
          </cell>
          <cell r="L318">
            <v>0</v>
          </cell>
          <cell r="M318">
            <v>0</v>
          </cell>
          <cell r="N318">
            <v>-1</v>
          </cell>
          <cell r="O318">
            <v>2004</v>
          </cell>
          <cell r="P318" t="str">
            <v>DEARBORN PLANT BUILD</v>
          </cell>
          <cell r="Q318" t="str">
            <v>P221/P397</v>
          </cell>
          <cell r="R318" t="str">
            <v>ALL</v>
          </cell>
          <cell r="S318" t="str">
            <v>Rear Fascia</v>
          </cell>
          <cell r="T318">
            <v>2</v>
          </cell>
          <cell r="X318">
            <v>1</v>
          </cell>
          <cell r="Y318">
            <v>1</v>
          </cell>
        </row>
        <row r="319">
          <cell r="A319">
            <v>0</v>
          </cell>
          <cell r="B319" t="str">
            <v>ALL VRTS</v>
          </cell>
          <cell r="C319" t="str">
            <v>5330</v>
          </cell>
          <cell r="E319" t="str">
            <v>TDE17-L</v>
          </cell>
          <cell r="F319" t="str">
            <v>TWD20-R</v>
          </cell>
          <cell r="G319" t="str">
            <v>L15</v>
          </cell>
          <cell r="H319" t="str">
            <v>L16</v>
          </cell>
          <cell r="J319" t="str">
            <v>V07</v>
          </cell>
          <cell r="L319">
            <v>0</v>
          </cell>
          <cell r="M319">
            <v>0</v>
          </cell>
          <cell r="N319">
            <v>-1</v>
          </cell>
          <cell r="O319">
            <v>2004</v>
          </cell>
          <cell r="P319" t="str">
            <v>DEARBORN PLANT BUILD</v>
          </cell>
          <cell r="Q319" t="str">
            <v>P221/P397</v>
          </cell>
          <cell r="R319" t="str">
            <v>ALL</v>
          </cell>
          <cell r="S319" t="str">
            <v>REATTACH CABLE</v>
          </cell>
          <cell r="T319">
            <v>2</v>
          </cell>
          <cell r="W319">
            <v>1</v>
          </cell>
          <cell r="Y319">
            <v>1</v>
          </cell>
        </row>
        <row r="320">
          <cell r="A320">
            <v>0</v>
          </cell>
          <cell r="B320" t="str">
            <v>ALL VRTS</v>
          </cell>
          <cell r="G320" t="str">
            <v>S15</v>
          </cell>
          <cell r="H320" t="str">
            <v>T53</v>
          </cell>
          <cell r="J320" t="str">
            <v>V03</v>
          </cell>
          <cell r="K320" t="str">
            <v>V74</v>
          </cell>
          <cell r="L320">
            <v>0</v>
          </cell>
          <cell r="M320">
            <v>-1</v>
          </cell>
          <cell r="N320">
            <v>0</v>
          </cell>
          <cell r="O320">
            <v>2004</v>
          </cell>
          <cell r="P320" t="str">
            <v>DEARBORN PLANT BUILD</v>
          </cell>
          <cell r="Q320" t="str">
            <v>P221/P397</v>
          </cell>
          <cell r="R320" t="str">
            <v>ALL</v>
          </cell>
          <cell r="S320" t="str">
            <v>RECLINER LEVER, LOOSE</v>
          </cell>
          <cell r="T320">
            <v>2</v>
          </cell>
          <cell r="W320">
            <v>1</v>
          </cell>
          <cell r="X320">
            <v>1</v>
          </cell>
        </row>
        <row r="321">
          <cell r="A321">
            <v>0</v>
          </cell>
          <cell r="B321" t="str">
            <v>ALL VRTS</v>
          </cell>
          <cell r="G321" t="str">
            <v>L23</v>
          </cell>
          <cell r="J321" t="str">
            <v>V07</v>
          </cell>
          <cell r="L321">
            <v>0</v>
          </cell>
          <cell r="M321">
            <v>0</v>
          </cell>
          <cell r="N321">
            <v>-1</v>
          </cell>
          <cell r="O321">
            <v>2004</v>
          </cell>
          <cell r="P321" t="str">
            <v>DEARBORN PLANT BUILD</v>
          </cell>
          <cell r="Q321" t="str">
            <v>P221/P397</v>
          </cell>
          <cell r="R321" t="str">
            <v>ALL</v>
          </cell>
          <cell r="S321" t="str">
            <v>RECODE KEY</v>
          </cell>
          <cell r="T321">
            <v>2</v>
          </cell>
          <cell r="Z321">
            <v>1</v>
          </cell>
          <cell r="AA321">
            <v>1</v>
          </cell>
        </row>
        <row r="322">
          <cell r="A322">
            <v>0</v>
          </cell>
          <cell r="B322" t="str">
            <v>ALL VRTS</v>
          </cell>
          <cell r="C322" t="str">
            <v>5390</v>
          </cell>
          <cell r="E322" t="str">
            <v>TBE14-B</v>
          </cell>
          <cell r="G322" t="str">
            <v>L15</v>
          </cell>
          <cell r="H322" t="str">
            <v>L23</v>
          </cell>
          <cell r="J322" t="str">
            <v>V07</v>
          </cell>
          <cell r="L322">
            <v>0</v>
          </cell>
          <cell r="M322">
            <v>-1</v>
          </cell>
          <cell r="N322">
            <v>-1</v>
          </cell>
          <cell r="O322">
            <v>2004</v>
          </cell>
          <cell r="P322" t="str">
            <v>DEARBORN PLANT BUILD</v>
          </cell>
          <cell r="Q322" t="str">
            <v>P221/P397</v>
          </cell>
          <cell r="R322" t="str">
            <v>ALL</v>
          </cell>
          <cell r="S322" t="str">
            <v>RECODE TAILGATE CYLINDER</v>
          </cell>
          <cell r="T322">
            <v>2</v>
          </cell>
          <cell r="X322">
            <v>1</v>
          </cell>
          <cell r="AA322">
            <v>1</v>
          </cell>
        </row>
        <row r="323">
          <cell r="A323">
            <v>0</v>
          </cell>
          <cell r="B323" t="str">
            <v>ALL VRTS</v>
          </cell>
          <cell r="C323" t="str">
            <v>34502C</v>
          </cell>
          <cell r="E323" t="str">
            <v>Metal Finishers</v>
          </cell>
          <cell r="G323" t="str">
            <v>F35</v>
          </cell>
          <cell r="H323" t="str">
            <v>B19</v>
          </cell>
          <cell r="J323" t="str">
            <v>V31</v>
          </cell>
          <cell r="K323" t="str">
            <v>V75</v>
          </cell>
          <cell r="L323">
            <v>0</v>
          </cell>
          <cell r="M323">
            <v>-1</v>
          </cell>
          <cell r="N323">
            <v>-1</v>
          </cell>
          <cell r="O323">
            <v>2004</v>
          </cell>
          <cell r="P323" t="str">
            <v>DEARBORN PLANT BUILD</v>
          </cell>
          <cell r="Q323" t="str">
            <v>P221/P397</v>
          </cell>
          <cell r="R323" t="str">
            <v>ALL</v>
          </cell>
          <cell r="S323" t="str">
            <v>Refinished</v>
          </cell>
          <cell r="T323">
            <v>2</v>
          </cell>
          <cell r="AA323">
            <v>2</v>
          </cell>
        </row>
        <row r="324">
          <cell r="A324">
            <v>0</v>
          </cell>
          <cell r="B324" t="str">
            <v>ALL VRTS</v>
          </cell>
          <cell r="C324" t="str">
            <v>5330</v>
          </cell>
          <cell r="E324" t="str">
            <v>TDE21-L</v>
          </cell>
          <cell r="G324" t="str">
            <v>G02</v>
          </cell>
          <cell r="H324" t="str">
            <v>G05</v>
          </cell>
          <cell r="J324" t="str">
            <v>V09</v>
          </cell>
          <cell r="L324">
            <v>0</v>
          </cell>
          <cell r="M324">
            <v>0</v>
          </cell>
          <cell r="N324">
            <v>-1</v>
          </cell>
          <cell r="O324">
            <v>2004</v>
          </cell>
          <cell r="P324" t="str">
            <v>DEARBORN PLANT BUILD</v>
          </cell>
          <cell r="Q324" t="str">
            <v>P221/P397</v>
          </cell>
          <cell r="R324" t="str">
            <v>ALL</v>
          </cell>
          <cell r="S324" t="str">
            <v>REMOVE EXCESS SEALER</v>
          </cell>
          <cell r="T324">
            <v>2</v>
          </cell>
          <cell r="Y324">
            <v>1</v>
          </cell>
          <cell r="AA324">
            <v>1</v>
          </cell>
        </row>
        <row r="325">
          <cell r="A325">
            <v>0</v>
          </cell>
          <cell r="B325" t="str">
            <v>ALL VRTS</v>
          </cell>
          <cell r="G325" t="str">
            <v>G29</v>
          </cell>
          <cell r="J325" t="str">
            <v>V83</v>
          </cell>
          <cell r="L325">
            <v>0</v>
          </cell>
          <cell r="M325">
            <v>0</v>
          </cell>
          <cell r="N325">
            <v>-1</v>
          </cell>
          <cell r="O325">
            <v>2004</v>
          </cell>
          <cell r="P325" t="str">
            <v>DEARBORN PLANT BUILD</v>
          </cell>
          <cell r="Q325" t="str">
            <v>P221/P397</v>
          </cell>
          <cell r="R325" t="str">
            <v>ALL</v>
          </cell>
          <cell r="S325" t="str">
            <v>Repair wire to Sensor</v>
          </cell>
          <cell r="T325">
            <v>2</v>
          </cell>
          <cell r="AA325">
            <v>2</v>
          </cell>
        </row>
        <row r="326">
          <cell r="A326">
            <v>0</v>
          </cell>
          <cell r="B326" t="str">
            <v>ALL VRTS</v>
          </cell>
          <cell r="G326" t="str">
            <v>C01</v>
          </cell>
          <cell r="H326" t="str">
            <v>C05</v>
          </cell>
          <cell r="J326" t="str">
            <v>V79</v>
          </cell>
          <cell r="L326">
            <v>0</v>
          </cell>
          <cell r="M326">
            <v>-1</v>
          </cell>
          <cell r="N326">
            <v>-1</v>
          </cell>
          <cell r="O326">
            <v>2004</v>
          </cell>
          <cell r="P326" t="str">
            <v>DEARBORN PLANT BUILD</v>
          </cell>
          <cell r="Q326" t="str">
            <v>P221/P397</v>
          </cell>
          <cell r="R326" t="str">
            <v>ALL</v>
          </cell>
          <cell r="S326" t="str">
            <v>Repaired A/C Wire in the 12A581</v>
          </cell>
          <cell r="T326">
            <v>2</v>
          </cell>
          <cell r="W326">
            <v>1</v>
          </cell>
          <cell r="Y326">
            <v>1</v>
          </cell>
        </row>
        <row r="327">
          <cell r="A327">
            <v>0</v>
          </cell>
          <cell r="B327" t="str">
            <v>ALL VRTS</v>
          </cell>
          <cell r="G327" t="str">
            <v>D21</v>
          </cell>
          <cell r="J327" t="str">
            <v>V42</v>
          </cell>
          <cell r="L327">
            <v>-1</v>
          </cell>
          <cell r="M327">
            <v>-1</v>
          </cell>
          <cell r="N327">
            <v>0</v>
          </cell>
          <cell r="O327">
            <v>2004</v>
          </cell>
          <cell r="P327" t="str">
            <v>DEARBORN PLANT BUILD</v>
          </cell>
          <cell r="Q327" t="str">
            <v>P221/P397</v>
          </cell>
          <cell r="R327" t="str">
            <v>ALL</v>
          </cell>
          <cell r="S327" t="str">
            <v>Repaired Mass air sensor</v>
          </cell>
          <cell r="T327">
            <v>2</v>
          </cell>
          <cell r="AB327">
            <v>2</v>
          </cell>
        </row>
        <row r="328">
          <cell r="A328">
            <v>0</v>
          </cell>
          <cell r="B328" t="str">
            <v>ALL VRTS</v>
          </cell>
          <cell r="G328" t="str">
            <v>L26</v>
          </cell>
          <cell r="J328" t="str">
            <v>V77</v>
          </cell>
          <cell r="L328">
            <v>0</v>
          </cell>
          <cell r="M328">
            <v>0</v>
          </cell>
          <cell r="N328">
            <v>-1</v>
          </cell>
          <cell r="O328">
            <v>2004</v>
          </cell>
          <cell r="P328" t="str">
            <v>DEARBORN PLANT BUILD</v>
          </cell>
          <cell r="Q328" t="str">
            <v>P221/P397</v>
          </cell>
          <cell r="R328" t="str">
            <v>ALL</v>
          </cell>
          <cell r="S328" t="str">
            <v>Repaired wiring Harness 14A005</v>
          </cell>
          <cell r="T328">
            <v>2</v>
          </cell>
          <cell r="AB328">
            <v>2</v>
          </cell>
        </row>
        <row r="329">
          <cell r="A329">
            <v>0</v>
          </cell>
          <cell r="B329" t="str">
            <v>ALL VRTS</v>
          </cell>
          <cell r="G329" t="str">
            <v>C05</v>
          </cell>
          <cell r="J329" t="str">
            <v>V79</v>
          </cell>
          <cell r="L329">
            <v>0</v>
          </cell>
          <cell r="M329">
            <v>0</v>
          </cell>
          <cell r="N329">
            <v>-1</v>
          </cell>
          <cell r="O329">
            <v>2004</v>
          </cell>
          <cell r="P329" t="str">
            <v>DEARBORN PLANT BUILD</v>
          </cell>
          <cell r="Q329" t="str">
            <v>P221/P397</v>
          </cell>
          <cell r="R329" t="str">
            <v>ALL</v>
          </cell>
          <cell r="S329" t="str">
            <v>Replace A/C Manifold line</v>
          </cell>
          <cell r="T329">
            <v>2</v>
          </cell>
          <cell r="AA329">
            <v>2</v>
          </cell>
        </row>
        <row r="330">
          <cell r="A330">
            <v>0</v>
          </cell>
          <cell r="B330" t="str">
            <v>ALL VRTS</v>
          </cell>
          <cell r="G330" t="str">
            <v>A87</v>
          </cell>
          <cell r="J330" t="str">
            <v>V17</v>
          </cell>
          <cell r="L330">
            <v>0</v>
          </cell>
          <cell r="M330">
            <v>-1</v>
          </cell>
          <cell r="N330">
            <v>0</v>
          </cell>
          <cell r="O330">
            <v>2004</v>
          </cell>
          <cell r="P330" t="str">
            <v>DEARBORN PLANT BUILD</v>
          </cell>
          <cell r="Q330" t="str">
            <v>P221/P397</v>
          </cell>
          <cell r="R330" t="str">
            <v>ALL</v>
          </cell>
          <cell r="S330" t="str">
            <v>Replace Cigar Lighter</v>
          </cell>
          <cell r="T330">
            <v>2</v>
          </cell>
          <cell r="Z330">
            <v>1</v>
          </cell>
          <cell r="AA330">
            <v>1</v>
          </cell>
        </row>
        <row r="331">
          <cell r="A331">
            <v>0</v>
          </cell>
          <cell r="B331" t="str">
            <v>ALL VRTS</v>
          </cell>
          <cell r="G331" t="str">
            <v>P51</v>
          </cell>
          <cell r="J331" t="str">
            <v>V48</v>
          </cell>
          <cell r="L331">
            <v>-1</v>
          </cell>
          <cell r="M331">
            <v>-1</v>
          </cell>
          <cell r="N331">
            <v>0</v>
          </cell>
          <cell r="O331">
            <v>2004</v>
          </cell>
          <cell r="P331" t="str">
            <v>DEARBORN PLANT BUILD</v>
          </cell>
          <cell r="Q331" t="str">
            <v>P221/P397</v>
          </cell>
          <cell r="R331" t="str">
            <v>ALL</v>
          </cell>
          <cell r="S331" t="str">
            <v>Replace Console shifter asy</v>
          </cell>
          <cell r="T331">
            <v>2</v>
          </cell>
          <cell r="AA331">
            <v>1</v>
          </cell>
          <cell r="AB331">
            <v>1</v>
          </cell>
        </row>
        <row r="332">
          <cell r="A332">
            <v>0</v>
          </cell>
          <cell r="B332" t="str">
            <v>ALL VRTS</v>
          </cell>
          <cell r="G332" t="str">
            <v>L07</v>
          </cell>
          <cell r="J332" t="str">
            <v>V07</v>
          </cell>
          <cell r="L332">
            <v>0</v>
          </cell>
          <cell r="M332">
            <v>-1</v>
          </cell>
          <cell r="N332">
            <v>0</v>
          </cell>
          <cell r="O332">
            <v>2004</v>
          </cell>
          <cell r="P332" t="str">
            <v>DEARBORN PLANT BUILD</v>
          </cell>
          <cell r="Q332" t="str">
            <v>P221/P397</v>
          </cell>
          <cell r="R332" t="str">
            <v>ALL</v>
          </cell>
          <cell r="S332" t="str">
            <v>REPLACE DOOR LOCK ACTUATOR</v>
          </cell>
          <cell r="T332">
            <v>2</v>
          </cell>
          <cell r="Y332">
            <v>1</v>
          </cell>
          <cell r="AB332">
            <v>1</v>
          </cell>
        </row>
        <row r="333">
          <cell r="A333">
            <v>0</v>
          </cell>
          <cell r="B333" t="str">
            <v>ALL VRTS</v>
          </cell>
          <cell r="G333" t="str">
            <v>G07</v>
          </cell>
          <cell r="J333" t="str">
            <v>V09</v>
          </cell>
          <cell r="L333">
            <v>0</v>
          </cell>
          <cell r="M333">
            <v>-1</v>
          </cell>
          <cell r="N333">
            <v>0</v>
          </cell>
          <cell r="O333">
            <v>2004</v>
          </cell>
          <cell r="P333" t="str">
            <v>DEARBORN PLANT BUILD</v>
          </cell>
          <cell r="Q333" t="str">
            <v>P221/P397</v>
          </cell>
          <cell r="R333" t="str">
            <v>ALL</v>
          </cell>
          <cell r="S333" t="str">
            <v>REPLACE WINDOW CHANNEL</v>
          </cell>
          <cell r="T333">
            <v>2</v>
          </cell>
          <cell r="AB333">
            <v>2</v>
          </cell>
        </row>
        <row r="334">
          <cell r="A334">
            <v>0</v>
          </cell>
          <cell r="B334" t="str">
            <v>ALL VRTS</v>
          </cell>
          <cell r="G334" t="str">
            <v>G29</v>
          </cell>
          <cell r="J334" t="str">
            <v>V83</v>
          </cell>
          <cell r="L334">
            <v>0</v>
          </cell>
          <cell r="M334">
            <v>-1</v>
          </cell>
          <cell r="N334">
            <v>0</v>
          </cell>
          <cell r="O334">
            <v>2004</v>
          </cell>
          <cell r="P334" t="str">
            <v>DEARBORN PLANT BUILD</v>
          </cell>
          <cell r="Q334" t="str">
            <v>P221/P397</v>
          </cell>
          <cell r="R334" t="str">
            <v>ALL</v>
          </cell>
          <cell r="S334" t="str">
            <v>Replace Wiring Harness</v>
          </cell>
          <cell r="T334">
            <v>2</v>
          </cell>
          <cell r="AA334">
            <v>1</v>
          </cell>
          <cell r="AB334">
            <v>1</v>
          </cell>
        </row>
        <row r="335">
          <cell r="A335">
            <v>0</v>
          </cell>
          <cell r="B335" t="str">
            <v>ALL VRTS</v>
          </cell>
          <cell r="G335" t="str">
            <v>C20</v>
          </cell>
          <cell r="H335" t="str">
            <v>A85</v>
          </cell>
          <cell r="J335" t="str">
            <v>V79</v>
          </cell>
          <cell r="L335">
            <v>0</v>
          </cell>
          <cell r="M335">
            <v>-1</v>
          </cell>
          <cell r="N335">
            <v>-1</v>
          </cell>
          <cell r="O335">
            <v>2004</v>
          </cell>
          <cell r="P335" t="str">
            <v>DEARBORN PLANT BUILD</v>
          </cell>
          <cell r="Q335" t="str">
            <v>P221/P397</v>
          </cell>
          <cell r="R335" t="str">
            <v>ALL</v>
          </cell>
          <cell r="S335" t="str">
            <v>Replaced Actuator</v>
          </cell>
          <cell r="T335">
            <v>2</v>
          </cell>
          <cell r="AB335">
            <v>2</v>
          </cell>
        </row>
        <row r="336">
          <cell r="A336">
            <v>0</v>
          </cell>
          <cell r="B336" t="str">
            <v>ALL VRTS</v>
          </cell>
          <cell r="G336" t="str">
            <v>C05</v>
          </cell>
          <cell r="J336" t="str">
            <v>V79</v>
          </cell>
          <cell r="L336">
            <v>0</v>
          </cell>
          <cell r="M336">
            <v>-1</v>
          </cell>
          <cell r="N336">
            <v>0</v>
          </cell>
          <cell r="O336">
            <v>2004</v>
          </cell>
          <cell r="P336" t="str">
            <v>DEARBORN PLANT BUILD</v>
          </cell>
          <cell r="Q336" t="str">
            <v>P221/P397</v>
          </cell>
          <cell r="R336" t="str">
            <v>ALL</v>
          </cell>
          <cell r="S336" t="str">
            <v>Replaced Alternator &amp; EATC</v>
          </cell>
          <cell r="T336">
            <v>2</v>
          </cell>
          <cell r="AB336">
            <v>2</v>
          </cell>
        </row>
        <row r="337">
          <cell r="A337">
            <v>0</v>
          </cell>
          <cell r="B337" t="str">
            <v>ALL VRTS</v>
          </cell>
          <cell r="G337" t="str">
            <v>A85</v>
          </cell>
          <cell r="J337" t="str">
            <v>V83</v>
          </cell>
          <cell r="L337">
            <v>0</v>
          </cell>
          <cell r="M337">
            <v>-1</v>
          </cell>
          <cell r="N337">
            <v>0</v>
          </cell>
          <cell r="O337">
            <v>2004</v>
          </cell>
          <cell r="P337" t="str">
            <v>DEARBORN PLANT BUILD</v>
          </cell>
          <cell r="Q337" t="str">
            <v>P221/P397</v>
          </cell>
          <cell r="R337" t="str">
            <v>ALL</v>
          </cell>
          <cell r="S337" t="str">
            <v>Replaced Bad Switch</v>
          </cell>
          <cell r="T337">
            <v>2</v>
          </cell>
          <cell r="Z337">
            <v>2</v>
          </cell>
        </row>
        <row r="338">
          <cell r="A338">
            <v>0</v>
          </cell>
          <cell r="B338" t="str">
            <v>ALL VRTS</v>
          </cell>
          <cell r="C338" t="str">
            <v>6340</v>
          </cell>
          <cell r="E338" t="str">
            <v>CEE23L</v>
          </cell>
          <cell r="G338" t="str">
            <v>D50</v>
          </cell>
          <cell r="H338" t="str">
            <v>L87</v>
          </cell>
          <cell r="J338" t="str">
            <v>V44</v>
          </cell>
          <cell r="L338">
            <v>0</v>
          </cell>
          <cell r="M338">
            <v>-1</v>
          </cell>
          <cell r="N338">
            <v>-1</v>
          </cell>
          <cell r="O338">
            <v>2004</v>
          </cell>
          <cell r="P338" t="str">
            <v>DEARBORN PLANT BUILD</v>
          </cell>
          <cell r="Q338" t="str">
            <v>P221/P397</v>
          </cell>
          <cell r="R338" t="str">
            <v>ALL</v>
          </cell>
          <cell r="S338" t="str">
            <v>replaced blockheater cord</v>
          </cell>
          <cell r="T338">
            <v>2</v>
          </cell>
          <cell r="Z338">
            <v>1</v>
          </cell>
          <cell r="AA338">
            <v>1</v>
          </cell>
        </row>
        <row r="339">
          <cell r="A339">
            <v>0</v>
          </cell>
          <cell r="B339" t="str">
            <v>ALL VRTS</v>
          </cell>
          <cell r="G339" t="str">
            <v>A85</v>
          </cell>
          <cell r="J339" t="str">
            <v>V19</v>
          </cell>
          <cell r="L339">
            <v>0</v>
          </cell>
          <cell r="M339">
            <v>-1</v>
          </cell>
          <cell r="N339">
            <v>0</v>
          </cell>
          <cell r="O339">
            <v>2004</v>
          </cell>
          <cell r="P339" t="str">
            <v>DEARBORN PLANT BUILD</v>
          </cell>
          <cell r="Q339" t="str">
            <v>P221/P397</v>
          </cell>
          <cell r="R339" t="str">
            <v>ALL</v>
          </cell>
          <cell r="S339" t="str">
            <v>Replaced Body Control Module</v>
          </cell>
          <cell r="T339">
            <v>2</v>
          </cell>
          <cell r="AA339">
            <v>2</v>
          </cell>
        </row>
        <row r="340">
          <cell r="A340">
            <v>0</v>
          </cell>
          <cell r="B340" t="str">
            <v>ALL VRTS</v>
          </cell>
          <cell r="G340" t="str">
            <v>B63</v>
          </cell>
          <cell r="H340" t="str">
            <v>B66</v>
          </cell>
          <cell r="J340" t="str">
            <v>V75</v>
          </cell>
          <cell r="L340">
            <v>0</v>
          </cell>
          <cell r="M340">
            <v>-1</v>
          </cell>
          <cell r="N340">
            <v>-1</v>
          </cell>
          <cell r="O340">
            <v>2004</v>
          </cell>
          <cell r="P340" t="str">
            <v>DEARBORN PLANT BUILD</v>
          </cell>
          <cell r="Q340" t="str">
            <v>P221/P397</v>
          </cell>
          <cell r="R340" t="str">
            <v>ALL</v>
          </cell>
          <cell r="S340" t="str">
            <v>Replaced Cowl Panel</v>
          </cell>
          <cell r="T340">
            <v>2</v>
          </cell>
          <cell r="Y340">
            <v>1</v>
          </cell>
          <cell r="AA340">
            <v>1</v>
          </cell>
        </row>
        <row r="341">
          <cell r="A341">
            <v>0</v>
          </cell>
          <cell r="B341" t="str">
            <v>ALL VRTS</v>
          </cell>
          <cell r="G341" t="str">
            <v>E29</v>
          </cell>
          <cell r="J341" t="str">
            <v>V44</v>
          </cell>
          <cell r="L341">
            <v>-1</v>
          </cell>
 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  </cell>
          <cell r="Q341" t="str">
            <v>P221/P397</v>
          </cell>
          <cell r="R341" t="str">
            <v>ALL</v>
          </cell>
          <cell r="S341" t="str">
            <v>Replaced FTP Sensor</v>
          </cell>
          <cell r="T341">
            <v>2</v>
          </cell>
          <cell r="AA341">
            <v>1</v>
          </cell>
          <cell r="AB341">
            <v>1</v>
          </cell>
        </row>
        <row r="342">
          <cell r="A342">
            <v>0</v>
          </cell>
          <cell r="B342" t="str">
            <v>ALL VRTS</v>
          </cell>
          <cell r="G342" t="str">
            <v>P51</v>
          </cell>
          <cell r="J342" t="str">
            <v>V48</v>
          </cell>
          <cell r="L342">
            <v>0</v>
          </cell>
          <cell r="M342">
            <v>-1</v>
          </cell>
          <cell r="N342">
            <v>0</v>
          </cell>
          <cell r="O342">
            <v>2004</v>
          </cell>
          <cell r="P342" t="str">
            <v>DEARBORN PLANT BUILD</v>
          </cell>
          <cell r="Q342" t="str">
            <v>P221/P397</v>
          </cell>
          <cell r="R342" t="str">
            <v>ALL</v>
          </cell>
          <cell r="S342" t="str">
            <v>Replaced Main Control Asy</v>
          </cell>
          <cell r="T342">
            <v>2</v>
          </cell>
          <cell r="AA342">
            <v>2</v>
          </cell>
        </row>
        <row r="343">
          <cell r="A343">
            <v>0</v>
          </cell>
          <cell r="B343" t="str">
            <v>ALL VRTS</v>
          </cell>
          <cell r="G343" t="str">
            <v>L65</v>
          </cell>
          <cell r="J343" t="str">
            <v>V44</v>
          </cell>
          <cell r="L343">
            <v>-1</v>
          </cell>
          <cell r="M343">
            <v>-1</v>
          </cell>
          <cell r="N343">
            <v>0</v>
          </cell>
          <cell r="O343">
            <v>2004</v>
          </cell>
          <cell r="P343" t="str">
            <v>DEARBORN PLANT BUILD</v>
          </cell>
          <cell r="Q343" t="str">
            <v>P221/P397</v>
          </cell>
          <cell r="R343" t="str">
            <v>ALL</v>
          </cell>
          <cell r="S343" t="str">
            <v>Replaced oil drain plug</v>
          </cell>
          <cell r="T343">
            <v>2</v>
          </cell>
          <cell r="W343">
            <v>1</v>
          </cell>
          <cell r="AB343">
            <v>1</v>
          </cell>
        </row>
        <row r="344">
          <cell r="A344">
            <v>0</v>
          </cell>
          <cell r="B344" t="str">
            <v>ALL VRTS</v>
          </cell>
          <cell r="G344" t="str">
            <v>E29</v>
          </cell>
          <cell r="J344" t="str">
            <v>V44</v>
          </cell>
          <cell r="L344">
            <v>-1</v>
          </cell>
          <cell r="M344">
            <v>-1</v>
          </cell>
          <cell r="N344">
            <v>0</v>
          </cell>
          <cell r="O344">
            <v>2004</v>
          </cell>
          <cell r="P344" t="str">
            <v>DEARBORN PLANT BUILD</v>
          </cell>
          <cell r="Q344" t="str">
            <v>P221/P397</v>
          </cell>
          <cell r="R344" t="str">
            <v>ALL</v>
          </cell>
          <cell r="S344" t="str">
            <v>Replaced Pedal Sensor</v>
          </cell>
          <cell r="T344">
            <v>2</v>
          </cell>
          <cell r="AB344">
            <v>2</v>
          </cell>
        </row>
        <row r="345">
          <cell r="A345">
            <v>0</v>
          </cell>
          <cell r="B345" t="str">
            <v>ALL VRTS</v>
          </cell>
          <cell r="G345" t="str">
            <v>A34</v>
          </cell>
          <cell r="J345" t="str">
            <v>V83</v>
          </cell>
          <cell r="L345">
            <v>0</v>
          </cell>
          <cell r="M345">
            <v>-1</v>
          </cell>
          <cell r="N345">
            <v>0</v>
          </cell>
          <cell r="O345">
            <v>2004</v>
          </cell>
          <cell r="P345" t="str">
            <v>DEARBORN PLANT BUILD</v>
          </cell>
          <cell r="Q345" t="str">
            <v>P221/P397</v>
          </cell>
          <cell r="R345" t="str">
            <v>ALL</v>
          </cell>
          <cell r="S345" t="str">
            <v>Replaced RKE module</v>
          </cell>
          <cell r="T345">
            <v>2</v>
          </cell>
          <cell r="AB345">
            <v>2</v>
          </cell>
        </row>
        <row r="346">
          <cell r="A346">
            <v>0</v>
          </cell>
          <cell r="B346" t="str">
            <v>ALL VRTS</v>
          </cell>
          <cell r="G346" t="str">
            <v>N12</v>
          </cell>
          <cell r="J346" t="str">
            <v>V49</v>
          </cell>
          <cell r="L346">
            <v>-1</v>
          </cell>
          <cell r="M346">
            <v>-1</v>
          </cell>
          <cell r="N346">
            <v>0</v>
          </cell>
          <cell r="O346">
            <v>2004</v>
          </cell>
          <cell r="P346" t="str">
            <v>DEARBORN PLANT BUILD</v>
          </cell>
          <cell r="Q346" t="str">
            <v>P221/P397</v>
          </cell>
          <cell r="R346" t="str">
            <v>ALL</v>
          </cell>
          <cell r="S346" t="str">
            <v>replaced starter</v>
          </cell>
          <cell r="T346">
            <v>2</v>
          </cell>
          <cell r="Z346">
            <v>1</v>
          </cell>
          <cell r="AA346">
            <v>1</v>
          </cell>
        </row>
        <row r="347">
          <cell r="A347">
            <v>0</v>
          </cell>
          <cell r="B347" t="str">
            <v>ALL VRTS</v>
          </cell>
          <cell r="C347" t="str">
            <v>6490</v>
          </cell>
          <cell r="E347" t="str">
            <v>C4E25L</v>
          </cell>
          <cell r="G347" t="str">
            <v>L72</v>
          </cell>
          <cell r="J347" t="str">
            <v>V44</v>
          </cell>
          <cell r="L347">
            <v>0</v>
          </cell>
          <cell r="M347">
            <v>-1</v>
          </cell>
          <cell r="N347">
            <v>0</v>
          </cell>
          <cell r="O347">
            <v>2004</v>
          </cell>
          <cell r="P347" t="str">
            <v>DEARBORN PLANT BUILD</v>
          </cell>
          <cell r="Q347" t="str">
            <v>P221/P397</v>
          </cell>
          <cell r="R347" t="str">
            <v>ALL</v>
          </cell>
          <cell r="S347" t="str">
            <v>replaced transmission</v>
          </cell>
          <cell r="T347">
            <v>2</v>
          </cell>
          <cell r="AA347">
            <v>1</v>
          </cell>
          <cell r="AB347">
            <v>1</v>
          </cell>
        </row>
        <row r="348">
          <cell r="A348">
            <v>0</v>
          </cell>
          <cell r="B348" t="str">
            <v>ALL VRTS</v>
          </cell>
          <cell r="G348" t="str">
            <v>A34</v>
          </cell>
          <cell r="J348" t="str">
            <v>V83</v>
          </cell>
          <cell r="L348">
            <v>-1</v>
          </cell>
          <cell r="M348">
            <v>-1</v>
          </cell>
          <cell r="N348">
            <v>0</v>
          </cell>
          <cell r="O348">
            <v>2004</v>
          </cell>
          <cell r="P348" t="str">
            <v>DEARBORN PLANT BUILD</v>
          </cell>
          <cell r="Q348" t="str">
            <v>P221/P397</v>
          </cell>
          <cell r="R348" t="str">
            <v>ALL</v>
          </cell>
          <cell r="S348" t="str">
            <v>Replaced, Horn.</v>
          </cell>
          <cell r="T348">
            <v>2</v>
          </cell>
          <cell r="V348">
            <v>1</v>
          </cell>
          <cell r="AB348">
            <v>1</v>
          </cell>
        </row>
        <row r="349">
          <cell r="A349">
            <v>0</v>
          </cell>
          <cell r="B349" t="str">
            <v>ALL VRTS</v>
          </cell>
          <cell r="G349" t="str">
            <v>A37</v>
          </cell>
          <cell r="J349" t="str">
            <v>V83</v>
          </cell>
          <cell r="L349">
            <v>0</v>
          </cell>
          <cell r="M349">
            <v>-1</v>
          </cell>
          <cell r="N349">
            <v>0</v>
          </cell>
          <cell r="O349">
            <v>2004</v>
          </cell>
          <cell r="P349" t="str">
            <v>DEARBORN PLANT BUILD</v>
          </cell>
          <cell r="Q349" t="str">
            <v>P221/P397</v>
          </cell>
          <cell r="R349" t="str">
            <v>ALL</v>
          </cell>
          <cell r="S349" t="str">
            <v>Re-set Speedometer.</v>
          </cell>
          <cell r="T349">
            <v>2</v>
          </cell>
          <cell r="AA349">
            <v>1</v>
          </cell>
          <cell r="AB349">
            <v>1</v>
          </cell>
        </row>
        <row r="350">
          <cell r="A350">
            <v>0</v>
          </cell>
          <cell r="B350" t="str">
            <v>ALL VRTS</v>
          </cell>
          <cell r="C350" t="str">
            <v>unsure</v>
          </cell>
          <cell r="E350" t="str">
            <v>Paint</v>
          </cell>
          <cell r="G350" t="str">
            <v>R09</v>
          </cell>
          <cell r="H350" t="str">
            <v>R10</v>
          </cell>
          <cell r="J350" t="str">
            <v>V37</v>
          </cell>
          <cell r="L350">
            <v>0</v>
          </cell>
          <cell r="M350">
            <v>0</v>
          </cell>
          <cell r="N350">
            <v>-1</v>
          </cell>
          <cell r="O350">
            <v>2004</v>
          </cell>
          <cell r="P350" t="str">
            <v>DEARBORN PLANT BUILD</v>
          </cell>
          <cell r="Q350" t="str">
            <v>P221/P397</v>
          </cell>
          <cell r="R350" t="str">
            <v>ALL</v>
          </cell>
          <cell r="S350" t="str">
            <v>Roof Ditch Seam Water Leak Sealer missing</v>
          </cell>
          <cell r="T350">
            <v>2</v>
          </cell>
          <cell r="X350">
            <v>1</v>
          </cell>
          <cell r="Y350">
            <v>1</v>
          </cell>
        </row>
        <row r="351">
          <cell r="A351">
            <v>0</v>
          </cell>
          <cell r="B351" t="str">
            <v>ALL VRTS</v>
          </cell>
          <cell r="C351" t="str">
            <v>unsure</v>
          </cell>
          <cell r="E351" t="str">
            <v>T4W03L</v>
          </cell>
          <cell r="G351" t="str">
            <v>R21</v>
          </cell>
          <cell r="J351" t="str">
            <v>V11</v>
          </cell>
          <cell r="L351">
            <v>0</v>
          </cell>
          <cell r="M351">
            <v>0</v>
          </cell>
          <cell r="N351">
            <v>-1</v>
          </cell>
          <cell r="O351">
            <v>2004</v>
          </cell>
          <cell r="P351" t="str">
            <v>DEARBORN PLANT BUILD</v>
          </cell>
          <cell r="Q351" t="str">
            <v>P221/P397</v>
          </cell>
          <cell r="R351" t="str">
            <v>ALL</v>
          </cell>
          <cell r="S351" t="str">
            <v>Sealer skips around Windshield</v>
          </cell>
          <cell r="T351">
            <v>2</v>
          </cell>
          <cell r="X351">
            <v>1</v>
          </cell>
          <cell r="AA351">
            <v>1</v>
          </cell>
        </row>
        <row r="352">
          <cell r="A352">
            <v>0</v>
          </cell>
          <cell r="B352" t="str">
            <v>ALL VRTS</v>
          </cell>
          <cell r="G352" t="str">
            <v>L29</v>
          </cell>
          <cell r="H352" t="str">
            <v>L26</v>
          </cell>
          <cell r="J352" t="str">
            <v>V77</v>
          </cell>
          <cell r="L352">
            <v>0</v>
          </cell>
          <cell r="M352">
            <v>0</v>
          </cell>
          <cell r="N352">
            <v>-1</v>
          </cell>
          <cell r="O352">
            <v>2004</v>
          </cell>
          <cell r="P352" t="str">
            <v>DEARBORN PLANT BUILD</v>
          </cell>
          <cell r="Q352" t="str">
            <v>P221/P397</v>
          </cell>
          <cell r="R352" t="str">
            <v>ALL</v>
          </cell>
          <cell r="S352" t="str">
            <v>Senor unplugged, Broken connector.</v>
          </cell>
          <cell r="T352">
            <v>2</v>
          </cell>
          <cell r="X352">
            <v>1</v>
          </cell>
          <cell r="AA352">
            <v>1</v>
          </cell>
        </row>
        <row r="353">
          <cell r="A353">
            <v>0</v>
          </cell>
          <cell r="B353" t="str">
            <v>ALL VRTS</v>
          </cell>
          <cell r="C353" t="str">
            <v>6570</v>
          </cell>
          <cell r="E353" t="str">
            <v>C7W01</v>
          </cell>
          <cell r="G353" t="str">
            <v>P51</v>
          </cell>
          <cell r="J353" t="str">
            <v>V48</v>
          </cell>
          <cell r="L353">
            <v>-1</v>
          </cell>
          <cell r="M353">
            <v>-1</v>
          </cell>
          <cell r="N353">
            <v>-1</v>
          </cell>
          <cell r="O353">
            <v>2004</v>
          </cell>
          <cell r="P353" t="str">
            <v>DEARBORN PLANT BUILD</v>
          </cell>
          <cell r="Q353" t="str">
            <v>P221/P397</v>
          </cell>
          <cell r="R353" t="str">
            <v>ALL</v>
          </cell>
          <cell r="S353" t="str">
            <v>Shift cable defective</v>
          </cell>
          <cell r="T353">
            <v>2</v>
          </cell>
          <cell r="W353">
            <v>1</v>
          </cell>
          <cell r="AA353">
            <v>1</v>
          </cell>
        </row>
        <row r="354">
          <cell r="A354">
            <v>0</v>
          </cell>
          <cell r="B354" t="str">
            <v>ALL VRTS</v>
          </cell>
          <cell r="C354" t="str">
            <v>6570</v>
          </cell>
          <cell r="E354" t="str">
            <v>C7W01</v>
          </cell>
          <cell r="G354" t="str">
            <v>P51</v>
          </cell>
          <cell r="J354" t="str">
            <v>V48</v>
          </cell>
          <cell r="L354">
            <v>0</v>
          </cell>
          <cell r="M354">
            <v>0</v>
          </cell>
          <cell r="N354">
            <v>-1</v>
          </cell>
          <cell r="O354">
            <v>2004</v>
          </cell>
          <cell r="P354" t="str">
            <v>DEARBORN PLANT BUILD</v>
          </cell>
          <cell r="Q354" t="str">
            <v>P221/P397</v>
          </cell>
          <cell r="R354" t="str">
            <v>ALL</v>
          </cell>
          <cell r="S354" t="str">
            <v>Shift cable loose</v>
          </cell>
          <cell r="T354">
            <v>2</v>
          </cell>
          <cell r="AA354">
            <v>2</v>
          </cell>
        </row>
        <row r="355">
          <cell r="A355">
            <v>0</v>
          </cell>
          <cell r="B355" t="str">
            <v>ALL VRTS</v>
          </cell>
          <cell r="G355" t="str">
            <v>N50</v>
          </cell>
          <cell r="J355" t="str">
            <v>V39</v>
          </cell>
          <cell r="L355">
            <v>0</v>
          </cell>
          <cell r="M355">
            <v>0</v>
          </cell>
          <cell r="N355">
            <v>-1</v>
          </cell>
          <cell r="O355">
            <v>2004</v>
          </cell>
          <cell r="P355" t="str">
            <v>DEARBORN PLANT BUILD</v>
          </cell>
          <cell r="Q355" t="str">
            <v>P221/P397</v>
          </cell>
          <cell r="R355" t="str">
            <v>ALL</v>
          </cell>
          <cell r="S355" t="str">
            <v>Swaybar Link Lse</v>
          </cell>
          <cell r="T355">
            <v>2</v>
          </cell>
          <cell r="AB355">
            <v>2</v>
          </cell>
        </row>
        <row r="356">
          <cell r="A356">
            <v>0</v>
          </cell>
          <cell r="B356" t="str">
            <v>ALL VRTS</v>
          </cell>
          <cell r="G356" t="str">
            <v>L29</v>
          </cell>
          <cell r="H356" t="str">
            <v>G29</v>
          </cell>
          <cell r="J356" t="str">
            <v>V17</v>
          </cell>
          <cell r="L356">
            <v>0</v>
          </cell>
          <cell r="M356">
            <v>-1</v>
          </cell>
          <cell r="N356">
            <v>0</v>
          </cell>
          <cell r="O356">
            <v>2004</v>
          </cell>
          <cell r="P356" t="str">
            <v>DEARBORN PLANT BUILD</v>
          </cell>
          <cell r="Q356" t="str">
            <v>P221/P397</v>
          </cell>
          <cell r="R356" t="str">
            <v>ALL</v>
          </cell>
          <cell r="S356" t="str">
            <v>Switch , replaced.</v>
          </cell>
          <cell r="T356">
            <v>2</v>
          </cell>
          <cell r="W356">
            <v>1</v>
          </cell>
          <cell r="X356">
            <v>1</v>
          </cell>
        </row>
        <row r="357">
          <cell r="A357">
            <v>0</v>
          </cell>
          <cell r="B357" t="str">
            <v>ALL VRTS</v>
          </cell>
          <cell r="G357" t="str">
            <v>F07</v>
          </cell>
          <cell r="H357" t="str">
            <v>F05</v>
          </cell>
          <cell r="J357" t="str">
            <v>V33</v>
          </cell>
          <cell r="L357">
            <v>0</v>
          </cell>
          <cell r="M357">
            <v>0</v>
          </cell>
          <cell r="N357">
            <v>-1</v>
          </cell>
          <cell r="O357">
            <v>2004</v>
          </cell>
          <cell r="P357" t="str">
            <v>DEARBORN PLANT BUILD</v>
          </cell>
          <cell r="Q357" t="str">
            <v>P221/P397</v>
          </cell>
          <cell r="R357" t="str">
            <v>ALL</v>
          </cell>
          <cell r="S357" t="str">
            <v>Tailgate Edges</v>
          </cell>
          <cell r="T357">
            <v>2</v>
          </cell>
          <cell r="Z357">
            <v>1</v>
          </cell>
          <cell r="AA357">
            <v>1</v>
          </cell>
        </row>
        <row r="358">
          <cell r="A358">
            <v>0</v>
          </cell>
          <cell r="B358" t="str">
            <v>ALL VRTS</v>
          </cell>
          <cell r="G358" t="str">
            <v>F12</v>
          </cell>
          <cell r="J358" t="str">
            <v>V33</v>
          </cell>
          <cell r="L358">
            <v>0</v>
          </cell>
          <cell r="M358">
            <v>0</v>
          </cell>
          <cell r="N358">
            <v>-1</v>
          </cell>
          <cell r="O358">
            <v>2004</v>
          </cell>
          <cell r="P358" t="str">
            <v>DEARBORN PLANT BUILD</v>
          </cell>
          <cell r="Q358" t="str">
            <v>P221/P397</v>
          </cell>
          <cell r="R358" t="str">
            <v>ALL</v>
          </cell>
          <cell r="S358" t="str">
            <v>Tailgate Handle</v>
          </cell>
          <cell r="T358">
            <v>2</v>
          </cell>
          <cell r="X358">
            <v>1</v>
          </cell>
          <cell r="Z358">
            <v>1</v>
          </cell>
        </row>
        <row r="359">
          <cell r="A359">
            <v>0</v>
          </cell>
          <cell r="B359" t="str">
            <v>ALL VRTS</v>
          </cell>
          <cell r="G359" t="str">
            <v>TA2</v>
          </cell>
          <cell r="H359" t="str">
            <v>TC1</v>
          </cell>
          <cell r="J359" t="str">
            <v>V88</v>
          </cell>
          <cell r="L359">
            <v>0</v>
          </cell>
          <cell r="M359">
            <v>-1</v>
          </cell>
          <cell r="N359">
            <v>0</v>
          </cell>
          <cell r="O359">
            <v>2004</v>
          </cell>
          <cell r="P359" t="str">
            <v>DEARBORN PLANT BUILD</v>
          </cell>
          <cell r="Q359" t="str">
            <v>P221/P397</v>
          </cell>
          <cell r="R359" t="str">
            <v>ALL</v>
          </cell>
          <cell r="S359" t="str">
            <v>TIRE BLOW-OUT - REPLACED</v>
          </cell>
          <cell r="T359">
            <v>2</v>
          </cell>
          <cell r="X359">
            <v>1</v>
          </cell>
          <cell r="Z359">
            <v>1</v>
          </cell>
        </row>
        <row r="360">
          <cell r="A360">
            <v>0</v>
          </cell>
          <cell r="B360" t="str">
            <v>ALL VRTS</v>
          </cell>
          <cell r="C360" t="str">
            <v>6440</v>
          </cell>
          <cell r="E360" t="str">
            <v>C2E49F</v>
          </cell>
          <cell r="G360" t="str">
            <v>D50</v>
          </cell>
          <cell r="J360" t="str">
            <v>V44</v>
          </cell>
          <cell r="L360">
            <v>0</v>
          </cell>
          <cell r="M360">
            <v>0</v>
          </cell>
          <cell r="N360">
            <v>-1</v>
          </cell>
          <cell r="O360">
            <v>2004</v>
          </cell>
          <cell r="P360" t="str">
            <v>DEARBORN PLANT BUILD</v>
          </cell>
          <cell r="Q360" t="str">
            <v>P221/P397</v>
          </cell>
          <cell r="R360" t="str">
            <v>ALL</v>
          </cell>
          <cell r="S360" t="str">
            <v>Trans dipstick loose</v>
          </cell>
          <cell r="T360">
            <v>2</v>
          </cell>
          <cell r="AA360">
            <v>2</v>
          </cell>
        </row>
        <row r="361">
          <cell r="A361">
            <v>0</v>
          </cell>
          <cell r="B361" t="str">
            <v>ALL VRTS</v>
          </cell>
          <cell r="G361" t="str">
            <v>P59</v>
          </cell>
          <cell r="J361" t="str">
            <v>V48</v>
          </cell>
          <cell r="L361">
            <v>-1</v>
          </cell>
          <cell r="M361">
            <v>-1</v>
          </cell>
          <cell r="N361">
            <v>0</v>
          </cell>
          <cell r="O361">
            <v>2004</v>
          </cell>
          <cell r="P361" t="str">
            <v>DEARBORN PLANT BUILD</v>
          </cell>
          <cell r="Q361" t="str">
            <v>P221/P397</v>
          </cell>
          <cell r="R361" t="str">
            <v>ALL</v>
          </cell>
          <cell r="S361" t="str">
            <v>trans slips</v>
          </cell>
          <cell r="T361">
            <v>2</v>
          </cell>
          <cell r="W361">
            <v>1</v>
          </cell>
          <cell r="X361">
            <v>1</v>
          </cell>
        </row>
        <row r="362">
          <cell r="A362">
            <v>0</v>
          </cell>
          <cell r="B362" t="str">
            <v>ALL VRTS</v>
          </cell>
          <cell r="C362" t="str">
            <v>5310</v>
          </cell>
          <cell r="E362" t="str">
            <v>TDW48R</v>
          </cell>
          <cell r="G362" t="str">
            <v>B43</v>
          </cell>
          <cell r="H362" t="str">
            <v>T53</v>
          </cell>
          <cell r="J362" t="str">
            <v>V73</v>
          </cell>
          <cell r="K362" t="str">
            <v>V74</v>
          </cell>
          <cell r="L362">
            <v>0</v>
          </cell>
          <cell r="M362">
            <v>-1</v>
          </cell>
          <cell r="N362">
            <v>-1</v>
          </cell>
          <cell r="O362">
            <v>2004</v>
          </cell>
          <cell r="P362" t="str">
            <v>DEARBORN PLANT BUILD</v>
          </cell>
          <cell r="Q362" t="str">
            <v>P221/P397</v>
          </cell>
          <cell r="R362" t="str">
            <v>ALL</v>
          </cell>
          <cell r="S362" t="str">
            <v>TRIM</v>
          </cell>
          <cell r="T362">
            <v>2</v>
          </cell>
          <cell r="Z362">
            <v>2</v>
          </cell>
        </row>
        <row r="363">
          <cell r="A363">
            <v>0</v>
          </cell>
          <cell r="B363" t="str">
            <v>ALL VRTS</v>
          </cell>
          <cell r="C363" t="str">
            <v>5550</v>
          </cell>
          <cell r="E363" t="str">
            <v>T3W23L</v>
          </cell>
          <cell r="G363" t="str">
            <v>B53</v>
          </cell>
          <cell r="H363" t="str">
            <v>B91</v>
          </cell>
          <cell r="J363" t="str">
            <v>V71</v>
          </cell>
          <cell r="L363">
            <v>0</v>
          </cell>
          <cell r="M363">
            <v>-1</v>
          </cell>
          <cell r="N363">
            <v>-1</v>
          </cell>
          <cell r="O363">
            <v>2004</v>
          </cell>
          <cell r="P363" t="str">
            <v>DEARBORN PLANT BUILD</v>
          </cell>
          <cell r="Q363" t="str">
            <v>P221/P397</v>
          </cell>
          <cell r="R363" t="str">
            <v>ALL</v>
          </cell>
          <cell r="S363" t="str">
            <v>TRIM BROKEN</v>
          </cell>
          <cell r="T363">
            <v>2</v>
          </cell>
          <cell r="Z363">
            <v>1</v>
          </cell>
          <cell r="AA363">
            <v>1</v>
          </cell>
        </row>
        <row r="364">
          <cell r="A364">
            <v>0</v>
          </cell>
          <cell r="B364" t="str">
            <v>ALL VRTS</v>
          </cell>
          <cell r="C364" t="str">
            <v>6500</v>
          </cell>
          <cell r="E364" t="str">
            <v>C4E19L</v>
          </cell>
          <cell r="G364" t="str">
            <v>S25</v>
          </cell>
          <cell r="J364" t="str">
            <v>V05</v>
          </cell>
          <cell r="L364">
            <v>0</v>
          </cell>
          <cell r="M364">
            <v>-1</v>
          </cell>
          <cell r="N364">
            <v>-1</v>
          </cell>
          <cell r="O364">
            <v>2004</v>
          </cell>
          <cell r="P364" t="str">
            <v>DEARBORN PLANT BUILD</v>
          </cell>
          <cell r="Q364" t="str">
            <v>P221/P397</v>
          </cell>
          <cell r="R364" t="str">
            <v>ALL</v>
          </cell>
          <cell r="S364" t="str">
            <v>TWISTED</v>
          </cell>
          <cell r="T364">
            <v>2</v>
          </cell>
          <cell r="AA364">
            <v>1</v>
          </cell>
          <cell r="AB364">
            <v>1</v>
          </cell>
        </row>
        <row r="365">
          <cell r="A365">
            <v>0</v>
          </cell>
          <cell r="B365" t="str">
            <v>ALL VRTS</v>
          </cell>
          <cell r="G365" t="str">
            <v>N51</v>
          </cell>
          <cell r="J365" t="str">
            <v>V39</v>
          </cell>
          <cell r="L365">
            <v>0</v>
          </cell>
          <cell r="M365">
            <v>0</v>
          </cell>
          <cell r="N365">
            <v>-1</v>
          </cell>
          <cell r="O365">
            <v>2004</v>
          </cell>
          <cell r="P365" t="str">
            <v>DEARBORN PLANT BUILD</v>
          </cell>
          <cell r="Q365" t="str">
            <v>P221/P397</v>
          </cell>
          <cell r="R365" t="str">
            <v>ALL</v>
          </cell>
          <cell r="S365" t="str">
            <v>U-Spring Bolts loose to Axle</v>
          </cell>
          <cell r="T365">
            <v>2</v>
          </cell>
          <cell r="Z365">
            <v>1</v>
          </cell>
          <cell r="AA365">
            <v>1</v>
          </cell>
        </row>
        <row r="366">
          <cell r="A366">
            <v>0</v>
          </cell>
          <cell r="B366" t="str">
            <v>ALL VRTS</v>
          </cell>
          <cell r="G366" t="str">
            <v>E29</v>
          </cell>
          <cell r="J366" t="str">
            <v>V44</v>
          </cell>
          <cell r="L366">
            <v>-1</v>
          </cell>
          <cell r="M366">
            <v>-1</v>
          </cell>
          <cell r="N366">
            <v>0</v>
          </cell>
          <cell r="O366">
            <v>2004</v>
          </cell>
          <cell r="P366" t="str">
            <v>DEARBORN PLANT BUILD</v>
          </cell>
          <cell r="Q366" t="str">
            <v>P221/P397</v>
          </cell>
          <cell r="R366" t="str">
            <v>ALL</v>
          </cell>
          <cell r="S366" t="str">
            <v>valve rocker gasket</v>
          </cell>
          <cell r="T366">
            <v>2</v>
          </cell>
          <cell r="Y366">
            <v>1</v>
          </cell>
          <cell r="AA366">
            <v>1</v>
          </cell>
        </row>
        <row r="367">
          <cell r="A367">
            <v>0</v>
          </cell>
          <cell r="B367" t="str">
            <v>ALL VRTS</v>
          </cell>
          <cell r="C367" t="str">
            <v>door line 5340-2-A</v>
          </cell>
          <cell r="D367" t="str">
            <v>door line 5350-2-A</v>
          </cell>
          <cell r="E367" t="str">
            <v>TDW32R</v>
          </cell>
          <cell r="F367" t="str">
            <v>TDW24R</v>
          </cell>
          <cell r="G367" t="str">
            <v>B62</v>
          </cell>
          <cell r="H367" t="str">
            <v>B66</v>
          </cell>
          <cell r="J367" t="str">
            <v>V75</v>
          </cell>
          <cell r="L367">
            <v>0</v>
          </cell>
          <cell r="M367">
            <v>0</v>
          </cell>
          <cell r="N367">
            <v>-1</v>
          </cell>
          <cell r="O367">
            <v>2004</v>
          </cell>
          <cell r="P367" t="str">
            <v>DEARBORN PLANT BUILD</v>
          </cell>
          <cell r="Q367" t="str">
            <v>P221/P397</v>
          </cell>
          <cell r="R367" t="str">
            <v>ALL</v>
          </cell>
          <cell r="S367" t="str">
            <v>WARPED</v>
          </cell>
          <cell r="T367">
            <v>2</v>
          </cell>
          <cell r="W367">
            <v>1</v>
          </cell>
          <cell r="Y367">
            <v>1</v>
          </cell>
        </row>
        <row r="368">
          <cell r="A368">
            <v>0</v>
          </cell>
          <cell r="B368" t="str">
            <v>ALL VRTS</v>
          </cell>
          <cell r="G368" t="str">
            <v>W05</v>
          </cell>
          <cell r="J368" t="str">
            <v>V16</v>
          </cell>
          <cell r="L368">
            <v>0</v>
          </cell>
          <cell r="M368">
            <v>0</v>
          </cell>
          <cell r="N368">
            <v>-1</v>
          </cell>
          <cell r="O368">
            <v>2004</v>
          </cell>
          <cell r="P368" t="str">
            <v>DEARBORN PLANT BUILD</v>
          </cell>
          <cell r="Q368" t="str">
            <v>P221/P397</v>
          </cell>
          <cell r="R368" t="str">
            <v>ALL</v>
          </cell>
          <cell r="S368" t="str">
            <v>Washer Fuild nozzle Cleaned</v>
          </cell>
          <cell r="T368">
            <v>2</v>
          </cell>
          <cell r="Y368">
            <v>1</v>
          </cell>
          <cell r="AB368">
            <v>1</v>
          </cell>
        </row>
        <row r="369">
          <cell r="A369">
            <v>0</v>
          </cell>
          <cell r="B369" t="str">
            <v>ALL VRTS</v>
          </cell>
          <cell r="G369" t="str">
            <v>G32</v>
          </cell>
          <cell r="J369" t="str">
            <v>V17</v>
          </cell>
          <cell r="L369">
            <v>0</v>
          </cell>
          <cell r="M369">
            <v>0</v>
          </cell>
          <cell r="N369">
            <v>-1</v>
          </cell>
          <cell r="O369">
            <v>2004</v>
          </cell>
          <cell r="P369" t="str">
            <v>DEARBORN PLANT BUILD</v>
          </cell>
          <cell r="Q369" t="str">
            <v>P221/P397</v>
          </cell>
          <cell r="R369" t="str">
            <v>ALL</v>
          </cell>
          <cell r="S369" t="str">
            <v>Wire, Pinched</v>
          </cell>
          <cell r="T369">
            <v>2</v>
          </cell>
          <cell r="AA369">
            <v>1</v>
          </cell>
          <cell r="AB369">
            <v>1</v>
          </cell>
        </row>
        <row r="370">
          <cell r="A370">
            <v>0</v>
          </cell>
          <cell r="B370" t="str">
            <v>ALL VRTS</v>
          </cell>
          <cell r="C370" t="str">
            <v>5340</v>
          </cell>
          <cell r="E370" t="str">
            <v>TDE27-L</v>
          </cell>
          <cell r="G370" t="str">
            <v>G07</v>
          </cell>
          <cell r="J370" t="str">
            <v>V09</v>
          </cell>
          <cell r="L370">
            <v>0</v>
          </cell>
          <cell r="M370">
            <v>0</v>
          </cell>
          <cell r="N370">
            <v>-1</v>
          </cell>
          <cell r="O370">
            <v>2004</v>
          </cell>
          <cell r="P370" t="str">
            <v>DEARBORN PLANT BUILD</v>
          </cell>
          <cell r="Q370" t="str">
            <v>P221/P397</v>
          </cell>
          <cell r="R370" t="str">
            <v>ALL</v>
          </cell>
          <cell r="S370" t="str">
            <v>WIRIMG HARNESS BRACKET LOOSE TRIM PANEL FRONT DOOR</v>
          </cell>
          <cell r="T370">
            <v>2</v>
          </cell>
          <cell r="W370">
            <v>1</v>
          </cell>
          <cell r="AA370">
            <v>1</v>
          </cell>
        </row>
        <row r="371">
          <cell r="A371">
            <v>0</v>
          </cell>
          <cell r="B371" t="str">
            <v>ALL VRTS</v>
          </cell>
          <cell r="G371" t="str">
            <v>A88</v>
          </cell>
          <cell r="J371" t="str">
            <v>V17</v>
          </cell>
          <cell r="L371">
            <v>0</v>
          </cell>
          <cell r="M371">
            <v>0</v>
          </cell>
          <cell r="N371">
            <v>-1</v>
          </cell>
          <cell r="O371">
            <v>2004</v>
          </cell>
          <cell r="P371" t="str">
            <v>DEARBORN PLANT BUILD</v>
          </cell>
          <cell r="Q371" t="str">
            <v>P221/P397</v>
          </cell>
          <cell r="R371" t="str">
            <v>ALL</v>
          </cell>
          <cell r="S371" t="str">
            <v>Wiring Harness Loose</v>
          </cell>
          <cell r="T371">
            <v>2</v>
          </cell>
          <cell r="AA371">
            <v>1</v>
          </cell>
          <cell r="AB371">
            <v>1</v>
          </cell>
        </row>
        <row r="372">
          <cell r="A372">
            <v>0</v>
          </cell>
          <cell r="B372" t="str">
            <v>ALL VRTS</v>
          </cell>
          <cell r="C372" t="str">
            <v>5440</v>
          </cell>
          <cell r="D372" t="str">
            <v>6490</v>
          </cell>
          <cell r="E372" t="str">
            <v>C4W16R</v>
          </cell>
          <cell r="F372" t="str">
            <v>T1W01L</v>
          </cell>
          <cell r="G372" t="str">
            <v>B74</v>
          </cell>
          <cell r="H372" t="str">
            <v>B95</v>
          </cell>
          <cell r="J372" t="str">
            <v>V71</v>
          </cell>
          <cell r="K372" t="str">
            <v>V74</v>
          </cell>
          <cell r="L372">
            <v>0</v>
          </cell>
          <cell r="M372">
            <v>0</v>
          </cell>
          <cell r="N372">
            <v>-1</v>
          </cell>
          <cell r="O372">
            <v>2004</v>
          </cell>
          <cell r="P372" t="str">
            <v>DEARBORN PLANT BUILD</v>
          </cell>
          <cell r="Q372" t="str">
            <v>P221/P397</v>
          </cell>
          <cell r="R372" t="str">
            <v>ALL</v>
          </cell>
          <cell r="S372" t="str">
            <v>WRONG</v>
          </cell>
          <cell r="T372">
            <v>2</v>
          </cell>
          <cell r="W372">
            <v>1</v>
          </cell>
          <cell r="Y372">
            <v>1</v>
          </cell>
        </row>
        <row r="373">
          <cell r="A373">
            <v>0</v>
          </cell>
          <cell r="B373" t="str">
            <v>ALL VRTS</v>
          </cell>
          <cell r="C373" t="str">
            <v>6340</v>
          </cell>
          <cell r="E373" t="str">
            <v>CEW30R</v>
          </cell>
          <cell r="G373" t="str">
            <v>N11</v>
          </cell>
          <cell r="J373" t="str">
            <v>V49</v>
          </cell>
          <cell r="L373">
            <v>0</v>
          </cell>
          <cell r="M373">
            <v>0</v>
          </cell>
          <cell r="N373">
            <v>-1</v>
          </cell>
          <cell r="O373">
            <v>2004</v>
          </cell>
          <cell r="P373" t="str">
            <v>DEARBORN PLANT BUILD</v>
          </cell>
          <cell r="Q373" t="str">
            <v>P221/P397</v>
          </cell>
          <cell r="R373" t="str">
            <v>ALL</v>
          </cell>
          <cell r="S373" t="str">
            <v xml:space="preserve"> alt.wiring harness mis-routed</v>
          </cell>
          <cell r="T373">
            <v>1</v>
          </cell>
          <cell r="W373">
            <v>1</v>
          </cell>
        </row>
        <row r="374">
          <cell r="A374">
            <v>0</v>
          </cell>
          <cell r="B374" t="str">
            <v>ALL VRTS</v>
          </cell>
          <cell r="G374" t="str">
            <v>W05</v>
          </cell>
          <cell r="J374" t="str">
            <v>V16</v>
          </cell>
          <cell r="L374">
            <v>0</v>
          </cell>
          <cell r="M374">
            <v>-1</v>
          </cell>
          <cell r="N374">
            <v>0</v>
          </cell>
          <cell r="O374">
            <v>2004</v>
          </cell>
          <cell r="P374" t="str">
            <v>DEARBORN PLANT BUILD</v>
          </cell>
          <cell r="Q374" t="str">
            <v>P221/P397</v>
          </cell>
          <cell r="R374" t="str">
            <v>ALL</v>
          </cell>
          <cell r="S374" t="str">
            <v xml:space="preserve"> C220A   LOOSE, PIN 6 CKT #684, PK BK</v>
          </cell>
          <cell r="T374">
            <v>1</v>
          </cell>
          <cell r="Z374">
            <v>1</v>
          </cell>
        </row>
        <row r="375">
          <cell r="A375">
            <v>0</v>
          </cell>
          <cell r="B375" t="str">
            <v>ALL VRTS</v>
          </cell>
          <cell r="C375" t="str">
            <v>34502C</v>
          </cell>
          <cell r="E375" t="str">
            <v>Metal Finishers</v>
          </cell>
          <cell r="G375" t="str">
            <v>B01</v>
          </cell>
          <cell r="J375" t="str">
            <v>V31</v>
          </cell>
          <cell r="L375">
            <v>0</v>
          </cell>
          <cell r="M375">
            <v>0</v>
          </cell>
          <cell r="N375">
            <v>-1</v>
          </cell>
          <cell r="O375">
            <v>2004</v>
          </cell>
          <cell r="P375" t="str">
            <v>DEARBORN PLANT BUILD</v>
          </cell>
          <cell r="Q375" t="str">
            <v>P221/P397</v>
          </cell>
          <cell r="R375" t="str">
            <v>ALL</v>
          </cell>
          <cell r="S375" t="str">
            <v xml:space="preserve"> Dent near handle</v>
          </cell>
          <cell r="T375">
            <v>1</v>
          </cell>
          <cell r="Y375">
            <v>1</v>
          </cell>
        </row>
        <row r="376">
          <cell r="A376">
            <v>0</v>
          </cell>
          <cell r="B376" t="str">
            <v>ALL VRTS</v>
          </cell>
          <cell r="G376" t="str">
            <v>E29</v>
          </cell>
          <cell r="J376" t="str">
            <v>V44</v>
          </cell>
          <cell r="L376">
            <v>-1</v>
          </cell>
          <cell r="M376">
            <v>-1</v>
          </cell>
          <cell r="N376">
            <v>0</v>
          </cell>
          <cell r="O376">
            <v>2004</v>
          </cell>
          <cell r="P376" t="str">
            <v>DEARBORN PLANT BUILD</v>
          </cell>
          <cell r="Q376" t="str">
            <v>P221/P397</v>
          </cell>
          <cell r="R376" t="str">
            <v>ALL</v>
          </cell>
          <cell r="S376" t="str">
            <v xml:space="preserve"> found code PO158 eng overheat</v>
          </cell>
          <cell r="T376">
            <v>1</v>
          </cell>
          <cell r="V376">
            <v>1</v>
          </cell>
        </row>
        <row r="377">
          <cell r="A377">
            <v>0</v>
          </cell>
          <cell r="B377" t="str">
            <v>ALL VRTS</v>
          </cell>
          <cell r="G377" t="str">
            <v>L86</v>
          </cell>
          <cell r="J377" t="str">
            <v>V44</v>
          </cell>
          <cell r="L377">
            <v>-1</v>
          </cell>
          <cell r="M377">
            <v>-1</v>
          </cell>
          <cell r="N377">
            <v>0</v>
          </cell>
          <cell r="O377">
            <v>2004</v>
          </cell>
          <cell r="P377" t="str">
            <v>DEARBORN PLANT BUILD</v>
          </cell>
          <cell r="Q377" t="str">
            <v>P221/P397</v>
          </cell>
          <cell r="R377" t="str">
            <v>ALL</v>
          </cell>
          <cell r="S377" t="str">
            <v xml:space="preserve"> low rear axle fluid</v>
          </cell>
          <cell r="T377">
            <v>1</v>
          </cell>
          <cell r="Y377">
            <v>1</v>
          </cell>
        </row>
        <row r="378">
          <cell r="A378">
            <v>0</v>
          </cell>
          <cell r="B378" t="str">
            <v>ALL VRTS</v>
          </cell>
          <cell r="G378" t="str">
            <v>S39</v>
          </cell>
          <cell r="J378" t="str">
            <v>V05</v>
          </cell>
          <cell r="L378">
            <v>-1</v>
          </cell>
          <cell r="M378">
            <v>0</v>
          </cell>
          <cell r="N378">
            <v>0</v>
          </cell>
          <cell r="O378">
            <v>2004</v>
          </cell>
          <cell r="P378" t="str">
            <v>DEARBORN PLANT BUILD</v>
          </cell>
          <cell r="Q378" t="str">
            <v>P221/P397</v>
          </cell>
          <cell r="R378" t="str">
            <v>ALL</v>
          </cell>
          <cell r="S378" t="str">
            <v xml:space="preserve"> NPF</v>
          </cell>
          <cell r="T378">
            <v>1</v>
          </cell>
          <cell r="AA378">
            <v>1</v>
          </cell>
        </row>
        <row r="379">
          <cell r="A379">
            <v>0</v>
          </cell>
          <cell r="B379" t="str">
            <v>ALL VRTS</v>
          </cell>
          <cell r="G379" t="str">
            <v>P59</v>
          </cell>
          <cell r="J379" t="str">
            <v>V48</v>
          </cell>
          <cell r="L379">
            <v>0</v>
          </cell>
          <cell r="M379">
            <v>-1</v>
          </cell>
          <cell r="N379">
            <v>0</v>
          </cell>
          <cell r="O379">
            <v>2004</v>
          </cell>
          <cell r="P379" t="str">
            <v>DEARBORN PLANT BUILD</v>
          </cell>
          <cell r="Q379" t="str">
            <v>P221/P397</v>
          </cell>
          <cell r="R379" t="str">
            <v>ALL</v>
          </cell>
          <cell r="S379" t="str">
            <v xml:space="preserve"> one way clutch</v>
          </cell>
          <cell r="T379">
            <v>1</v>
          </cell>
          <cell r="X379">
            <v>1</v>
          </cell>
        </row>
        <row r="380">
          <cell r="A380">
            <v>0</v>
          </cell>
          <cell r="B380" t="str">
            <v>ALL VRTS</v>
          </cell>
          <cell r="C380" t="str">
            <v>6340</v>
          </cell>
          <cell r="E380" t="str">
            <v>CEE23L</v>
          </cell>
          <cell r="G380" t="str">
            <v>N11</v>
          </cell>
          <cell r="J380" t="str">
            <v>V49</v>
          </cell>
          <cell r="L380">
            <v>0</v>
          </cell>
          <cell r="M380">
            <v>0</v>
          </cell>
          <cell r="N380">
            <v>-1</v>
          </cell>
          <cell r="O380">
            <v>2004</v>
          </cell>
          <cell r="P380" t="str">
            <v>DEARBORN PLANT BUILD</v>
          </cell>
          <cell r="Q380" t="str">
            <v>P221/P397</v>
          </cell>
          <cell r="R380" t="str">
            <v>ALL</v>
          </cell>
          <cell r="S380" t="str">
            <v xml:space="preserve"> reroute throttle cable</v>
          </cell>
          <cell r="T380">
            <v>1</v>
          </cell>
          <cell r="V380">
            <v>1</v>
          </cell>
        </row>
        <row r="381">
          <cell r="A381">
            <v>0</v>
          </cell>
          <cell r="B381" t="str">
            <v>ALL VRTS</v>
          </cell>
          <cell r="C381" t="str">
            <v>6500</v>
          </cell>
          <cell r="E381" t="str">
            <v>C4W22R</v>
          </cell>
          <cell r="G381" t="str">
            <v>E29</v>
          </cell>
          <cell r="J381" t="str">
            <v>V44</v>
          </cell>
          <cell r="L381">
            <v>0</v>
          </cell>
          <cell r="M381">
            <v>0</v>
          </cell>
          <cell r="N381">
            <v>-1</v>
          </cell>
          <cell r="O381">
            <v>2004</v>
          </cell>
          <cell r="P381" t="str">
            <v>DEARBORN PLANT BUILD</v>
          </cell>
          <cell r="Q381" t="str">
            <v>P221/P397</v>
          </cell>
          <cell r="R381" t="str">
            <v>ALL</v>
          </cell>
          <cell r="S381" t="str">
            <v xml:space="preserve"> vacuum line kinked</v>
          </cell>
          <cell r="T381">
            <v>1</v>
          </cell>
          <cell r="W381">
            <v>1</v>
          </cell>
        </row>
        <row r="382">
          <cell r="A382">
            <v>0</v>
          </cell>
          <cell r="B382" t="str">
            <v>ALL VRTS</v>
          </cell>
          <cell r="G382" t="str">
            <v>E29</v>
          </cell>
          <cell r="J382" t="str">
            <v>V44</v>
          </cell>
          <cell r="L382">
            <v>-1</v>
          </cell>
          <cell r="M382">
            <v>-1</v>
          </cell>
          <cell r="N382">
            <v>0</v>
          </cell>
          <cell r="O382">
            <v>2004</v>
          </cell>
          <cell r="P382" t="str">
            <v>DEARBORN PLANT BUILD</v>
          </cell>
          <cell r="Q382" t="str">
            <v>P221/P397</v>
          </cell>
          <cell r="R382" t="str">
            <v>ALL</v>
          </cell>
          <cell r="S382" t="str">
            <v>#2 &amp; #3 coil on plugs misfiring</v>
          </cell>
          <cell r="T382">
            <v>1</v>
          </cell>
          <cell r="Y382">
            <v>1</v>
          </cell>
        </row>
        <row r="383">
          <cell r="A383">
            <v>0</v>
          </cell>
          <cell r="B383" t="str">
            <v>ALL VRTS</v>
          </cell>
          <cell r="G383" t="str">
            <v>B81</v>
          </cell>
          <cell r="J383" t="str">
            <v>V71</v>
          </cell>
          <cell r="L383">
            <v>0</v>
          </cell>
          <cell r="M383">
            <v>-1</v>
          </cell>
          <cell r="N383">
            <v>0</v>
          </cell>
          <cell r="O383">
            <v>2004</v>
          </cell>
          <cell r="P383" t="str">
            <v>DEARBORN PLANT BUILD</v>
          </cell>
          <cell r="Q383" t="str">
            <v>P221/P397</v>
          </cell>
          <cell r="R383" t="str">
            <v>ALL</v>
          </cell>
          <cell r="S383" t="str">
            <v>A/C KNOB/BEZEL DAMAGED</v>
          </cell>
          <cell r="T383">
            <v>1</v>
          </cell>
          <cell r="W383">
            <v>1</v>
          </cell>
        </row>
        <row r="384">
          <cell r="A384">
            <v>0</v>
          </cell>
          <cell r="B384" t="str">
            <v>ALL VRTS</v>
          </cell>
          <cell r="G384" t="str">
            <v>R01</v>
          </cell>
          <cell r="J384" t="str">
            <v>V37</v>
          </cell>
          <cell r="L384">
            <v>-1</v>
          </cell>
          <cell r="M384">
            <v>0</v>
          </cell>
          <cell r="N384">
            <v>0</v>
          </cell>
          <cell r="O384">
            <v>2004</v>
          </cell>
          <cell r="P384" t="str">
            <v>DEARBORN PLANT BUILD</v>
          </cell>
          <cell r="Q384" t="str">
            <v>P221/P397</v>
          </cell>
          <cell r="R384" t="str">
            <v>ALL</v>
          </cell>
          <cell r="S384" t="str">
            <v>AC Drain Tube Blocked</v>
          </cell>
          <cell r="T384">
            <v>1</v>
          </cell>
          <cell r="AA384">
            <v>1</v>
          </cell>
        </row>
        <row r="385">
          <cell r="A385">
            <v>0</v>
          </cell>
          <cell r="B385" t="str">
            <v>ALL VRTS</v>
          </cell>
          <cell r="C385" t="str">
            <v>5330</v>
          </cell>
          <cell r="E385" t="str">
            <v>TDE17-L</v>
          </cell>
          <cell r="G385" t="str">
            <v>L06</v>
          </cell>
          <cell r="J385" t="str">
            <v>V07</v>
          </cell>
          <cell r="L385">
            <v>0</v>
          </cell>
          <cell r="M385">
            <v>0</v>
          </cell>
          <cell r="N385">
            <v>-1</v>
          </cell>
          <cell r="O385">
            <v>2004</v>
          </cell>
          <cell r="P385" t="str">
            <v>DEARBORN PLANT BUILD</v>
          </cell>
          <cell r="Q385" t="str">
            <v>P221/P397</v>
          </cell>
          <cell r="R385" t="str">
            <v>ALL</v>
          </cell>
          <cell r="S385" t="str">
            <v>ADJUST DOOR HANDLE ROD</v>
          </cell>
          <cell r="T385">
            <v>1</v>
          </cell>
          <cell r="Y385">
            <v>1</v>
          </cell>
        </row>
        <row r="386">
          <cell r="A386">
            <v>0</v>
          </cell>
          <cell r="B386" t="str">
            <v>ALL VRTS</v>
          </cell>
          <cell r="C386" t="str">
            <v>5350</v>
          </cell>
          <cell r="E386" t="str">
            <v>TDE31-I</v>
          </cell>
          <cell r="G386" t="str">
            <v>L07</v>
          </cell>
          <cell r="J386" t="str">
            <v>V07</v>
          </cell>
          <cell r="L386">
            <v>0</v>
          </cell>
          <cell r="M386">
            <v>0</v>
          </cell>
          <cell r="N386">
            <v>-1</v>
          </cell>
          <cell r="O386">
            <v>2004</v>
          </cell>
          <cell r="P386" t="str">
            <v>DEARBORN PLANT BUILD</v>
          </cell>
          <cell r="Q386" t="str">
            <v>P221/P397</v>
          </cell>
          <cell r="R386" t="str">
            <v>ALL</v>
          </cell>
          <cell r="S386" t="str">
            <v>ADJUST DOOR STRIKER D/S</v>
          </cell>
          <cell r="T386">
            <v>1</v>
          </cell>
          <cell r="X386">
            <v>1</v>
          </cell>
        </row>
        <row r="387">
          <cell r="A387">
            <v>0</v>
          </cell>
          <cell r="B387" t="str">
            <v>ALL VRTS</v>
          </cell>
          <cell r="G387" t="str">
            <v>J03</v>
          </cell>
          <cell r="J387" t="str">
            <v>V07</v>
          </cell>
          <cell r="L387">
            <v>0</v>
          </cell>
          <cell r="M387">
            <v>-1</v>
          </cell>
          <cell r="N387">
            <v>0</v>
          </cell>
          <cell r="O387">
            <v>2004</v>
          </cell>
          <cell r="P387" t="str">
            <v>DEARBORN PLANT BUILD</v>
          </cell>
          <cell r="Q387" t="str">
            <v>P221/P397</v>
          </cell>
          <cell r="R387" t="str">
            <v>ALL</v>
          </cell>
          <cell r="S387" t="str">
            <v>ADJUST SUN ROOF</v>
          </cell>
          <cell r="T387">
            <v>1</v>
          </cell>
          <cell r="AA387">
            <v>1</v>
          </cell>
        </row>
        <row r="388">
          <cell r="A388">
            <v>0</v>
          </cell>
          <cell r="B388" t="str">
            <v>ALL VRTS</v>
          </cell>
          <cell r="G388" t="str">
            <v>J04</v>
          </cell>
          <cell r="J388" t="str">
            <v>V09</v>
          </cell>
          <cell r="L388">
            <v>0</v>
          </cell>
          <cell r="M388">
            <v>0</v>
          </cell>
          <cell r="N388">
            <v>-1</v>
          </cell>
          <cell r="O388">
            <v>2004</v>
          </cell>
          <cell r="P388" t="str">
            <v>DEARBORN PLANT BUILD</v>
          </cell>
          <cell r="Q388" t="str">
            <v>P221/P397</v>
          </cell>
          <cell r="R388" t="str">
            <v>ALL</v>
          </cell>
          <cell r="S388" t="str">
            <v>ADJUST SUNROOF TO OPENING</v>
          </cell>
          <cell r="T388">
            <v>1</v>
          </cell>
          <cell r="AB388">
            <v>1</v>
          </cell>
        </row>
        <row r="389">
          <cell r="A389">
            <v>0</v>
          </cell>
          <cell r="B389" t="str">
            <v>ALL VRTS</v>
          </cell>
          <cell r="C389" t="str">
            <v>34602C</v>
          </cell>
          <cell r="E389" t="str">
            <v>Final Fitters</v>
          </cell>
          <cell r="G389" t="str">
            <v>B02</v>
          </cell>
          <cell r="J389" t="str">
            <v>V31</v>
          </cell>
          <cell r="L389">
            <v>0</v>
          </cell>
          <cell r="M389">
            <v>0</v>
          </cell>
          <cell r="N389">
            <v>-1</v>
          </cell>
          <cell r="O389">
            <v>2004</v>
          </cell>
          <cell r="P389" t="str">
            <v>DEARBORN PLANT BUILD</v>
          </cell>
          <cell r="Q389" t="str">
            <v>P221/P397</v>
          </cell>
          <cell r="R389" t="str">
            <v>ALL</v>
          </cell>
          <cell r="S389" t="str">
            <v>Adjusted door-repaired surface</v>
          </cell>
          <cell r="T389">
            <v>1</v>
          </cell>
          <cell r="Y389">
            <v>1</v>
          </cell>
        </row>
        <row r="390">
          <cell r="A390">
            <v>0</v>
          </cell>
          <cell r="B390" t="str">
            <v>ALL VRTS</v>
          </cell>
          <cell r="C390" t="str">
            <v>Trim 3 5560-2-F</v>
          </cell>
          <cell r="E390" t="str">
            <v>T3E34 R</v>
          </cell>
          <cell r="G390" t="str">
            <v>B66</v>
          </cell>
          <cell r="J390" t="str">
            <v>V75</v>
          </cell>
          <cell r="L390">
            <v>0</v>
          </cell>
          <cell r="M390">
            <v>0</v>
          </cell>
          <cell r="N390">
            <v>-1</v>
          </cell>
          <cell r="O390">
            <v>2004</v>
          </cell>
          <cell r="P390" t="str">
            <v>DEARBORN PLANT BUILD</v>
          </cell>
          <cell r="Q390" t="str">
            <v>P221/P397</v>
          </cell>
          <cell r="R390" t="str">
            <v>ALL</v>
          </cell>
          <cell r="S390" t="str">
            <v>ADJUSTED HEADLAMP</v>
          </cell>
          <cell r="T390">
            <v>1</v>
          </cell>
          <cell r="AB390">
            <v>1</v>
          </cell>
        </row>
        <row r="391">
          <cell r="A391">
            <v>0</v>
          </cell>
          <cell r="B391" t="str">
            <v>ALL VRTS</v>
          </cell>
          <cell r="G391" t="str">
            <v>B95</v>
          </cell>
          <cell r="J391" t="str">
            <v>V71</v>
          </cell>
          <cell r="L391">
            <v>0</v>
          </cell>
          <cell r="M391">
            <v>-1</v>
          </cell>
          <cell r="N391">
            <v>0</v>
          </cell>
          <cell r="O391">
            <v>2004</v>
          </cell>
          <cell r="P391" t="str">
            <v>DEARBORN PLANT BUILD</v>
          </cell>
          <cell r="Q391" t="str">
            <v>P221/P397</v>
          </cell>
          <cell r="R391" t="str">
            <v>ALL</v>
          </cell>
          <cell r="S391" t="str">
            <v>AIR BAG WIRING</v>
          </cell>
          <cell r="T391">
            <v>1</v>
          </cell>
          <cell r="Z391">
            <v>1</v>
          </cell>
        </row>
        <row r="392">
          <cell r="A392">
            <v>0</v>
          </cell>
          <cell r="B392" t="str">
            <v>ALL VRTS</v>
          </cell>
          <cell r="C392" t="str">
            <v>6540</v>
          </cell>
          <cell r="E392" t="str">
            <v>C5E23L</v>
          </cell>
          <cell r="G392" t="str">
            <v>N12</v>
          </cell>
          <cell r="J392" t="str">
            <v>V49</v>
          </cell>
          <cell r="L392">
            <v>0</v>
          </cell>
          <cell r="M392">
            <v>0</v>
          </cell>
          <cell r="N392">
            <v>-1</v>
          </cell>
          <cell r="O392">
            <v>2004</v>
          </cell>
          <cell r="P392" t="str">
            <v>DEARBORN PLANT BUILD</v>
          </cell>
          <cell r="Q392" t="str">
            <v>P221/P397</v>
          </cell>
          <cell r="R392" t="str">
            <v>ALL</v>
          </cell>
          <cell r="S392" t="str">
            <v>Air Cleaner/Rubber Grommet</v>
          </cell>
          <cell r="T392">
            <v>1</v>
          </cell>
          <cell r="AA392">
            <v>1</v>
          </cell>
        </row>
        <row r="393">
          <cell r="A393">
            <v>0</v>
          </cell>
          <cell r="B393" t="str">
            <v>ALL VRTS</v>
          </cell>
          <cell r="G393" t="str">
            <v>A06</v>
          </cell>
          <cell r="J393" t="str">
            <v>V81</v>
          </cell>
          <cell r="L393">
            <v>0</v>
          </cell>
          <cell r="M393">
            <v>-1</v>
          </cell>
          <cell r="N393">
            <v>0</v>
          </cell>
          <cell r="O393">
            <v>2004</v>
          </cell>
          <cell r="P393" t="str">
            <v>DEARBORN PLANT BUILD</v>
          </cell>
          <cell r="Q393" t="str">
            <v>P221/P397</v>
          </cell>
          <cell r="R393" t="str">
            <v>ALL</v>
          </cell>
          <cell r="S393" t="str">
            <v>Alarm ajusted</v>
          </cell>
          <cell r="T393">
            <v>1</v>
          </cell>
          <cell r="AB393">
            <v>1</v>
          </cell>
        </row>
        <row r="394">
          <cell r="A394">
            <v>0</v>
          </cell>
          <cell r="B394" t="str">
            <v>ALL VRTS</v>
          </cell>
          <cell r="C394" t="str">
            <v>door line 5340-2-A</v>
          </cell>
          <cell r="E394" t="str">
            <v>TDW24R</v>
          </cell>
          <cell r="G394" t="str">
            <v>B64</v>
          </cell>
          <cell r="J394" t="str">
            <v>V75</v>
          </cell>
          <cell r="L394">
            <v>0</v>
          </cell>
          <cell r="M394">
            <v>0</v>
          </cell>
          <cell r="N394">
            <v>-1</v>
          </cell>
          <cell r="O394">
            <v>2004</v>
          </cell>
          <cell r="P394" t="str">
            <v>DEARBORN PLANT BUILD</v>
          </cell>
          <cell r="Q394" t="str">
            <v>P221/P397</v>
          </cell>
          <cell r="R394" t="str">
            <v>ALL</v>
          </cell>
          <cell r="S394" t="str">
            <v>ALIGN  FRT DOOR WEATHERSTRIP</v>
          </cell>
          <cell r="T394">
            <v>1</v>
          </cell>
          <cell r="AA394">
            <v>1</v>
          </cell>
        </row>
        <row r="395">
          <cell r="A395">
            <v>0</v>
          </cell>
          <cell r="B395" t="str">
            <v>ALL VRTS</v>
          </cell>
          <cell r="C395" t="str">
            <v>5390</v>
          </cell>
          <cell r="E395" t="str">
            <v>TBE10-BA</v>
          </cell>
          <cell r="G395" t="str">
            <v>L15</v>
          </cell>
          <cell r="J395" t="str">
            <v>V07</v>
          </cell>
          <cell r="L395">
            <v>0</v>
          </cell>
          <cell r="M395">
            <v>0</v>
          </cell>
          <cell r="N395">
            <v>-1</v>
          </cell>
          <cell r="O395">
            <v>2004</v>
          </cell>
          <cell r="P395" t="str">
            <v>DEARBORN PLANT BUILD</v>
          </cell>
          <cell r="Q395" t="str">
            <v>P221/P397</v>
          </cell>
          <cell r="R395" t="str">
            <v>ALL</v>
          </cell>
          <cell r="S395" t="str">
            <v>ALIGN PIVOT RODS</v>
          </cell>
          <cell r="T395">
            <v>1</v>
          </cell>
          <cell r="Y395">
            <v>1</v>
          </cell>
        </row>
        <row r="396">
          <cell r="A396">
            <v>0</v>
          </cell>
          <cell r="B396" t="str">
            <v>ALL VRTS</v>
          </cell>
          <cell r="G396" t="str">
            <v>C25</v>
          </cell>
          <cell r="J396" t="str">
            <v>V19</v>
          </cell>
          <cell r="L396">
            <v>0</v>
          </cell>
          <cell r="M396">
            <v>0</v>
          </cell>
          <cell r="N396">
            <v>-1</v>
          </cell>
          <cell r="O396">
            <v>2004</v>
          </cell>
          <cell r="P396" t="str">
            <v>DEARBORN PLANT BUILD</v>
          </cell>
          <cell r="Q396" t="str">
            <v>P221/P397</v>
          </cell>
          <cell r="R396" t="str">
            <v>ALL</v>
          </cell>
          <cell r="S396" t="str">
            <v>Alternator no connect..</v>
          </cell>
          <cell r="T396">
            <v>1</v>
          </cell>
          <cell r="Z396">
            <v>1</v>
          </cell>
        </row>
        <row r="397">
          <cell r="A397">
            <v>0</v>
          </cell>
          <cell r="B397" t="str">
            <v>ALL VRTS</v>
          </cell>
          <cell r="C397" t="str">
            <v>…</v>
          </cell>
          <cell r="E397" t="str">
            <v>Dealer</v>
          </cell>
          <cell r="G397" t="str">
            <v>N33</v>
          </cell>
          <cell r="J397" t="str">
            <v>V39</v>
          </cell>
          <cell r="L397">
            <v>0</v>
          </cell>
          <cell r="M397">
            <v>0</v>
          </cell>
          <cell r="N397">
            <v>-1</v>
          </cell>
          <cell r="O397">
            <v>2004</v>
          </cell>
          <cell r="P397" t="str">
            <v>DEARBORN PLANT BUILD</v>
          </cell>
          <cell r="Q397" t="str">
            <v>P221/P397</v>
          </cell>
          <cell r="R397" t="str">
            <v>ALL</v>
          </cell>
          <cell r="S397" t="str">
            <v>Ant. N/Sercured - Rattling</v>
          </cell>
          <cell r="T397">
            <v>1</v>
          </cell>
          <cell r="AB397">
            <v>1</v>
          </cell>
        </row>
        <row r="398">
          <cell r="A398">
            <v>0</v>
          </cell>
          <cell r="B398" t="str">
            <v>ALL VRTS</v>
          </cell>
          <cell r="G398" t="str">
            <v>H20</v>
          </cell>
          <cell r="J398" t="str">
            <v>V21</v>
          </cell>
          <cell r="L398">
            <v>0</v>
          </cell>
          <cell r="M398">
            <v>-1</v>
          </cell>
          <cell r="N398">
            <v>0</v>
          </cell>
          <cell r="O398">
            <v>2004</v>
          </cell>
          <cell r="P398" t="str">
            <v>DEARBORN PLANT BUILD</v>
          </cell>
          <cell r="Q398" t="str">
            <v>P221/P397</v>
          </cell>
          <cell r="R398" t="str">
            <v>ALL</v>
          </cell>
          <cell r="S398" t="str">
            <v>ANTI - LOCK RING BROKEN - REPLACED</v>
          </cell>
          <cell r="T398">
            <v>1</v>
          </cell>
          <cell r="AA398">
            <v>1</v>
          </cell>
        </row>
        <row r="399">
          <cell r="A399">
            <v>0</v>
          </cell>
          <cell r="B399" t="str">
            <v>ALL VRTS</v>
          </cell>
          <cell r="G399" t="str">
            <v>N59</v>
          </cell>
          <cell r="J399" t="str">
            <v>V39</v>
          </cell>
          <cell r="L399">
            <v>0</v>
          </cell>
          <cell r="M399">
            <v>0</v>
          </cell>
          <cell r="N399">
            <v>-1</v>
          </cell>
          <cell r="O399">
            <v>2004</v>
          </cell>
          <cell r="P399" t="str">
            <v>DEARBORN PLANT BUILD</v>
          </cell>
          <cell r="Q399" t="str">
            <v>P221/P397</v>
          </cell>
          <cell r="R399" t="str">
            <v>ALL</v>
          </cell>
          <cell r="S399" t="str">
            <v>A-Pillar Grab Handle Loose</v>
          </cell>
          <cell r="T399">
            <v>1</v>
          </cell>
          <cell r="AA399">
            <v>1</v>
          </cell>
        </row>
        <row r="400">
          <cell r="A400">
            <v>0</v>
          </cell>
          <cell r="B400" t="str">
            <v>ALL VRTS</v>
          </cell>
          <cell r="G400" t="str">
            <v>B43</v>
          </cell>
          <cell r="J400" t="str">
            <v>V73</v>
          </cell>
          <cell r="L400">
            <v>0</v>
          </cell>
          <cell r="M400">
            <v>-1</v>
          </cell>
          <cell r="N400">
            <v>0</v>
          </cell>
          <cell r="O400">
            <v>2004</v>
          </cell>
          <cell r="P400" t="str">
            <v>DEARBORN PLANT BUILD</v>
          </cell>
          <cell r="Q400" t="str">
            <v>P221/P397</v>
          </cell>
          <cell r="R400" t="str">
            <v>ALL</v>
          </cell>
          <cell r="S400" t="str">
            <v>ARMREST FIT R/R</v>
          </cell>
          <cell r="T400">
            <v>1</v>
          </cell>
          <cell r="AA400">
            <v>1</v>
          </cell>
        </row>
        <row r="401">
          <cell r="A401">
            <v>0</v>
          </cell>
          <cell r="B401" t="str">
            <v>ALL VRTS</v>
          </cell>
          <cell r="G401" t="str">
            <v>N31</v>
          </cell>
          <cell r="J401" t="str">
            <v>V39</v>
          </cell>
          <cell r="L401">
            <v>0</v>
          </cell>
          <cell r="M401">
            <v>-1</v>
          </cell>
          <cell r="N401">
            <v>0</v>
          </cell>
          <cell r="O401">
            <v>2004</v>
          </cell>
          <cell r="P401" t="str">
            <v>DEARBORN PLANT BUILD</v>
          </cell>
          <cell r="Q401" t="str">
            <v>P221/P397</v>
          </cell>
          <cell r="R401" t="str">
            <v>ALL</v>
          </cell>
          <cell r="S401" t="str">
            <v>Ash Tray Rattle</v>
          </cell>
          <cell r="T401">
            <v>1</v>
          </cell>
          <cell r="AA401">
            <v>1</v>
          </cell>
        </row>
        <row r="402">
          <cell r="A402">
            <v>0</v>
          </cell>
          <cell r="B402" t="str">
            <v>ALL VRTS</v>
          </cell>
          <cell r="G402" t="str">
            <v>L29</v>
          </cell>
          <cell r="J402" t="str">
            <v>V77</v>
          </cell>
          <cell r="L402">
            <v>0</v>
          </cell>
          <cell r="M402">
            <v>-1</v>
          </cell>
          <cell r="N402">
            <v>0</v>
          </cell>
          <cell r="O402">
            <v>2004</v>
          </cell>
          <cell r="P402" t="str">
            <v>DEARBORN PLANT BUILD</v>
          </cell>
          <cell r="Q402" t="str">
            <v>P221/P397</v>
          </cell>
          <cell r="R402" t="str">
            <v>ALL</v>
          </cell>
          <cell r="S402" t="str">
            <v>Assembly Replaced</v>
          </cell>
          <cell r="T402">
            <v>1</v>
          </cell>
          <cell r="Z402">
            <v>1</v>
          </cell>
        </row>
        <row r="403">
          <cell r="A403">
            <v>0</v>
          </cell>
          <cell r="B403" t="str">
            <v>ALL VRTS</v>
          </cell>
          <cell r="C403" t="str">
            <v>5510</v>
          </cell>
          <cell r="E403" t="str">
            <v>T2E32R/T2W31L</v>
          </cell>
          <cell r="G403" t="str">
            <v>B73</v>
          </cell>
          <cell r="J403" t="str">
            <v>V74</v>
          </cell>
          <cell r="L403">
            <v>0</v>
          </cell>
          <cell r="M403">
            <v>-1</v>
          </cell>
          <cell r="N403">
            <v>-1</v>
          </cell>
          <cell r="O403">
            <v>2004</v>
          </cell>
          <cell r="P403" t="str">
            <v>DEARBORN PLANT BUILD</v>
          </cell>
          <cell r="Q403" t="str">
            <v>P221/P397</v>
          </cell>
          <cell r="R403" t="str">
            <v>ALL</v>
          </cell>
          <cell r="S403" t="str">
            <v>AT LEFT FRONT WEATHERSTRIP</v>
          </cell>
          <cell r="T403">
            <v>1</v>
          </cell>
          <cell r="X403">
            <v>1</v>
          </cell>
        </row>
        <row r="404">
          <cell r="A404">
            <v>0</v>
          </cell>
          <cell r="B404" t="str">
            <v>ALL VRTS</v>
          </cell>
          <cell r="G404" t="str">
            <v>L88</v>
          </cell>
          <cell r="J404" t="str">
            <v>V44</v>
          </cell>
          <cell r="L404">
            <v>0</v>
          </cell>
          <cell r="M404">
            <v>-1</v>
          </cell>
          <cell r="N404">
            <v>0</v>
          </cell>
          <cell r="O404">
            <v>2004</v>
          </cell>
          <cell r="P404" t="str">
            <v>DEARBORN PLANT BUILD</v>
          </cell>
          <cell r="Q404" t="str">
            <v>P221/P397</v>
          </cell>
          <cell r="R404" t="str">
            <v>ALL</v>
          </cell>
          <cell r="S404" t="str">
            <v>Axle fill plug/Loose</v>
          </cell>
          <cell r="T404">
            <v>1</v>
          </cell>
          <cell r="AA404">
            <v>1</v>
          </cell>
        </row>
        <row r="405">
          <cell r="A405">
            <v>0</v>
          </cell>
          <cell r="B405" t="str">
            <v>ALL VRTS</v>
          </cell>
          <cell r="C405" t="str">
            <v>6390</v>
          </cell>
          <cell r="E405" t="str">
            <v>C1E43F</v>
          </cell>
          <cell r="G405" t="str">
            <v>E35</v>
          </cell>
          <cell r="J405" t="str">
            <v>V89</v>
          </cell>
          <cell r="L405">
            <v>0</v>
          </cell>
          <cell r="M405">
            <v>0</v>
          </cell>
          <cell r="N405">
            <v>-1</v>
          </cell>
          <cell r="O405">
            <v>2004</v>
          </cell>
          <cell r="P405" t="str">
            <v>DEARBORN PLANT BUILD</v>
          </cell>
          <cell r="Q405" t="str">
            <v>P221/P397</v>
          </cell>
          <cell r="R405" t="str">
            <v>ALL</v>
          </cell>
          <cell r="S405" t="str">
            <v>AXLE NUT RETAINER-TIGHTENED</v>
          </cell>
          <cell r="T405">
            <v>1</v>
          </cell>
          <cell r="X405">
            <v>1</v>
          </cell>
        </row>
        <row r="406">
          <cell r="A406">
            <v>0</v>
          </cell>
          <cell r="B406" t="str">
            <v>ALL VRTS</v>
          </cell>
          <cell r="G406" t="str">
            <v>N58</v>
          </cell>
          <cell r="J406" t="str">
            <v>V87</v>
          </cell>
          <cell r="L406">
            <v>0</v>
          </cell>
          <cell r="M406">
            <v>-1</v>
          </cell>
          <cell r="N406">
            <v>0</v>
          </cell>
          <cell r="O406">
            <v>2004</v>
          </cell>
          <cell r="P406" t="str">
            <v>DEARBORN PLANT BUILD</v>
          </cell>
          <cell r="Q406" t="str">
            <v>P221/P397</v>
          </cell>
          <cell r="R406" t="str">
            <v>ALL</v>
          </cell>
          <cell r="S406" t="str">
            <v>AXLE SHAFT - LUBED</v>
          </cell>
          <cell r="T406">
            <v>1</v>
          </cell>
          <cell r="W406">
            <v>1</v>
          </cell>
        </row>
        <row r="407">
          <cell r="A407">
            <v>0</v>
          </cell>
          <cell r="B407" t="str">
            <v>ALL VRTS</v>
          </cell>
          <cell r="G407" t="str">
            <v>S39</v>
          </cell>
          <cell r="J407" t="str">
            <v>V05</v>
          </cell>
          <cell r="L407">
            <v>0</v>
          </cell>
          <cell r="M407">
            <v>-1</v>
          </cell>
          <cell r="N407">
            <v>0</v>
          </cell>
          <cell r="O407">
            <v>2004</v>
          </cell>
          <cell r="P407" t="str">
            <v>DEARBORN PLANT BUILD</v>
          </cell>
          <cell r="Q407" t="str">
            <v>P221/P397</v>
          </cell>
          <cell r="R407" t="str">
            <v>ALL</v>
          </cell>
          <cell r="S407" t="str">
            <v>B1884 BROKEN WIRE</v>
          </cell>
          <cell r="T407">
            <v>1</v>
          </cell>
          <cell r="Z407">
            <v>1</v>
          </cell>
        </row>
        <row r="408">
          <cell r="A408">
            <v>0</v>
          </cell>
          <cell r="B408" t="str">
            <v>ALL VRTS</v>
          </cell>
          <cell r="G408" t="str">
            <v>S39</v>
          </cell>
          <cell r="J408" t="str">
            <v>V05</v>
          </cell>
          <cell r="L408">
            <v>0</v>
          </cell>
          <cell r="M408">
            <v>-1</v>
          </cell>
          <cell r="N408">
            <v>0</v>
          </cell>
          <cell r="O408">
            <v>2004</v>
          </cell>
          <cell r="P408" t="str">
            <v>DEARBORN PLANT BUILD</v>
          </cell>
          <cell r="Q408" t="str">
            <v>P221/P397</v>
          </cell>
          <cell r="R408" t="str">
            <v>ALL</v>
          </cell>
          <cell r="S408" t="str">
            <v>B1884 PLUG DISCONNECT</v>
          </cell>
          <cell r="T408">
            <v>1</v>
          </cell>
          <cell r="AB408">
            <v>1</v>
          </cell>
        </row>
        <row r="409">
          <cell r="A409">
            <v>0</v>
          </cell>
          <cell r="B409" t="str">
            <v>ALL VRTS</v>
          </cell>
          <cell r="G409" t="str">
            <v>S38</v>
          </cell>
          <cell r="J409" t="str">
            <v>V05</v>
          </cell>
          <cell r="L409">
            <v>0</v>
          </cell>
          <cell r="M409">
            <v>-1</v>
          </cell>
          <cell r="N409">
            <v>0</v>
          </cell>
          <cell r="O409">
            <v>2004</v>
          </cell>
          <cell r="P409" t="str">
            <v>DEARBORN PLANT BUILD</v>
          </cell>
          <cell r="Q409" t="str">
            <v>P221/P397</v>
          </cell>
          <cell r="R409" t="str">
            <v>ALL</v>
          </cell>
          <cell r="S409" t="str">
            <v>B2293 REPLACE CLOCK SPRING</v>
          </cell>
          <cell r="T409">
            <v>1</v>
          </cell>
          <cell r="W409">
            <v>1</v>
          </cell>
        </row>
        <row r="410">
          <cell r="A410">
            <v>0</v>
          </cell>
          <cell r="B410" t="str">
            <v>ALL VRTS</v>
          </cell>
          <cell r="G410" t="str">
            <v>S39</v>
          </cell>
          <cell r="J410" t="str">
            <v>V05</v>
          </cell>
          <cell r="L410">
            <v>0</v>
          </cell>
          <cell r="M410">
            <v>-1</v>
          </cell>
          <cell r="N410">
            <v>0</v>
          </cell>
          <cell r="O410">
            <v>2004</v>
          </cell>
          <cell r="P410" t="str">
            <v>DEARBORN PLANT BUILD</v>
          </cell>
          <cell r="Q410" t="str">
            <v>P221/P397</v>
          </cell>
          <cell r="R410" t="str">
            <v>ALL</v>
          </cell>
          <cell r="S410" t="str">
            <v>B2691 REPAIR WIRE HARNESS-KINKED</v>
          </cell>
          <cell r="T410">
            <v>1</v>
          </cell>
          <cell r="W410">
            <v>1</v>
          </cell>
        </row>
        <row r="411">
          <cell r="A411">
            <v>0</v>
          </cell>
          <cell r="B411" t="str">
            <v>ALL VRTS</v>
          </cell>
          <cell r="C411" t="str">
            <v>6500</v>
          </cell>
          <cell r="E411" t="str">
            <v>C4W20R</v>
          </cell>
          <cell r="G411" t="str">
            <v>S39</v>
          </cell>
          <cell r="J411" t="str">
            <v>V05</v>
          </cell>
          <cell r="L411">
            <v>0</v>
          </cell>
          <cell r="M411">
            <v>0</v>
          </cell>
          <cell r="N411">
            <v>-1</v>
          </cell>
          <cell r="O411">
            <v>2004</v>
          </cell>
          <cell r="P411" t="str">
            <v>DEARBORN PLANT BUILD</v>
          </cell>
          <cell r="Q411" t="str">
            <v>P221/P397</v>
          </cell>
          <cell r="R411" t="str">
            <v>ALL</v>
          </cell>
          <cell r="S411" t="str">
            <v>B2909 PINCHED WIRE</v>
          </cell>
          <cell r="T411">
            <v>1</v>
          </cell>
          <cell r="Z411">
            <v>1</v>
          </cell>
        </row>
        <row r="412">
          <cell r="A412">
            <v>0</v>
          </cell>
          <cell r="B412" t="str">
            <v>ALL VRTS</v>
          </cell>
          <cell r="C412" t="str">
            <v>unsure</v>
          </cell>
          <cell r="E412" t="str">
            <v>T2E18R</v>
          </cell>
          <cell r="G412" t="str">
            <v>R25</v>
          </cell>
          <cell r="J412" t="str">
            <v>V11</v>
          </cell>
          <cell r="L412">
            <v>0</v>
          </cell>
          <cell r="M412">
            <v>0</v>
          </cell>
          <cell r="N412">
            <v>-1</v>
          </cell>
          <cell r="O412">
            <v>2004</v>
          </cell>
          <cell r="P412" t="str">
            <v>DEARBORN PLANT BUILD</v>
          </cell>
          <cell r="Q412" t="str">
            <v>P221/P397</v>
          </cell>
          <cell r="R412" t="str">
            <v>ALL</v>
          </cell>
          <cell r="S412" t="str">
            <v>Back Window N/Installed Correctly</v>
          </cell>
          <cell r="T412">
            <v>1</v>
          </cell>
          <cell r="Z412">
            <v>1</v>
          </cell>
        </row>
        <row r="413">
          <cell r="A413">
            <v>0</v>
          </cell>
          <cell r="B413" t="str">
            <v>ALL VRTS</v>
          </cell>
          <cell r="G413" t="str">
            <v>R25</v>
          </cell>
          <cell r="J413" t="str">
            <v>V11</v>
          </cell>
          <cell r="L413">
            <v>0</v>
          </cell>
          <cell r="M413">
            <v>-1</v>
          </cell>
          <cell r="N413">
            <v>0</v>
          </cell>
          <cell r="O413">
            <v>2004</v>
          </cell>
          <cell r="P413" t="str">
            <v>DEARBORN PLANT BUILD</v>
          </cell>
          <cell r="Q413" t="str">
            <v>P221/P397</v>
          </cell>
          <cell r="R413" t="str">
            <v>ALL</v>
          </cell>
          <cell r="S413" t="str">
            <v>Back Window will not close(Gap)</v>
          </cell>
          <cell r="T413">
            <v>1</v>
          </cell>
          <cell r="AB413">
            <v>1</v>
          </cell>
        </row>
        <row r="414">
          <cell r="A414">
            <v>0</v>
          </cell>
          <cell r="B414" t="str">
            <v>ALL VRTS</v>
          </cell>
          <cell r="G414" t="str">
            <v>A85</v>
          </cell>
          <cell r="J414" t="str">
            <v>V17</v>
          </cell>
          <cell r="L414">
            <v>0</v>
          </cell>
          <cell r="M414">
            <v>-1</v>
          </cell>
          <cell r="N414">
            <v>0</v>
          </cell>
          <cell r="O414">
            <v>2004</v>
          </cell>
          <cell r="P414" t="str">
            <v>DEARBORN PLANT BUILD</v>
          </cell>
          <cell r="Q414" t="str">
            <v>P221/P397</v>
          </cell>
          <cell r="R414" t="str">
            <v>ALL</v>
          </cell>
          <cell r="S414" t="str">
            <v>Bad Element</v>
          </cell>
          <cell r="T414">
            <v>1</v>
          </cell>
          <cell r="AA414">
            <v>1</v>
          </cell>
        </row>
        <row r="415">
          <cell r="A415">
            <v>0</v>
          </cell>
          <cell r="B415" t="str">
            <v>ALL VRTS</v>
          </cell>
          <cell r="G415" t="str">
            <v>A85</v>
          </cell>
          <cell r="J415" t="str">
            <v>V17</v>
          </cell>
          <cell r="L415">
            <v>0</v>
          </cell>
          <cell r="M415">
            <v>-1</v>
          </cell>
          <cell r="N415">
            <v>0</v>
          </cell>
          <cell r="O415">
            <v>2004</v>
          </cell>
          <cell r="P415" t="str">
            <v>DEARBORN PLANT BUILD</v>
          </cell>
          <cell r="Q415" t="str">
            <v>P221/P397</v>
          </cell>
          <cell r="R415" t="str">
            <v>ALL</v>
          </cell>
          <cell r="S415" t="str">
            <v>Bad Temp Sensor</v>
          </cell>
          <cell r="T415">
            <v>1</v>
          </cell>
          <cell r="AA415">
            <v>1</v>
          </cell>
        </row>
        <row r="416">
          <cell r="A416">
            <v>0</v>
          </cell>
          <cell r="B416" t="str">
            <v>ALL VRTS</v>
          </cell>
          <cell r="G416" t="str">
            <v>G29</v>
          </cell>
          <cell r="J416" t="str">
            <v>V83</v>
          </cell>
          <cell r="L416">
            <v>0</v>
          </cell>
          <cell r="M416">
            <v>-1</v>
          </cell>
          <cell r="N416">
            <v>-1</v>
          </cell>
          <cell r="O416">
            <v>2004</v>
          </cell>
          <cell r="P416" t="str">
            <v>DEARBORN PLANT BUILD</v>
          </cell>
          <cell r="Q416" t="str">
            <v>P221/P397</v>
          </cell>
          <cell r="R416" t="str">
            <v>ALL</v>
          </cell>
          <cell r="S416" t="str">
            <v>Bent Pin Engine 12B637.</v>
          </cell>
          <cell r="T416">
            <v>1</v>
          </cell>
          <cell r="W416">
            <v>1</v>
          </cell>
        </row>
        <row r="417">
          <cell r="A417">
            <v>0</v>
          </cell>
          <cell r="B417" t="str">
            <v>ALL VRTS</v>
          </cell>
          <cell r="G417" t="str">
            <v>N33</v>
          </cell>
          <cell r="J417" t="str">
            <v>V39</v>
          </cell>
          <cell r="L417">
            <v>0</v>
          </cell>
          <cell r="M417">
            <v>-1</v>
          </cell>
          <cell r="N417">
            <v>0</v>
          </cell>
          <cell r="O417">
            <v>2004</v>
          </cell>
          <cell r="P417" t="str">
            <v>DEARBORN PLANT BUILD</v>
          </cell>
          <cell r="Q417" t="str">
            <v>P221/P397</v>
          </cell>
          <cell r="R417" t="str">
            <v>ALL</v>
          </cell>
          <cell r="S417" t="str">
            <v>Blower Motor noisy</v>
          </cell>
          <cell r="T417">
            <v>1</v>
          </cell>
          <cell r="AA417">
            <v>1</v>
          </cell>
        </row>
        <row r="418">
          <cell r="A418">
            <v>0</v>
          </cell>
          <cell r="B418" t="str">
            <v>ALL VRTS</v>
          </cell>
          <cell r="G418" t="str">
            <v>C05</v>
          </cell>
          <cell r="J418" t="str">
            <v>V79</v>
          </cell>
          <cell r="L418">
            <v>-1</v>
          </cell>
          <cell r="M418">
            <v>-1</v>
          </cell>
          <cell r="N418">
            <v>0</v>
          </cell>
          <cell r="O418">
            <v>2004</v>
          </cell>
          <cell r="P418" t="str">
            <v>DEARBORN PLANT BUILD</v>
          </cell>
          <cell r="Q418" t="str">
            <v>P221/P397</v>
          </cell>
          <cell r="R418" t="str">
            <v>ALL</v>
          </cell>
          <cell r="S418" t="str">
            <v>Blown Fuse</v>
          </cell>
          <cell r="T418">
            <v>1</v>
          </cell>
          <cell r="AA418">
            <v>1</v>
          </cell>
        </row>
        <row r="419">
          <cell r="A419">
            <v>0</v>
          </cell>
          <cell r="B419" t="str">
            <v>ALL VRTS</v>
          </cell>
          <cell r="C419" t="str">
            <v>C5 6540-2-G</v>
          </cell>
          <cell r="E419" t="str">
            <v>C5W28R</v>
          </cell>
          <cell r="G419" t="str">
            <v>B66</v>
          </cell>
          <cell r="J419" t="str">
            <v>V75</v>
          </cell>
          <cell r="L419">
            <v>0</v>
          </cell>
          <cell r="M419">
            <v>0</v>
          </cell>
          <cell r="N419">
            <v>-1</v>
          </cell>
          <cell r="O419">
            <v>2004</v>
          </cell>
          <cell r="P419" t="str">
            <v>DEARBORN PLANT BUILD</v>
          </cell>
          <cell r="Q419" t="str">
            <v>P221/P397</v>
          </cell>
          <cell r="R419" t="str">
            <v>ALL</v>
          </cell>
          <cell r="S419" t="str">
            <v>Bolt Installed</v>
          </cell>
          <cell r="T419">
            <v>1</v>
          </cell>
          <cell r="AA419">
            <v>1</v>
          </cell>
        </row>
        <row r="420">
          <cell r="A420">
            <v>0</v>
          </cell>
          <cell r="B420" t="str">
            <v>ALL VRTS</v>
          </cell>
          <cell r="C420" t="str">
            <v>5590</v>
          </cell>
          <cell r="E420" t="str">
            <v>T4W27L</v>
          </cell>
          <cell r="G420" t="str">
            <v>S27</v>
          </cell>
          <cell r="J420" t="str">
            <v>V05</v>
          </cell>
          <cell r="L420">
            <v>0</v>
          </cell>
          <cell r="M420">
            <v>0</v>
          </cell>
          <cell r="N420">
            <v>-1</v>
          </cell>
          <cell r="O420">
            <v>2004</v>
          </cell>
          <cell r="P420" t="str">
            <v>DEARBORN PLANT BUILD</v>
          </cell>
          <cell r="Q420" t="str">
            <v>P221/P397</v>
          </cell>
          <cell r="R420" t="str">
            <v>ALL</v>
          </cell>
          <cell r="S420" t="str">
            <v>BONUS STOCK UNDER AIR BAG</v>
          </cell>
          <cell r="T420">
            <v>1</v>
          </cell>
          <cell r="Y420">
            <v>1</v>
          </cell>
        </row>
        <row r="421">
          <cell r="A421">
            <v>0</v>
          </cell>
          <cell r="B421" t="str">
            <v>ALL VRTS</v>
          </cell>
          <cell r="G421" t="str">
            <v>N51</v>
          </cell>
          <cell r="J421" t="str">
            <v>V39</v>
          </cell>
          <cell r="L421">
            <v>0</v>
          </cell>
          <cell r="M421">
            <v>-1</v>
          </cell>
          <cell r="N421">
            <v>0</v>
          </cell>
          <cell r="O421">
            <v>2004</v>
          </cell>
          <cell r="P421" t="str">
            <v>DEARBORN PLANT BUILD</v>
          </cell>
          <cell r="Q421" t="str">
            <v>P221/P397</v>
          </cell>
          <cell r="R421" t="str">
            <v>ALL</v>
          </cell>
          <cell r="S421" t="str">
            <v>Brake Backing Plate Bent</v>
          </cell>
          <cell r="T421">
            <v>1</v>
          </cell>
          <cell r="AB421">
            <v>1</v>
          </cell>
        </row>
        <row r="422">
          <cell r="A422">
            <v>0</v>
          </cell>
          <cell r="B422" t="str">
            <v>ALL VRTS</v>
          </cell>
          <cell r="G422" t="str">
            <v>N51</v>
          </cell>
          <cell r="J422" t="str">
            <v>V39</v>
          </cell>
          <cell r="L422">
            <v>0</v>
          </cell>
          <cell r="M422">
            <v>0</v>
          </cell>
          <cell r="N422">
            <v>-1</v>
          </cell>
          <cell r="O422">
            <v>2004</v>
          </cell>
          <cell r="P422" t="str">
            <v>DEARBORN PLANT BUILD</v>
          </cell>
          <cell r="Q422" t="str">
            <v>P221/P397</v>
          </cell>
          <cell r="R422" t="str">
            <v>ALL</v>
          </cell>
          <cell r="S422" t="str">
            <v>Brake Cable rubbing brkt misaligned</v>
          </cell>
          <cell r="T422">
            <v>1</v>
          </cell>
          <cell r="AB422">
            <v>1</v>
          </cell>
        </row>
        <row r="423">
          <cell r="A423">
            <v>0</v>
          </cell>
          <cell r="B423" t="str">
            <v>ALL VRTS</v>
          </cell>
          <cell r="C423" t="str">
            <v>6450</v>
          </cell>
          <cell r="E423" t="str">
            <v>C2E45F</v>
          </cell>
          <cell r="G423" t="str">
            <v>H20</v>
          </cell>
          <cell r="J423" t="str">
            <v>V21</v>
          </cell>
          <cell r="L423">
            <v>0</v>
          </cell>
          <cell r="M423">
            <v>0</v>
          </cell>
          <cell r="N423">
            <v>-1</v>
          </cell>
          <cell r="O423">
            <v>2004</v>
          </cell>
          <cell r="P423" t="str">
            <v>DEARBORN PLANT BUILD</v>
          </cell>
          <cell r="Q423" t="str">
            <v>P221/P397</v>
          </cell>
          <cell r="R423" t="str">
            <v>ALL</v>
          </cell>
          <cell r="S423" t="str">
            <v>BRAKE SYSTEM HAS AIR - BLEED CALIPERS AND REFILLED SYSTEM</v>
          </cell>
          <cell r="T423">
            <v>1</v>
          </cell>
          <cell r="Y423">
            <v>1</v>
          </cell>
        </row>
        <row r="424">
          <cell r="A424">
            <v>0</v>
          </cell>
          <cell r="B424" t="str">
            <v>ALL VRTS</v>
          </cell>
          <cell r="G424" t="str">
            <v>N27</v>
          </cell>
          <cell r="J424" t="str">
            <v>V21</v>
          </cell>
          <cell r="L424">
            <v>-1</v>
          </cell>
          <cell r="M424">
            <v>-1</v>
          </cell>
          <cell r="N424">
            <v>0</v>
          </cell>
          <cell r="O424">
            <v>2004</v>
          </cell>
          <cell r="P424" t="str">
            <v>DEARBORN PLANT BUILD</v>
          </cell>
          <cell r="Q424" t="str">
            <v>P221/P397</v>
          </cell>
          <cell r="R424" t="str">
            <v>ALL</v>
          </cell>
          <cell r="S424" t="str">
            <v>BRAKES, EXCESSIVE DUST</v>
          </cell>
          <cell r="T424">
            <v>1</v>
          </cell>
          <cell r="AB424">
            <v>1</v>
          </cell>
        </row>
        <row r="425">
          <cell r="A425">
            <v>0</v>
          </cell>
          <cell r="B425" t="str">
            <v>ALL VRTS</v>
          </cell>
          <cell r="G425" t="str">
            <v>B63</v>
          </cell>
          <cell r="J425" t="str">
            <v>V75</v>
          </cell>
          <cell r="L425">
            <v>0</v>
          </cell>
          <cell r="M425">
            <v>0</v>
          </cell>
          <cell r="N425">
            <v>-1</v>
          </cell>
          <cell r="O425">
            <v>2004</v>
          </cell>
          <cell r="P425" t="str">
            <v>DEARBORN PLANT BUILD</v>
          </cell>
          <cell r="Q425" t="str">
            <v>P221/P397</v>
          </cell>
          <cell r="R425" t="str">
            <v>ALL</v>
          </cell>
          <cell r="S425" t="str">
            <v>BROKEN CLIP</v>
          </cell>
          <cell r="T425">
            <v>1</v>
          </cell>
          <cell r="Z425">
            <v>1</v>
          </cell>
        </row>
        <row r="426">
          <cell r="A426">
            <v>0</v>
          </cell>
          <cell r="B426" t="str">
            <v>ALL VRTS</v>
          </cell>
          <cell r="G426" t="str">
            <v>B66</v>
          </cell>
          <cell r="J426" t="str">
            <v>V75</v>
          </cell>
          <cell r="L426">
            <v>0</v>
          </cell>
          <cell r="M426">
            <v>-1</v>
          </cell>
          <cell r="N426">
            <v>0</v>
          </cell>
          <cell r="O426">
            <v>2004</v>
          </cell>
          <cell r="P426" t="str">
            <v>DEARBORN PLANT BUILD</v>
          </cell>
          <cell r="Q426" t="str">
            <v>P221/P397</v>
          </cell>
          <cell r="R426" t="str">
            <v>ALL</v>
          </cell>
          <cell r="S426" t="str">
            <v>BROKEN TABS</v>
          </cell>
          <cell r="T426">
            <v>1</v>
          </cell>
          <cell r="AA426">
            <v>1</v>
          </cell>
        </row>
        <row r="427">
          <cell r="A427">
            <v>0</v>
          </cell>
          <cell r="B427" t="str">
            <v>ALL VRTS</v>
          </cell>
          <cell r="G427" t="str">
            <v>A85</v>
          </cell>
          <cell r="J427" t="str">
            <v>V19</v>
          </cell>
          <cell r="L427">
            <v>0</v>
          </cell>
          <cell r="M427">
            <v>-1</v>
          </cell>
          <cell r="N427">
            <v>0</v>
          </cell>
          <cell r="O427">
            <v>2004</v>
          </cell>
          <cell r="P427" t="str">
            <v>DEARBORN PLANT BUILD</v>
          </cell>
          <cell r="Q427" t="str">
            <v>P221/P397</v>
          </cell>
          <cell r="R427" t="str">
            <v>ALL</v>
          </cell>
          <cell r="S427" t="str">
            <v>BSM Replaced</v>
          </cell>
          <cell r="T427">
            <v>1</v>
          </cell>
          <cell r="AB427">
            <v>1</v>
          </cell>
        </row>
        <row r="428">
          <cell r="A428">
            <v>0</v>
          </cell>
          <cell r="B428" t="str">
            <v>ALL VRTS</v>
          </cell>
          <cell r="G428" t="str">
            <v>L25</v>
          </cell>
          <cell r="J428" t="str">
            <v>V77</v>
          </cell>
          <cell r="L428">
            <v>0</v>
          </cell>
          <cell r="M428">
            <v>0</v>
          </cell>
          <cell r="N428">
            <v>-1</v>
          </cell>
          <cell r="O428">
            <v>2004</v>
          </cell>
          <cell r="P428" t="str">
            <v>DEARBORN PLANT BUILD</v>
          </cell>
          <cell r="Q428" t="str">
            <v>P221/P397</v>
          </cell>
          <cell r="R428" t="str">
            <v>ALL</v>
          </cell>
          <cell r="S428" t="str">
            <v>Bulb Loose, Reinstall Bulb</v>
          </cell>
          <cell r="T428">
            <v>1</v>
          </cell>
          <cell r="AB428">
            <v>1</v>
          </cell>
        </row>
        <row r="429">
          <cell r="A429">
            <v>0</v>
          </cell>
          <cell r="B429" t="str">
            <v>ALL VRTS</v>
          </cell>
          <cell r="C429" t="str">
            <v>5310</v>
          </cell>
          <cell r="E429" t="str">
            <v>TDW03L</v>
          </cell>
          <cell r="G429" t="str">
            <v>T90</v>
          </cell>
          <cell r="J429" t="str">
            <v>V74</v>
          </cell>
          <cell r="L429">
            <v>0</v>
          </cell>
          <cell r="M429">
            <v>0</v>
          </cell>
          <cell r="N429">
            <v>-1</v>
          </cell>
          <cell r="O429">
            <v>2004</v>
          </cell>
          <cell r="P429" t="str">
            <v>DEARBORN PLANT BUILD</v>
          </cell>
          <cell r="Q429" t="str">
            <v>P221/P397</v>
          </cell>
          <cell r="R429" t="str">
            <v>ALL</v>
          </cell>
          <cell r="S429" t="str">
            <v>BUMPER MISSING</v>
          </cell>
          <cell r="T429">
            <v>1</v>
          </cell>
          <cell r="Y429">
            <v>1</v>
          </cell>
        </row>
        <row r="430">
          <cell r="A430">
            <v>0</v>
          </cell>
          <cell r="B430" t="str">
            <v>ALL VRTS</v>
          </cell>
          <cell r="C430" t="str">
            <v>Chassis 2 6440-2-D</v>
          </cell>
          <cell r="E430" t="str">
            <v>C2W48-52B</v>
          </cell>
          <cell r="G430" t="str">
            <v>B07</v>
          </cell>
          <cell r="J430" t="str">
            <v>V75</v>
          </cell>
          <cell r="L430">
            <v>0</v>
          </cell>
          <cell r="M430">
            <v>0</v>
          </cell>
          <cell r="N430">
            <v>-1</v>
          </cell>
          <cell r="O430">
            <v>2004</v>
          </cell>
          <cell r="P430" t="str">
            <v>DEARBORN PLANT BUILD</v>
          </cell>
          <cell r="Q430" t="str">
            <v>P221/P397</v>
          </cell>
          <cell r="R430" t="str">
            <v>ALL</v>
          </cell>
          <cell r="S430" t="str">
            <v>Bumper replaced</v>
          </cell>
          <cell r="T430">
            <v>1</v>
          </cell>
          <cell r="AA430">
            <v>1</v>
          </cell>
        </row>
        <row r="431">
          <cell r="A431">
            <v>0</v>
          </cell>
          <cell r="B431" t="str">
            <v>ALL VRTS</v>
          </cell>
          <cell r="G431" t="str">
            <v>L26</v>
          </cell>
          <cell r="J431" t="str">
            <v>V77</v>
          </cell>
          <cell r="L431">
            <v>0</v>
          </cell>
          <cell r="M431">
            <v>-1</v>
          </cell>
          <cell r="N431">
            <v>0</v>
          </cell>
          <cell r="O431">
            <v>2004</v>
          </cell>
          <cell r="P431" t="str">
            <v>DEARBORN PLANT BUILD</v>
          </cell>
          <cell r="Q431" t="str">
            <v>P221/P397</v>
          </cell>
          <cell r="R431" t="str">
            <v>ALL</v>
          </cell>
          <cell r="S431" t="str">
            <v>C3137PIN#3 Terminal pushout</v>
          </cell>
          <cell r="T431">
            <v>1</v>
          </cell>
          <cell r="AA431">
            <v>1</v>
          </cell>
        </row>
        <row r="432">
          <cell r="A432">
            <v>0</v>
          </cell>
          <cell r="B432" t="str">
            <v>ALL VRTS</v>
          </cell>
          <cell r="G432" t="str">
            <v>E29</v>
          </cell>
          <cell r="J432" t="str">
            <v>V44</v>
          </cell>
          <cell r="L432">
            <v>-1</v>
          </cell>
          <cell r="M432">
            <v>-1</v>
          </cell>
          <cell r="N432">
            <v>0</v>
          </cell>
          <cell r="O432">
            <v>2004</v>
          </cell>
          <cell r="P432" t="str">
            <v>DEARBORN PLANT BUILD</v>
          </cell>
          <cell r="Q432" t="str">
            <v>P221/P397</v>
          </cell>
          <cell r="R432" t="str">
            <v>ALL</v>
          </cell>
          <cell r="S432" t="str">
            <v>C433 Loose</v>
          </cell>
          <cell r="T432">
            <v>1</v>
          </cell>
          <cell r="Z432">
            <v>1</v>
          </cell>
        </row>
        <row r="433">
          <cell r="A433">
            <v>0</v>
          </cell>
          <cell r="B433" t="str">
            <v>ALL VRTS</v>
          </cell>
          <cell r="G433" t="str">
            <v>E29</v>
          </cell>
          <cell r="J433" t="str">
            <v>V44</v>
          </cell>
          <cell r="L433">
            <v>-1</v>
          </cell>
          <cell r="M433">
            <v>-1</v>
          </cell>
          <cell r="N433">
            <v>0</v>
          </cell>
          <cell r="O433">
            <v>2004</v>
          </cell>
          <cell r="P433" t="str">
            <v>DEARBORN PLANT BUILD</v>
          </cell>
          <cell r="Q433" t="str">
            <v>P221/P397</v>
          </cell>
          <cell r="R433" t="str">
            <v>ALL</v>
          </cell>
          <cell r="S433" t="str">
            <v>C435 Not connected</v>
          </cell>
          <cell r="T433">
            <v>1</v>
          </cell>
          <cell r="AA433">
            <v>1</v>
          </cell>
        </row>
        <row r="434">
          <cell r="A434">
            <v>0</v>
          </cell>
          <cell r="B434" t="str">
            <v>ALL VRTS</v>
          </cell>
          <cell r="G434" t="str">
            <v>A85</v>
          </cell>
          <cell r="J434" t="str">
            <v>V17</v>
          </cell>
          <cell r="L434">
            <v>0</v>
          </cell>
          <cell r="M434">
            <v>0</v>
          </cell>
          <cell r="N434">
            <v>-1</v>
          </cell>
          <cell r="O434">
            <v>2004</v>
          </cell>
          <cell r="P434" t="str">
            <v>DEARBORN PLANT BUILD</v>
          </cell>
          <cell r="Q434" t="str">
            <v>P221/P397</v>
          </cell>
          <cell r="R434" t="str">
            <v>ALL</v>
          </cell>
          <cell r="S434" t="str">
            <v>C543 Bent, Repair C238</v>
          </cell>
          <cell r="T434">
            <v>1</v>
          </cell>
          <cell r="AB434">
            <v>1</v>
          </cell>
        </row>
        <row r="435">
          <cell r="A435">
            <v>0</v>
          </cell>
          <cell r="B435" t="str">
            <v>ALL VRTS</v>
          </cell>
          <cell r="G435" t="str">
            <v>N51</v>
          </cell>
          <cell r="J435" t="str">
            <v>V39</v>
          </cell>
          <cell r="L435">
            <v>0</v>
          </cell>
          <cell r="M435">
            <v>0</v>
          </cell>
          <cell r="N435">
            <v>-1</v>
          </cell>
          <cell r="O435">
            <v>2004</v>
          </cell>
          <cell r="P435" t="str">
            <v>DEARBORN PLANT BUILD</v>
          </cell>
          <cell r="Q435" t="str">
            <v>P221/P397</v>
          </cell>
          <cell r="R435" t="str">
            <v>ALL</v>
          </cell>
          <cell r="S435" t="str">
            <v>Cab mounting bolts lse</v>
          </cell>
          <cell r="T435">
            <v>1</v>
          </cell>
          <cell r="AA435">
            <v>1</v>
          </cell>
        </row>
        <row r="436">
          <cell r="A436">
            <v>0</v>
          </cell>
          <cell r="B436" t="str">
            <v>ALL VRTS</v>
          </cell>
          <cell r="G436" t="str">
            <v>B53</v>
          </cell>
          <cell r="J436" t="str">
            <v>V71</v>
          </cell>
          <cell r="L436">
            <v>0</v>
          </cell>
          <cell r="M436">
            <v>-1</v>
          </cell>
          <cell r="N436">
            <v>0</v>
          </cell>
          <cell r="O436">
            <v>2004</v>
          </cell>
          <cell r="P436" t="str">
            <v>DEARBORN PLANT BUILD</v>
          </cell>
          <cell r="Q436" t="str">
            <v>P221/P397</v>
          </cell>
          <cell r="R436" t="str">
            <v>ALL</v>
          </cell>
          <cell r="S436" t="str">
            <v>CABLE LOOSE</v>
          </cell>
          <cell r="T436">
            <v>1</v>
          </cell>
          <cell r="AB436">
            <v>1</v>
          </cell>
        </row>
        <row r="437">
          <cell r="A437">
            <v>0</v>
          </cell>
          <cell r="B437" t="str">
            <v>ALL VRTS</v>
          </cell>
          <cell r="G437" t="str">
            <v>N17</v>
          </cell>
          <cell r="J437" t="str">
            <v>V21</v>
          </cell>
          <cell r="L437">
            <v>0</v>
          </cell>
          <cell r="M437">
            <v>-1</v>
          </cell>
          <cell r="N437">
            <v>0</v>
          </cell>
          <cell r="O437">
            <v>2004</v>
          </cell>
          <cell r="P437" t="str">
            <v>DEARBORN PLANT BUILD</v>
          </cell>
          <cell r="Q437" t="str">
            <v>P221/P397</v>
          </cell>
          <cell r="R437" t="str">
            <v>ALL</v>
          </cell>
          <cell r="S437" t="str">
            <v>CALIPER BOLT LOOSE - TIGHTENED</v>
          </cell>
          <cell r="T437">
            <v>1</v>
          </cell>
          <cell r="Z437">
            <v>1</v>
          </cell>
        </row>
        <row r="438">
          <cell r="A438">
            <v>0</v>
          </cell>
          <cell r="B438" t="str">
            <v>ALL VRTS</v>
          </cell>
          <cell r="G438" t="str">
            <v>H19</v>
          </cell>
          <cell r="J438" t="str">
            <v>V21</v>
          </cell>
          <cell r="L438">
            <v>0</v>
          </cell>
          <cell r="M438">
            <v>-1</v>
          </cell>
          <cell r="N438">
            <v>0</v>
          </cell>
          <cell r="O438">
            <v>2004</v>
          </cell>
          <cell r="P438" t="str">
            <v>DEARBORN PLANT BUILD</v>
          </cell>
          <cell r="Q438" t="str">
            <v>P221/P397</v>
          </cell>
          <cell r="R438" t="str">
            <v>ALL</v>
          </cell>
          <cell r="S438" t="str">
            <v>CALIPER-REPLACED</v>
          </cell>
          <cell r="T438">
            <v>1</v>
          </cell>
          <cell r="AA438">
            <v>1</v>
          </cell>
        </row>
        <row r="439">
          <cell r="A439">
            <v>0</v>
          </cell>
          <cell r="B439" t="str">
            <v>ALL VRTS</v>
          </cell>
          <cell r="G439" t="str">
            <v>L65</v>
          </cell>
          <cell r="J439" t="str">
            <v>V44</v>
          </cell>
          <cell r="L439">
            <v>0</v>
          </cell>
          <cell r="M439">
            <v>-1</v>
          </cell>
          <cell r="N439">
            <v>0</v>
          </cell>
          <cell r="O439">
            <v>2004</v>
          </cell>
          <cell r="P439" t="str">
            <v>DEARBORN PLANT BUILD</v>
          </cell>
          <cell r="Q439" t="str">
            <v>P221/P397</v>
          </cell>
          <cell r="R439" t="str">
            <v>ALL</v>
          </cell>
          <cell r="S439" t="str">
            <v>Cam Sensor Seal</v>
          </cell>
          <cell r="T439">
            <v>1</v>
          </cell>
          <cell r="AA439">
            <v>1</v>
          </cell>
        </row>
        <row r="440">
          <cell r="A440">
            <v>0</v>
          </cell>
          <cell r="B440" t="str">
            <v>ALL VRTS</v>
          </cell>
          <cell r="G440" t="str">
            <v>E29</v>
          </cell>
          <cell r="J440" t="str">
            <v>V44</v>
          </cell>
          <cell r="L440">
            <v>0</v>
          </cell>
          <cell r="M440">
            <v>-1</v>
          </cell>
          <cell r="N440">
            <v>0</v>
          </cell>
          <cell r="O440">
            <v>2004</v>
          </cell>
          <cell r="P440" t="str">
            <v>DEARBORN PLANT BUILD</v>
          </cell>
          <cell r="Q440" t="str">
            <v>P221/P397</v>
          </cell>
          <cell r="R440" t="str">
            <v>ALL</v>
          </cell>
          <cell r="S440" t="str">
            <v>Cam Sensor/Loose Connection</v>
          </cell>
          <cell r="T440">
            <v>1</v>
          </cell>
          <cell r="AA440">
            <v>1</v>
          </cell>
        </row>
        <row r="441">
          <cell r="A441">
            <v>0</v>
          </cell>
          <cell r="B441" t="str">
            <v>ALL VRTS</v>
          </cell>
          <cell r="G441" t="str">
            <v>N27</v>
          </cell>
          <cell r="J441" t="str">
            <v>V89</v>
          </cell>
          <cell r="L441">
            <v>-1</v>
          </cell>
          <cell r="M441">
            <v>-1</v>
          </cell>
          <cell r="N441">
            <v>0</v>
          </cell>
          <cell r="O441">
            <v>2004</v>
          </cell>
          <cell r="P441" t="str">
            <v>DEARBORN PLANT BUILD</v>
          </cell>
          <cell r="Q441" t="str">
            <v>P221/P397</v>
          </cell>
          <cell r="R441" t="str">
            <v>ALL</v>
          </cell>
          <cell r="S441" t="str">
            <v>CAMBER ADJUSTMENT KIT-INSTALLED</v>
          </cell>
          <cell r="T441">
            <v>1</v>
          </cell>
          <cell r="AA441">
            <v>1</v>
          </cell>
        </row>
        <row r="442">
          <cell r="A442">
            <v>0</v>
          </cell>
          <cell r="B442" t="str">
            <v>ALL VRTS</v>
          </cell>
          <cell r="C442" t="str">
            <v>6440</v>
          </cell>
          <cell r="E442" t="str">
            <v>C2W36B</v>
          </cell>
          <cell r="G442" t="str">
            <v>L69</v>
          </cell>
          <cell r="J442" t="str">
            <v>V44</v>
          </cell>
          <cell r="L442">
            <v>0</v>
          </cell>
          <cell r="M442">
            <v>0</v>
          </cell>
          <cell r="N442">
            <v>-1</v>
          </cell>
          <cell r="O442">
            <v>2004</v>
          </cell>
          <cell r="P442" t="str">
            <v>DEARBORN PLANT BUILD</v>
          </cell>
          <cell r="Q442" t="str">
            <v>P221/P397</v>
          </cell>
          <cell r="R442" t="str">
            <v>ALL</v>
          </cell>
          <cell r="S442" t="str">
            <v>Carbon Cannister disconnected</v>
          </cell>
          <cell r="T442">
            <v>1</v>
          </cell>
          <cell r="X442">
            <v>1</v>
          </cell>
        </row>
        <row r="443">
          <cell r="A443">
            <v>0</v>
          </cell>
          <cell r="B443" t="str">
            <v>ALL VRTS</v>
          </cell>
          <cell r="G443" t="str">
            <v>N50</v>
          </cell>
          <cell r="J443" t="str">
            <v>V39</v>
          </cell>
          <cell r="L443">
            <v>0</v>
          </cell>
          <cell r="M443">
            <v>-1</v>
          </cell>
          <cell r="N443">
            <v>0</v>
          </cell>
          <cell r="O443">
            <v>2004</v>
          </cell>
          <cell r="P443" t="str">
            <v>DEARBORN PLANT BUILD</v>
          </cell>
          <cell r="Q443" t="str">
            <v>P221/P397</v>
          </cell>
          <cell r="R443" t="str">
            <v>ALL</v>
          </cell>
          <cell r="S443" t="str">
            <v>Cat Converter replaced, rattle internal</v>
          </cell>
          <cell r="T443">
            <v>1</v>
          </cell>
          <cell r="W443">
            <v>1</v>
          </cell>
        </row>
        <row r="444">
          <cell r="A444">
            <v>0</v>
          </cell>
          <cell r="B444" t="str">
            <v>ALL VRTS</v>
          </cell>
          <cell r="G444" t="str">
            <v>N59</v>
          </cell>
          <cell r="J444" t="str">
            <v>V39</v>
          </cell>
          <cell r="L444">
            <v>-1</v>
          </cell>
          <cell r="M444">
            <v>0</v>
          </cell>
          <cell r="N444">
            <v>0</v>
          </cell>
          <cell r="O444">
            <v>2004</v>
          </cell>
          <cell r="P444" t="str">
            <v>DEARBORN PLANT BUILD</v>
          </cell>
          <cell r="Q444" t="str">
            <v>P221/P397</v>
          </cell>
          <cell r="R444" t="str">
            <v>ALL</v>
          </cell>
          <cell r="S444" t="str">
            <v>Center Console Floor panel Squeak/Rattle</v>
          </cell>
          <cell r="T444">
            <v>1</v>
          </cell>
          <cell r="AA444">
            <v>1</v>
          </cell>
        </row>
        <row r="445">
          <cell r="A445">
            <v>0</v>
          </cell>
          <cell r="B445" t="str">
            <v>ALL VRTS</v>
          </cell>
          <cell r="G445" t="str">
            <v>N33</v>
          </cell>
          <cell r="J445" t="str">
            <v>V39</v>
          </cell>
          <cell r="L445">
            <v>0</v>
          </cell>
          <cell r="M445">
            <v>-1</v>
          </cell>
          <cell r="N445">
            <v>0</v>
          </cell>
          <cell r="O445">
            <v>2004</v>
          </cell>
          <cell r="P445" t="str">
            <v>DEARBORN PLANT BUILD</v>
          </cell>
          <cell r="Q445" t="str">
            <v>P221/P397</v>
          </cell>
          <cell r="R445" t="str">
            <v>ALL</v>
          </cell>
          <cell r="S445" t="str">
            <v>Center Dash Panel Rattle to IP</v>
          </cell>
          <cell r="T445">
            <v>1</v>
          </cell>
          <cell r="AA445">
            <v>1</v>
          </cell>
        </row>
        <row r="446">
          <cell r="A446">
            <v>0</v>
          </cell>
          <cell r="B446" t="str">
            <v>ALL VRTS</v>
          </cell>
          <cell r="G446" t="str">
            <v>L26</v>
          </cell>
          <cell r="J446" t="str">
            <v>V77</v>
          </cell>
          <cell r="L446">
            <v>0</v>
          </cell>
          <cell r="M446">
            <v>0</v>
          </cell>
          <cell r="N446">
            <v>-1</v>
          </cell>
          <cell r="O446">
            <v>2004</v>
          </cell>
          <cell r="P446" t="str">
            <v>DEARBORN PLANT BUILD</v>
          </cell>
          <cell r="Q446" t="str">
            <v>P221/P397</v>
          </cell>
          <cell r="R446" t="str">
            <v>ALL</v>
          </cell>
          <cell r="S446" t="str">
            <v>Central Junction fuse 242 replaced.</v>
          </cell>
          <cell r="T446">
            <v>1</v>
          </cell>
          <cell r="U446">
            <v>1</v>
          </cell>
        </row>
        <row r="447">
          <cell r="A447">
            <v>0</v>
          </cell>
          <cell r="B447" t="str">
            <v>ALL VRTS</v>
          </cell>
          <cell r="G447" t="str">
            <v>C25</v>
          </cell>
          <cell r="J447" t="str">
            <v>V19</v>
          </cell>
          <cell r="L447">
            <v>0</v>
          </cell>
          <cell r="M447">
            <v>0</v>
          </cell>
          <cell r="N447">
            <v>-1</v>
          </cell>
          <cell r="O447">
            <v>2004</v>
          </cell>
          <cell r="P447" t="str">
            <v>DEARBORN PLANT BUILD</v>
          </cell>
          <cell r="Q447" t="str">
            <v>P221/P397</v>
          </cell>
          <cell r="R447" t="str">
            <v>ALL</v>
          </cell>
          <cell r="S447" t="str">
            <v>Charged.</v>
          </cell>
          <cell r="T447">
            <v>1</v>
          </cell>
          <cell r="Y447">
            <v>1</v>
          </cell>
        </row>
        <row r="448">
          <cell r="A448">
            <v>0</v>
          </cell>
          <cell r="B448" t="str">
            <v>ALL VRTS</v>
          </cell>
          <cell r="G448" t="str">
            <v>A85</v>
          </cell>
          <cell r="J448" t="str">
            <v>V17</v>
          </cell>
          <cell r="L448">
            <v>0</v>
          </cell>
          <cell r="M448">
            <v>0</v>
          </cell>
          <cell r="N448">
            <v>-1</v>
          </cell>
          <cell r="O448">
            <v>2004</v>
          </cell>
          <cell r="P448" t="str">
            <v>DEARBORN PLANT BUILD</v>
          </cell>
          <cell r="Q448" t="str">
            <v>P221/P397</v>
          </cell>
          <cell r="R448" t="str">
            <v>ALL</v>
          </cell>
          <cell r="S448" t="str">
            <v>Circuit 151 LB Bk not making contact</v>
          </cell>
          <cell r="T448">
            <v>1</v>
          </cell>
          <cell r="Y448">
            <v>1</v>
          </cell>
        </row>
        <row r="449">
          <cell r="A449">
            <v>0</v>
          </cell>
          <cell r="B449" t="str">
            <v>ALL VRTS</v>
          </cell>
          <cell r="G449" t="str">
            <v>G32</v>
          </cell>
          <cell r="J449" t="str">
            <v>V83</v>
          </cell>
          <cell r="L449">
            <v>0</v>
          </cell>
          <cell r="M449">
            <v>-1</v>
          </cell>
          <cell r="N449">
            <v>0</v>
          </cell>
          <cell r="O449">
            <v>2004</v>
          </cell>
          <cell r="P449" t="str">
            <v>DEARBORN PLANT BUILD</v>
          </cell>
          <cell r="Q449" t="str">
            <v>P221/P397</v>
          </cell>
          <cell r="R449" t="str">
            <v>ALL</v>
          </cell>
          <cell r="S449" t="str">
            <v>CIRCUIT 29 PIN PUSHED OUT CONNECTOR C3137.  PIN 8 YE WH</v>
          </cell>
          <cell r="T449">
            <v>1</v>
          </cell>
          <cell r="AA449">
            <v>1</v>
          </cell>
        </row>
        <row r="450">
          <cell r="A450">
            <v>0</v>
          </cell>
          <cell r="B450" t="str">
            <v>ALL VRTS</v>
          </cell>
          <cell r="G450" t="str">
            <v>L30</v>
          </cell>
          <cell r="J450" t="str">
            <v>V77</v>
          </cell>
          <cell r="L450">
            <v>0</v>
          </cell>
          <cell r="M450">
            <v>0</v>
          </cell>
          <cell r="N450">
            <v>-1</v>
          </cell>
          <cell r="O450">
            <v>2004</v>
          </cell>
          <cell r="P450" t="str">
            <v>DEARBORN PLANT BUILD</v>
          </cell>
          <cell r="Q450" t="str">
            <v>P221/P397</v>
          </cell>
          <cell r="R450" t="str">
            <v>ALL</v>
          </cell>
          <cell r="S450" t="str">
            <v>Circuit C385 open repaired</v>
          </cell>
          <cell r="T450">
            <v>1</v>
          </cell>
          <cell r="AA450">
            <v>1</v>
          </cell>
        </row>
        <row r="451">
          <cell r="A451">
            <v>0</v>
          </cell>
          <cell r="B451" t="str">
            <v>ALL VRTS</v>
          </cell>
          <cell r="G451" t="str">
            <v>L26</v>
          </cell>
          <cell r="J451" t="str">
            <v>V77</v>
          </cell>
          <cell r="L451">
            <v>0</v>
          </cell>
          <cell r="M451">
            <v>0</v>
          </cell>
          <cell r="N451">
            <v>-1</v>
          </cell>
          <cell r="O451">
            <v>2004</v>
          </cell>
          <cell r="P451" t="str">
            <v>DEARBORN PLANT BUILD</v>
          </cell>
          <cell r="Q451" t="str">
            <v>P221/P397</v>
          </cell>
          <cell r="R451" t="str">
            <v>ALL</v>
          </cell>
          <cell r="S451" t="str">
            <v>Circuit C411 open repaired.</v>
          </cell>
          <cell r="T451">
            <v>1</v>
          </cell>
          <cell r="X451">
            <v>1</v>
          </cell>
        </row>
        <row r="452">
          <cell r="A452">
            <v>0</v>
          </cell>
          <cell r="B452" t="str">
            <v>ALL VRTS</v>
          </cell>
          <cell r="G452" t="str">
            <v>E29</v>
          </cell>
          <cell r="J452" t="str">
            <v>V44</v>
          </cell>
          <cell r="L452">
            <v>-1</v>
          </cell>
          <cell r="M452">
            <v>-1</v>
          </cell>
          <cell r="N452">
            <v>0</v>
          </cell>
          <cell r="O452">
            <v>2004</v>
          </cell>
          <cell r="P452" t="str">
            <v>DEARBORN PLANT BUILD</v>
          </cell>
          <cell r="Q452" t="str">
            <v>P221/P397</v>
          </cell>
          <cell r="R452" t="str">
            <v>ALL</v>
          </cell>
          <cell r="S452" t="str">
            <v>CKT 1273 Open in sensor pigtail</v>
          </cell>
          <cell r="T452">
            <v>1</v>
          </cell>
          <cell r="V452">
            <v>1</v>
          </cell>
        </row>
        <row r="453">
          <cell r="A453">
            <v>0</v>
          </cell>
          <cell r="B453" t="str">
            <v>ALL VRTS</v>
          </cell>
          <cell r="C453" t="str">
            <v>Trim 4 5590-2-G</v>
          </cell>
          <cell r="E453" t="str">
            <v>T4W14 L</v>
          </cell>
          <cell r="G453" t="str">
            <v>B63</v>
          </cell>
          <cell r="J453" t="str">
            <v>V75</v>
          </cell>
          <cell r="L453">
            <v>0</v>
          </cell>
          <cell r="M453">
            <v>0</v>
          </cell>
          <cell r="N453">
            <v>-1</v>
          </cell>
          <cell r="O453">
            <v>2004</v>
          </cell>
          <cell r="P453" t="str">
            <v>DEARBORN PLANT BUILD</v>
          </cell>
          <cell r="Q453" t="str">
            <v>P221/P397</v>
          </cell>
          <cell r="R453" t="str">
            <v>ALL</v>
          </cell>
          <cell r="S453" t="str">
            <v>CLIP LOOSE</v>
          </cell>
          <cell r="T453">
            <v>1</v>
          </cell>
          <cell r="AB453">
            <v>1</v>
          </cell>
        </row>
        <row r="454">
          <cell r="A454">
            <v>0</v>
          </cell>
          <cell r="B454" t="str">
            <v>ALL VRTS</v>
          </cell>
          <cell r="C454" t="str">
            <v>5510</v>
          </cell>
          <cell r="E454" t="str">
            <v>T2E34R</v>
          </cell>
          <cell r="G454" t="str">
            <v>T51</v>
          </cell>
          <cell r="J454" t="str">
            <v>V74</v>
          </cell>
          <cell r="L454">
            <v>0</v>
          </cell>
          <cell r="M454">
            <v>0</v>
          </cell>
          <cell r="N454">
            <v>-1</v>
          </cell>
          <cell r="O454">
            <v>2004</v>
          </cell>
          <cell r="P454" t="str">
            <v>DEARBORN PLANT BUILD</v>
          </cell>
          <cell r="Q454" t="str">
            <v>P221/P397</v>
          </cell>
          <cell r="R454" t="str">
            <v>ALL</v>
          </cell>
          <cell r="S454" t="str">
            <v>CLIP MISSING</v>
          </cell>
          <cell r="T454">
            <v>1</v>
          </cell>
          <cell r="AA454">
            <v>1</v>
          </cell>
        </row>
        <row r="455">
          <cell r="A455">
            <v>0</v>
          </cell>
          <cell r="B455" t="str">
            <v>ALL VRTS</v>
          </cell>
          <cell r="C455" t="str">
            <v>6500</v>
          </cell>
          <cell r="E455" t="str">
            <v>C4E21L</v>
          </cell>
          <cell r="G455" t="str">
            <v>T55</v>
          </cell>
          <cell r="J455" t="str">
            <v>V74</v>
          </cell>
          <cell r="L455">
            <v>0</v>
          </cell>
          <cell r="M455">
            <v>0</v>
          </cell>
          <cell r="N455">
            <v>-1</v>
          </cell>
          <cell r="O455">
            <v>2004</v>
          </cell>
          <cell r="P455" t="str">
            <v>DEARBORN PLANT BUILD</v>
          </cell>
          <cell r="Q455" t="str">
            <v>P221/P397</v>
          </cell>
          <cell r="R455" t="str">
            <v>ALL</v>
          </cell>
          <cell r="S455" t="str">
            <v>CLIP,MISSING</v>
          </cell>
          <cell r="T455">
            <v>1</v>
          </cell>
          <cell r="Z455">
            <v>1</v>
          </cell>
        </row>
        <row r="456">
          <cell r="A456">
            <v>0</v>
          </cell>
          <cell r="B456" t="str">
            <v>ALL VRTS</v>
          </cell>
          <cell r="G456" t="str">
            <v>N57</v>
          </cell>
          <cell r="J456" t="str">
            <v>V39</v>
          </cell>
          <cell r="L456">
            <v>0</v>
          </cell>
          <cell r="M456">
            <v>0</v>
          </cell>
          <cell r="N456">
            <v>-1</v>
          </cell>
          <cell r="O456">
            <v>2004</v>
          </cell>
          <cell r="P456" t="str">
            <v>DEARBORN PLANT BUILD</v>
          </cell>
          <cell r="Q456" t="str">
            <v>P221/P397</v>
          </cell>
          <cell r="R456" t="str">
            <v>ALL</v>
          </cell>
          <cell r="S456" t="str">
            <v>Clockspring Rattle</v>
          </cell>
          <cell r="T456">
            <v>1</v>
          </cell>
          <cell r="Z456">
            <v>1</v>
          </cell>
        </row>
        <row r="457">
          <cell r="A457">
            <v>0</v>
          </cell>
          <cell r="B457" t="str">
            <v>ALL VRTS</v>
          </cell>
          <cell r="G457" t="str">
            <v>G32</v>
          </cell>
          <cell r="J457" t="str">
            <v>V83</v>
          </cell>
          <cell r="L457">
            <v>0</v>
          </cell>
          <cell r="M457">
            <v>0</v>
          </cell>
          <cell r="N457">
            <v>-1</v>
          </cell>
          <cell r="O457">
            <v>2004</v>
          </cell>
          <cell r="P457" t="str">
            <v>DEARBORN PLANT BUILD</v>
          </cell>
          <cell r="Q457" t="str">
            <v>P221/P397</v>
          </cell>
          <cell r="R457" t="str">
            <v>ALL</v>
          </cell>
          <cell r="S457" t="str">
            <v>Code cleared</v>
          </cell>
          <cell r="T457">
            <v>1</v>
          </cell>
          <cell r="AA457">
            <v>1</v>
          </cell>
        </row>
        <row r="458">
          <cell r="A458">
            <v>0</v>
          </cell>
          <cell r="B458" t="str">
            <v>ALL VRTS</v>
          </cell>
          <cell r="C458" t="str">
            <v>5390</v>
          </cell>
          <cell r="E458" t="str">
            <v>TBE10-B</v>
          </cell>
          <cell r="G458" t="str">
            <v>L15</v>
          </cell>
          <cell r="J458" t="str">
            <v>V07</v>
          </cell>
          <cell r="L458">
            <v>0</v>
          </cell>
          <cell r="M458">
            <v>0</v>
          </cell>
          <cell r="N458">
            <v>-1</v>
          </cell>
          <cell r="O458">
            <v>2004</v>
          </cell>
          <cell r="P458" t="str">
            <v>DEARBORN PLANT BUILD</v>
          </cell>
          <cell r="Q458" t="str">
            <v>P221/P397</v>
          </cell>
          <cell r="R458" t="str">
            <v>ALL</v>
          </cell>
          <cell r="S458" t="str">
            <v>CONNECT LATCH ROD CLIPS</v>
          </cell>
          <cell r="T458">
            <v>1</v>
          </cell>
          <cell r="AA458">
            <v>1</v>
          </cell>
        </row>
        <row r="459">
          <cell r="A459">
            <v>0</v>
          </cell>
          <cell r="B459" t="str">
            <v>ALL VRTS</v>
          </cell>
          <cell r="G459" t="str">
            <v>G29</v>
          </cell>
          <cell r="J459" t="str">
            <v>V83</v>
          </cell>
          <cell r="L459">
            <v>0</v>
          </cell>
          <cell r="M459">
            <v>0</v>
          </cell>
          <cell r="N459">
            <v>-1</v>
          </cell>
          <cell r="O459">
            <v>2004</v>
          </cell>
          <cell r="P459" t="str">
            <v>DEARBORN PLANT BUILD</v>
          </cell>
          <cell r="Q459" t="str">
            <v>P221/P397</v>
          </cell>
          <cell r="R459" t="str">
            <v>ALL</v>
          </cell>
          <cell r="S459" t="str">
            <v>Connector #15525 to circuit C1107 not secured.</v>
          </cell>
          <cell r="T459">
            <v>1</v>
          </cell>
          <cell r="Y459">
            <v>1</v>
          </cell>
        </row>
        <row r="460">
          <cell r="A460">
            <v>0</v>
          </cell>
          <cell r="B460" t="str">
            <v>ALL VRTS</v>
          </cell>
          <cell r="G460" t="str">
            <v>L25</v>
          </cell>
          <cell r="J460" t="str">
            <v>V77</v>
          </cell>
          <cell r="L460">
            <v>0</v>
          </cell>
          <cell r="M460">
            <v>0</v>
          </cell>
          <cell r="N460">
            <v>-1</v>
          </cell>
          <cell r="O460">
            <v>2004</v>
          </cell>
          <cell r="P460" t="str">
            <v>DEARBORN PLANT BUILD</v>
          </cell>
          <cell r="Q460" t="str">
            <v>P221/P397</v>
          </cell>
          <cell r="R460" t="str">
            <v>ALL</v>
          </cell>
          <cell r="S460" t="str">
            <v>Connector #2015 not connected</v>
          </cell>
          <cell r="T460">
            <v>1</v>
          </cell>
          <cell r="AA460">
            <v>1</v>
          </cell>
        </row>
        <row r="461">
          <cell r="A461">
            <v>0</v>
          </cell>
          <cell r="B461" t="str">
            <v>ALL VRTS</v>
          </cell>
          <cell r="G461" t="str">
            <v>L25</v>
          </cell>
          <cell r="J461" t="str">
            <v>V77</v>
          </cell>
          <cell r="L461">
            <v>0</v>
          </cell>
          <cell r="M461">
            <v>0</v>
          </cell>
          <cell r="N461">
            <v>-1</v>
          </cell>
          <cell r="O461">
            <v>2004</v>
          </cell>
          <cell r="P461" t="str">
            <v>DEARBORN PLANT BUILD</v>
          </cell>
          <cell r="Q461" t="str">
            <v>P221/P397</v>
          </cell>
          <cell r="R461" t="str">
            <v>ALL</v>
          </cell>
          <cell r="S461" t="str">
            <v>Connector #270 Pin Lock Broken.</v>
          </cell>
          <cell r="T461">
            <v>1</v>
          </cell>
          <cell r="X461">
            <v>1</v>
          </cell>
        </row>
        <row r="462">
          <cell r="A462">
            <v>0</v>
          </cell>
          <cell r="B462" t="str">
            <v>ALL VRTS</v>
          </cell>
          <cell r="G462" t="str">
            <v>A85</v>
          </cell>
          <cell r="J462" t="str">
            <v>V17</v>
          </cell>
          <cell r="L462">
            <v>0</v>
          </cell>
          <cell r="M462">
            <v>0</v>
          </cell>
          <cell r="N462">
            <v>-1</v>
          </cell>
          <cell r="O462">
            <v>2004</v>
          </cell>
          <cell r="P462" t="str">
            <v>DEARBORN PLANT BUILD</v>
          </cell>
          <cell r="Q462" t="str">
            <v>P221/P397</v>
          </cell>
          <cell r="R462" t="str">
            <v>ALL</v>
          </cell>
          <cell r="S462" t="str">
            <v>Connector c 2095-reinstalled</v>
          </cell>
          <cell r="T462">
            <v>1</v>
          </cell>
          <cell r="W462">
            <v>1</v>
          </cell>
        </row>
        <row r="463">
          <cell r="A463">
            <v>0</v>
          </cell>
          <cell r="B463" t="str">
            <v>ALL VRTS</v>
          </cell>
          <cell r="G463" t="str">
            <v>C27</v>
          </cell>
          <cell r="J463" t="str">
            <v>V19</v>
          </cell>
          <cell r="L463">
            <v>0</v>
          </cell>
          <cell r="M463">
            <v>0</v>
          </cell>
          <cell r="N463">
            <v>-1</v>
          </cell>
          <cell r="O463">
            <v>2004</v>
          </cell>
          <cell r="P463" t="str">
            <v>DEARBORN PLANT BUILD</v>
          </cell>
          <cell r="Q463" t="str">
            <v>P221/P397</v>
          </cell>
          <cell r="R463" t="str">
            <v>ALL</v>
          </cell>
          <cell r="S463" t="str">
            <v>Connector C168 not seated</v>
          </cell>
          <cell r="T463">
            <v>1</v>
          </cell>
          <cell r="AB463">
            <v>1</v>
          </cell>
        </row>
        <row r="464">
          <cell r="A464">
            <v>0</v>
          </cell>
          <cell r="B464" t="str">
            <v>ALL VRTS</v>
          </cell>
          <cell r="G464" t="str">
            <v>A85</v>
          </cell>
          <cell r="J464" t="str">
            <v>V17</v>
          </cell>
          <cell r="L464">
            <v>0</v>
          </cell>
          <cell r="M464">
            <v>0</v>
          </cell>
          <cell r="N464">
            <v>-1</v>
          </cell>
          <cell r="O464">
            <v>2004</v>
          </cell>
          <cell r="P464" t="str">
            <v>DEARBORN PLANT BUILD</v>
          </cell>
          <cell r="Q464" t="str">
            <v>P221/P397</v>
          </cell>
          <cell r="R464" t="str">
            <v>ALL</v>
          </cell>
          <cell r="S464" t="str">
            <v>Connector C2135 Shorted wires.</v>
          </cell>
          <cell r="T464">
            <v>1</v>
          </cell>
          <cell r="Z464">
            <v>1</v>
          </cell>
        </row>
        <row r="465">
          <cell r="A465">
            <v>0</v>
          </cell>
          <cell r="B465" t="str">
            <v>ALL VRTS</v>
          </cell>
          <cell r="G465" t="str">
            <v>B95</v>
          </cell>
          <cell r="J465" t="str">
            <v>V71</v>
          </cell>
          <cell r="L465">
            <v>0</v>
          </cell>
          <cell r="M465">
            <v>-1</v>
          </cell>
          <cell r="N465">
            <v>0</v>
          </cell>
          <cell r="O465">
            <v>2004</v>
          </cell>
          <cell r="P465" t="str">
            <v>DEARBORN PLANT BUILD</v>
          </cell>
          <cell r="Q465" t="str">
            <v>P221/P397</v>
          </cell>
          <cell r="R465" t="str">
            <v>ALL</v>
          </cell>
          <cell r="S465" t="str">
            <v>CONNECTOR C2287 BAD</v>
          </cell>
          <cell r="T465">
            <v>1</v>
          </cell>
          <cell r="AA465">
            <v>1</v>
          </cell>
        </row>
        <row r="466">
          <cell r="A466">
            <v>0</v>
          </cell>
          <cell r="B466" t="str">
            <v>ALL VRTS</v>
          </cell>
          <cell r="G466" t="str">
            <v>G29</v>
          </cell>
          <cell r="J466" t="str">
            <v>V83</v>
          </cell>
          <cell r="L466">
            <v>0</v>
          </cell>
          <cell r="M466">
            <v>0</v>
          </cell>
          <cell r="N466">
            <v>-1</v>
          </cell>
          <cell r="O466">
            <v>2004</v>
          </cell>
          <cell r="P466" t="str">
            <v>DEARBORN PLANT BUILD</v>
          </cell>
          <cell r="Q466" t="str">
            <v>P221/P397</v>
          </cell>
          <cell r="R466" t="str">
            <v>ALL</v>
          </cell>
          <cell r="S466" t="str">
            <v>Connector C450 CV Valve not seated.</v>
          </cell>
          <cell r="T466">
            <v>1</v>
          </cell>
          <cell r="AA466">
            <v>1</v>
          </cell>
        </row>
        <row r="467">
          <cell r="A467">
            <v>0</v>
          </cell>
          <cell r="B467" t="str">
            <v>ALL VRTS</v>
          </cell>
          <cell r="G467" t="str">
            <v>C02</v>
          </cell>
          <cell r="J467" t="str">
            <v>V79</v>
          </cell>
          <cell r="L467">
            <v>0</v>
          </cell>
          <cell r="M467">
            <v>0</v>
          </cell>
          <cell r="N467">
            <v>-1</v>
          </cell>
          <cell r="O467">
            <v>2004</v>
          </cell>
          <cell r="P467" t="str">
            <v>DEARBORN PLANT BUILD</v>
          </cell>
          <cell r="Q467" t="str">
            <v>P221/P397</v>
          </cell>
          <cell r="R467" t="str">
            <v>ALL</v>
          </cell>
          <cell r="S467" t="str">
            <v>Connector clutch relay repaired.</v>
          </cell>
          <cell r="T467">
            <v>1</v>
          </cell>
          <cell r="Y467">
            <v>1</v>
          </cell>
        </row>
        <row r="468">
          <cell r="A468">
            <v>0</v>
          </cell>
          <cell r="B468" t="str">
            <v>ALL VRTS</v>
          </cell>
          <cell r="G468" t="str">
            <v>A85</v>
          </cell>
          <cell r="J468" t="str">
            <v>V19</v>
          </cell>
          <cell r="L468">
            <v>0</v>
          </cell>
          <cell r="M468">
            <v>0</v>
          </cell>
          <cell r="N468">
            <v>-1</v>
          </cell>
          <cell r="O468">
            <v>2004</v>
          </cell>
          <cell r="P468" t="str">
            <v>DEARBORN PLANT BUILD</v>
          </cell>
          <cell r="Q468" t="str">
            <v>P221/P397</v>
          </cell>
          <cell r="R468" t="str">
            <v>ALL</v>
          </cell>
          <cell r="S468" t="str">
            <v>Connector from A-Pillar not connected</v>
          </cell>
          <cell r="T468">
            <v>1</v>
          </cell>
          <cell r="AB468">
            <v>1</v>
          </cell>
        </row>
        <row r="469">
          <cell r="A469">
            <v>0</v>
          </cell>
          <cell r="B469" t="str">
            <v>ALL VRTS</v>
          </cell>
          <cell r="G469" t="str">
            <v>L26</v>
          </cell>
          <cell r="J469" t="str">
            <v>V77</v>
          </cell>
          <cell r="L469">
            <v>0</v>
          </cell>
          <cell r="M469">
            <v>0</v>
          </cell>
          <cell r="N469">
            <v>-1</v>
          </cell>
          <cell r="O469">
            <v>2004</v>
          </cell>
          <cell r="P469" t="str">
            <v>DEARBORN PLANT BUILD</v>
          </cell>
          <cell r="Q469" t="str">
            <v>P221/P397</v>
          </cell>
          <cell r="R469" t="str">
            <v>ALL</v>
          </cell>
          <cell r="S469" t="str">
            <v>Connector in Lense lse. Repaired.</v>
          </cell>
          <cell r="T469">
            <v>1</v>
          </cell>
          <cell r="W469">
            <v>1</v>
          </cell>
        </row>
        <row r="470">
          <cell r="A470">
            <v>0</v>
          </cell>
          <cell r="B470" t="str">
            <v>ALL VRTS</v>
          </cell>
          <cell r="G470" t="str">
            <v>A85</v>
          </cell>
          <cell r="J470" t="str">
            <v>V17</v>
          </cell>
          <cell r="L470">
            <v>0</v>
          </cell>
          <cell r="M470">
            <v>0</v>
          </cell>
          <cell r="N470">
            <v>-1</v>
          </cell>
          <cell r="O470">
            <v>2004</v>
          </cell>
          <cell r="P470" t="str">
            <v>DEARBORN PLANT BUILD</v>
          </cell>
          <cell r="Q470" t="str">
            <v>P221/P397</v>
          </cell>
          <cell r="R470" t="str">
            <v>ALL</v>
          </cell>
          <cell r="S470" t="str">
            <v>CONNECTORS C220B, WAS NOT SEATED @PDJB</v>
          </cell>
          <cell r="T470">
            <v>1</v>
          </cell>
          <cell r="Z470">
            <v>1</v>
          </cell>
        </row>
        <row r="471">
          <cell r="A471">
            <v>0</v>
          </cell>
          <cell r="B471" t="str">
            <v>ALL VRTS</v>
          </cell>
          <cell r="G471" t="str">
            <v>S15</v>
          </cell>
          <cell r="J471" t="str">
            <v>V03</v>
          </cell>
          <cell r="L471">
            <v>0</v>
          </cell>
          <cell r="M471">
            <v>-1</v>
          </cell>
          <cell r="N471">
            <v>0</v>
          </cell>
          <cell r="O471">
            <v>2004</v>
          </cell>
          <cell r="P471" t="str">
            <v>DEARBORN PLANT BUILD</v>
          </cell>
          <cell r="Q471" t="str">
            <v>P221/P397</v>
          </cell>
          <cell r="R471" t="str">
            <v>ALL</v>
          </cell>
          <cell r="S471" t="str">
            <v>CONNEECTOR C369</v>
          </cell>
          <cell r="T471">
            <v>1</v>
          </cell>
          <cell r="AA471">
            <v>1</v>
          </cell>
        </row>
        <row r="472">
          <cell r="A472">
            <v>0</v>
          </cell>
          <cell r="B472" t="str">
            <v>ALL VRTS</v>
          </cell>
          <cell r="G472" t="str">
            <v>C20</v>
          </cell>
          <cell r="J472" t="str">
            <v>V79</v>
          </cell>
          <cell r="L472">
            <v>0</v>
          </cell>
          <cell r="M472">
            <v>-1</v>
          </cell>
          <cell r="N472">
            <v>0</v>
          </cell>
          <cell r="O472">
            <v>2004</v>
          </cell>
          <cell r="P472" t="str">
            <v>DEARBORN PLANT BUILD</v>
          </cell>
          <cell r="Q472" t="str">
            <v>P221/P397</v>
          </cell>
          <cell r="R472" t="str">
            <v>ALL</v>
          </cell>
          <cell r="S472" t="str">
            <v>Contamination in A/C system</v>
          </cell>
          <cell r="T472">
            <v>1</v>
          </cell>
          <cell r="X472">
            <v>1</v>
          </cell>
        </row>
        <row r="473">
          <cell r="A473">
            <v>0</v>
          </cell>
          <cell r="B473" t="str">
            <v>ALL VRTS</v>
          </cell>
          <cell r="G473" t="str">
            <v>L18</v>
          </cell>
          <cell r="J473" t="str">
            <v>V07</v>
          </cell>
          <cell r="L473">
            <v>0</v>
          </cell>
          <cell r="M473">
            <v>0</v>
          </cell>
          <cell r="N473">
            <v>-1</v>
          </cell>
          <cell r="O473">
            <v>2004</v>
          </cell>
          <cell r="P473" t="str">
            <v>DEARBORN PLANT BUILD</v>
          </cell>
          <cell r="Q473" t="str">
            <v>P221/P397</v>
          </cell>
          <cell r="R473" t="str">
            <v>ALL</v>
          </cell>
          <cell r="S473" t="str">
            <v>COVER DAMAGED</v>
          </cell>
          <cell r="T473">
            <v>1</v>
          </cell>
          <cell r="W473">
            <v>1</v>
          </cell>
        </row>
        <row r="474">
          <cell r="A474">
            <v>0</v>
          </cell>
          <cell r="B474" t="str">
            <v>ALL VRTS</v>
          </cell>
          <cell r="C474" t="str">
            <v>6500</v>
          </cell>
          <cell r="E474" t="str">
            <v>C4W22R</v>
          </cell>
          <cell r="G474" t="str">
            <v>S40</v>
          </cell>
          <cell r="J474" t="str">
            <v>V05</v>
          </cell>
          <cell r="L474">
            <v>0</v>
          </cell>
          <cell r="M474">
            <v>0</v>
          </cell>
          <cell r="N474">
            <v>-1</v>
          </cell>
          <cell r="O474">
            <v>2004</v>
          </cell>
          <cell r="P474" t="str">
            <v>DEARBORN PLANT BUILD</v>
          </cell>
          <cell r="Q474" t="str">
            <v>P221/P397</v>
          </cell>
          <cell r="R474" t="str">
            <v>ALL</v>
          </cell>
          <cell r="S474" t="str">
            <v>COVER LOOSE</v>
          </cell>
          <cell r="T474">
            <v>1</v>
          </cell>
          <cell r="Z474">
            <v>1</v>
          </cell>
        </row>
        <row r="475">
          <cell r="A475">
            <v>0</v>
          </cell>
          <cell r="B475" t="str">
            <v>ALL VRTS</v>
          </cell>
          <cell r="C475" t="str">
            <v>unsure</v>
          </cell>
          <cell r="E475" t="str">
            <v>T2W01L</v>
          </cell>
          <cell r="G475" t="str">
            <v>R30</v>
          </cell>
          <cell r="J475" t="str">
            <v>V11</v>
          </cell>
          <cell r="L475">
            <v>0</v>
          </cell>
          <cell r="M475">
            <v>0</v>
          </cell>
          <cell r="N475">
            <v>-1</v>
          </cell>
          <cell r="O475">
            <v>2004</v>
          </cell>
          <cell r="P475" t="str">
            <v>DEARBORN PLANT BUILD</v>
          </cell>
          <cell r="Q475" t="str">
            <v>P221/P397</v>
          </cell>
          <cell r="R475" t="str">
            <v>ALL</v>
          </cell>
          <cell r="S475" t="str">
            <v>Cowl Leaf Screen N/Seated</v>
          </cell>
          <cell r="T475">
            <v>1</v>
          </cell>
          <cell r="AA475">
            <v>1</v>
          </cell>
        </row>
        <row r="476">
          <cell r="A476">
            <v>0</v>
          </cell>
          <cell r="B476" t="str">
            <v>ALL VRTS</v>
          </cell>
          <cell r="G476" t="str">
            <v>B63</v>
          </cell>
          <cell r="J476" t="str">
            <v>V75</v>
          </cell>
          <cell r="L476">
            <v>0</v>
          </cell>
          <cell r="M476">
            <v>0</v>
          </cell>
          <cell r="N476">
            <v>-1</v>
          </cell>
          <cell r="O476">
            <v>2004</v>
          </cell>
          <cell r="P476" t="str">
            <v>DEARBORN PLANT BUILD</v>
          </cell>
          <cell r="Q476" t="str">
            <v>P221/P397</v>
          </cell>
          <cell r="R476" t="str">
            <v>ALL</v>
          </cell>
          <cell r="S476" t="str">
            <v>Cowl Reassembled</v>
          </cell>
          <cell r="T476">
            <v>1</v>
          </cell>
          <cell r="AA476">
            <v>1</v>
          </cell>
        </row>
        <row r="477">
          <cell r="A477">
            <v>0</v>
          </cell>
          <cell r="B477" t="str">
            <v>ALL VRTS</v>
          </cell>
          <cell r="G477" t="str">
            <v>E29</v>
          </cell>
          <cell r="J477" t="str">
            <v>V44</v>
          </cell>
          <cell r="L477">
            <v>0</v>
          </cell>
          <cell r="M477">
            <v>-1</v>
          </cell>
          <cell r="N477">
            <v>0</v>
          </cell>
          <cell r="O477">
            <v>2004</v>
          </cell>
          <cell r="P477" t="str">
            <v>DEARBORN PLANT BUILD</v>
          </cell>
          <cell r="Q477" t="str">
            <v>P221/P397</v>
          </cell>
          <cell r="R477" t="str">
            <v>ALL</v>
          </cell>
          <cell r="S477" t="str">
            <v>cracked sparkplug</v>
          </cell>
          <cell r="T477">
            <v>1</v>
          </cell>
          <cell r="W477">
            <v>1</v>
          </cell>
        </row>
        <row r="478">
          <cell r="A478">
            <v>0</v>
          </cell>
          <cell r="B478" t="str">
            <v>ALL VRTS</v>
          </cell>
          <cell r="G478" t="str">
            <v>A37</v>
          </cell>
          <cell r="J478" t="str">
            <v>V19</v>
          </cell>
          <cell r="L478">
            <v>0</v>
          </cell>
          <cell r="M478">
            <v>-1</v>
          </cell>
          <cell r="N478">
            <v>0</v>
          </cell>
          <cell r="O478">
            <v>2004</v>
          </cell>
          <cell r="P478" t="str">
            <v>DEARBORN PLANT BUILD</v>
          </cell>
          <cell r="Q478" t="str">
            <v>P221/P397</v>
          </cell>
          <cell r="R478" t="str">
            <v>ALL</v>
          </cell>
          <cell r="S478" t="str">
            <v>Cruise Control Buttons replaced</v>
          </cell>
          <cell r="T478">
            <v>1</v>
          </cell>
          <cell r="Z478">
            <v>1</v>
          </cell>
        </row>
        <row r="479">
          <cell r="A479">
            <v>0</v>
          </cell>
          <cell r="B479" t="str">
            <v>ALL VRTS</v>
          </cell>
          <cell r="G479" t="str">
            <v>T50</v>
          </cell>
          <cell r="J479" t="str">
            <v>V71</v>
          </cell>
          <cell r="L479">
            <v>0</v>
          </cell>
          <cell r="M479">
            <v>-1</v>
          </cell>
          <cell r="N479">
            <v>0</v>
          </cell>
          <cell r="O479">
            <v>2004</v>
          </cell>
          <cell r="P479" t="str">
            <v>DEARBORN PLANT BUILD</v>
          </cell>
          <cell r="Q479" t="str">
            <v>P221/P397</v>
          </cell>
          <cell r="R479" t="str">
            <v>ALL</v>
          </cell>
          <cell r="S479" t="str">
            <v>CUPHOLDER BROKEN</v>
          </cell>
          <cell r="T479">
            <v>1</v>
          </cell>
          <cell r="AB479">
            <v>1</v>
          </cell>
        </row>
        <row r="480">
          <cell r="A480">
            <v>0</v>
          </cell>
          <cell r="B480" t="str">
            <v>ALL VRTS</v>
          </cell>
          <cell r="G480" t="str">
            <v>S52</v>
          </cell>
          <cell r="J480" t="str">
            <v>V03</v>
          </cell>
          <cell r="L480">
            <v>0</v>
          </cell>
          <cell r="M480">
            <v>-1</v>
          </cell>
          <cell r="N480">
            <v>0</v>
          </cell>
          <cell r="O480">
            <v>2004</v>
          </cell>
          <cell r="P480" t="str">
            <v>DEARBORN PLANT BUILD</v>
          </cell>
          <cell r="Q480" t="str">
            <v>P221/P397</v>
          </cell>
          <cell r="R480" t="str">
            <v>ALL</v>
          </cell>
          <cell r="S480" t="str">
            <v>CUSHION COVER DEFECTIVE L/F</v>
          </cell>
          <cell r="T480">
            <v>1</v>
          </cell>
          <cell r="AB480">
            <v>1</v>
          </cell>
        </row>
        <row r="481">
          <cell r="A481">
            <v>0</v>
          </cell>
          <cell r="B481" t="str">
            <v>ALL VRTS</v>
          </cell>
          <cell r="G481" t="str">
            <v>S50</v>
          </cell>
          <cell r="J481" t="str">
            <v>V03</v>
          </cell>
          <cell r="L481">
            <v>0</v>
          </cell>
          <cell r="M481">
            <v>-1</v>
          </cell>
          <cell r="N481">
            <v>0</v>
          </cell>
          <cell r="O481">
            <v>2004</v>
          </cell>
          <cell r="P481" t="str">
            <v>DEARBORN PLANT BUILD</v>
          </cell>
          <cell r="Q481" t="str">
            <v>P221/P397</v>
          </cell>
          <cell r="R481" t="str">
            <v>ALL</v>
          </cell>
          <cell r="S481" t="str">
            <v>CUSHION COVER LOOSE L/R &amp; R/R</v>
          </cell>
          <cell r="T481">
            <v>1</v>
          </cell>
          <cell r="AA481">
            <v>1</v>
          </cell>
        </row>
        <row r="482">
          <cell r="A482">
            <v>0</v>
          </cell>
          <cell r="B482" t="str">
            <v>ALL VRTS</v>
          </cell>
          <cell r="C482" t="str">
            <v>6530</v>
          </cell>
          <cell r="E482" t="str">
            <v>C5W02R</v>
          </cell>
          <cell r="G482" t="str">
            <v>S52</v>
          </cell>
          <cell r="J482" t="str">
            <v>V03</v>
          </cell>
          <cell r="L482">
            <v>0</v>
          </cell>
          <cell r="M482">
            <v>0</v>
          </cell>
          <cell r="N482">
            <v>-1</v>
          </cell>
          <cell r="O482">
            <v>2004</v>
          </cell>
          <cell r="P482" t="str">
            <v>DEARBORN PLANT BUILD</v>
          </cell>
          <cell r="Q482" t="str">
            <v>P221/P397</v>
          </cell>
          <cell r="R482" t="str">
            <v>ALL</v>
          </cell>
          <cell r="S482" t="str">
            <v>CUSHION COVER TORN L/R</v>
          </cell>
          <cell r="T482">
            <v>1</v>
          </cell>
          <cell r="AA482">
            <v>1</v>
          </cell>
        </row>
        <row r="483">
          <cell r="A483">
            <v>0</v>
          </cell>
          <cell r="B483" t="str">
            <v>ALL VRTS</v>
          </cell>
          <cell r="G483" t="str">
            <v>S55</v>
          </cell>
          <cell r="J483" t="str">
            <v>V03</v>
          </cell>
          <cell r="L483">
            <v>0</v>
          </cell>
          <cell r="M483">
            <v>-1</v>
          </cell>
          <cell r="N483">
            <v>-1</v>
          </cell>
          <cell r="O483">
            <v>2004</v>
          </cell>
          <cell r="P483" t="str">
            <v>DEARBORN PLANT BUILD</v>
          </cell>
          <cell r="Q483" t="str">
            <v>P221/P397</v>
          </cell>
          <cell r="R483" t="str">
            <v>ALL</v>
          </cell>
          <cell r="S483" t="str">
            <v>CUSHION COVER TORN R/F</v>
          </cell>
          <cell r="T483">
            <v>1</v>
          </cell>
          <cell r="AA483">
            <v>1</v>
          </cell>
        </row>
        <row r="484">
          <cell r="A484">
            <v>0</v>
          </cell>
          <cell r="B484" t="str">
            <v>ALL VRTS</v>
          </cell>
          <cell r="G484" t="str">
            <v>S50</v>
          </cell>
          <cell r="J484" t="str">
            <v>V03</v>
          </cell>
          <cell r="L484">
            <v>0</v>
          </cell>
          <cell r="M484">
            <v>-1</v>
          </cell>
          <cell r="N484">
            <v>0</v>
          </cell>
          <cell r="O484">
            <v>2004</v>
          </cell>
          <cell r="P484" t="str">
            <v>DEARBORN PLANT BUILD</v>
          </cell>
          <cell r="Q484" t="str">
            <v>P221/P397</v>
          </cell>
          <cell r="R484" t="str">
            <v>ALL</v>
          </cell>
          <cell r="S484" t="str">
            <v>CUSHION LOOSE-L/F</v>
          </cell>
          <cell r="T484">
            <v>1</v>
          </cell>
          <cell r="W484">
            <v>1</v>
          </cell>
        </row>
        <row r="485">
          <cell r="A485">
            <v>0</v>
          </cell>
          <cell r="B485" t="str">
            <v>ALL VRTS</v>
          </cell>
          <cell r="G485" t="str">
            <v>S53</v>
          </cell>
          <cell r="J485" t="str">
            <v>V03</v>
          </cell>
          <cell r="L485">
            <v>0</v>
          </cell>
          <cell r="M485">
            <v>-1</v>
          </cell>
          <cell r="N485">
            <v>0</v>
          </cell>
          <cell r="O485">
            <v>2004</v>
          </cell>
          <cell r="P485" t="str">
            <v>DEARBORN PLANT BUILD</v>
          </cell>
          <cell r="Q485" t="str">
            <v>P221/P397</v>
          </cell>
          <cell r="R485" t="str">
            <v>ALL</v>
          </cell>
          <cell r="S485" t="str">
            <v>CUSHION,COVER-DISCOLORED R/F</v>
          </cell>
          <cell r="T485">
            <v>1</v>
          </cell>
          <cell r="X485">
            <v>1</v>
          </cell>
        </row>
        <row r="486">
          <cell r="A486">
            <v>0</v>
          </cell>
          <cell r="B486" t="str">
            <v>ALL VRTS</v>
          </cell>
          <cell r="G486" t="str">
            <v>L30</v>
          </cell>
          <cell r="J486" t="str">
            <v>V77</v>
          </cell>
          <cell r="L486">
            <v>-1</v>
          </cell>
          <cell r="M486">
            <v>-1</v>
          </cell>
          <cell r="N486">
            <v>-1</v>
          </cell>
          <cell r="O486">
            <v>2004</v>
          </cell>
          <cell r="P486" t="str">
            <v>DEARBORN PLANT BUILD</v>
          </cell>
          <cell r="Q486" t="str">
            <v>P221/P397</v>
          </cell>
          <cell r="R486" t="str">
            <v>ALL</v>
          </cell>
          <cell r="S486" t="str">
            <v>Customer misuse</v>
          </cell>
          <cell r="T486">
            <v>1</v>
          </cell>
          <cell r="AA486">
            <v>1</v>
          </cell>
        </row>
        <row r="487">
          <cell r="A487">
            <v>0</v>
          </cell>
          <cell r="B487" t="str">
            <v>ALL VRTS</v>
          </cell>
          <cell r="G487" t="str">
            <v>W05</v>
          </cell>
          <cell r="J487" t="str">
            <v>V16</v>
          </cell>
          <cell r="L487">
            <v>-1</v>
          </cell>
          <cell r="M487">
            <v>0</v>
          </cell>
          <cell r="N487">
            <v>0</v>
          </cell>
          <cell r="O487">
            <v>2004</v>
          </cell>
          <cell r="P487" t="str">
            <v>DEARBORN PLANT BUILD</v>
          </cell>
          <cell r="Q487" t="str">
            <v>P221/P397</v>
          </cell>
          <cell r="R487" t="str">
            <v>ALL</v>
          </cell>
          <cell r="S487" t="str">
            <v>Customer perception</v>
          </cell>
          <cell r="T487">
            <v>1</v>
          </cell>
          <cell r="AA487">
            <v>1</v>
          </cell>
        </row>
        <row r="488">
          <cell r="A488">
            <v>0</v>
          </cell>
          <cell r="B488" t="str">
            <v>ALL VRTS</v>
          </cell>
          <cell r="G488" t="str">
            <v>L26</v>
          </cell>
          <cell r="J488" t="str">
            <v>V77</v>
          </cell>
          <cell r="L488">
            <v>0</v>
          </cell>
          <cell r="M488">
            <v>0</v>
          </cell>
          <cell r="N488">
            <v>-1</v>
          </cell>
          <cell r="O488">
            <v>2004</v>
          </cell>
          <cell r="P488" t="str">
            <v>DEARBORN PLANT BUILD</v>
          </cell>
          <cell r="Q488" t="str">
            <v>P221/P397</v>
          </cell>
          <cell r="R488" t="str">
            <v>ALL</v>
          </cell>
          <cell r="S488" t="str">
            <v>Damaged Connector</v>
          </cell>
          <cell r="T488">
            <v>1</v>
          </cell>
          <cell r="Z488">
            <v>1</v>
          </cell>
        </row>
        <row r="489">
          <cell r="A489">
            <v>0</v>
          </cell>
          <cell r="B489" t="str">
            <v>ALL VRTS</v>
          </cell>
          <cell r="G489" t="str">
            <v>L26</v>
          </cell>
          <cell r="J489" t="str">
            <v>V77</v>
          </cell>
          <cell r="L489">
            <v>0</v>
          </cell>
          <cell r="M489">
            <v>0</v>
          </cell>
          <cell r="N489">
            <v>-1</v>
          </cell>
          <cell r="O489">
            <v>2004</v>
          </cell>
          <cell r="P489" t="str">
            <v>DEARBORN PLANT BUILD</v>
          </cell>
          <cell r="Q489" t="str">
            <v>P221/P397</v>
          </cell>
          <cell r="R489" t="str">
            <v>ALL</v>
          </cell>
          <cell r="S489" t="str">
            <v>Damaged Connector 405</v>
          </cell>
          <cell r="T489">
            <v>1</v>
          </cell>
          <cell r="AA489">
            <v>1</v>
          </cell>
        </row>
        <row r="490">
          <cell r="A490">
            <v>0</v>
          </cell>
          <cell r="B490" t="str">
            <v>ALL VRTS</v>
          </cell>
          <cell r="G490" t="str">
            <v>A07</v>
          </cell>
          <cell r="J490" t="str">
            <v>V81</v>
          </cell>
          <cell r="L490">
            <v>0</v>
          </cell>
          <cell r="M490">
            <v>0</v>
          </cell>
          <cell r="N490">
            <v>-1</v>
          </cell>
          <cell r="O490">
            <v>2004</v>
          </cell>
          <cell r="P490" t="str">
            <v>DEARBORN PLANT BUILD</v>
          </cell>
          <cell r="Q490" t="str">
            <v>P221/P397</v>
          </cell>
          <cell r="R490" t="str">
            <v>ALL</v>
          </cell>
          <cell r="S490" t="str">
            <v>Damaged, face, cracked.</v>
          </cell>
          <cell r="T490">
            <v>1</v>
          </cell>
          <cell r="AA490">
            <v>1</v>
          </cell>
        </row>
        <row r="491">
          <cell r="A491">
            <v>0</v>
          </cell>
          <cell r="B491" t="str">
            <v>ALL VRTS</v>
          </cell>
          <cell r="G491" t="str">
            <v>C27</v>
          </cell>
          <cell r="J491" t="str">
            <v>V19</v>
          </cell>
          <cell r="L491">
            <v>0</v>
          </cell>
          <cell r="M491">
            <v>-1</v>
          </cell>
          <cell r="N491">
            <v>0</v>
          </cell>
          <cell r="O491">
            <v>2004</v>
          </cell>
          <cell r="P491" t="str">
            <v>DEARBORN PLANT BUILD</v>
          </cell>
          <cell r="Q491" t="str">
            <v>P221/P397</v>
          </cell>
          <cell r="R491" t="str">
            <v>ALL</v>
          </cell>
          <cell r="S491" t="str">
            <v>Defective Alternator - replaced</v>
          </cell>
          <cell r="T491">
            <v>1</v>
          </cell>
          <cell r="Z491">
            <v>1</v>
          </cell>
        </row>
        <row r="492">
          <cell r="A492">
            <v>0</v>
          </cell>
          <cell r="B492" t="str">
            <v>ALL VRTS</v>
          </cell>
          <cell r="G492" t="str">
            <v>C05</v>
          </cell>
          <cell r="J492" t="str">
            <v>V79</v>
          </cell>
          <cell r="L492">
            <v>0</v>
          </cell>
          <cell r="M492">
            <v>-1</v>
          </cell>
          <cell r="N492">
            <v>0</v>
          </cell>
          <cell r="O492">
            <v>2004</v>
          </cell>
          <cell r="P492" t="str">
            <v>DEARBORN PLANT BUILD</v>
          </cell>
          <cell r="Q492" t="str">
            <v>P221/P397</v>
          </cell>
          <cell r="R492" t="str">
            <v>ALL</v>
          </cell>
          <cell r="S492" t="str">
            <v>Defective Compressor Coil</v>
          </cell>
          <cell r="T492">
            <v>1</v>
          </cell>
          <cell r="AB492">
            <v>1</v>
          </cell>
        </row>
        <row r="493">
          <cell r="A493">
            <v>0</v>
          </cell>
          <cell r="B493" t="str">
            <v>ALL VRTS</v>
          </cell>
          <cell r="C493" t="str">
            <v>5480</v>
          </cell>
          <cell r="E493" t="str">
            <v>T204R</v>
          </cell>
          <cell r="G493" t="str">
            <v>D50</v>
          </cell>
          <cell r="J493" t="str">
            <v>V44</v>
          </cell>
          <cell r="L493">
            <v>0</v>
          </cell>
          <cell r="M493">
            <v>0</v>
          </cell>
          <cell r="N493">
            <v>-1</v>
          </cell>
          <cell r="O493">
            <v>2004</v>
          </cell>
          <cell r="P493" t="str">
            <v>DEARBORN PLANT BUILD</v>
          </cell>
          <cell r="Q493" t="str">
            <v>P221/P397</v>
          </cell>
          <cell r="R493" t="str">
            <v>ALL</v>
          </cell>
          <cell r="S493" t="str">
            <v>Defective Hood liner</v>
          </cell>
          <cell r="T493">
            <v>1</v>
          </cell>
          <cell r="Z493">
            <v>1</v>
          </cell>
        </row>
        <row r="494">
          <cell r="A494">
            <v>0</v>
          </cell>
          <cell r="B494" t="str">
            <v>ALL VRTS</v>
          </cell>
          <cell r="G494" t="str">
            <v>N50</v>
          </cell>
          <cell r="J494" t="str">
            <v>V39</v>
          </cell>
          <cell r="L494">
            <v>0</v>
          </cell>
          <cell r="M494">
            <v>0</v>
          </cell>
          <cell r="N494">
            <v>-1</v>
          </cell>
          <cell r="O494">
            <v>2004</v>
          </cell>
          <cell r="P494" t="str">
            <v>DEARBORN PLANT BUILD</v>
          </cell>
          <cell r="Q494" t="str">
            <v>P221/P397</v>
          </cell>
          <cell r="R494" t="str">
            <v>ALL</v>
          </cell>
          <cell r="S494" t="str">
            <v>Diff. Frt Loose</v>
          </cell>
          <cell r="T494">
            <v>1</v>
          </cell>
          <cell r="Z494">
            <v>1</v>
          </cell>
        </row>
        <row r="495">
          <cell r="A495">
            <v>0</v>
          </cell>
          <cell r="B495" t="str">
            <v>ALL VRTS</v>
          </cell>
          <cell r="G495" t="str">
            <v>L72</v>
          </cell>
          <cell r="J495" t="str">
            <v>V44</v>
          </cell>
          <cell r="L495">
            <v>0</v>
          </cell>
          <cell r="M495">
            <v>-1</v>
          </cell>
          <cell r="N495">
            <v>0</v>
          </cell>
          <cell r="O495">
            <v>2004</v>
          </cell>
          <cell r="P495" t="str">
            <v>DEARBORN PLANT BUILD</v>
          </cell>
          <cell r="Q495" t="str">
            <v>P221/P397</v>
          </cell>
          <cell r="R495" t="str">
            <v>ALL</v>
          </cell>
          <cell r="S495" t="str">
            <v>Dip-stick tube defective</v>
          </cell>
          <cell r="T495">
            <v>1</v>
          </cell>
          <cell r="AA495">
            <v>1</v>
          </cell>
        </row>
        <row r="496">
          <cell r="A496">
            <v>0</v>
          </cell>
          <cell r="B496" t="str">
            <v>ALL VRTS</v>
          </cell>
          <cell r="G496" t="str">
            <v>M05</v>
          </cell>
          <cell r="J496" t="str">
            <v>V13</v>
          </cell>
          <cell r="L496">
            <v>0</v>
          </cell>
          <cell r="M496">
            <v>-1</v>
          </cell>
          <cell r="N496">
            <v>0</v>
          </cell>
          <cell r="O496">
            <v>2004</v>
          </cell>
          <cell r="P496" t="str">
            <v>DEARBORN PLANT BUILD</v>
          </cell>
          <cell r="Q496" t="str">
            <v>P221/P397</v>
          </cell>
          <cell r="R496" t="str">
            <v>ALL</v>
          </cell>
          <cell r="S496" t="str">
            <v>DISTORTED GLASS</v>
          </cell>
          <cell r="T496">
            <v>1</v>
          </cell>
          <cell r="AB496">
            <v>1</v>
          </cell>
        </row>
        <row r="497">
          <cell r="A497">
            <v>0</v>
          </cell>
          <cell r="B497" t="str">
            <v>ALL VRTS</v>
          </cell>
          <cell r="C497" t="str">
            <v>unsure</v>
          </cell>
          <cell r="E497" t="str">
            <v>C6E22L</v>
          </cell>
          <cell r="G497" t="str">
            <v>N59</v>
          </cell>
          <cell r="J497" t="str">
            <v>V39</v>
          </cell>
          <cell r="L497">
            <v>0</v>
          </cell>
          <cell r="M497">
            <v>0</v>
          </cell>
          <cell r="N497">
            <v>-1</v>
          </cell>
          <cell r="O497">
            <v>2004</v>
          </cell>
          <cell r="P497" t="str">
            <v>DEARBORN PLANT BUILD</v>
          </cell>
          <cell r="Q497" t="str">
            <v>P221/P397</v>
          </cell>
          <cell r="R497" t="str">
            <v>ALL</v>
          </cell>
          <cell r="S497" t="str">
            <v>Door Fit misalign</v>
          </cell>
          <cell r="T497">
            <v>1</v>
          </cell>
          <cell r="V497">
            <v>1</v>
          </cell>
        </row>
        <row r="498">
          <cell r="A498">
            <v>0</v>
          </cell>
          <cell r="B498" t="str">
            <v>ALL VRTS</v>
          </cell>
          <cell r="G498" t="str">
            <v>G09</v>
          </cell>
          <cell r="J498" t="str">
            <v>V39</v>
          </cell>
          <cell r="L498">
            <v>0</v>
          </cell>
          <cell r="M498">
            <v>-1</v>
          </cell>
          <cell r="N498">
            <v>0</v>
          </cell>
          <cell r="O498">
            <v>2004</v>
          </cell>
          <cell r="P498" t="str">
            <v>DEARBORN PLANT BUILD</v>
          </cell>
          <cell r="Q498" t="str">
            <v>P221/P397</v>
          </cell>
          <cell r="R498" t="str">
            <v>ALL</v>
          </cell>
          <cell r="S498" t="str">
            <v>Door Glass - Lubed Track</v>
          </cell>
          <cell r="T498">
            <v>1</v>
          </cell>
          <cell r="AA498">
            <v>1</v>
          </cell>
        </row>
        <row r="499">
          <cell r="A499">
            <v>0</v>
          </cell>
          <cell r="B499" t="str">
            <v>ALL VRTS</v>
          </cell>
          <cell r="C499" t="str">
            <v>unsure</v>
          </cell>
          <cell r="E499" t="str">
            <v>TDE27L</v>
          </cell>
          <cell r="G499" t="str">
            <v>G09</v>
          </cell>
          <cell r="J499" t="str">
            <v>V39</v>
          </cell>
          <cell r="L499">
            <v>0</v>
          </cell>
          <cell r="M499">
            <v>0</v>
          </cell>
          <cell r="N499">
            <v>-1</v>
          </cell>
          <cell r="O499">
            <v>2004</v>
          </cell>
          <cell r="P499" t="str">
            <v>DEARBORN PLANT BUILD</v>
          </cell>
          <cell r="Q499" t="str">
            <v>P221/P397</v>
          </cell>
          <cell r="R499" t="str">
            <v>ALL</v>
          </cell>
          <cell r="S499" t="str">
            <v>Door Glass Track misalign, and dry</v>
          </cell>
          <cell r="T499">
            <v>1</v>
          </cell>
          <cell r="Y499">
            <v>1</v>
          </cell>
        </row>
        <row r="500">
          <cell r="A500">
            <v>0</v>
          </cell>
          <cell r="B500" t="str">
            <v>ALL VRTS</v>
          </cell>
          <cell r="C500" t="str">
            <v>unsure</v>
          </cell>
          <cell r="E500" t="str">
            <v>TDW28R</v>
          </cell>
          <cell r="G500" t="str">
            <v>G09</v>
          </cell>
          <cell r="J500" t="str">
            <v>V39</v>
          </cell>
          <cell r="L500">
            <v>0</v>
          </cell>
          <cell r="M500">
            <v>0</v>
          </cell>
          <cell r="N500">
            <v>-1</v>
          </cell>
          <cell r="O500">
            <v>2004</v>
          </cell>
          <cell r="P500" t="str">
            <v>DEARBORN PLANT BUILD</v>
          </cell>
          <cell r="Q500" t="str">
            <v>P221/P397</v>
          </cell>
          <cell r="R500" t="str">
            <v>ALL</v>
          </cell>
          <cell r="S500" t="str">
            <v>Door Glass Track misalign, and Pad Missing</v>
          </cell>
          <cell r="T500">
            <v>1</v>
          </cell>
          <cell r="AA500">
            <v>1</v>
          </cell>
        </row>
        <row r="501">
          <cell r="A501">
            <v>0</v>
          </cell>
          <cell r="B501" t="str">
            <v>ALL VRTS</v>
          </cell>
          <cell r="G501" t="str">
            <v>G09</v>
          </cell>
          <cell r="J501" t="str">
            <v>V39</v>
          </cell>
          <cell r="L501">
            <v>0</v>
          </cell>
          <cell r="M501">
            <v>0</v>
          </cell>
          <cell r="N501">
            <v>-1</v>
          </cell>
          <cell r="O501">
            <v>2004</v>
          </cell>
          <cell r="P501" t="str">
            <v>DEARBORN PLANT BUILD</v>
          </cell>
          <cell r="Q501" t="str">
            <v>P221/P397</v>
          </cell>
          <cell r="R501" t="str">
            <v>ALL</v>
          </cell>
          <cell r="S501" t="str">
            <v>Door Inner Massic Patch Loose</v>
          </cell>
          <cell r="T501">
            <v>1</v>
          </cell>
          <cell r="Y501">
            <v>1</v>
          </cell>
        </row>
        <row r="502">
          <cell r="A502">
            <v>0</v>
          </cell>
          <cell r="B502" t="str">
            <v>ALL VRTS</v>
          </cell>
          <cell r="G502" t="str">
            <v>B95</v>
          </cell>
          <cell r="J502" t="str">
            <v>V71</v>
          </cell>
          <cell r="L502">
            <v>0</v>
          </cell>
          <cell r="M502">
            <v>-1</v>
          </cell>
          <cell r="N502">
            <v>0</v>
          </cell>
          <cell r="O502">
            <v>2004</v>
          </cell>
          <cell r="P502" t="str">
            <v>DEARBORN PLANT BUILD</v>
          </cell>
          <cell r="Q502" t="str">
            <v>P221/P397</v>
          </cell>
          <cell r="R502" t="str">
            <v>ALL</v>
          </cell>
          <cell r="S502" t="str">
            <v>DOOR LATCH BROKEN</v>
          </cell>
          <cell r="T502">
            <v>1</v>
          </cell>
          <cell r="AA502">
            <v>1</v>
          </cell>
        </row>
        <row r="503">
          <cell r="A503">
            <v>0</v>
          </cell>
          <cell r="B503" t="str">
            <v>ALL VRTS</v>
          </cell>
          <cell r="G503" t="str">
            <v>L07</v>
          </cell>
          <cell r="J503" t="str">
            <v>V07</v>
          </cell>
          <cell r="L503">
            <v>0</v>
          </cell>
          <cell r="M503">
            <v>0</v>
          </cell>
          <cell r="N503">
            <v>-1</v>
          </cell>
          <cell r="O503">
            <v>2004</v>
          </cell>
          <cell r="P503" t="str">
            <v>DEARBORN PLANT BUILD</v>
          </cell>
          <cell r="Q503" t="str">
            <v>P221/P397</v>
          </cell>
          <cell r="R503" t="str">
            <v>ALL</v>
          </cell>
          <cell r="S503" t="str">
            <v>DOOR LOCK ACTUATOR UNPLUGGED</v>
          </cell>
          <cell r="T503">
            <v>1</v>
          </cell>
          <cell r="Z503">
            <v>1</v>
          </cell>
        </row>
        <row r="504">
          <cell r="A504">
            <v>0</v>
          </cell>
          <cell r="B504" t="str">
            <v>ALL VRTS</v>
          </cell>
          <cell r="C504" t="str">
            <v>unsure</v>
          </cell>
          <cell r="E504" t="str">
            <v>TDW10R</v>
          </cell>
          <cell r="G504" t="str">
            <v>N40</v>
          </cell>
          <cell r="J504" t="str">
            <v>V39</v>
          </cell>
          <cell r="L504">
            <v>0</v>
          </cell>
          <cell r="M504">
            <v>0</v>
          </cell>
          <cell r="N504">
            <v>-1</v>
          </cell>
          <cell r="O504">
            <v>2004</v>
          </cell>
          <cell r="P504" t="str">
            <v>DEARBORN PLANT BUILD</v>
          </cell>
          <cell r="Q504" t="str">
            <v>P221/P397</v>
          </cell>
          <cell r="R504" t="str">
            <v>ALL</v>
          </cell>
          <cell r="S504" t="str">
            <v>Door Lock Rod Support loose</v>
          </cell>
          <cell r="T504">
            <v>1</v>
          </cell>
          <cell r="W504">
            <v>1</v>
          </cell>
        </row>
        <row r="505">
          <cell r="A505">
            <v>0</v>
          </cell>
          <cell r="B505" t="str">
            <v>ALL VRTS</v>
          </cell>
          <cell r="G505" t="str">
            <v>L15</v>
          </cell>
          <cell r="J505" t="str">
            <v>V07</v>
          </cell>
          <cell r="L505">
            <v>0</v>
          </cell>
          <cell r="M505">
            <v>-1</v>
          </cell>
          <cell r="N505">
            <v>0</v>
          </cell>
          <cell r="O505">
            <v>2004</v>
          </cell>
          <cell r="P505" t="str">
            <v>DEARBORN PLANT BUILD</v>
          </cell>
          <cell r="Q505" t="str">
            <v>P221/P397</v>
          </cell>
          <cell r="R505" t="str">
            <v>ALL</v>
          </cell>
          <cell r="S505" t="str">
            <v>DOOR STRIKER L&amp;R FRONT</v>
          </cell>
          <cell r="T505">
            <v>1</v>
          </cell>
          <cell r="W505">
            <v>1</v>
          </cell>
        </row>
        <row r="506">
          <cell r="A506">
            <v>0</v>
          </cell>
          <cell r="B506" t="str">
            <v>ALL VRTS</v>
          </cell>
          <cell r="C506" t="str">
            <v>5350</v>
          </cell>
          <cell r="E506" t="str">
            <v>TDE31-I</v>
          </cell>
          <cell r="G506" t="str">
            <v>L15</v>
          </cell>
          <cell r="J506" t="str">
            <v>V07</v>
          </cell>
          <cell r="L506">
            <v>0</v>
          </cell>
          <cell r="M506">
            <v>0</v>
          </cell>
          <cell r="N506">
            <v>-1</v>
          </cell>
          <cell r="O506">
            <v>2004</v>
          </cell>
          <cell r="P506" t="str">
            <v>DEARBORN PLANT BUILD</v>
          </cell>
          <cell r="Q506" t="str">
            <v>P221/P397</v>
          </cell>
          <cell r="R506" t="str">
            <v>ALL</v>
          </cell>
          <cell r="S506" t="str">
            <v>DOOR STRIKER RUSTY R&amp;L FRONT L REAR</v>
          </cell>
          <cell r="T506">
            <v>1</v>
          </cell>
          <cell r="V506">
            <v>1</v>
          </cell>
        </row>
        <row r="507">
          <cell r="A507">
            <v>0</v>
          </cell>
          <cell r="B507" t="str">
            <v>ALL VRTS</v>
          </cell>
          <cell r="C507" t="str">
            <v>6400</v>
          </cell>
          <cell r="E507" t="str">
            <v>C1W46B</v>
          </cell>
          <cell r="G507" t="str">
            <v>N58</v>
          </cell>
          <cell r="J507" t="str">
            <v>V87</v>
          </cell>
          <cell r="L507">
            <v>0</v>
          </cell>
          <cell r="M507">
            <v>0</v>
          </cell>
          <cell r="N507">
            <v>-1</v>
          </cell>
          <cell r="O507">
            <v>2004</v>
          </cell>
          <cell r="P507" t="str">
            <v>DEARBORN PLANT BUILD</v>
          </cell>
          <cell r="Q507" t="str">
            <v>P221/P397</v>
          </cell>
          <cell r="R507" t="str">
            <v>ALL</v>
          </cell>
          <cell r="S507" t="str">
            <v>DRIVE SHAFT REINDEXED</v>
          </cell>
          <cell r="T507">
            <v>1</v>
          </cell>
          <cell r="W507">
            <v>1</v>
          </cell>
        </row>
        <row r="508">
          <cell r="A508">
            <v>0</v>
          </cell>
          <cell r="B508" t="str">
            <v>ALL VRTS</v>
          </cell>
          <cell r="C508" t="str">
            <v>5420</v>
          </cell>
          <cell r="E508" t="str">
            <v>T518M</v>
          </cell>
          <cell r="G508" t="str">
            <v>K02</v>
          </cell>
          <cell r="J508" t="str">
            <v>V44</v>
          </cell>
          <cell r="L508">
            <v>0</v>
          </cell>
          <cell r="M508">
            <v>0</v>
          </cell>
          <cell r="N508">
            <v>-1</v>
          </cell>
          <cell r="O508">
            <v>2004</v>
          </cell>
          <cell r="P508" t="str">
            <v>DEARBORN PLANT BUILD</v>
          </cell>
          <cell r="Q508" t="str">
            <v>P221/P397</v>
          </cell>
          <cell r="R508" t="str">
            <v>ALL</v>
          </cell>
          <cell r="S508" t="str">
            <v>Driveshaft guard/Loose</v>
          </cell>
          <cell r="T508">
            <v>1</v>
          </cell>
          <cell r="Y508">
            <v>1</v>
          </cell>
        </row>
        <row r="509">
          <cell r="A509">
            <v>0</v>
          </cell>
          <cell r="B509" t="str">
            <v>ALL VRTS</v>
          </cell>
          <cell r="G509" t="str">
            <v>S15</v>
          </cell>
          <cell r="J509" t="str">
            <v>V03</v>
          </cell>
          <cell r="L509">
            <v>0</v>
          </cell>
          <cell r="M509">
            <v>-1</v>
          </cell>
          <cell r="N509">
            <v>0</v>
          </cell>
          <cell r="O509">
            <v>2004</v>
          </cell>
          <cell r="P509" t="str">
            <v>DEARBORN PLANT BUILD</v>
          </cell>
          <cell r="Q509" t="str">
            <v>P221/P397</v>
          </cell>
          <cell r="R509" t="str">
            <v>ALL</v>
          </cell>
          <cell r="S509" t="str">
            <v>DSM FAILED</v>
          </cell>
          <cell r="T509">
            <v>1</v>
          </cell>
          <cell r="Y509">
            <v>1</v>
          </cell>
        </row>
        <row r="510">
          <cell r="A510">
            <v>0</v>
          </cell>
          <cell r="B510" t="str">
            <v>ALL VRTS</v>
          </cell>
          <cell r="G510" t="str">
            <v>N17</v>
          </cell>
          <cell r="J510" t="str">
            <v>V21</v>
          </cell>
          <cell r="L510">
            <v>0</v>
          </cell>
          <cell r="M510">
            <v>-1</v>
          </cell>
          <cell r="N510">
            <v>0</v>
          </cell>
          <cell r="O510">
            <v>2004</v>
          </cell>
          <cell r="P510" t="str">
            <v>DEARBORN PLANT BUILD</v>
          </cell>
          <cell r="Q510" t="str">
            <v>P221/P397</v>
          </cell>
          <cell r="R510" t="str">
            <v>ALL</v>
          </cell>
          <cell r="S510" t="str">
            <v>DUST SHIELD OFF LOC. - ALIGNED</v>
          </cell>
          <cell r="T510">
            <v>1</v>
          </cell>
          <cell r="Z510">
            <v>1</v>
          </cell>
        </row>
        <row r="511">
          <cell r="A511">
            <v>0</v>
          </cell>
          <cell r="B511" t="str">
            <v>ALL VRTS</v>
          </cell>
          <cell r="C511" t="str">
            <v>6520</v>
          </cell>
          <cell r="E511" t="str">
            <v>C5E01L</v>
          </cell>
          <cell r="G511" t="str">
            <v>T54</v>
          </cell>
          <cell r="J511" t="str">
            <v>V74</v>
          </cell>
          <cell r="L511">
            <v>0</v>
          </cell>
          <cell r="M511">
            <v>0</v>
          </cell>
          <cell r="N511">
            <v>-1</v>
          </cell>
          <cell r="O511">
            <v>2004</v>
          </cell>
          <cell r="P511" t="str">
            <v>DEARBORN PLANT BUILD</v>
          </cell>
          <cell r="Q511" t="str">
            <v>P221/P397</v>
          </cell>
          <cell r="R511" t="str">
            <v>ALL</v>
          </cell>
          <cell r="S511" t="str">
            <v>E BRAKE MISSING</v>
          </cell>
          <cell r="T511">
            <v>1</v>
          </cell>
          <cell r="AA511">
            <v>1</v>
          </cell>
        </row>
        <row r="512">
          <cell r="A512">
            <v>0</v>
          </cell>
          <cell r="B512" t="str">
            <v>ALL VRTS</v>
          </cell>
          <cell r="G512" t="str">
            <v>N50</v>
          </cell>
          <cell r="J512" t="str">
            <v>V39</v>
          </cell>
          <cell r="L512">
            <v>0</v>
          </cell>
          <cell r="M512">
            <v>0</v>
          </cell>
          <cell r="N512">
            <v>-1</v>
          </cell>
          <cell r="O512">
            <v>2004</v>
          </cell>
          <cell r="P512" t="str">
            <v>DEARBORN PLANT BUILD</v>
          </cell>
          <cell r="Q512" t="str">
            <v>P221/P397</v>
          </cell>
          <cell r="R512" t="str">
            <v>ALL</v>
          </cell>
          <cell r="S512" t="str">
            <v>Engine Snorkle N/Seated</v>
          </cell>
          <cell r="T512">
            <v>1</v>
          </cell>
          <cell r="AA512">
            <v>1</v>
          </cell>
        </row>
        <row r="513">
          <cell r="A513">
            <v>0</v>
          </cell>
          <cell r="B513" t="str">
            <v>ALL VRTS</v>
          </cell>
          <cell r="G513" t="str">
            <v>L65</v>
          </cell>
          <cell r="J513" t="str">
            <v>V44</v>
          </cell>
          <cell r="L513">
            <v>-1</v>
          </cell>
          <cell r="M513">
            <v>-1</v>
          </cell>
          <cell r="N513">
            <v>0</v>
          </cell>
          <cell r="O513">
            <v>2004</v>
          </cell>
          <cell r="P513" t="str">
            <v>DEARBORN PLANT BUILD</v>
          </cell>
          <cell r="Q513" t="str">
            <v>P221/P397</v>
          </cell>
          <cell r="R513" t="str">
            <v>ALL</v>
          </cell>
          <cell r="S513" t="str">
            <v>EOT Sensor crossthreaded</v>
          </cell>
          <cell r="T513">
            <v>1</v>
          </cell>
          <cell r="AB513">
            <v>1</v>
          </cell>
        </row>
        <row r="514">
          <cell r="A514">
            <v>0</v>
          </cell>
          <cell r="B514" t="str">
            <v>ALL VRTS</v>
          </cell>
          <cell r="G514" t="str">
            <v>E29</v>
          </cell>
          <cell r="J514" t="str">
            <v>V44</v>
          </cell>
          <cell r="L514">
            <v>0</v>
          </cell>
          <cell r="M514">
            <v>-1</v>
          </cell>
          <cell r="N514">
            <v>0</v>
          </cell>
          <cell r="O514">
            <v>2004</v>
          </cell>
          <cell r="P514" t="str">
            <v>DEARBORN PLANT BUILD</v>
          </cell>
          <cell r="Q514" t="str">
            <v>P221/P397</v>
          </cell>
          <cell r="R514" t="str">
            <v>ALL</v>
          </cell>
          <cell r="S514" t="str">
            <v>evap hose assembly</v>
          </cell>
          <cell r="T514">
            <v>1</v>
          </cell>
          <cell r="X514">
            <v>1</v>
          </cell>
        </row>
        <row r="515">
          <cell r="A515">
            <v>0</v>
          </cell>
          <cell r="B515" t="str">
            <v>ALL VRTS</v>
          </cell>
          <cell r="G515" t="str">
            <v>E42</v>
          </cell>
          <cell r="J515" t="str">
            <v>V44</v>
          </cell>
          <cell r="L515">
            <v>0</v>
          </cell>
          <cell r="M515">
            <v>0</v>
          </cell>
          <cell r="N515">
            <v>-1</v>
          </cell>
          <cell r="O515">
            <v>2004</v>
          </cell>
          <cell r="P515" t="str">
            <v>DEARBORN PLANT BUILD</v>
          </cell>
          <cell r="Q515" t="str">
            <v>P221/P397</v>
          </cell>
          <cell r="R515" t="str">
            <v>ALL</v>
          </cell>
          <cell r="S515" t="str">
            <v>Exhaust clamp missing</v>
          </cell>
          <cell r="T515">
            <v>1</v>
          </cell>
          <cell r="AB515">
            <v>1</v>
          </cell>
        </row>
        <row r="516">
          <cell r="A516">
            <v>0</v>
          </cell>
          <cell r="B516" t="str">
            <v>ALL VRTS</v>
          </cell>
          <cell r="G516" t="str">
            <v>N51</v>
          </cell>
          <cell r="J516" t="str">
            <v>V39</v>
          </cell>
          <cell r="L516">
            <v>0</v>
          </cell>
          <cell r="M516">
            <v>0</v>
          </cell>
          <cell r="N516">
            <v>-1</v>
          </cell>
          <cell r="O516">
            <v>2004</v>
          </cell>
          <cell r="P516" t="str">
            <v>DEARBORN PLANT BUILD</v>
          </cell>
          <cell r="Q516" t="str">
            <v>P221/P397</v>
          </cell>
          <cell r="R516" t="str">
            <v>ALL</v>
          </cell>
          <cell r="S516" t="str">
            <v>Exhaust Loose to Rear Band Clamp</v>
          </cell>
          <cell r="T516">
            <v>1</v>
          </cell>
          <cell r="Y516">
            <v>1</v>
          </cell>
        </row>
        <row r="517">
          <cell r="A517">
            <v>0</v>
          </cell>
          <cell r="B517" t="str">
            <v>ALL VRTS</v>
          </cell>
          <cell r="G517" t="str">
            <v>C20</v>
          </cell>
          <cell r="J517" t="str">
            <v>V79</v>
          </cell>
          <cell r="L517">
            <v>0</v>
          </cell>
          <cell r="M517">
            <v>-1</v>
          </cell>
          <cell r="N517">
            <v>0</v>
          </cell>
          <cell r="O517">
            <v>2004</v>
          </cell>
          <cell r="P517" t="str">
            <v>DEARBORN PLANT BUILD</v>
          </cell>
          <cell r="Q517" t="str">
            <v>P221/P397</v>
          </cell>
          <cell r="R517" t="str">
            <v>ALL</v>
          </cell>
          <cell r="S517" t="str">
            <v>Fan Cracked, replaced.</v>
          </cell>
          <cell r="T517">
            <v>1</v>
          </cell>
          <cell r="Y517">
            <v>1</v>
          </cell>
        </row>
        <row r="518">
          <cell r="A518">
            <v>0</v>
          </cell>
          <cell r="B518" t="str">
            <v>ALL VRTS</v>
          </cell>
          <cell r="C518" t="str">
            <v>6560-2-H</v>
          </cell>
          <cell r="E518" t="str">
            <v>C4W08R</v>
          </cell>
          <cell r="G518" t="str">
            <v>B66</v>
          </cell>
          <cell r="J518" t="str">
            <v>V75</v>
          </cell>
          <cell r="L518">
            <v>0</v>
          </cell>
          <cell r="M518">
            <v>0</v>
          </cell>
          <cell r="N518">
            <v>-1</v>
          </cell>
          <cell r="O518">
            <v>2004</v>
          </cell>
          <cell r="P518" t="str">
            <v>DEARBORN PLANT BUILD</v>
          </cell>
          <cell r="Q518" t="str">
            <v>P221/P397</v>
          </cell>
          <cell r="R518" t="str">
            <v>ALL</v>
          </cell>
          <cell r="S518" t="str">
            <v>Fastener not attached</v>
          </cell>
          <cell r="T518">
            <v>1</v>
          </cell>
          <cell r="W518">
            <v>1</v>
          </cell>
        </row>
        <row r="519">
          <cell r="A519">
            <v>0</v>
          </cell>
          <cell r="B519" t="str">
            <v>ALL VRTS</v>
          </cell>
          <cell r="G519" t="str">
            <v>A85</v>
          </cell>
          <cell r="J519" t="str">
            <v>V17</v>
          </cell>
          <cell r="L519">
            <v>0</v>
          </cell>
          <cell r="M519">
            <v>-1</v>
          </cell>
          <cell r="N519">
            <v>0</v>
          </cell>
          <cell r="O519">
            <v>2004</v>
          </cell>
          <cell r="P519" t="str">
            <v>DEARBORN PLANT BUILD</v>
          </cell>
          <cell r="Q519" t="str">
            <v>P221/P397</v>
          </cell>
          <cell r="R519" t="str">
            <v>ALL</v>
          </cell>
          <cell r="S519" t="str">
            <v>Faulty Trans Harness</v>
          </cell>
          <cell r="T519">
            <v>1</v>
          </cell>
          <cell r="V519">
            <v>1</v>
          </cell>
        </row>
        <row r="520">
          <cell r="A520">
            <v>0</v>
          </cell>
          <cell r="B520" t="str">
            <v>ALL VRTS</v>
          </cell>
          <cell r="G520" t="str">
            <v>N12</v>
          </cell>
          <cell r="J520" t="str">
            <v>V49</v>
          </cell>
          <cell r="L520">
            <v>0</v>
          </cell>
          <cell r="M520">
            <v>-1</v>
          </cell>
          <cell r="N520">
            <v>0</v>
          </cell>
          <cell r="O520">
            <v>2004</v>
          </cell>
          <cell r="P520" t="str">
            <v>DEARBORN PLANT BUILD</v>
          </cell>
          <cell r="Q520" t="str">
            <v>P221/P397</v>
          </cell>
          <cell r="R520" t="str">
            <v>ALL</v>
          </cell>
          <cell r="S520" t="str">
            <v>Fead Belt Defective</v>
          </cell>
          <cell r="T520">
            <v>1</v>
          </cell>
          <cell r="AB520">
            <v>1</v>
          </cell>
        </row>
        <row r="521">
          <cell r="A521">
            <v>0</v>
          </cell>
          <cell r="B521" t="str">
            <v>ALL VRTS</v>
          </cell>
          <cell r="G521" t="str">
            <v>N12</v>
          </cell>
          <cell r="J521" t="str">
            <v>V49</v>
          </cell>
          <cell r="L521">
            <v>-1</v>
          </cell>
          <cell r="M521">
            <v>-1</v>
          </cell>
          <cell r="N521">
            <v>0</v>
          </cell>
          <cell r="O521">
            <v>2004</v>
          </cell>
          <cell r="P521" t="str">
            <v>DEARBORN PLANT BUILD</v>
          </cell>
          <cell r="Q521" t="str">
            <v>P221/P397</v>
          </cell>
          <cell r="R521" t="str">
            <v>ALL</v>
          </cell>
          <cell r="S521" t="str">
            <v>Flexplate damage</v>
          </cell>
          <cell r="T521">
            <v>1</v>
          </cell>
          <cell r="AA521">
            <v>1</v>
          </cell>
        </row>
        <row r="522">
          <cell r="A522">
            <v>0</v>
          </cell>
          <cell r="B522" t="str">
            <v>ALL VRTS</v>
          </cell>
          <cell r="C522" t="str">
            <v>6340</v>
          </cell>
          <cell r="E522" t="str">
            <v>CEW06R</v>
          </cell>
          <cell r="G522" t="str">
            <v>E42</v>
          </cell>
          <cell r="J522" t="str">
            <v>V44</v>
          </cell>
          <cell r="L522">
            <v>0</v>
          </cell>
          <cell r="M522">
            <v>0</v>
          </cell>
          <cell r="N522">
            <v>-1</v>
          </cell>
          <cell r="O522">
            <v>2004</v>
          </cell>
          <cell r="P522" t="str">
            <v>DEARBORN PLANT BUILD</v>
          </cell>
          <cell r="Q522" t="str">
            <v>P221/P397</v>
          </cell>
          <cell r="R522" t="str">
            <v>ALL</v>
          </cell>
          <cell r="S522" t="str">
            <v>flexplate damaged</v>
          </cell>
          <cell r="T522">
            <v>1</v>
          </cell>
          <cell r="Y522">
            <v>1</v>
          </cell>
        </row>
        <row r="523">
          <cell r="A523">
            <v>0</v>
          </cell>
          <cell r="B523" t="str">
            <v>ALL VRTS</v>
          </cell>
          <cell r="G523" t="str">
            <v>L29</v>
          </cell>
          <cell r="J523" t="str">
            <v>V77</v>
          </cell>
          <cell r="L523">
            <v>0</v>
          </cell>
          <cell r="M523">
            <v>-1</v>
          </cell>
          <cell r="N523">
            <v>0</v>
          </cell>
          <cell r="O523">
            <v>2004</v>
          </cell>
          <cell r="P523" t="str">
            <v>DEARBORN PLANT BUILD</v>
          </cell>
          <cell r="Q523" t="str">
            <v>P221/P397</v>
          </cell>
          <cell r="R523" t="str">
            <v>ALL</v>
          </cell>
          <cell r="S523" t="str">
            <v>Found sealer missing at top corner missing.</v>
          </cell>
          <cell r="T523">
            <v>1</v>
          </cell>
          <cell r="W523">
            <v>1</v>
          </cell>
        </row>
        <row r="524">
          <cell r="A524">
            <v>0</v>
          </cell>
          <cell r="B524" t="str">
            <v>ALL VRTS</v>
          </cell>
          <cell r="G524" t="str">
            <v>K02</v>
          </cell>
          <cell r="J524" t="str">
            <v>V44</v>
          </cell>
          <cell r="L524">
            <v>0</v>
          </cell>
          <cell r="M524">
            <v>-1</v>
          </cell>
          <cell r="N524">
            <v>0</v>
          </cell>
          <cell r="O524">
            <v>2004</v>
          </cell>
          <cell r="P524" t="str">
            <v>DEARBORN PLANT BUILD</v>
          </cell>
          <cell r="Q524" t="str">
            <v>P221/P397</v>
          </cell>
          <cell r="R524" t="str">
            <v>ALL</v>
          </cell>
          <cell r="S524" t="str">
            <v>Friction modifier added</v>
          </cell>
          <cell r="T524">
            <v>1</v>
          </cell>
          <cell r="Z524">
            <v>1</v>
          </cell>
        </row>
        <row r="525">
          <cell r="A525">
            <v>0</v>
          </cell>
          <cell r="B525" t="str">
            <v>ALL VRTS</v>
          </cell>
          <cell r="G525" t="str">
            <v>L72</v>
          </cell>
          <cell r="J525" t="str">
            <v>V44</v>
          </cell>
          <cell r="L525">
            <v>0</v>
          </cell>
          <cell r="M525">
            <v>-1</v>
          </cell>
          <cell r="N525">
            <v>0</v>
          </cell>
          <cell r="O525">
            <v>2004</v>
          </cell>
          <cell r="P525" t="str">
            <v>DEARBORN PLANT BUILD</v>
          </cell>
          <cell r="Q525" t="str">
            <v>P221/P397</v>
          </cell>
          <cell r="R525" t="str">
            <v>ALL</v>
          </cell>
          <cell r="S525" t="str">
            <v>Front Pump Seal Defective</v>
          </cell>
          <cell r="T525">
            <v>1</v>
          </cell>
          <cell r="AA525">
            <v>1</v>
          </cell>
        </row>
        <row r="526">
          <cell r="A526">
            <v>0</v>
          </cell>
          <cell r="B526" t="str">
            <v>ALL VRTS</v>
          </cell>
          <cell r="G526" t="str">
            <v>H44</v>
          </cell>
          <cell r="J526" t="str">
            <v>V89</v>
          </cell>
          <cell r="L526">
            <v>0</v>
          </cell>
          <cell r="M526">
            <v>-1</v>
          </cell>
          <cell r="N526">
            <v>0</v>
          </cell>
          <cell r="O526">
            <v>2004</v>
          </cell>
          <cell r="P526" t="str">
            <v>DEARBORN PLANT BUILD</v>
          </cell>
          <cell r="Q526" t="str">
            <v>P221/P397</v>
          </cell>
          <cell r="R526" t="str">
            <v>ALL</v>
          </cell>
          <cell r="S526" t="str">
            <v>FRONT STRUT DEFECTIVE - REPLACED</v>
          </cell>
          <cell r="T526">
            <v>1</v>
          </cell>
          <cell r="AA526">
            <v>1</v>
          </cell>
        </row>
        <row r="527">
          <cell r="A527">
            <v>0</v>
          </cell>
          <cell r="B527" t="str">
            <v>ALL VRTS</v>
          </cell>
          <cell r="G527" t="str">
            <v>G29</v>
          </cell>
          <cell r="J527" t="str">
            <v>V83</v>
          </cell>
          <cell r="L527">
            <v>0</v>
          </cell>
          <cell r="M527">
            <v>0</v>
          </cell>
          <cell r="N527">
            <v>-1</v>
          </cell>
          <cell r="O527">
            <v>2004</v>
          </cell>
          <cell r="P527" t="str">
            <v>DEARBORN PLANT BUILD</v>
          </cell>
          <cell r="Q527" t="str">
            <v>P221/P397</v>
          </cell>
          <cell r="R527" t="str">
            <v>ALL</v>
          </cell>
          <cell r="S527" t="str">
            <v>Frost Plug not installed properly.</v>
          </cell>
          <cell r="T527">
            <v>1</v>
          </cell>
          <cell r="AA527">
            <v>1</v>
          </cell>
        </row>
        <row r="528">
          <cell r="A528">
            <v>0</v>
          </cell>
          <cell r="B528" t="str">
            <v>ALL VRTS</v>
          </cell>
          <cell r="G528" t="str">
            <v>F99</v>
          </cell>
          <cell r="J528" t="str">
            <v>V99</v>
          </cell>
          <cell r="L528">
            <v>0</v>
          </cell>
          <cell r="M528">
            <v>0</v>
          </cell>
          <cell r="N528">
            <v>-1</v>
          </cell>
          <cell r="O528">
            <v>2004</v>
          </cell>
          <cell r="P528" t="str">
            <v>DEARBORN PLANT BUILD</v>
          </cell>
          <cell r="Q528" t="str">
            <v>P221/P397</v>
          </cell>
          <cell r="R528" t="str">
            <v>ALL</v>
          </cell>
          <cell r="S528" t="str">
            <v>Fuel added</v>
          </cell>
          <cell r="T528">
            <v>1</v>
          </cell>
          <cell r="AA528">
            <v>1</v>
          </cell>
        </row>
        <row r="529">
          <cell r="A529">
            <v>0</v>
          </cell>
          <cell r="B529" t="str">
            <v>ALL VRTS</v>
          </cell>
          <cell r="G529" t="str">
            <v>D50</v>
          </cell>
          <cell r="J529" t="str">
            <v>V44</v>
          </cell>
          <cell r="L529">
            <v>-1</v>
          </cell>
          <cell r="M529">
            <v>0</v>
          </cell>
          <cell r="N529">
            <v>0</v>
          </cell>
          <cell r="O529">
            <v>2004</v>
          </cell>
          <cell r="P529" t="str">
            <v>DEARBORN PLANT BUILD</v>
          </cell>
          <cell r="Q529" t="str">
            <v>P221/P397</v>
          </cell>
          <cell r="R529" t="str">
            <v>ALL</v>
          </cell>
          <cell r="S529" t="str">
            <v>Fuel contamination</v>
          </cell>
          <cell r="T529">
            <v>1</v>
          </cell>
          <cell r="Z529">
            <v>1</v>
          </cell>
        </row>
        <row r="530">
          <cell r="A530">
            <v>0</v>
          </cell>
          <cell r="B530" t="str">
            <v>ALL VRTS</v>
          </cell>
          <cell r="G530" t="str">
            <v>L10</v>
          </cell>
          <cell r="J530" t="str">
            <v>V07</v>
          </cell>
          <cell r="L530">
            <v>0</v>
          </cell>
          <cell r="M530">
            <v>-1</v>
          </cell>
          <cell r="N530">
            <v>0</v>
          </cell>
          <cell r="O530">
            <v>2004</v>
          </cell>
          <cell r="P530" t="str">
            <v>DEARBORN PLANT BUILD</v>
          </cell>
          <cell r="Q530" t="str">
            <v>P221/P397</v>
          </cell>
          <cell r="R530" t="str">
            <v>ALL</v>
          </cell>
          <cell r="S530" t="str">
            <v>FUEL DOOR ARM BROKE</v>
          </cell>
          <cell r="T530">
            <v>1</v>
          </cell>
          <cell r="X530">
            <v>1</v>
          </cell>
        </row>
        <row r="531">
          <cell r="A531">
            <v>0</v>
          </cell>
          <cell r="B531" t="str">
            <v>ALL VRTS</v>
          </cell>
          <cell r="G531" t="str">
            <v>A85</v>
          </cell>
          <cell r="J531" t="str">
            <v>V17</v>
          </cell>
          <cell r="L531">
            <v>0</v>
          </cell>
          <cell r="M531">
            <v>0</v>
          </cell>
          <cell r="N531">
            <v>-1</v>
          </cell>
          <cell r="O531">
            <v>2004</v>
          </cell>
          <cell r="P531" t="str">
            <v>DEARBORN PLANT BUILD</v>
          </cell>
          <cell r="Q531" t="str">
            <v>P221/P397</v>
          </cell>
          <cell r="R531" t="str">
            <v>ALL</v>
          </cell>
          <cell r="S531" t="str">
            <v>Fuel Gauge , repaired.</v>
          </cell>
          <cell r="T531">
            <v>1</v>
          </cell>
          <cell r="Y531">
            <v>1</v>
          </cell>
        </row>
        <row r="532">
          <cell r="A532">
            <v>0</v>
          </cell>
          <cell r="B532" t="str">
            <v>ALL VRTS</v>
          </cell>
          <cell r="G532" t="str">
            <v>A85</v>
          </cell>
          <cell r="J532" t="str">
            <v>V83</v>
          </cell>
          <cell r="L532">
            <v>0</v>
          </cell>
          <cell r="M532">
            <v>0</v>
          </cell>
          <cell r="N532">
            <v>-1</v>
          </cell>
          <cell r="O532">
            <v>2004</v>
          </cell>
          <cell r="P532" t="str">
            <v>DEARBORN PLANT BUILD</v>
          </cell>
          <cell r="Q532" t="str">
            <v>P221/P397</v>
          </cell>
          <cell r="R532" t="str">
            <v>ALL</v>
          </cell>
          <cell r="S532" t="str">
            <v>Fuel Gauge, Repaired</v>
          </cell>
          <cell r="T532">
            <v>1</v>
          </cell>
          <cell r="AB532">
            <v>1</v>
          </cell>
        </row>
        <row r="533">
          <cell r="A533">
            <v>0</v>
          </cell>
          <cell r="B533" t="str">
            <v>ALL VRTS</v>
          </cell>
          <cell r="C533" t="str">
            <v>6340</v>
          </cell>
          <cell r="E533" t="str">
            <v>CEE39L</v>
          </cell>
          <cell r="G533" t="str">
            <v>E29</v>
          </cell>
          <cell r="J533" t="str">
            <v>V44</v>
          </cell>
          <cell r="L533">
            <v>0</v>
          </cell>
          <cell r="M533">
            <v>0</v>
          </cell>
          <cell r="N533">
            <v>-1</v>
          </cell>
          <cell r="O533">
            <v>2004</v>
          </cell>
          <cell r="P533" t="str">
            <v>DEARBORN PLANT BUILD</v>
          </cell>
          <cell r="Q533" t="str">
            <v>P221/P397</v>
          </cell>
          <cell r="R533" t="str">
            <v>ALL</v>
          </cell>
          <cell r="S533" t="str">
            <v>fuel line twisted</v>
          </cell>
          <cell r="T533">
            <v>1</v>
          </cell>
          <cell r="Y533">
            <v>1</v>
          </cell>
        </row>
        <row r="534">
          <cell r="A534">
            <v>0</v>
          </cell>
          <cell r="B534" t="str">
            <v>ALL VRTS</v>
          </cell>
          <cell r="C534" t="str">
            <v>6340</v>
          </cell>
          <cell r="E534" t="str">
            <v>CEE39L</v>
          </cell>
          <cell r="G534" t="str">
            <v>E68</v>
          </cell>
          <cell r="J534" t="str">
            <v>V25</v>
          </cell>
          <cell r="L534">
            <v>-1</v>
          </cell>
          <cell r="M534">
            <v>-1</v>
          </cell>
          <cell r="N534">
            <v>-1</v>
          </cell>
          <cell r="O534">
            <v>2004</v>
          </cell>
          <cell r="P534" t="str">
            <v>DEARBORN PLANT BUILD</v>
          </cell>
          <cell r="Q534" t="str">
            <v>P221/P397</v>
          </cell>
          <cell r="R534" t="str">
            <v>ALL</v>
          </cell>
          <cell r="S534" t="str">
            <v>fuel supply line disconnected</v>
          </cell>
          <cell r="T534">
            <v>1</v>
          </cell>
          <cell r="Y534">
            <v>1</v>
          </cell>
        </row>
        <row r="535">
          <cell r="A535">
            <v>0</v>
          </cell>
          <cell r="B535" t="str">
            <v>ALL VRTS</v>
          </cell>
          <cell r="G535" t="str">
            <v>E29</v>
          </cell>
          <cell r="J535" t="str">
            <v>V44</v>
          </cell>
          <cell r="L535">
            <v>-1</v>
          </cell>
          <cell r="M535">
            <v>-1</v>
          </cell>
          <cell r="N535">
            <v>0</v>
          </cell>
          <cell r="O535">
            <v>2004</v>
          </cell>
          <cell r="P535" t="str">
            <v>DEARBORN PLANT BUILD</v>
          </cell>
          <cell r="Q535" t="str">
            <v>P221/P397</v>
          </cell>
          <cell r="R535" t="str">
            <v>ALL</v>
          </cell>
          <cell r="S535" t="str">
            <v>fuel vap storage canister</v>
          </cell>
          <cell r="T535">
            <v>1</v>
          </cell>
          <cell r="Y535">
            <v>1</v>
          </cell>
        </row>
        <row r="536">
          <cell r="A536">
            <v>0</v>
          </cell>
          <cell r="B536" t="str">
            <v>ALL VRTS</v>
          </cell>
          <cell r="G536" t="str">
            <v>A07</v>
          </cell>
          <cell r="J536" t="str">
            <v>V81</v>
          </cell>
          <cell r="L536">
            <v>0</v>
          </cell>
          <cell r="M536">
            <v>-1</v>
          </cell>
          <cell r="N536">
            <v>-1</v>
          </cell>
          <cell r="O536">
            <v>2004</v>
          </cell>
          <cell r="P536" t="str">
            <v>DEARBORN PLANT BUILD</v>
          </cell>
          <cell r="Q536" t="str">
            <v>P221/P397</v>
          </cell>
          <cell r="R536" t="str">
            <v>ALL</v>
          </cell>
          <cell r="S536" t="str">
            <v>Fuse Replace</v>
          </cell>
          <cell r="T536">
            <v>1</v>
          </cell>
          <cell r="V536">
            <v>1</v>
          </cell>
        </row>
        <row r="537">
          <cell r="A537">
            <v>0</v>
          </cell>
          <cell r="B537" t="str">
            <v>ALL VRTS</v>
          </cell>
          <cell r="G537" t="str">
            <v>A85</v>
          </cell>
          <cell r="J537" t="str">
            <v>V17</v>
          </cell>
          <cell r="L537">
            <v>0</v>
          </cell>
          <cell r="M537">
            <v>-1</v>
          </cell>
          <cell r="N537">
            <v>0</v>
          </cell>
          <cell r="O537">
            <v>2004</v>
          </cell>
          <cell r="P537" t="str">
            <v>DEARBORN PLANT BUILD</v>
          </cell>
          <cell r="Q537" t="str">
            <v>P221/P397</v>
          </cell>
          <cell r="R537" t="str">
            <v>ALL</v>
          </cell>
          <cell r="S537" t="str">
            <v>FX4 Emblem in PRNDL open in cluster</v>
          </cell>
          <cell r="T537">
            <v>1</v>
          </cell>
          <cell r="Z537">
            <v>1</v>
          </cell>
        </row>
        <row r="538">
          <cell r="A538">
            <v>0</v>
          </cell>
          <cell r="B538" t="str">
            <v>ALL VRTS</v>
          </cell>
          <cell r="G538" t="str">
            <v>E29</v>
          </cell>
          <cell r="J538" t="str">
            <v>V44</v>
          </cell>
          <cell r="L538">
            <v>0</v>
          </cell>
          <cell r="M538">
            <v>-1</v>
          </cell>
          <cell r="N538">
            <v>0</v>
          </cell>
          <cell r="O538">
            <v>2004</v>
          </cell>
          <cell r="P538" t="str">
            <v>DEARBORN PLANT BUILD</v>
          </cell>
          <cell r="Q538" t="str">
            <v>P221/P397</v>
          </cell>
          <cell r="R538" t="str">
            <v>ALL</v>
          </cell>
          <cell r="S538" t="str">
            <v>Gas Cap leak</v>
          </cell>
          <cell r="T538">
            <v>1</v>
          </cell>
          <cell r="Z538">
            <v>1</v>
          </cell>
        </row>
        <row r="539">
          <cell r="A539">
            <v>0</v>
          </cell>
          <cell r="B539" t="str">
            <v>ALL VRTS</v>
          </cell>
          <cell r="C539" t="str">
            <v>5590</v>
          </cell>
          <cell r="E539" t="str">
            <v>T4E24R</v>
          </cell>
          <cell r="G539" t="str">
            <v>T53</v>
          </cell>
          <cell r="J539" t="str">
            <v>V74</v>
          </cell>
          <cell r="L539">
            <v>0</v>
          </cell>
          <cell r="M539">
            <v>-1</v>
          </cell>
          <cell r="N539">
            <v>-1</v>
          </cell>
          <cell r="O539">
            <v>2004</v>
          </cell>
          <cell r="P539" t="str">
            <v>DEARBORN PLANT BUILD</v>
          </cell>
          <cell r="Q539" t="str">
            <v>P221/P397</v>
          </cell>
          <cell r="R539" t="str">
            <v>ALL</v>
          </cell>
          <cell r="S539" t="str">
            <v>GIMP,MISSING</v>
          </cell>
          <cell r="T539">
            <v>1</v>
          </cell>
          <cell r="Y539">
            <v>1</v>
          </cell>
        </row>
        <row r="540">
          <cell r="A540">
            <v>0</v>
          </cell>
          <cell r="B540" t="str">
            <v>ALL VRTS</v>
          </cell>
          <cell r="C540" t="str">
            <v>door line 5340-2-A</v>
          </cell>
          <cell r="E540" t="str">
            <v>TDW22R</v>
          </cell>
          <cell r="G540" t="str">
            <v>B66</v>
          </cell>
          <cell r="J540" t="str">
            <v>V75</v>
          </cell>
          <cell r="L540">
            <v>0</v>
          </cell>
          <cell r="M540">
            <v>0</v>
          </cell>
          <cell r="N540">
            <v>-1</v>
          </cell>
          <cell r="O540">
            <v>2004</v>
          </cell>
          <cell r="P540" t="str">
            <v>DEARBORN PLANT BUILD</v>
          </cell>
          <cell r="Q540" t="str">
            <v>P221/P397</v>
          </cell>
          <cell r="R540" t="str">
            <v>ALL</v>
          </cell>
          <cell r="S540" t="str">
            <v>Glass Run Flock Replaced</v>
          </cell>
          <cell r="T540">
            <v>1</v>
          </cell>
          <cell r="AA540">
            <v>1</v>
          </cell>
        </row>
        <row r="541">
          <cell r="A541">
            <v>0</v>
          </cell>
          <cell r="B541" t="str">
            <v>ALL VRTS</v>
          </cell>
          <cell r="G541" t="str">
            <v>J04</v>
          </cell>
          <cell r="J541" t="str">
            <v>V09</v>
          </cell>
          <cell r="L541">
            <v>0</v>
          </cell>
          <cell r="M541">
            <v>-1</v>
          </cell>
          <cell r="N541">
            <v>0</v>
          </cell>
          <cell r="O541">
            <v>2004</v>
          </cell>
          <cell r="P541" t="str">
            <v>DEARBORN PLANT BUILD</v>
          </cell>
          <cell r="Q541" t="str">
            <v>P221/P397</v>
          </cell>
          <cell r="R541" t="str">
            <v>ALL</v>
          </cell>
          <cell r="S541" t="str">
            <v>GLASS SEAL MISASSEMBELED</v>
          </cell>
          <cell r="T541">
            <v>1</v>
          </cell>
          <cell r="AA541">
            <v>1</v>
          </cell>
        </row>
        <row r="542">
          <cell r="A542">
            <v>0</v>
          </cell>
          <cell r="B542" t="str">
            <v>ALL VRTS</v>
          </cell>
          <cell r="G542" t="str">
            <v>G02</v>
          </cell>
          <cell r="J542" t="str">
            <v>V09</v>
          </cell>
          <cell r="L542">
            <v>0</v>
          </cell>
          <cell r="M542">
            <v>-1</v>
          </cell>
          <cell r="N542">
            <v>0</v>
          </cell>
          <cell r="O542">
            <v>2004</v>
          </cell>
          <cell r="P542" t="str">
            <v>DEARBORN PLANT BUILD</v>
          </cell>
          <cell r="Q542" t="str">
            <v>P221/P397</v>
          </cell>
          <cell r="R542" t="str">
            <v>ALL</v>
          </cell>
          <cell r="S542" t="str">
            <v>GLASS SHATTERED</v>
          </cell>
          <cell r="T542">
            <v>1</v>
          </cell>
          <cell r="AA542">
            <v>1</v>
          </cell>
        </row>
        <row r="543">
          <cell r="A543">
            <v>0</v>
          </cell>
          <cell r="B543" t="str">
            <v>ALL VRTS</v>
          </cell>
          <cell r="C543" t="str">
            <v>5340</v>
          </cell>
          <cell r="E543" t="str">
            <v>TDW30-R</v>
          </cell>
          <cell r="G543" t="str">
            <v>G05</v>
          </cell>
          <cell r="J543" t="str">
            <v>V07</v>
          </cell>
          <cell r="L543">
            <v>0</v>
          </cell>
          <cell r="M543">
            <v>0</v>
          </cell>
          <cell r="N543">
            <v>-1</v>
          </cell>
          <cell r="O543">
            <v>2004</v>
          </cell>
          <cell r="P543" t="str">
            <v>DEARBORN PLANT BUILD</v>
          </cell>
          <cell r="Q543" t="str">
            <v>P221/P397</v>
          </cell>
          <cell r="R543" t="str">
            <v>ALL</v>
          </cell>
          <cell r="S543" t="str">
            <v>GUIDE BRACKET LOOSE</v>
          </cell>
          <cell r="T543">
            <v>1</v>
          </cell>
          <cell r="W543">
            <v>1</v>
          </cell>
        </row>
        <row r="544">
          <cell r="A544">
            <v>0</v>
          </cell>
          <cell r="B544" t="str">
            <v>ALL VRTS</v>
          </cell>
          <cell r="G544" t="str">
            <v>L30</v>
          </cell>
          <cell r="J544" t="str">
            <v>V77</v>
          </cell>
          <cell r="L544">
            <v>0</v>
          </cell>
          <cell r="M544">
            <v>-1</v>
          </cell>
          <cell r="N544">
            <v>0</v>
          </cell>
          <cell r="O544">
            <v>2004</v>
          </cell>
          <cell r="P544" t="str">
            <v>DEARBORN PLANT BUILD</v>
          </cell>
          <cell r="Q544" t="str">
            <v>P221/P397</v>
          </cell>
          <cell r="R544" t="str">
            <v>ALL</v>
          </cell>
          <cell r="S544" t="str">
            <v>Harness #14401 Repaired, replace bulb.</v>
          </cell>
          <cell r="T544">
            <v>1</v>
          </cell>
          <cell r="Z544">
            <v>1</v>
          </cell>
        </row>
        <row r="545">
          <cell r="A545">
            <v>0</v>
          </cell>
          <cell r="B545" t="str">
            <v>ALL VRTS</v>
          </cell>
          <cell r="G545" t="str">
            <v>C27</v>
          </cell>
          <cell r="J545" t="str">
            <v>V19</v>
          </cell>
          <cell r="L545">
            <v>0</v>
          </cell>
          <cell r="M545">
            <v>0</v>
          </cell>
          <cell r="N545">
            <v>-1</v>
          </cell>
          <cell r="O545">
            <v>2004</v>
          </cell>
          <cell r="P545" t="str">
            <v>DEARBORN PLANT BUILD</v>
          </cell>
          <cell r="Q545" t="str">
            <v>P221/P397</v>
          </cell>
          <cell r="R545" t="str">
            <v>ALL</v>
          </cell>
          <cell r="S545" t="str">
            <v>Harness Connector replaced</v>
          </cell>
          <cell r="T545">
            <v>1</v>
          </cell>
          <cell r="AA545">
            <v>1</v>
          </cell>
        </row>
        <row r="546">
          <cell r="A546">
            <v>0</v>
          </cell>
          <cell r="B546" t="str">
            <v>ALL VRTS</v>
          </cell>
          <cell r="G546" t="str">
            <v>G29</v>
          </cell>
          <cell r="J546" t="str">
            <v>V19</v>
          </cell>
          <cell r="L546">
            <v>0</v>
          </cell>
          <cell r="M546">
            <v>0</v>
          </cell>
          <cell r="N546">
            <v>-1</v>
          </cell>
          <cell r="O546">
            <v>2004</v>
          </cell>
          <cell r="P546" t="str">
            <v>DEARBORN PLANT BUILD</v>
          </cell>
          <cell r="Q546" t="str">
            <v>P221/P397</v>
          </cell>
          <cell r="R546" t="str">
            <v>ALL</v>
          </cell>
          <cell r="S546" t="str">
            <v>Harness Mis-routed, repaired</v>
          </cell>
          <cell r="T546">
            <v>1</v>
          </cell>
          <cell r="AA546">
            <v>1</v>
          </cell>
        </row>
        <row r="547">
          <cell r="A547">
            <v>0</v>
          </cell>
          <cell r="B547" t="str">
            <v>ALL VRTS</v>
          </cell>
          <cell r="G547" t="str">
            <v>C20</v>
          </cell>
          <cell r="J547" t="str">
            <v>V79</v>
          </cell>
          <cell r="L547">
            <v>0</v>
          </cell>
          <cell r="M547">
            <v>-1</v>
          </cell>
          <cell r="N547">
            <v>0</v>
          </cell>
          <cell r="O547">
            <v>2004</v>
          </cell>
          <cell r="P547" t="str">
            <v>DEARBORN PLANT BUILD</v>
          </cell>
          <cell r="Q547" t="str">
            <v>P221/P397</v>
          </cell>
          <cell r="R547" t="str">
            <v>ALL</v>
          </cell>
          <cell r="S547" t="str">
            <v>Harness Pin not connected</v>
          </cell>
          <cell r="T547">
            <v>1</v>
          </cell>
          <cell r="AA547">
            <v>1</v>
          </cell>
        </row>
        <row r="548">
          <cell r="A548">
            <v>0</v>
          </cell>
          <cell r="B548" t="str">
            <v>ALL VRTS</v>
          </cell>
          <cell r="G548" t="str">
            <v>C02</v>
          </cell>
          <cell r="J548" t="str">
            <v>V79</v>
          </cell>
          <cell r="L548">
            <v>-1</v>
          </cell>
          <cell r="M548">
            <v>0</v>
          </cell>
          <cell r="N548">
            <v>0</v>
          </cell>
          <cell r="O548">
            <v>2004</v>
          </cell>
          <cell r="P548" t="str">
            <v>DEARBORN PLANT BUILD</v>
          </cell>
          <cell r="Q548" t="str">
            <v>P221/P397</v>
          </cell>
          <cell r="R548" t="str">
            <v>ALL</v>
          </cell>
          <cell r="S548" t="str">
            <v>Harness Replaced</v>
          </cell>
          <cell r="T548">
            <v>1</v>
          </cell>
          <cell r="AA548">
            <v>1</v>
          </cell>
        </row>
        <row r="549">
          <cell r="A549">
            <v>0</v>
          </cell>
          <cell r="B549" t="str">
            <v>ALL VRTS</v>
          </cell>
          <cell r="G549" t="str">
            <v>B62</v>
          </cell>
          <cell r="J549" t="str">
            <v>V75</v>
          </cell>
          <cell r="L549">
            <v>0</v>
          </cell>
          <cell r="M549">
            <v>-1</v>
          </cell>
          <cell r="N549">
            <v>0</v>
          </cell>
          <cell r="O549">
            <v>2004</v>
          </cell>
          <cell r="P549" t="str">
            <v>DEARBORN PLANT BUILD</v>
          </cell>
          <cell r="Q549" t="str">
            <v>P221/P397</v>
          </cell>
          <cell r="R549" t="str">
            <v>ALL</v>
          </cell>
          <cell r="S549" t="str">
            <v>Headlamp Capsule Replaced</v>
          </cell>
          <cell r="T549">
            <v>1</v>
          </cell>
          <cell r="AB549">
            <v>1</v>
          </cell>
        </row>
        <row r="550">
          <cell r="A550">
            <v>0</v>
          </cell>
          <cell r="B550" t="str">
            <v>ALL VRTS</v>
          </cell>
          <cell r="G550" t="str">
            <v>L29</v>
          </cell>
          <cell r="J550" t="str">
            <v>V77</v>
          </cell>
          <cell r="L550">
            <v>0</v>
          </cell>
          <cell r="M550">
            <v>-1</v>
          </cell>
          <cell r="N550">
            <v>0</v>
          </cell>
          <cell r="O550">
            <v>2004</v>
          </cell>
          <cell r="P550" t="str">
            <v>DEARBORN PLANT BUILD</v>
          </cell>
          <cell r="Q550" t="str">
            <v>P221/P397</v>
          </cell>
          <cell r="R550" t="str">
            <v>ALL</v>
          </cell>
          <cell r="S550" t="str">
            <v>Headlamps replaced</v>
          </cell>
          <cell r="T550">
            <v>1</v>
          </cell>
          <cell r="Y550">
            <v>1</v>
          </cell>
        </row>
        <row r="551">
          <cell r="A551">
            <v>0</v>
          </cell>
          <cell r="B551" t="str">
            <v>ALL VRTS</v>
          </cell>
          <cell r="G551" t="str">
            <v>N59</v>
          </cell>
          <cell r="J551" t="str">
            <v>V39</v>
          </cell>
          <cell r="L551">
            <v>0</v>
          </cell>
          <cell r="M551">
            <v>-1</v>
          </cell>
          <cell r="N551">
            <v>0</v>
          </cell>
          <cell r="O551">
            <v>2004</v>
          </cell>
          <cell r="P551" t="str">
            <v>DEARBORN PLANT BUILD</v>
          </cell>
          <cell r="Q551" t="str">
            <v>P221/P397</v>
          </cell>
          <cell r="R551" t="str">
            <v>ALL</v>
          </cell>
          <cell r="S551" t="str">
            <v>Headliner Foam Block Loose</v>
          </cell>
          <cell r="T551">
            <v>1</v>
          </cell>
          <cell r="Y551">
            <v>1</v>
          </cell>
        </row>
        <row r="552">
          <cell r="A552">
            <v>0</v>
          </cell>
          <cell r="B552" t="str">
            <v>ALL VRTS</v>
          </cell>
          <cell r="G552" t="str">
            <v>A18</v>
          </cell>
          <cell r="J552" t="str">
            <v>V81</v>
          </cell>
          <cell r="L552">
            <v>0</v>
          </cell>
          <cell r="M552">
            <v>-1</v>
          </cell>
          <cell r="N552">
            <v>0</v>
          </cell>
          <cell r="O552">
            <v>2004</v>
          </cell>
          <cell r="P552" t="str">
            <v>DEARBORN PLANT BUILD</v>
          </cell>
          <cell r="Q552" t="str">
            <v>P221/P397</v>
          </cell>
          <cell r="R552" t="str">
            <v>ALL</v>
          </cell>
          <cell r="S552" t="str">
            <v>Headliner Harness Trapped</v>
          </cell>
          <cell r="T552">
            <v>1</v>
          </cell>
          <cell r="AA552">
            <v>1</v>
          </cell>
        </row>
        <row r="553">
          <cell r="A553">
            <v>0</v>
          </cell>
          <cell r="B553" t="str">
            <v>ALL VRTS</v>
          </cell>
          <cell r="G553" t="str">
            <v>S50</v>
          </cell>
          <cell r="J553" t="str">
            <v>V03</v>
          </cell>
          <cell r="L553">
            <v>0</v>
          </cell>
          <cell r="M553">
            <v>-1</v>
          </cell>
          <cell r="N553">
            <v>0</v>
          </cell>
          <cell r="O553">
            <v>2004</v>
          </cell>
          <cell r="P553" t="str">
            <v>DEARBORN PLANT BUILD</v>
          </cell>
          <cell r="Q553" t="str">
            <v>P221/P397</v>
          </cell>
          <cell r="R553" t="str">
            <v>ALL</v>
          </cell>
          <cell r="S553" t="str">
            <v>HEADRESTS</v>
          </cell>
          <cell r="T553">
            <v>1</v>
          </cell>
          <cell r="AA553">
            <v>1</v>
          </cell>
        </row>
        <row r="554">
          <cell r="A554">
            <v>0</v>
          </cell>
          <cell r="B554" t="str">
            <v>ALL VRTS</v>
          </cell>
          <cell r="G554" t="str">
            <v>C09</v>
          </cell>
          <cell r="J554" t="str">
            <v>V79</v>
          </cell>
          <cell r="L554">
            <v>0</v>
          </cell>
          <cell r="M554">
            <v>-1</v>
          </cell>
          <cell r="N554">
            <v>0</v>
          </cell>
          <cell r="O554">
            <v>2004</v>
          </cell>
          <cell r="P554" t="str">
            <v>DEARBORN PLANT BUILD</v>
          </cell>
          <cell r="Q554" t="str">
            <v>P221/P397</v>
          </cell>
          <cell r="R554" t="str">
            <v>ALL</v>
          </cell>
          <cell r="S554" t="str">
            <v>Heater Plenum Box replaced</v>
          </cell>
          <cell r="T554">
            <v>1</v>
          </cell>
          <cell r="Y554">
            <v>1</v>
          </cell>
        </row>
        <row r="555">
          <cell r="A555">
            <v>0</v>
          </cell>
          <cell r="B555" t="str">
            <v>ALL VRTS</v>
          </cell>
          <cell r="G555" t="str">
            <v>S50</v>
          </cell>
          <cell r="J555" t="str">
            <v>V03</v>
          </cell>
          <cell r="L555">
            <v>0</v>
          </cell>
          <cell r="M555">
            <v>-1</v>
          </cell>
          <cell r="N555">
            <v>0</v>
          </cell>
          <cell r="O555">
            <v>2004</v>
          </cell>
          <cell r="P555" t="str">
            <v>DEARBORN PLANT BUILD</v>
          </cell>
          <cell r="Q555" t="str">
            <v>P221/P397</v>
          </cell>
          <cell r="R555" t="str">
            <v>ALL</v>
          </cell>
          <cell r="S555" t="str">
            <v>HOGRING,LF BACK</v>
          </cell>
          <cell r="T555">
            <v>1</v>
          </cell>
          <cell r="Z555">
            <v>1</v>
          </cell>
        </row>
        <row r="556">
          <cell r="A556">
            <v>0</v>
          </cell>
          <cell r="B556" t="str">
            <v>ALL VRTS</v>
          </cell>
          <cell r="C556" t="str">
            <v>5380</v>
          </cell>
          <cell r="E556" t="str">
            <v>TDW54R</v>
          </cell>
          <cell r="G556" t="str">
            <v>A99</v>
          </cell>
          <cell r="J556" t="str">
            <v>V99</v>
          </cell>
          <cell r="L556">
            <v>0</v>
          </cell>
          <cell r="M556">
            <v>0</v>
          </cell>
          <cell r="N556">
            <v>-1</v>
          </cell>
          <cell r="O556">
            <v>2004</v>
          </cell>
          <cell r="P556" t="str">
            <v>DEARBORN PLANT BUILD</v>
          </cell>
          <cell r="Q556" t="str">
            <v>P221/P397</v>
          </cell>
          <cell r="R556" t="str">
            <v>ALL</v>
          </cell>
          <cell r="S556" t="str">
            <v>Hole too small for attaching hitch</v>
          </cell>
          <cell r="T556">
            <v>1</v>
          </cell>
          <cell r="AA556">
            <v>1</v>
          </cell>
        </row>
        <row r="557">
          <cell r="A557">
            <v>0</v>
          </cell>
          <cell r="B557" t="str">
            <v>ALL VRTS</v>
          </cell>
          <cell r="G557" t="str">
            <v>B53</v>
          </cell>
          <cell r="J557" t="str">
            <v>V71</v>
          </cell>
          <cell r="L557">
            <v>0</v>
          </cell>
          <cell r="M557">
            <v>-1</v>
          </cell>
          <cell r="N557">
            <v>0</v>
          </cell>
          <cell r="O557">
            <v>2004</v>
          </cell>
          <cell r="P557" t="str">
            <v>DEARBORN PLANT BUILD</v>
          </cell>
          <cell r="Q557" t="str">
            <v>P221/P397</v>
          </cell>
          <cell r="R557" t="str">
            <v>ALL</v>
          </cell>
          <cell r="S557" t="str">
            <v>HORN COVER LOOSE</v>
          </cell>
          <cell r="T557">
            <v>1</v>
          </cell>
          <cell r="AA557">
            <v>1</v>
          </cell>
        </row>
        <row r="558">
          <cell r="A558">
            <v>0</v>
          </cell>
          <cell r="B558" t="str">
            <v>ALL VRTS</v>
          </cell>
          <cell r="C558" t="str">
            <v>6380</v>
          </cell>
          <cell r="E558" t="str">
            <v>C1E41F</v>
          </cell>
          <cell r="G558" t="str">
            <v>N17</v>
          </cell>
          <cell r="J558" t="str">
            <v>V21</v>
          </cell>
          <cell r="L558">
            <v>0</v>
          </cell>
          <cell r="M558">
            <v>0</v>
          </cell>
          <cell r="N558">
            <v>-1</v>
          </cell>
          <cell r="O558">
            <v>2004</v>
          </cell>
          <cell r="P558" t="str">
            <v>DEARBORN PLANT BUILD</v>
          </cell>
          <cell r="Q558" t="str">
            <v>P221/P397</v>
          </cell>
          <cell r="R558" t="str">
            <v>ALL</v>
          </cell>
          <cell r="S558" t="str">
            <v>HUB BOLTS LOOSE - REPLACED</v>
          </cell>
          <cell r="T558">
            <v>1</v>
          </cell>
          <cell r="AA558">
            <v>1</v>
          </cell>
        </row>
        <row r="559">
          <cell r="A559">
            <v>0</v>
          </cell>
          <cell r="B559" t="str">
            <v>ALL VRTS</v>
          </cell>
          <cell r="G559" t="str">
            <v>C24</v>
          </cell>
          <cell r="J559" t="str">
            <v>V79</v>
          </cell>
          <cell r="L559">
            <v>0</v>
          </cell>
          <cell r="M559">
            <v>0</v>
          </cell>
          <cell r="N559">
            <v>-1</v>
          </cell>
          <cell r="O559">
            <v>2004</v>
          </cell>
          <cell r="P559" t="str">
            <v>DEARBORN PLANT BUILD</v>
          </cell>
          <cell r="Q559" t="str">
            <v>P221/P397</v>
          </cell>
          <cell r="R559" t="str">
            <v>ALL</v>
          </cell>
          <cell r="S559" t="str">
            <v>HVAC Repaired pinched seal</v>
          </cell>
          <cell r="T559">
            <v>1</v>
          </cell>
          <cell r="AB559">
            <v>1</v>
          </cell>
        </row>
        <row r="560">
          <cell r="A560">
            <v>0</v>
          </cell>
          <cell r="B560" t="str">
            <v>ALL VRTS</v>
          </cell>
          <cell r="C560" t="str">
            <v>6360</v>
          </cell>
          <cell r="E560" t="str">
            <v>CEW46R</v>
          </cell>
          <cell r="G560" t="str">
            <v>N11</v>
          </cell>
          <cell r="J560" t="str">
            <v>V49</v>
          </cell>
          <cell r="L560">
            <v>0</v>
          </cell>
          <cell r="M560">
            <v>0</v>
          </cell>
          <cell r="N560">
            <v>-1</v>
          </cell>
          <cell r="O560">
            <v>2004</v>
          </cell>
          <cell r="P560" t="str">
            <v>DEARBORN PLANT BUILD</v>
          </cell>
          <cell r="Q560" t="str">
            <v>P221/P397</v>
          </cell>
          <cell r="R560" t="str">
            <v>ALL</v>
          </cell>
          <cell r="S560" t="str">
            <v>Idler pulley/Loose</v>
          </cell>
          <cell r="T560">
            <v>1</v>
          </cell>
          <cell r="AB560">
            <v>1</v>
          </cell>
        </row>
        <row r="561">
          <cell r="A561">
            <v>0</v>
          </cell>
          <cell r="B561" t="str">
            <v>ALL VRTS</v>
          </cell>
          <cell r="C561" t="str">
            <v>5350-2-A</v>
          </cell>
          <cell r="E561" t="str">
            <v>TDE31-l</v>
          </cell>
          <cell r="G561" t="str">
            <v>B64</v>
          </cell>
          <cell r="J561" t="str">
            <v>V75</v>
          </cell>
          <cell r="L561">
            <v>0</v>
          </cell>
          <cell r="M561">
            <v>0</v>
          </cell>
          <cell r="N561">
            <v>-1</v>
          </cell>
          <cell r="O561">
            <v>2004</v>
          </cell>
          <cell r="P561" t="str">
            <v>DEARBORN PLANT BUILD</v>
          </cell>
          <cell r="Q561" t="str">
            <v>P221/P397</v>
          </cell>
          <cell r="R561" t="str">
            <v>ALL</v>
          </cell>
          <cell r="S561" t="str">
            <v>improper position to flange</v>
          </cell>
          <cell r="T561">
            <v>1</v>
          </cell>
          <cell r="X561">
            <v>1</v>
          </cell>
        </row>
        <row r="562">
          <cell r="A562">
            <v>0</v>
          </cell>
          <cell r="B562" t="str">
            <v>ALL VRTS</v>
          </cell>
          <cell r="G562" t="str">
            <v>A85</v>
          </cell>
          <cell r="J562" t="str">
            <v>V19</v>
          </cell>
          <cell r="L562">
            <v>-1</v>
          </cell>
          <cell r="M562">
            <v>0</v>
          </cell>
          <cell r="N562">
            <v>0</v>
          </cell>
          <cell r="O562">
            <v>2004</v>
          </cell>
          <cell r="P562" t="str">
            <v>DEARBORN PLANT BUILD</v>
          </cell>
          <cell r="Q562" t="str">
            <v>P221/P397</v>
          </cell>
          <cell r="R562" t="str">
            <v>ALL</v>
          </cell>
          <cell r="S562" t="str">
            <v>Inertia switch tripped.</v>
          </cell>
          <cell r="T562">
            <v>1</v>
          </cell>
          <cell r="W562">
            <v>1</v>
          </cell>
        </row>
        <row r="563">
          <cell r="A563">
            <v>0</v>
          </cell>
          <cell r="B563" t="str">
            <v>ALL VRTS</v>
          </cell>
          <cell r="G563" t="str">
            <v>E29</v>
          </cell>
          <cell r="J563" t="str">
            <v>V44</v>
          </cell>
          <cell r="L563">
            <v>-1</v>
          </cell>
          <cell r="M563">
            <v>-1</v>
          </cell>
          <cell r="N563">
            <v>0</v>
          </cell>
          <cell r="O563">
            <v>2004</v>
          </cell>
          <cell r="P563" t="str">
            <v>DEARBORN PLANT BUILD</v>
          </cell>
          <cell r="Q563" t="str">
            <v>P221/P397</v>
          </cell>
          <cell r="R563" t="str">
            <v>ALL</v>
          </cell>
          <cell r="S563" t="str">
            <v>Injector asy replaced</v>
          </cell>
          <cell r="T563">
            <v>1</v>
          </cell>
          <cell r="AA563">
            <v>1</v>
          </cell>
        </row>
        <row r="564">
          <cell r="A564">
            <v>0</v>
          </cell>
          <cell r="B564" t="str">
            <v>ALL VRTS</v>
          </cell>
          <cell r="G564" t="str">
            <v>E68</v>
          </cell>
          <cell r="J564" t="str">
            <v>V25</v>
          </cell>
          <cell r="L564">
            <v>-1</v>
          </cell>
          <cell r="M564">
            <v>-1</v>
          </cell>
          <cell r="N564">
            <v>0</v>
          </cell>
          <cell r="O564">
            <v>2004</v>
          </cell>
          <cell r="P564" t="str">
            <v>DEARBORN PLANT BUILD</v>
          </cell>
          <cell r="Q564" t="str">
            <v>P221/P397</v>
          </cell>
          <cell r="R564" t="str">
            <v>ALL</v>
          </cell>
          <cell r="S564" t="str">
            <v>Injector seal</v>
          </cell>
          <cell r="T564">
            <v>1</v>
          </cell>
          <cell r="AA564">
            <v>1</v>
          </cell>
        </row>
        <row r="565">
          <cell r="A565">
            <v>0</v>
          </cell>
          <cell r="B565" t="str">
            <v>ALL VRTS</v>
          </cell>
          <cell r="G565" t="str">
            <v>L25</v>
          </cell>
          <cell r="J565" t="str">
            <v>V77</v>
          </cell>
          <cell r="L565">
            <v>0</v>
          </cell>
          <cell r="M565">
            <v>0</v>
          </cell>
          <cell r="N565">
            <v>-1</v>
          </cell>
          <cell r="O565">
            <v>2004</v>
          </cell>
          <cell r="P565" t="str">
            <v>DEARBORN PLANT BUILD</v>
          </cell>
          <cell r="Q565" t="str">
            <v>P221/P397</v>
          </cell>
          <cell r="R565" t="str">
            <v>ALL</v>
          </cell>
          <cell r="S565" t="str">
            <v>Install Overlay between #C2031 , #C3245</v>
          </cell>
          <cell r="T565">
            <v>1</v>
          </cell>
          <cell r="AA565">
            <v>1</v>
          </cell>
        </row>
        <row r="566">
          <cell r="A566">
            <v>0</v>
          </cell>
          <cell r="B566" t="str">
            <v>ALL VRTS</v>
          </cell>
          <cell r="C566" t="str">
            <v>5390</v>
          </cell>
          <cell r="E566" t="str">
            <v>TBE10-B</v>
          </cell>
          <cell r="G566" t="str">
            <v>L15</v>
          </cell>
          <cell r="J566" t="str">
            <v>V07</v>
          </cell>
          <cell r="L566">
            <v>0</v>
          </cell>
          <cell r="M566">
            <v>0</v>
          </cell>
          <cell r="N566">
            <v>-1</v>
          </cell>
          <cell r="O566">
            <v>2004</v>
          </cell>
          <cell r="P566" t="str">
            <v>DEARBORN PLANT BUILD</v>
          </cell>
          <cell r="Q566" t="str">
            <v>P221/P397</v>
          </cell>
          <cell r="R566" t="str">
            <v>ALL</v>
          </cell>
          <cell r="S566" t="str">
            <v>INSTALL TAILGATE CABLE AND BOLT ASSY</v>
          </cell>
          <cell r="T566">
            <v>1</v>
          </cell>
          <cell r="W566">
            <v>1</v>
          </cell>
        </row>
        <row r="567">
          <cell r="A567">
            <v>0</v>
          </cell>
          <cell r="B567" t="str">
            <v>ALL VRTS</v>
          </cell>
          <cell r="C567" t="str">
            <v>Box Line 5400-2-B</v>
          </cell>
          <cell r="E567" t="str">
            <v>TBW26B</v>
          </cell>
          <cell r="G567" t="str">
            <v>B66</v>
          </cell>
          <cell r="J567" t="str">
            <v>V75</v>
          </cell>
          <cell r="L567">
            <v>0</v>
          </cell>
          <cell r="M567">
            <v>0</v>
          </cell>
          <cell r="N567">
            <v>-1</v>
          </cell>
          <cell r="O567">
            <v>2004</v>
          </cell>
          <cell r="P567" t="str">
            <v>DEARBORN PLANT BUILD</v>
          </cell>
          <cell r="Q567" t="str">
            <v>P221/P397</v>
          </cell>
          <cell r="R567" t="str">
            <v>ALL</v>
          </cell>
          <cell r="S567" t="str">
            <v>Installed Molding RH</v>
          </cell>
          <cell r="T567">
            <v>1</v>
          </cell>
          <cell r="Y567">
            <v>1</v>
          </cell>
        </row>
        <row r="568">
          <cell r="A568">
            <v>0</v>
          </cell>
          <cell r="B568" t="str">
            <v>ALL VRTS</v>
          </cell>
          <cell r="G568" t="str">
            <v>B63</v>
          </cell>
          <cell r="J568" t="str">
            <v>V75</v>
          </cell>
          <cell r="L568">
            <v>0</v>
          </cell>
          <cell r="M568">
            <v>-1</v>
          </cell>
          <cell r="N568">
            <v>0</v>
          </cell>
          <cell r="O568">
            <v>2004</v>
          </cell>
          <cell r="P568" t="str">
            <v>DEARBORN PLANT BUILD</v>
          </cell>
          <cell r="Q568" t="str">
            <v>P221/P397</v>
          </cell>
          <cell r="R568" t="str">
            <v>ALL</v>
          </cell>
          <cell r="S568" t="str">
            <v>INSTALLED ON GRILLE</v>
          </cell>
          <cell r="T568">
            <v>1</v>
          </cell>
          <cell r="AB568">
            <v>1</v>
          </cell>
        </row>
        <row r="569">
          <cell r="A569">
            <v>0</v>
          </cell>
          <cell r="B569" t="str">
            <v>ALL VRTS</v>
          </cell>
          <cell r="G569" t="str">
            <v>B95</v>
          </cell>
          <cell r="J569" t="str">
            <v>V71</v>
          </cell>
          <cell r="L569">
            <v>0</v>
          </cell>
          <cell r="M569">
            <v>-1</v>
          </cell>
          <cell r="N569">
            <v>0</v>
          </cell>
          <cell r="O569">
            <v>2004</v>
          </cell>
          <cell r="P569" t="str">
            <v>DEARBORN PLANT BUILD</v>
          </cell>
          <cell r="Q569" t="str">
            <v>P221/P397</v>
          </cell>
          <cell r="R569" t="str">
            <v>ALL</v>
          </cell>
          <cell r="S569" t="str">
            <v>INSTR. CLUSTER DAMAGE</v>
          </cell>
          <cell r="T569">
            <v>1</v>
          </cell>
          <cell r="AB569">
            <v>1</v>
          </cell>
        </row>
        <row r="570">
          <cell r="A570">
            <v>0</v>
          </cell>
          <cell r="B570" t="str">
            <v>ALL VRTS</v>
          </cell>
          <cell r="G570" t="str">
            <v>L69</v>
          </cell>
          <cell r="J570" t="str">
            <v>V25</v>
          </cell>
          <cell r="L570">
            <v>0</v>
          </cell>
          <cell r="M570">
            <v>0</v>
          </cell>
          <cell r="N570">
            <v>-1</v>
          </cell>
          <cell r="O570">
            <v>2004</v>
          </cell>
          <cell r="P570" t="str">
            <v>DEARBORN PLANT BUILD</v>
          </cell>
          <cell r="Q570" t="str">
            <v>P221/P397</v>
          </cell>
          <cell r="R570" t="str">
            <v>ALL</v>
          </cell>
          <cell r="S570" t="str">
            <v>Insufficient Fuel</v>
          </cell>
          <cell r="T570">
            <v>1</v>
          </cell>
          <cell r="AB570">
            <v>1</v>
          </cell>
        </row>
        <row r="571">
          <cell r="A571">
            <v>0</v>
          </cell>
          <cell r="B571" t="str">
            <v>ALL VRTS</v>
          </cell>
          <cell r="G571" t="str">
            <v>N33</v>
          </cell>
          <cell r="J571" t="str">
            <v>V39</v>
          </cell>
          <cell r="L571">
            <v>0</v>
          </cell>
          <cell r="M571">
            <v>-1</v>
          </cell>
          <cell r="N571">
            <v>0</v>
          </cell>
          <cell r="O571">
            <v>2004</v>
          </cell>
          <cell r="P571" t="str">
            <v>DEARBORN PLANT BUILD</v>
          </cell>
          <cell r="Q571" t="str">
            <v>P221/P397</v>
          </cell>
          <cell r="R571" t="str">
            <v>ALL</v>
          </cell>
          <cell r="S571" t="str">
            <v>Internal Rattle</v>
          </cell>
          <cell r="T571">
            <v>1</v>
          </cell>
          <cell r="AA571">
            <v>1</v>
          </cell>
        </row>
        <row r="572">
          <cell r="A572">
            <v>0</v>
          </cell>
          <cell r="B572" t="str">
            <v>ALL VRTS</v>
          </cell>
          <cell r="G572" t="str">
            <v>L23</v>
          </cell>
          <cell r="J572" t="str">
            <v>V07</v>
          </cell>
          <cell r="L572">
            <v>-1</v>
          </cell>
          <cell r="M572">
            <v>0</v>
          </cell>
          <cell r="N572">
            <v>0</v>
          </cell>
          <cell r="O572">
            <v>2004</v>
          </cell>
          <cell r="P572" t="str">
            <v>DEARBORN PLANT BUILD</v>
          </cell>
          <cell r="Q572" t="str">
            <v>P221/P397</v>
          </cell>
          <cell r="R572" t="str">
            <v>ALL</v>
          </cell>
          <cell r="S572" t="str">
            <v>INVESTIGATE WITH DEALER</v>
          </cell>
          <cell r="T572">
            <v>1</v>
          </cell>
          <cell r="AA572">
            <v>1</v>
          </cell>
        </row>
        <row r="573">
          <cell r="A573">
            <v>0</v>
          </cell>
          <cell r="B573" t="str">
            <v>ALL VRTS</v>
          </cell>
          <cell r="G573" t="str">
            <v>L08</v>
          </cell>
          <cell r="J573" t="str">
            <v>V07</v>
          </cell>
          <cell r="L573">
            <v>0</v>
          </cell>
          <cell r="M573">
            <v>0</v>
          </cell>
          <cell r="N573">
            <v>-1</v>
          </cell>
          <cell r="O573">
            <v>2004</v>
          </cell>
          <cell r="P573" t="str">
            <v>DEARBORN PLANT BUILD</v>
          </cell>
          <cell r="Q573" t="str">
            <v>P221/P397</v>
          </cell>
          <cell r="R573" t="str">
            <v>ALL</v>
          </cell>
          <cell r="S573" t="str">
            <v>KEYLESS ENTRY NOT CALLED FOR</v>
          </cell>
          <cell r="T573">
            <v>1</v>
          </cell>
          <cell r="Y573">
            <v>1</v>
          </cell>
        </row>
        <row r="574">
          <cell r="A574">
            <v>0</v>
          </cell>
          <cell r="B574" t="str">
            <v>ALL VRTS</v>
          </cell>
          <cell r="C574" t="str">
            <v>6520</v>
          </cell>
          <cell r="E574" t="str">
            <v>C5E05L</v>
          </cell>
          <cell r="G574" t="str">
            <v>T90</v>
          </cell>
          <cell r="J574" t="str">
            <v>V74</v>
          </cell>
          <cell r="L574">
            <v>0</v>
          </cell>
          <cell r="M574">
            <v>0</v>
          </cell>
          <cell r="N574">
            <v>-1</v>
          </cell>
          <cell r="O574">
            <v>2004</v>
          </cell>
          <cell r="P574" t="str">
            <v>DEARBORN PLANT BUILD</v>
          </cell>
          <cell r="Q574" t="str">
            <v>P221/P397</v>
          </cell>
          <cell r="R574" t="str">
            <v>ALL</v>
          </cell>
          <cell r="S574" t="str">
            <v>KNOB MISSING</v>
          </cell>
          <cell r="T574">
            <v>1</v>
          </cell>
          <cell r="AA574">
            <v>1</v>
          </cell>
        </row>
        <row r="575">
          <cell r="A575">
            <v>0</v>
          </cell>
          <cell r="B575" t="str">
            <v>ALL VRTS</v>
          </cell>
          <cell r="G575" t="str">
            <v>TA3</v>
          </cell>
          <cell r="J575" t="str">
            <v>V88</v>
          </cell>
          <cell r="L575">
            <v>0</v>
          </cell>
          <cell r="M575">
            <v>-1</v>
          </cell>
          <cell r="N575">
            <v>0</v>
          </cell>
          <cell r="O575">
            <v>2004</v>
          </cell>
          <cell r="P575" t="str">
            <v>DEARBORN PLANT BUILD</v>
          </cell>
          <cell r="Q575" t="str">
            <v>P221/P397</v>
          </cell>
          <cell r="R575" t="str">
            <v>ALL</v>
          </cell>
          <cell r="S575" t="str">
            <v>KNOT IN SIDEWALL-REPLACED</v>
          </cell>
          <cell r="T575">
            <v>1</v>
          </cell>
          <cell r="Y575">
            <v>1</v>
          </cell>
        </row>
        <row r="576">
          <cell r="A576">
            <v>0</v>
          </cell>
          <cell r="B576" t="str">
            <v>ALL VRTS</v>
          </cell>
          <cell r="G576" t="str">
            <v>F20</v>
          </cell>
          <cell r="J576" t="str">
            <v>V33</v>
          </cell>
          <cell r="L576">
            <v>0</v>
          </cell>
          <cell r="M576">
            <v>0</v>
          </cell>
          <cell r="N576">
            <v>-1</v>
          </cell>
          <cell r="O576">
            <v>2004</v>
          </cell>
          <cell r="P576" t="str">
            <v>DEARBORN PLANT BUILD</v>
          </cell>
          <cell r="Q576" t="str">
            <v>P221/P397</v>
          </cell>
          <cell r="R576" t="str">
            <v>ALL</v>
          </cell>
          <cell r="S576" t="str">
            <v>L/S A Pillar</v>
          </cell>
          <cell r="T576">
            <v>1</v>
          </cell>
          <cell r="AA576">
            <v>1</v>
          </cell>
        </row>
        <row r="577">
          <cell r="A577">
            <v>0</v>
          </cell>
          <cell r="B577" t="str">
            <v>ALL VRTS</v>
          </cell>
          <cell r="G577" t="str">
            <v>F04</v>
          </cell>
          <cell r="J577" t="str">
            <v>V33</v>
          </cell>
          <cell r="L577">
            <v>0</v>
          </cell>
          <cell r="M577">
            <v>0</v>
          </cell>
          <cell r="N577">
            <v>-1</v>
          </cell>
          <cell r="O577">
            <v>2004</v>
          </cell>
          <cell r="P577" t="str">
            <v>DEARBORN PLANT BUILD</v>
          </cell>
          <cell r="Q577" t="str">
            <v>P221/P397</v>
          </cell>
          <cell r="R577" t="str">
            <v>ALL</v>
          </cell>
          <cell r="S577" t="str">
            <v>L/S Front Door Jamb</v>
          </cell>
          <cell r="T577">
            <v>1</v>
          </cell>
          <cell r="AB577">
            <v>1</v>
          </cell>
        </row>
        <row r="578">
          <cell r="A578">
            <v>0</v>
          </cell>
          <cell r="B578" t="str">
            <v>ALL VRTS</v>
          </cell>
          <cell r="C578" t="str">
            <v>6410</v>
          </cell>
          <cell r="E578" t="str">
            <v>C2W08B</v>
          </cell>
          <cell r="G578" t="str">
            <v>C50</v>
          </cell>
          <cell r="J578" t="str">
            <v>V89</v>
          </cell>
          <cell r="L578">
            <v>0</v>
          </cell>
          <cell r="M578">
            <v>0</v>
          </cell>
          <cell r="N578">
            <v>-1</v>
          </cell>
          <cell r="O578">
            <v>2004</v>
          </cell>
          <cell r="P578" t="str">
            <v>DEARBORN PLANT BUILD</v>
          </cell>
          <cell r="Q578" t="str">
            <v>P221/P397</v>
          </cell>
          <cell r="R578" t="str">
            <v>ALL</v>
          </cell>
          <cell r="S578" t="str">
            <v>L/S LOWER SHOCK - TIGHTENED NUT</v>
          </cell>
          <cell r="T578">
            <v>1</v>
          </cell>
          <cell r="AB578">
            <v>1</v>
          </cell>
        </row>
        <row r="579">
          <cell r="A579">
            <v>0</v>
          </cell>
          <cell r="B579" t="str">
            <v>ALL VRTS</v>
          </cell>
          <cell r="G579" t="str">
            <v>F07</v>
          </cell>
          <cell r="J579" t="str">
            <v>V33</v>
          </cell>
          <cell r="L579">
            <v>0</v>
          </cell>
          <cell r="M579">
            <v>0</v>
          </cell>
          <cell r="N579">
            <v>-1</v>
          </cell>
          <cell r="O579">
            <v>2004</v>
          </cell>
          <cell r="P579" t="str">
            <v>DEARBORN PLANT BUILD</v>
          </cell>
          <cell r="Q579" t="str">
            <v>P221/P397</v>
          </cell>
          <cell r="R579" t="str">
            <v>ALL</v>
          </cell>
          <cell r="S579" t="str">
            <v>L/S Wheelwell</v>
          </cell>
          <cell r="T579">
            <v>1</v>
          </cell>
          <cell r="AA579">
            <v>1</v>
          </cell>
        </row>
        <row r="580">
          <cell r="A580">
            <v>0</v>
          </cell>
          <cell r="B580" t="str">
            <v>ALL VRTS</v>
          </cell>
          <cell r="G580" t="str">
            <v>N50</v>
          </cell>
          <cell r="J580" t="str">
            <v>V39</v>
          </cell>
          <cell r="L580">
            <v>0</v>
          </cell>
          <cell r="M580">
            <v>0</v>
          </cell>
          <cell r="N580">
            <v>-1</v>
          </cell>
          <cell r="O580">
            <v>2004</v>
          </cell>
          <cell r="P580" t="str">
            <v>DEARBORN PLANT BUILD</v>
          </cell>
          <cell r="Q580" t="str">
            <v>P221/P397</v>
          </cell>
          <cell r="R580" t="str">
            <v>ALL</v>
          </cell>
          <cell r="S580" t="str">
            <v>Leaf Screen Loose</v>
          </cell>
          <cell r="T580">
            <v>1</v>
          </cell>
          <cell r="AA580">
            <v>1</v>
          </cell>
        </row>
        <row r="581">
          <cell r="A581">
            <v>0</v>
          </cell>
          <cell r="B581" t="str">
            <v>ALL VRTS</v>
          </cell>
          <cell r="G581" t="str">
            <v>B66</v>
          </cell>
          <cell r="J581" t="str">
            <v>V75</v>
          </cell>
          <cell r="L581">
            <v>0</v>
          </cell>
          <cell r="M581">
            <v>-1</v>
          </cell>
          <cell r="N581">
            <v>0</v>
          </cell>
          <cell r="O581">
            <v>2004</v>
          </cell>
          <cell r="P581" t="str">
            <v>DEARBORN PLANT BUILD</v>
          </cell>
          <cell r="Q581" t="str">
            <v>P221/P397</v>
          </cell>
          <cell r="R581" t="str">
            <v>ALL</v>
          </cell>
          <cell r="S581" t="str">
            <v>Lens replaced</v>
          </cell>
          <cell r="T581">
            <v>1</v>
          </cell>
          <cell r="AA581">
            <v>1</v>
          </cell>
        </row>
        <row r="582">
          <cell r="A582">
            <v>0</v>
          </cell>
          <cell r="B582" t="str">
            <v>ALL VRTS</v>
          </cell>
          <cell r="G582" t="str">
            <v>P51</v>
          </cell>
          <cell r="J582" t="str">
            <v>V48</v>
          </cell>
          <cell r="L582">
            <v>-1</v>
          </cell>
          <cell r="M582">
            <v>-1</v>
          </cell>
          <cell r="N582">
            <v>0</v>
          </cell>
          <cell r="O582">
            <v>2004</v>
          </cell>
          <cell r="P582" t="str">
            <v>DEARBORN PLANT BUILD</v>
          </cell>
          <cell r="Q582" t="str">
            <v>P221/P397</v>
          </cell>
          <cell r="R582" t="str">
            <v>ALL</v>
          </cell>
          <cell r="S582" t="str">
            <v>Lever gear shift loose</v>
          </cell>
          <cell r="T582">
            <v>1</v>
          </cell>
          <cell r="Z582">
            <v>1</v>
          </cell>
        </row>
        <row r="583">
          <cell r="A583">
            <v>0</v>
          </cell>
          <cell r="B583" t="str">
            <v>ALL VRTS</v>
          </cell>
          <cell r="C583" t="str">
            <v>Trim 3 5560-2-F</v>
          </cell>
          <cell r="E583" t="str">
            <v>T3E34 R</v>
          </cell>
          <cell r="G583" t="str">
            <v>B66</v>
          </cell>
          <cell r="J583" t="str">
            <v>V75</v>
          </cell>
          <cell r="L583">
            <v>0</v>
          </cell>
          <cell r="M583">
            <v>0</v>
          </cell>
          <cell r="N583">
            <v>-1</v>
          </cell>
          <cell r="O583">
            <v>2004</v>
          </cell>
          <cell r="P583" t="str">
            <v>DEARBORN PLANT BUILD</v>
          </cell>
          <cell r="Q583" t="str">
            <v>P221/P397</v>
          </cell>
          <cell r="R583" t="str">
            <v>ALL</v>
          </cell>
          <cell r="S583" t="str">
            <v>LH Splash Shield Clips Replaced</v>
          </cell>
          <cell r="T583">
            <v>1</v>
          </cell>
          <cell r="Y583">
            <v>1</v>
          </cell>
        </row>
        <row r="584">
          <cell r="A584">
            <v>0</v>
          </cell>
          <cell r="B584" t="str">
            <v>ALL VRTS</v>
          </cell>
          <cell r="G584" t="str">
            <v>N33</v>
          </cell>
          <cell r="J584" t="str">
            <v>V39</v>
          </cell>
          <cell r="L584">
            <v>0</v>
          </cell>
          <cell r="M584">
            <v>-1</v>
          </cell>
          <cell r="N584">
            <v>0</v>
          </cell>
          <cell r="O584">
            <v>2004</v>
          </cell>
          <cell r="P584" t="str">
            <v>DEARBORN PLANT BUILD</v>
          </cell>
          <cell r="Q584" t="str">
            <v>P221/P397</v>
          </cell>
          <cell r="R584" t="str">
            <v>ALL</v>
          </cell>
          <cell r="S584" t="str">
            <v>Lighter Loose</v>
          </cell>
          <cell r="T584">
            <v>1</v>
          </cell>
          <cell r="Z584">
            <v>1</v>
          </cell>
        </row>
        <row r="585">
          <cell r="A585">
            <v>0</v>
          </cell>
          <cell r="B585" t="str">
            <v>ALL VRTS</v>
          </cell>
          <cell r="C585" t="str">
            <v>unsure</v>
          </cell>
          <cell r="E585" t="str">
            <v>T3E22R</v>
          </cell>
          <cell r="G585" t="str">
            <v>N33</v>
          </cell>
          <cell r="J585" t="str">
            <v>V39</v>
          </cell>
          <cell r="L585">
            <v>0</v>
          </cell>
          <cell r="M585">
            <v>0</v>
          </cell>
          <cell r="N585">
            <v>-1</v>
          </cell>
          <cell r="O585">
            <v>2004</v>
          </cell>
          <cell r="P585" t="str">
            <v>DEARBORN PLANT BUILD</v>
          </cell>
          <cell r="Q585" t="str">
            <v>P221/P397</v>
          </cell>
          <cell r="R585" t="str">
            <v>ALL</v>
          </cell>
          <cell r="S585" t="str">
            <v>Lock Stock  - IP secure Bolt</v>
          </cell>
          <cell r="T585">
            <v>1</v>
          </cell>
          <cell r="Z585">
            <v>1</v>
          </cell>
        </row>
        <row r="586">
          <cell r="A586">
            <v>0</v>
          </cell>
          <cell r="B586" t="str">
            <v>ALL VRTS</v>
          </cell>
          <cell r="C586" t="str">
            <v>unsure</v>
          </cell>
          <cell r="E586" t="str">
            <v>TDE27L</v>
          </cell>
          <cell r="G586" t="str">
            <v>N40</v>
          </cell>
          <cell r="J586" t="str">
            <v>V39</v>
          </cell>
          <cell r="L586">
            <v>0</v>
          </cell>
          <cell r="M586">
            <v>0</v>
          </cell>
          <cell r="N586">
            <v>-1</v>
          </cell>
          <cell r="O586">
            <v>2004</v>
          </cell>
          <cell r="P586" t="str">
            <v>DEARBORN PLANT BUILD</v>
          </cell>
          <cell r="Q586" t="str">
            <v>P221/P397</v>
          </cell>
          <cell r="R586" t="str">
            <v>ALL</v>
          </cell>
          <cell r="S586" t="str">
            <v>Loode Stock</v>
          </cell>
          <cell r="T586">
            <v>1</v>
          </cell>
          <cell r="AB586">
            <v>1</v>
          </cell>
        </row>
        <row r="587">
          <cell r="A587">
            <v>0</v>
          </cell>
          <cell r="B587" t="str">
            <v>ALL VRTS</v>
          </cell>
          <cell r="G587" t="str">
            <v>L65</v>
          </cell>
          <cell r="J587" t="str">
            <v>V44</v>
          </cell>
          <cell r="L587">
            <v>0</v>
          </cell>
          <cell r="M587">
            <v>-1</v>
          </cell>
          <cell r="N587">
            <v>0</v>
          </cell>
          <cell r="O587">
            <v>2004</v>
          </cell>
          <cell r="P587" t="str">
            <v>DEARBORN PLANT BUILD</v>
          </cell>
          <cell r="Q587" t="str">
            <v>P221/P397</v>
          </cell>
          <cell r="R587" t="str">
            <v>ALL</v>
          </cell>
          <cell r="S587" t="str">
            <v>Loose bolt R/F engine</v>
          </cell>
          <cell r="T587">
            <v>1</v>
          </cell>
          <cell r="W587">
            <v>1</v>
          </cell>
        </row>
        <row r="588">
          <cell r="A588">
            <v>0</v>
          </cell>
          <cell r="B588" t="str">
            <v>ALL VRTS</v>
          </cell>
          <cell r="C588" t="str">
            <v>5560</v>
          </cell>
          <cell r="E588" t="str">
            <v>T3W21L</v>
          </cell>
          <cell r="G588" t="str">
            <v>B53</v>
          </cell>
          <cell r="J588" t="str">
            <v>V71</v>
          </cell>
          <cell r="L588">
            <v>0</v>
          </cell>
          <cell r="M588">
            <v>0</v>
          </cell>
          <cell r="N588">
            <v>-1</v>
          </cell>
          <cell r="O588">
            <v>2004</v>
          </cell>
          <cell r="P588" t="str">
            <v>DEARBORN PLANT BUILD</v>
          </cell>
          <cell r="Q588" t="str">
            <v>P221/P397</v>
          </cell>
          <cell r="R588" t="str">
            <v>ALL</v>
          </cell>
          <cell r="S588" t="str">
            <v>LOOSE BOLT-LEFT</v>
          </cell>
          <cell r="T588">
            <v>1</v>
          </cell>
          <cell r="W588">
            <v>1</v>
          </cell>
        </row>
        <row r="589">
          <cell r="A589">
            <v>0</v>
          </cell>
          <cell r="B589" t="str">
            <v>ALL VRTS</v>
          </cell>
          <cell r="C589" t="str">
            <v xml:space="preserve"> door line 5360-2-A</v>
          </cell>
          <cell r="E589" t="str">
            <v>TDE37L</v>
          </cell>
          <cell r="G589" t="str">
            <v>M10</v>
          </cell>
          <cell r="J589" t="str">
            <v>V13</v>
          </cell>
          <cell r="L589">
            <v>0</v>
          </cell>
          <cell r="M589">
            <v>0</v>
          </cell>
          <cell r="N589">
            <v>-1</v>
          </cell>
          <cell r="O589">
            <v>2004</v>
          </cell>
          <cell r="P589" t="str">
            <v>DEARBORN PLANT BUILD</v>
          </cell>
          <cell r="Q589" t="str">
            <v>P221/P397</v>
          </cell>
          <cell r="R589" t="str">
            <v>ALL</v>
          </cell>
          <cell r="S589" t="str">
            <v>Loose Connection</v>
          </cell>
          <cell r="T589">
            <v>1</v>
          </cell>
          <cell r="AA589">
            <v>1</v>
          </cell>
        </row>
        <row r="590">
          <cell r="A590">
            <v>0</v>
          </cell>
          <cell r="B590" t="str">
            <v>ALL VRTS</v>
          </cell>
          <cell r="G590" t="str">
            <v>A88</v>
          </cell>
          <cell r="J590" t="str">
            <v>V83</v>
          </cell>
          <cell r="L590">
            <v>0</v>
          </cell>
          <cell r="M590">
            <v>0</v>
          </cell>
          <cell r="N590">
            <v>-1</v>
          </cell>
          <cell r="O590">
            <v>2004</v>
          </cell>
          <cell r="P590" t="str">
            <v>DEARBORN PLANT BUILD</v>
          </cell>
          <cell r="Q590" t="str">
            <v>P221/P397</v>
          </cell>
          <cell r="R590" t="str">
            <v>ALL</v>
          </cell>
          <cell r="S590" t="str">
            <v>Loose connection - ABS Module</v>
          </cell>
          <cell r="T590">
            <v>1</v>
          </cell>
          <cell r="Y590">
            <v>1</v>
          </cell>
        </row>
        <row r="591">
          <cell r="A591">
            <v>0</v>
          </cell>
          <cell r="B591" t="str">
            <v>ALL VRTS</v>
          </cell>
          <cell r="G591" t="str">
            <v>A16</v>
          </cell>
          <cell r="J591" t="str">
            <v>V81</v>
          </cell>
          <cell r="L591">
            <v>0</v>
          </cell>
          <cell r="M591">
            <v>-1</v>
          </cell>
          <cell r="N591">
            <v>0</v>
          </cell>
          <cell r="O591">
            <v>2004</v>
          </cell>
          <cell r="P591" t="str">
            <v>DEARBORN PLANT BUILD</v>
          </cell>
          <cell r="Q591" t="str">
            <v>P221/P397</v>
          </cell>
          <cell r="R591" t="str">
            <v>ALL</v>
          </cell>
          <cell r="S591" t="str">
            <v>Loose connector 290A</v>
          </cell>
          <cell r="T591">
            <v>1</v>
          </cell>
          <cell r="Y591">
            <v>1</v>
          </cell>
        </row>
        <row r="592">
          <cell r="A592">
            <v>0</v>
          </cell>
          <cell r="B592" t="str">
            <v>ALL VRTS</v>
          </cell>
          <cell r="G592" t="str">
            <v>A07</v>
          </cell>
          <cell r="J592" t="str">
            <v>V81</v>
          </cell>
          <cell r="L592">
            <v>0</v>
          </cell>
          <cell r="M592">
            <v>0</v>
          </cell>
          <cell r="N592">
            <v>-1</v>
          </cell>
          <cell r="O592">
            <v>2004</v>
          </cell>
          <cell r="P592" t="str">
            <v>DEARBORN PLANT BUILD</v>
          </cell>
          <cell r="Q592" t="str">
            <v>P221/P397</v>
          </cell>
          <cell r="R592" t="str">
            <v>ALL</v>
          </cell>
          <cell r="S592" t="str">
            <v>Loose connector405A</v>
          </cell>
          <cell r="T592">
            <v>1</v>
          </cell>
          <cell r="Y592">
            <v>1</v>
          </cell>
        </row>
        <row r="593">
          <cell r="A593">
            <v>0</v>
          </cell>
          <cell r="B593" t="str">
            <v>ALL VRTS</v>
          </cell>
          <cell r="G593" t="str">
            <v>L26</v>
          </cell>
          <cell r="J593" t="str">
            <v>V77</v>
          </cell>
          <cell r="L593">
            <v>0</v>
          </cell>
          <cell r="M593">
            <v>-1</v>
          </cell>
          <cell r="N593">
            <v>0</v>
          </cell>
          <cell r="O593">
            <v>2004</v>
          </cell>
          <cell r="P593" t="str">
            <v>DEARBORN PLANT BUILD</v>
          </cell>
          <cell r="Q593" t="str">
            <v>P221/P397</v>
          </cell>
          <cell r="R593" t="str">
            <v>ALL</v>
          </cell>
          <cell r="S593" t="str">
            <v>Loose Fuse</v>
          </cell>
          <cell r="T593">
            <v>1</v>
          </cell>
          <cell r="AA593">
            <v>1</v>
          </cell>
        </row>
        <row r="594">
          <cell r="A594">
            <v>0</v>
          </cell>
          <cell r="B594" t="str">
            <v>ALL VRTS</v>
          </cell>
          <cell r="G594" t="str">
            <v>A87</v>
          </cell>
          <cell r="J594" t="str">
            <v>V17</v>
          </cell>
          <cell r="L594">
            <v>0</v>
          </cell>
          <cell r="M594">
            <v>0</v>
          </cell>
          <cell r="N594">
            <v>-1</v>
          </cell>
          <cell r="O594">
            <v>2004</v>
          </cell>
          <cell r="P594" t="str">
            <v>DEARBORN PLANT BUILD</v>
          </cell>
          <cell r="Q594" t="str">
            <v>P221/P397</v>
          </cell>
          <cell r="R594" t="str">
            <v>ALL</v>
          </cell>
          <cell r="S594" t="str">
            <v>Loose Fuse, secured fuse</v>
          </cell>
          <cell r="T594">
            <v>1</v>
          </cell>
          <cell r="AB594">
            <v>1</v>
          </cell>
        </row>
        <row r="595">
          <cell r="A595">
            <v>0</v>
          </cell>
          <cell r="B595" t="str">
            <v>ALL VRTS</v>
          </cell>
          <cell r="G595" t="str">
            <v>C20</v>
          </cell>
          <cell r="J595" t="str">
            <v>V79</v>
          </cell>
          <cell r="L595">
            <v>0</v>
          </cell>
          <cell r="M595">
            <v>-1</v>
          </cell>
          <cell r="N595">
            <v>0</v>
          </cell>
          <cell r="O595">
            <v>2004</v>
          </cell>
          <cell r="P595" t="str">
            <v>DEARBORN PLANT BUILD</v>
          </cell>
          <cell r="Q595" t="str">
            <v>P221/P397</v>
          </cell>
          <cell r="R595" t="str">
            <v>ALL</v>
          </cell>
          <cell r="S595" t="str">
            <v>Loose Screw in blower motor.</v>
          </cell>
          <cell r="T595">
            <v>1</v>
          </cell>
          <cell r="Z595">
            <v>1</v>
          </cell>
        </row>
        <row r="596">
          <cell r="A596">
            <v>0</v>
          </cell>
          <cell r="B596" t="str">
            <v>ALL VRTS</v>
          </cell>
          <cell r="G596" t="str">
            <v>T55</v>
          </cell>
          <cell r="J596" t="str">
            <v>V74</v>
          </cell>
          <cell r="L596">
            <v>0</v>
          </cell>
          <cell r="M596">
            <v>-1</v>
          </cell>
          <cell r="N596">
            <v>0</v>
          </cell>
          <cell r="O596">
            <v>2004</v>
          </cell>
          <cell r="P596" t="str">
            <v>DEARBORN PLANT BUILD</v>
          </cell>
          <cell r="Q596" t="str">
            <v>P221/P397</v>
          </cell>
          <cell r="R596" t="str">
            <v>ALL</v>
          </cell>
          <cell r="S596" t="str">
            <v>LOOSE TRIM L/F</v>
          </cell>
          <cell r="T596">
            <v>1</v>
          </cell>
          <cell r="Y596">
            <v>1</v>
          </cell>
        </row>
        <row r="597">
          <cell r="A597">
            <v>0</v>
          </cell>
          <cell r="B597" t="str">
            <v>ALL VRTS</v>
          </cell>
          <cell r="G597" t="str">
            <v>L29</v>
          </cell>
          <cell r="J597" t="str">
            <v>V77</v>
          </cell>
          <cell r="L597">
            <v>0</v>
          </cell>
          <cell r="M597">
            <v>0</v>
          </cell>
          <cell r="N597">
            <v>-1</v>
          </cell>
          <cell r="O597">
            <v>2004</v>
          </cell>
          <cell r="P597" t="str">
            <v>DEARBORN PLANT BUILD</v>
          </cell>
          <cell r="Q597" t="str">
            <v>P221/P397</v>
          </cell>
          <cell r="R597" t="str">
            <v>ALL</v>
          </cell>
          <cell r="S597" t="str">
            <v>Loose Wire</v>
          </cell>
          <cell r="T597">
            <v>1</v>
          </cell>
          <cell r="AB597">
            <v>1</v>
          </cell>
        </row>
        <row r="598">
          <cell r="A598">
            <v>0</v>
          </cell>
          <cell r="B598" t="str">
            <v>ALL VRTS</v>
          </cell>
          <cell r="G598" t="str">
            <v>C26</v>
          </cell>
          <cell r="J598" t="str">
            <v>V19</v>
          </cell>
          <cell r="L598">
            <v>0</v>
          </cell>
          <cell r="M598">
            <v>0</v>
          </cell>
          <cell r="N598">
            <v>-1</v>
          </cell>
          <cell r="O598">
            <v>2004</v>
          </cell>
          <cell r="P598" t="str">
            <v>DEARBORN PLANT BUILD</v>
          </cell>
          <cell r="Q598" t="str">
            <v>P221/P397</v>
          </cell>
          <cell r="R598" t="str">
            <v>ALL</v>
          </cell>
          <cell r="S598" t="str">
            <v>Loose Wiring Connector on alternator</v>
          </cell>
          <cell r="T598">
            <v>1</v>
          </cell>
          <cell r="Z598">
            <v>1</v>
          </cell>
        </row>
        <row r="599">
          <cell r="A599">
            <v>0</v>
          </cell>
          <cell r="B599" t="str">
            <v>ALL VRTS</v>
          </cell>
          <cell r="G599" t="str">
            <v>T90</v>
          </cell>
          <cell r="J599" t="str">
            <v>V74</v>
          </cell>
          <cell r="L599">
            <v>0</v>
          </cell>
          <cell r="M599">
            <v>-1</v>
          </cell>
          <cell r="N599">
            <v>0</v>
          </cell>
          <cell r="O599">
            <v>2004</v>
          </cell>
          <cell r="P599" t="str">
            <v>DEARBORN PLANT BUILD</v>
          </cell>
          <cell r="Q599" t="str">
            <v>P221/P397</v>
          </cell>
          <cell r="R599" t="str">
            <v>ALL</v>
          </cell>
          <cell r="S599" t="str">
            <v>LOOSE,REPLACED</v>
          </cell>
          <cell r="T599">
            <v>1</v>
          </cell>
          <cell r="X599">
            <v>1</v>
          </cell>
        </row>
        <row r="600">
          <cell r="A600">
            <v>0</v>
          </cell>
          <cell r="B600" t="str">
            <v>ALL VRTS</v>
          </cell>
          <cell r="G600" t="str">
            <v>C27</v>
          </cell>
          <cell r="J600" t="str">
            <v>V19</v>
          </cell>
          <cell r="L600">
            <v>0</v>
          </cell>
          <cell r="M600">
            <v>0</v>
          </cell>
          <cell r="N600">
            <v>-1</v>
          </cell>
          <cell r="O600">
            <v>2004</v>
          </cell>
          <cell r="P600" t="str">
            <v>DEARBORN PLANT BUILD</v>
          </cell>
          <cell r="Q600" t="str">
            <v>P221/P397</v>
          </cell>
          <cell r="R600" t="str">
            <v>ALL</v>
          </cell>
          <cell r="S600" t="str">
            <v>Low Battery.</v>
          </cell>
          <cell r="T600">
            <v>1</v>
          </cell>
          <cell r="W600">
            <v>1</v>
          </cell>
        </row>
        <row r="601">
          <cell r="A601">
            <v>0</v>
          </cell>
          <cell r="B601" t="str">
            <v>ALL VRTS</v>
          </cell>
          <cell r="C601" t="str">
            <v>6570</v>
          </cell>
          <cell r="E601" t="str">
            <v>C7W09L</v>
          </cell>
          <cell r="G601" t="str">
            <v>L87</v>
          </cell>
          <cell r="J601" t="str">
            <v>V44</v>
          </cell>
          <cell r="L601">
            <v>0</v>
          </cell>
          <cell r="M601">
            <v>0</v>
          </cell>
          <cell r="N601">
            <v>-1</v>
          </cell>
          <cell r="O601">
            <v>2004</v>
          </cell>
          <cell r="P601" t="str">
            <v>DEARBORN PLANT BUILD</v>
          </cell>
          <cell r="Q601" t="str">
            <v>P221/P397</v>
          </cell>
          <cell r="R601" t="str">
            <v>ALL</v>
          </cell>
          <cell r="S601" t="str">
            <v>Low coolant</v>
          </cell>
          <cell r="T601">
            <v>1</v>
          </cell>
          <cell r="Z601">
            <v>1</v>
          </cell>
        </row>
        <row r="602">
          <cell r="A602">
            <v>0</v>
          </cell>
          <cell r="B602" t="str">
            <v>ALL VRTS</v>
          </cell>
          <cell r="C602" t="str">
            <v>6370</v>
          </cell>
          <cell r="E602" t="str">
            <v>C1E13F - LOWER CONTROL ARM LOOSE (TL#1)</v>
          </cell>
          <cell r="G602" t="str">
            <v>E35</v>
          </cell>
          <cell r="J602" t="str">
            <v>V89</v>
          </cell>
          <cell r="L602">
            <v>0</v>
          </cell>
          <cell r="M602">
            <v>0</v>
          </cell>
          <cell r="N602">
            <v>-1</v>
          </cell>
          <cell r="O602">
            <v>2004</v>
          </cell>
          <cell r="P602" t="str">
            <v>DEARBORN PLANT BUILD</v>
          </cell>
          <cell r="Q602" t="str">
            <v>P221/P397</v>
          </cell>
          <cell r="R602" t="str">
            <v>ALL</v>
          </cell>
          <cell r="S602" t="str">
            <v>LOWER CONTROL ARM LOOSE - TIGHTENED</v>
          </cell>
          <cell r="T602">
            <v>1</v>
          </cell>
          <cell r="AA602">
            <v>1</v>
          </cell>
        </row>
        <row r="603">
          <cell r="A603">
            <v>0</v>
          </cell>
          <cell r="B603" t="str">
            <v>ALL VRTS</v>
          </cell>
          <cell r="G603" t="str">
            <v>E35</v>
          </cell>
          <cell r="J603" t="str">
            <v>V89</v>
          </cell>
          <cell r="L603">
            <v>0</v>
          </cell>
          <cell r="M603">
            <v>-1</v>
          </cell>
          <cell r="N603">
            <v>0</v>
          </cell>
          <cell r="O603">
            <v>2004</v>
          </cell>
          <cell r="P603" t="str">
            <v>DEARBORN PLANT BUILD</v>
          </cell>
          <cell r="Q603" t="str">
            <v>P221/P397</v>
          </cell>
          <cell r="R603" t="str">
            <v>ALL</v>
          </cell>
          <cell r="S603" t="str">
            <v>LOWER HOSE CLAMP - REPLACED</v>
          </cell>
          <cell r="T603">
            <v>1</v>
          </cell>
          <cell r="Z603">
            <v>1</v>
          </cell>
        </row>
        <row r="604">
          <cell r="A604">
            <v>0</v>
          </cell>
          <cell r="B604" t="str">
            <v>ALL VRTS</v>
          </cell>
          <cell r="C604" t="str">
            <v>Trim 3 Team 4</v>
          </cell>
          <cell r="E604" t="str">
            <v>T3E24R</v>
          </cell>
          <cell r="G604" t="str">
            <v>C05</v>
          </cell>
          <cell r="J604" t="str">
            <v>V79</v>
          </cell>
          <cell r="L604">
            <v>0</v>
          </cell>
          <cell r="M604">
            <v>0</v>
          </cell>
          <cell r="N604">
            <v>-1</v>
          </cell>
          <cell r="O604">
            <v>2004</v>
          </cell>
          <cell r="P604" t="str">
            <v>DEARBORN PLANT BUILD</v>
          </cell>
          <cell r="Q604" t="str">
            <v>P221/P397</v>
          </cell>
          <cell r="R604" t="str">
            <v>ALL</v>
          </cell>
          <cell r="S604" t="str">
            <v>Lse. Blk. Plug in 14401 Loom C889 in dash</v>
          </cell>
          <cell r="T604">
            <v>1</v>
          </cell>
          <cell r="V604">
            <v>1</v>
          </cell>
        </row>
        <row r="605">
          <cell r="A605">
            <v>0</v>
          </cell>
          <cell r="B605" t="str">
            <v>ALL VRTS</v>
          </cell>
          <cell r="G605" t="str">
            <v>W05</v>
          </cell>
          <cell r="J605" t="str">
            <v>V16</v>
          </cell>
          <cell r="L605">
            <v>0</v>
          </cell>
          <cell r="M605">
            <v>0</v>
          </cell>
          <cell r="N605">
            <v>-1</v>
          </cell>
          <cell r="O605">
            <v>2004</v>
          </cell>
          <cell r="P605" t="str">
            <v>DEARBORN PLANT BUILD</v>
          </cell>
          <cell r="Q605" t="str">
            <v>P221/P397</v>
          </cell>
          <cell r="R605" t="str">
            <v>ALL</v>
          </cell>
          <cell r="S605" t="str">
            <v>Lse. Fuse</v>
          </cell>
          <cell r="T605">
            <v>1</v>
          </cell>
          <cell r="AB605">
            <v>1</v>
          </cell>
        </row>
        <row r="606">
          <cell r="A606">
            <v>0</v>
          </cell>
          <cell r="B606" t="str">
            <v>ALL VRTS</v>
          </cell>
          <cell r="G606" t="str">
            <v>L15</v>
          </cell>
          <cell r="J606" t="str">
            <v>V07</v>
          </cell>
          <cell r="L606">
            <v>0</v>
          </cell>
          <cell r="M606">
            <v>-1</v>
          </cell>
          <cell r="N606">
            <v>0</v>
          </cell>
          <cell r="O606">
            <v>2004</v>
          </cell>
          <cell r="P606" t="str">
            <v>DEARBORN PLANT BUILD</v>
          </cell>
          <cell r="Q606" t="str">
            <v>P221/P397</v>
          </cell>
          <cell r="R606" t="str">
            <v>ALL</v>
          </cell>
          <cell r="S606" t="str">
            <v>LUBE DOOR LATCH</v>
          </cell>
          <cell r="T606">
            <v>1</v>
          </cell>
          <cell r="W606">
            <v>1</v>
          </cell>
        </row>
        <row r="607">
          <cell r="A607">
            <v>0</v>
          </cell>
          <cell r="B607" t="str">
            <v>ALL VRTS</v>
          </cell>
          <cell r="C607" t="str">
            <v>5390</v>
          </cell>
          <cell r="E607" t="str">
            <v>TBE10-B</v>
          </cell>
          <cell r="G607" t="str">
            <v>L15</v>
          </cell>
          <cell r="J607" t="str">
            <v>V07</v>
          </cell>
          <cell r="L607">
            <v>0</v>
          </cell>
          <cell r="M607">
            <v>0</v>
          </cell>
          <cell r="N607">
            <v>-1</v>
          </cell>
          <cell r="O607">
            <v>2004</v>
          </cell>
          <cell r="P607" t="str">
            <v>DEARBORN PLANT BUILD</v>
          </cell>
          <cell r="Q607" t="str">
            <v>P221/P397</v>
          </cell>
          <cell r="R607" t="str">
            <v>ALL</v>
          </cell>
          <cell r="S607" t="str">
            <v>LUBE TAILGATE HINGE</v>
          </cell>
          <cell r="T607">
            <v>1</v>
          </cell>
          <cell r="AB607">
            <v>1</v>
          </cell>
        </row>
        <row r="608">
          <cell r="A608">
            <v>0</v>
          </cell>
          <cell r="B608" t="str">
            <v>ALL VRTS</v>
          </cell>
          <cell r="G608" t="str">
            <v>N58</v>
          </cell>
          <cell r="J608" t="str">
            <v>V87</v>
          </cell>
          <cell r="L608">
            <v>-1</v>
          </cell>
          <cell r="M608">
            <v>-1</v>
          </cell>
          <cell r="N608">
            <v>0</v>
          </cell>
          <cell r="O608">
            <v>2004</v>
          </cell>
          <cell r="P608" t="str">
            <v>DEARBORN PLANT BUILD</v>
          </cell>
          <cell r="Q608" t="str">
            <v>P221/P397</v>
          </cell>
          <cell r="R608" t="str">
            <v>ALL</v>
          </cell>
          <cell r="S608" t="str">
            <v>LUBED STEERING STOPS</v>
          </cell>
          <cell r="T608">
            <v>1</v>
          </cell>
          <cell r="AB608">
            <v>1</v>
          </cell>
        </row>
        <row r="609">
          <cell r="A609">
            <v>0</v>
          </cell>
          <cell r="B609" t="str">
            <v>ALL VRTS</v>
          </cell>
          <cell r="G609" t="str">
            <v>A85</v>
          </cell>
          <cell r="J609" t="str">
            <v>V19</v>
          </cell>
          <cell r="L609">
            <v>0</v>
          </cell>
          <cell r="M609">
            <v>-1</v>
          </cell>
          <cell r="N609">
            <v>0</v>
          </cell>
          <cell r="O609">
            <v>2004</v>
          </cell>
          <cell r="P609" t="str">
            <v>DEARBORN PLANT BUILD</v>
          </cell>
          <cell r="Q609" t="str">
            <v>P221/P397</v>
          </cell>
          <cell r="R609" t="str">
            <v>ALL</v>
          </cell>
          <cell r="S609" t="str">
            <v>Master Switch Plate , repaired rr.-conn.</v>
          </cell>
          <cell r="T609">
            <v>1</v>
          </cell>
          <cell r="AA609">
            <v>1</v>
          </cell>
        </row>
        <row r="610">
          <cell r="A610">
            <v>0</v>
          </cell>
          <cell r="B610" t="str">
            <v>ALL VRTS</v>
          </cell>
          <cell r="C610" t="str">
            <v>6480</v>
          </cell>
          <cell r="E610" t="str">
            <v>IC4E01L</v>
          </cell>
          <cell r="G610" t="str">
            <v>H19</v>
          </cell>
          <cell r="J610" t="str">
            <v>V21</v>
          </cell>
          <cell r="L610">
            <v>0</v>
          </cell>
          <cell r="M610">
            <v>0</v>
          </cell>
          <cell r="N610">
            <v>-1</v>
          </cell>
          <cell r="O610">
            <v>2004</v>
          </cell>
          <cell r="P610" t="str">
            <v>DEARBORN PLANT BUILD</v>
          </cell>
          <cell r="Q610" t="str">
            <v>P221/P397</v>
          </cell>
          <cell r="R610" t="str">
            <v>ALL</v>
          </cell>
          <cell r="S610" t="str">
            <v>MASTERCYLINDER PLUG NOT CONNECTED - CONNECTED</v>
          </cell>
          <cell r="T610">
            <v>1</v>
          </cell>
          <cell r="Z610">
            <v>1</v>
          </cell>
        </row>
        <row r="611">
          <cell r="A611">
            <v>0</v>
          </cell>
          <cell r="B611" t="str">
            <v>ALL VRTS</v>
          </cell>
          <cell r="G611" t="str">
            <v>S27</v>
          </cell>
          <cell r="J611" t="str">
            <v>V05</v>
          </cell>
          <cell r="L611">
            <v>0</v>
          </cell>
          <cell r="M611">
            <v>-1</v>
          </cell>
          <cell r="N611">
            <v>0</v>
          </cell>
          <cell r="O611">
            <v>2004</v>
          </cell>
          <cell r="P611" t="str">
            <v>DEARBORN PLANT BUILD</v>
          </cell>
          <cell r="Q611" t="str">
            <v>P221/P397</v>
          </cell>
          <cell r="R611" t="str">
            <v>ALL</v>
          </cell>
          <cell r="S611" t="str">
            <v>MATERIAL DEFECT</v>
          </cell>
          <cell r="T611">
            <v>1</v>
          </cell>
          <cell r="AA611">
            <v>1</v>
          </cell>
        </row>
        <row r="612">
          <cell r="A612">
            <v>0</v>
          </cell>
          <cell r="B612" t="str">
            <v>ALL VRTS</v>
          </cell>
          <cell r="G612" t="str">
            <v>S03</v>
          </cell>
          <cell r="J612" t="str">
            <v>V03</v>
          </cell>
          <cell r="L612">
            <v>0</v>
          </cell>
          <cell r="M612">
            <v>-1</v>
          </cell>
          <cell r="N612">
            <v>0</v>
          </cell>
          <cell r="O612">
            <v>2004</v>
          </cell>
          <cell r="P612" t="str">
            <v>DEARBORN PLANT BUILD</v>
          </cell>
          <cell r="Q612" t="str">
            <v>P221/P397</v>
          </cell>
          <cell r="R612" t="str">
            <v>ALL</v>
          </cell>
          <cell r="S612" t="str">
            <v>MIDDLE,SPACERS MISSING</v>
          </cell>
          <cell r="T612">
            <v>1</v>
          </cell>
          <cell r="Y612">
            <v>1</v>
          </cell>
        </row>
        <row r="613">
          <cell r="A613">
            <v>0</v>
          </cell>
          <cell r="B613" t="str">
            <v>ALL VRTS</v>
          </cell>
          <cell r="G613" t="str">
            <v>T51</v>
          </cell>
          <cell r="J613" t="str">
            <v>V74</v>
          </cell>
          <cell r="L613">
            <v>0</v>
          </cell>
          <cell r="M613">
            <v>-1</v>
          </cell>
          <cell r="N613">
            <v>0</v>
          </cell>
          <cell r="O613">
            <v>2004</v>
          </cell>
          <cell r="P613" t="str">
            <v>DEARBORN PLANT BUILD</v>
          </cell>
          <cell r="Q613" t="str">
            <v>P221/P397</v>
          </cell>
          <cell r="R613" t="str">
            <v>ALL</v>
          </cell>
          <cell r="S613" t="str">
            <v>MIRROR COVER</v>
          </cell>
          <cell r="T613">
            <v>1</v>
          </cell>
          <cell r="Z613">
            <v>1</v>
          </cell>
        </row>
        <row r="614">
          <cell r="A614">
            <v>0</v>
          </cell>
          <cell r="B614" t="str">
            <v>ALL VRTS</v>
          </cell>
          <cell r="C614" t="str">
            <v>6520</v>
          </cell>
          <cell r="E614" t="str">
            <v>C5E05L</v>
          </cell>
          <cell r="G614" t="str">
            <v>B92</v>
          </cell>
          <cell r="J614" t="str">
            <v>V71</v>
          </cell>
          <cell r="L614">
            <v>0</v>
          </cell>
          <cell r="M614">
            <v>0</v>
          </cell>
          <cell r="N614">
            <v>-1</v>
          </cell>
          <cell r="O614">
            <v>2004</v>
          </cell>
          <cell r="P614" t="str">
            <v>DEARBORN PLANT BUILD</v>
          </cell>
          <cell r="Q614" t="str">
            <v>P221/P397</v>
          </cell>
          <cell r="R614" t="str">
            <v>ALL</v>
          </cell>
          <cell r="S614" t="str">
            <v>MISBUILD WRONG COLOR</v>
          </cell>
          <cell r="T614">
            <v>1</v>
          </cell>
          <cell r="AB614">
            <v>1</v>
          </cell>
        </row>
        <row r="615">
          <cell r="A615">
            <v>0</v>
          </cell>
          <cell r="B615" t="str">
            <v>ALL VRTS</v>
          </cell>
          <cell r="G615" t="str">
            <v>A85</v>
          </cell>
          <cell r="J615" t="str">
            <v>V17</v>
          </cell>
          <cell r="L615">
            <v>0</v>
          </cell>
          <cell r="M615">
            <v>0</v>
          </cell>
          <cell r="N615">
            <v>-1</v>
          </cell>
          <cell r="O615">
            <v>2004</v>
          </cell>
          <cell r="P615" t="str">
            <v>DEARBORN PLANT BUILD</v>
          </cell>
          <cell r="Q615" t="str">
            <v>P221/P397</v>
          </cell>
          <cell r="R615" t="str">
            <v>ALL</v>
          </cell>
          <cell r="S615" t="str">
            <v>Mis-Routed.</v>
          </cell>
          <cell r="T615">
            <v>1</v>
          </cell>
          <cell r="Y615">
            <v>1</v>
          </cell>
        </row>
        <row r="616">
          <cell r="A616">
            <v>0</v>
          </cell>
          <cell r="B616" t="str">
            <v>ALL VRTS</v>
          </cell>
          <cell r="G616" t="str">
            <v>A85</v>
          </cell>
          <cell r="J616" t="str">
            <v>V17</v>
          </cell>
          <cell r="L616">
            <v>0</v>
          </cell>
          <cell r="M616">
            <v>-1</v>
          </cell>
          <cell r="N616">
            <v>0</v>
          </cell>
          <cell r="O616">
            <v>2004</v>
          </cell>
          <cell r="P616" t="str">
            <v>DEARBORN PLANT BUILD</v>
          </cell>
          <cell r="Q616" t="str">
            <v>P221/P397</v>
          </cell>
          <cell r="R616" t="str">
            <v>ALL</v>
          </cell>
          <cell r="S616" t="str">
            <v>Missing Harness, Replaced</v>
          </cell>
          <cell r="T616">
            <v>1</v>
          </cell>
          <cell r="Y616">
            <v>1</v>
          </cell>
        </row>
        <row r="617">
          <cell r="A617">
            <v>0</v>
          </cell>
          <cell r="B617" t="str">
            <v>ALL VRTS</v>
          </cell>
          <cell r="G617" t="str">
            <v>S06</v>
          </cell>
          <cell r="J617" t="str">
            <v>V03</v>
          </cell>
          <cell r="L617">
            <v>0</v>
          </cell>
          <cell r="M617">
            <v>-1</v>
          </cell>
          <cell r="N617">
            <v>0</v>
          </cell>
          <cell r="O617">
            <v>2004</v>
          </cell>
          <cell r="P617" t="str">
            <v>DEARBORN PLANT BUILD</v>
          </cell>
          <cell r="Q617" t="str">
            <v>P221/P397</v>
          </cell>
          <cell r="R617" t="str">
            <v>ALL</v>
          </cell>
          <cell r="S617" t="str">
            <v>MISSING NUT,RELEASE HANDLE</v>
          </cell>
          <cell r="T617">
            <v>1</v>
          </cell>
          <cell r="Y617">
            <v>1</v>
          </cell>
        </row>
        <row r="618">
          <cell r="A618">
            <v>0</v>
          </cell>
          <cell r="B618" t="str">
            <v>ALL VRTS</v>
          </cell>
          <cell r="C618" t="str">
            <v>6530</v>
          </cell>
          <cell r="E618" t="str">
            <v>C5E07L</v>
          </cell>
          <cell r="G618" t="str">
            <v>B95</v>
          </cell>
          <cell r="J618" t="str">
            <v>V71</v>
          </cell>
          <cell r="L618">
            <v>0</v>
          </cell>
          <cell r="M618">
            <v>0</v>
          </cell>
          <cell r="N618">
            <v>-1</v>
          </cell>
          <cell r="O618">
            <v>2004</v>
          </cell>
          <cell r="P618" t="str">
            <v>DEARBORN PLANT BUILD</v>
          </cell>
          <cell r="Q618" t="str">
            <v>P221/P397</v>
          </cell>
          <cell r="R618" t="str">
            <v>ALL</v>
          </cell>
          <cell r="S618" t="str">
            <v>MISSING POWER OUTLET</v>
          </cell>
          <cell r="T618">
            <v>1</v>
          </cell>
          <cell r="X618">
            <v>1</v>
          </cell>
        </row>
        <row r="619">
          <cell r="A619">
            <v>0</v>
          </cell>
          <cell r="B619" t="str">
            <v>ALL VRTS</v>
          </cell>
          <cell r="G619" t="str">
            <v>L29</v>
          </cell>
          <cell r="J619" t="str">
            <v>V77</v>
          </cell>
          <cell r="L619">
            <v>0</v>
          </cell>
          <cell r="M619">
            <v>-1</v>
          </cell>
          <cell r="N619">
            <v>0</v>
          </cell>
          <cell r="O619">
            <v>2004</v>
          </cell>
          <cell r="P619" t="str">
            <v>DEARBORN PLANT BUILD</v>
          </cell>
          <cell r="Q619" t="str">
            <v>P221/P397</v>
          </cell>
          <cell r="R619" t="str">
            <v>ALL</v>
          </cell>
          <cell r="S619" t="str">
            <v>Moisture in tail light replace assy. And reck.</v>
          </cell>
          <cell r="T619">
            <v>1</v>
          </cell>
          <cell r="AA619">
            <v>1</v>
          </cell>
        </row>
        <row r="620">
          <cell r="A620">
            <v>0</v>
          </cell>
          <cell r="B620" t="str">
            <v>ALL VRTS</v>
          </cell>
          <cell r="G620" t="str">
            <v>S27</v>
          </cell>
          <cell r="J620" t="str">
            <v>V05</v>
          </cell>
          <cell r="L620">
            <v>0</v>
          </cell>
          <cell r="M620">
            <v>-1</v>
          </cell>
          <cell r="N620">
            <v>0</v>
          </cell>
          <cell r="O620">
            <v>2004</v>
          </cell>
          <cell r="P620" t="str">
            <v>DEARBORN PLANT BUILD</v>
          </cell>
          <cell r="Q620" t="str">
            <v>P221/P397</v>
          </cell>
          <cell r="R620" t="str">
            <v>ALL</v>
          </cell>
          <cell r="S620" t="str">
            <v>MOULDING/STITCHING LOOSE</v>
          </cell>
          <cell r="T620">
            <v>1</v>
          </cell>
          <cell r="W620">
            <v>1</v>
          </cell>
        </row>
        <row r="621">
          <cell r="A621">
            <v>0</v>
          </cell>
          <cell r="B621" t="str">
            <v>ALL VRTS</v>
          </cell>
          <cell r="G621" t="str">
            <v>A85</v>
          </cell>
          <cell r="J621" t="str">
            <v>V17</v>
          </cell>
          <cell r="L621">
            <v>0</v>
          </cell>
          <cell r="M621">
            <v>-1</v>
          </cell>
          <cell r="N621">
            <v>0</v>
          </cell>
          <cell r="O621">
            <v>2004</v>
          </cell>
          <cell r="P621" t="str">
            <v>DEARBORN PLANT BUILD</v>
          </cell>
          <cell r="Q621" t="str">
            <v>P221/P397</v>
          </cell>
          <cell r="R621" t="str">
            <v>ALL</v>
          </cell>
          <cell r="S621" t="str">
            <v>N/C at RPA switch</v>
          </cell>
          <cell r="T621">
            <v>1</v>
          </cell>
          <cell r="AA621">
            <v>1</v>
          </cell>
        </row>
        <row r="622">
          <cell r="A622">
            <v>0</v>
          </cell>
          <cell r="B622" t="str">
            <v>ALL VRTS</v>
          </cell>
          <cell r="G622" t="str">
            <v>L22</v>
          </cell>
          <cell r="J622" t="str">
            <v>V77</v>
          </cell>
          <cell r="L622">
            <v>0</v>
          </cell>
          <cell r="M622">
            <v>-1</v>
          </cell>
          <cell r="N622">
            <v>0</v>
          </cell>
          <cell r="O622">
            <v>2004</v>
          </cell>
          <cell r="P622" t="str">
            <v>DEARBORN PLANT BUILD</v>
          </cell>
          <cell r="Q622" t="str">
            <v>P221/P397</v>
          </cell>
          <cell r="R622" t="str">
            <v>ALL</v>
          </cell>
          <cell r="S622" t="str">
            <v>N/C C263  401/320</v>
          </cell>
          <cell r="T622">
            <v>1</v>
          </cell>
          <cell r="Z622">
            <v>1</v>
          </cell>
        </row>
        <row r="623">
          <cell r="A623">
            <v>0</v>
          </cell>
          <cell r="B623" t="str">
            <v>ALL VRTS</v>
          </cell>
          <cell r="C623" t="str">
            <v>6430</v>
          </cell>
          <cell r="E623" t="str">
            <v>C2E29FL</v>
          </cell>
          <cell r="G623" t="str">
            <v>K03</v>
          </cell>
          <cell r="J623" t="str">
            <v>V44</v>
          </cell>
          <cell r="L623">
            <v>-1</v>
          </cell>
          <cell r="M623">
            <v>0</v>
          </cell>
          <cell r="N623">
            <v>-1</v>
          </cell>
          <cell r="O623">
            <v>2004</v>
          </cell>
          <cell r="P623" t="str">
            <v>DEARBORN PLANT BUILD</v>
          </cell>
          <cell r="Q623" t="str">
            <v>P221/P397</v>
          </cell>
          <cell r="R623" t="str">
            <v>ALL</v>
          </cell>
          <cell r="S623" t="str">
            <v>Neutralize Motor mounts</v>
          </cell>
          <cell r="T623">
            <v>1</v>
          </cell>
          <cell r="AA623">
            <v>1</v>
          </cell>
        </row>
        <row r="624">
          <cell r="A624">
            <v>0</v>
          </cell>
          <cell r="B624" t="str">
            <v>ALL VRTS</v>
          </cell>
          <cell r="G624" t="str">
            <v>A85</v>
          </cell>
          <cell r="J624" t="str">
            <v>V83</v>
          </cell>
          <cell r="L624">
            <v>0</v>
          </cell>
          <cell r="M624">
            <v>-1</v>
          </cell>
          <cell r="N624">
            <v>0</v>
          </cell>
          <cell r="O624">
            <v>2004</v>
          </cell>
          <cell r="P624" t="str">
            <v>DEARBORN PLANT BUILD</v>
          </cell>
          <cell r="Q624" t="str">
            <v>P221/P397</v>
          </cell>
          <cell r="R624" t="str">
            <v>ALL</v>
          </cell>
          <cell r="S624" t="str">
            <v>No code Monitor.</v>
          </cell>
          <cell r="T624">
            <v>1</v>
          </cell>
          <cell r="X624">
            <v>1</v>
          </cell>
        </row>
        <row r="625">
          <cell r="A625">
            <v>0</v>
          </cell>
          <cell r="B625" t="str">
            <v>ALL VRTS</v>
          </cell>
          <cell r="G625" t="str">
            <v>A34</v>
          </cell>
          <cell r="J625" t="str">
            <v>V83</v>
          </cell>
          <cell r="L625">
            <v>0</v>
          </cell>
          <cell r="M625">
            <v>-1</v>
          </cell>
          <cell r="N625">
            <v>0</v>
          </cell>
          <cell r="O625">
            <v>2004</v>
          </cell>
          <cell r="P625" t="str">
            <v>DEARBORN PLANT BUILD</v>
          </cell>
          <cell r="Q625" t="str">
            <v>P221/P397</v>
          </cell>
          <cell r="R625" t="str">
            <v>ALL</v>
          </cell>
          <cell r="S625" t="str">
            <v>No connect clock spring</v>
          </cell>
          <cell r="T625">
            <v>1</v>
          </cell>
          <cell r="AB625">
            <v>1</v>
          </cell>
        </row>
        <row r="626">
          <cell r="A626">
            <v>0</v>
          </cell>
          <cell r="B626" t="str">
            <v>ALL VRTS</v>
          </cell>
          <cell r="G626" t="str">
            <v>L29</v>
          </cell>
          <cell r="J626" t="str">
            <v>V77</v>
          </cell>
          <cell r="L626">
            <v>0</v>
          </cell>
          <cell r="M626">
            <v>0</v>
          </cell>
          <cell r="N626">
            <v>-1</v>
          </cell>
          <cell r="O626">
            <v>2004</v>
          </cell>
          <cell r="P626" t="str">
            <v>DEARBORN PLANT BUILD</v>
          </cell>
          <cell r="Q626" t="str">
            <v>P221/P397</v>
          </cell>
          <cell r="R626" t="str">
            <v>ALL</v>
          </cell>
          <cell r="S626" t="str">
            <v>No Connection at Brake Master Cylinder.</v>
          </cell>
          <cell r="T626">
            <v>1</v>
          </cell>
          <cell r="Z626">
            <v>1</v>
          </cell>
        </row>
        <row r="627">
          <cell r="A627">
            <v>0</v>
          </cell>
          <cell r="B627" t="str">
            <v>ALL VRTS</v>
          </cell>
          <cell r="G627" t="str">
            <v>S25</v>
          </cell>
          <cell r="J627" t="str">
            <v>V05</v>
          </cell>
          <cell r="L627">
            <v>0</v>
          </cell>
          <cell r="M627">
            <v>-1</v>
          </cell>
          <cell r="N627">
            <v>0</v>
          </cell>
          <cell r="O627">
            <v>2004</v>
          </cell>
          <cell r="P627" t="str">
            <v>DEARBORN PLANT BUILD</v>
          </cell>
          <cell r="Q627" t="str">
            <v>P221/P397</v>
          </cell>
          <cell r="R627" t="str">
            <v>ALL</v>
          </cell>
          <cell r="S627" t="str">
            <v>NOT RETRACTING</v>
          </cell>
          <cell r="T627">
            <v>1</v>
          </cell>
          <cell r="AA627">
            <v>1</v>
          </cell>
        </row>
        <row r="628">
          <cell r="A628">
            <v>0</v>
          </cell>
          <cell r="B628" t="str">
            <v>ALL VRTS</v>
          </cell>
          <cell r="C628" t="str">
            <v>6500</v>
          </cell>
          <cell r="E628" t="str">
            <v>C4E19L</v>
          </cell>
          <cell r="G628" t="str">
            <v>S40</v>
          </cell>
          <cell r="J628" t="str">
            <v>V05</v>
          </cell>
          <cell r="L628">
            <v>0</v>
          </cell>
          <cell r="M628">
            <v>0</v>
          </cell>
          <cell r="N628">
            <v>-1</v>
          </cell>
          <cell r="O628">
            <v>2004</v>
          </cell>
          <cell r="P628" t="str">
            <v>DEARBORN PLANT BUILD</v>
          </cell>
          <cell r="Q628" t="str">
            <v>P221/P397</v>
          </cell>
          <cell r="R628" t="str">
            <v>ALL</v>
          </cell>
          <cell r="S628" t="str">
            <v>NUT MISSING</v>
          </cell>
          <cell r="T628">
            <v>1</v>
          </cell>
          <cell r="Z628">
            <v>1</v>
          </cell>
        </row>
        <row r="629">
          <cell r="A629">
            <v>0</v>
          </cell>
          <cell r="B629" t="str">
            <v>ALL VRTS</v>
          </cell>
          <cell r="G629" t="str">
            <v>N17</v>
          </cell>
          <cell r="J629" t="str">
            <v>V21</v>
          </cell>
          <cell r="L629">
            <v>-1</v>
          </cell>
          <cell r="M629">
            <v>-1</v>
          </cell>
          <cell r="N629">
            <v>0</v>
          </cell>
          <cell r="O629">
            <v>2004</v>
          </cell>
          <cell r="P629" t="str">
            <v>DEARBORN PLANT BUILD</v>
          </cell>
          <cell r="Q629" t="str">
            <v>P221/P397</v>
          </cell>
          <cell r="R629" t="str">
            <v>ALL</v>
          </cell>
          <cell r="S629" t="str">
            <v>OBJECT REMOVED FROM BRAKE PADS</v>
          </cell>
          <cell r="T629">
            <v>1</v>
          </cell>
          <cell r="AB629">
            <v>1</v>
          </cell>
        </row>
        <row r="630">
          <cell r="A630">
            <v>0</v>
          </cell>
          <cell r="B630" t="str">
            <v>ALL VRTS</v>
          </cell>
          <cell r="G630" t="str">
            <v>L65</v>
          </cell>
          <cell r="J630" t="str">
            <v>V44</v>
          </cell>
          <cell r="L630">
            <v>0</v>
          </cell>
          <cell r="M630">
            <v>-1</v>
          </cell>
          <cell r="N630">
            <v>0</v>
          </cell>
          <cell r="O630">
            <v>2004</v>
          </cell>
          <cell r="P630" t="str">
            <v>DEARBORN PLANT BUILD</v>
          </cell>
          <cell r="Q630" t="str">
            <v>P221/P397</v>
          </cell>
          <cell r="R630" t="str">
            <v>ALL</v>
          </cell>
          <cell r="S630" t="str">
            <v>oil sending unit</v>
          </cell>
          <cell r="T630">
            <v>1</v>
          </cell>
          <cell r="X630">
            <v>1</v>
          </cell>
        </row>
        <row r="631">
          <cell r="A631">
            <v>0</v>
          </cell>
          <cell r="B631" t="str">
            <v>ALL VRTS</v>
          </cell>
          <cell r="G631" t="str">
            <v>L65</v>
          </cell>
          <cell r="J631" t="str">
            <v>V44</v>
          </cell>
          <cell r="L631">
            <v>0</v>
          </cell>
          <cell r="M631">
            <v>-1</v>
          </cell>
          <cell r="N631">
            <v>0</v>
          </cell>
          <cell r="O631">
            <v>2004</v>
          </cell>
          <cell r="P631" t="str">
            <v>DEARBORN PLANT BUILD</v>
          </cell>
          <cell r="Q631" t="str">
            <v>P221/P397</v>
          </cell>
          <cell r="R631" t="str">
            <v>ALL</v>
          </cell>
          <cell r="S631" t="str">
            <v>Oil temp sensor</v>
          </cell>
          <cell r="T631">
            <v>1</v>
          </cell>
          <cell r="Y631">
            <v>1</v>
          </cell>
        </row>
        <row r="632">
          <cell r="A632">
            <v>0</v>
          </cell>
          <cell r="B632" t="str">
            <v>ALL VRTS</v>
          </cell>
          <cell r="G632" t="str">
            <v>L20</v>
          </cell>
          <cell r="J632" t="str">
            <v>V07</v>
          </cell>
          <cell r="L632">
            <v>0</v>
          </cell>
          <cell r="M632">
            <v>-1</v>
          </cell>
          <cell r="N632">
            <v>0</v>
          </cell>
          <cell r="O632">
            <v>2004</v>
          </cell>
          <cell r="P632" t="str">
            <v>DEARBORN PLANT BUILD</v>
          </cell>
          <cell r="Q632" t="str">
            <v>P221/P397</v>
          </cell>
          <cell r="R632" t="str">
            <v>ALL</v>
          </cell>
          <cell r="S632" t="str">
            <v>OPEN CIRCUIT</v>
          </cell>
          <cell r="T632">
            <v>1</v>
          </cell>
          <cell r="AB632">
            <v>1</v>
          </cell>
        </row>
        <row r="633">
          <cell r="A633">
            <v>0</v>
          </cell>
          <cell r="B633" t="str">
            <v>ALL VRTS</v>
          </cell>
          <cell r="G633" t="str">
            <v>A88</v>
          </cell>
          <cell r="J633" t="str">
            <v>V17</v>
          </cell>
          <cell r="L633">
            <v>0</v>
          </cell>
          <cell r="M633">
            <v>0</v>
          </cell>
          <cell r="N633">
            <v>-1</v>
          </cell>
          <cell r="O633">
            <v>2004</v>
          </cell>
          <cell r="P633" t="str">
            <v>DEARBORN PLANT BUILD</v>
          </cell>
          <cell r="Q633" t="str">
            <v>P221/P397</v>
          </cell>
          <cell r="R633" t="str">
            <v>ALL</v>
          </cell>
          <cell r="S633" t="str">
            <v>Open Circuit at security Module at conn. 804</v>
          </cell>
          <cell r="T633">
            <v>1</v>
          </cell>
          <cell r="W633">
            <v>1</v>
          </cell>
        </row>
        <row r="634">
          <cell r="A634">
            <v>0</v>
          </cell>
          <cell r="B634" t="str">
            <v>ALL VRTS</v>
          </cell>
          <cell r="G634" t="str">
            <v>A85</v>
          </cell>
          <cell r="J634" t="str">
            <v>V83</v>
          </cell>
          <cell r="L634">
            <v>0</v>
          </cell>
          <cell r="M634">
            <v>0</v>
          </cell>
          <cell r="N634">
            <v>-1</v>
          </cell>
          <cell r="O634">
            <v>2004</v>
          </cell>
          <cell r="P634" t="str">
            <v>DEARBORN PLANT BUILD</v>
          </cell>
          <cell r="Q634" t="str">
            <v>P221/P397</v>
          </cell>
          <cell r="R634" t="str">
            <v>ALL</v>
          </cell>
          <cell r="S634" t="str">
            <v>Open Circuit C1145 and Connector Repaired.</v>
          </cell>
          <cell r="T634">
            <v>1</v>
          </cell>
          <cell r="AA634">
            <v>1</v>
          </cell>
        </row>
        <row r="635">
          <cell r="A635">
            <v>0</v>
          </cell>
          <cell r="B635" t="str">
            <v>ALL VRTS</v>
          </cell>
          <cell r="G635" t="str">
            <v>E29</v>
          </cell>
          <cell r="J635" t="str">
            <v>V44</v>
          </cell>
          <cell r="L635">
            <v>-1</v>
          </cell>
          <cell r="M635">
            <v>-1</v>
          </cell>
          <cell r="N635">
            <v>0</v>
          </cell>
          <cell r="O635">
            <v>2004</v>
          </cell>
          <cell r="P635" t="str">
            <v>DEARBORN PLANT BUILD</v>
          </cell>
          <cell r="Q635" t="str">
            <v>P221/P397</v>
          </cell>
          <cell r="R635" t="str">
            <v>ALL</v>
          </cell>
          <cell r="S635" t="str">
            <v>Open Circuit/213</v>
          </cell>
          <cell r="T635">
            <v>1</v>
          </cell>
          <cell r="AA635">
            <v>1</v>
          </cell>
        </row>
        <row r="636">
          <cell r="A636">
            <v>0</v>
          </cell>
          <cell r="B636" t="str">
            <v>ALL VRTS</v>
          </cell>
          <cell r="G636" t="str">
            <v>A06</v>
          </cell>
          <cell r="J636" t="str">
            <v>V81</v>
          </cell>
          <cell r="L636">
            <v>0</v>
          </cell>
          <cell r="M636">
            <v>0</v>
          </cell>
          <cell r="N636">
            <v>-1</v>
          </cell>
          <cell r="O636">
            <v>2004</v>
          </cell>
          <cell r="P636" t="str">
            <v>DEARBORN PLANT BUILD</v>
          </cell>
          <cell r="Q636" t="str">
            <v>P221/P397</v>
          </cell>
          <cell r="R636" t="str">
            <v>ALL</v>
          </cell>
          <cell r="S636" t="str">
            <v>Open Circult in C612</v>
          </cell>
          <cell r="T636">
            <v>1</v>
          </cell>
          <cell r="AB636">
            <v>1</v>
          </cell>
        </row>
        <row r="637">
          <cell r="A637">
            <v>0</v>
          </cell>
          <cell r="B637" t="str">
            <v>ALL VRTS</v>
          </cell>
          <cell r="G637" t="str">
            <v>G29</v>
          </cell>
          <cell r="J637" t="str">
            <v>V83</v>
          </cell>
          <cell r="L637">
            <v>0</v>
          </cell>
          <cell r="M637">
            <v>-1</v>
          </cell>
          <cell r="N637">
            <v>0</v>
          </cell>
          <cell r="O637">
            <v>2004</v>
          </cell>
          <cell r="P637" t="str">
            <v>DEARBORN PLANT BUILD</v>
          </cell>
          <cell r="Q637" t="str">
            <v>P221/P397</v>
          </cell>
          <cell r="R637" t="str">
            <v>ALL</v>
          </cell>
          <cell r="S637" t="str">
            <v>OPEN IN CIRCUIT 29 YE WH WIRE C434 PIN 2 14405</v>
          </cell>
          <cell r="T637">
            <v>1</v>
          </cell>
          <cell r="AA637">
            <v>1</v>
          </cell>
        </row>
        <row r="638">
          <cell r="A638">
            <v>0</v>
          </cell>
          <cell r="B638" t="str">
            <v>ALL VRTS</v>
          </cell>
          <cell r="C638" t="str">
            <v>5330</v>
          </cell>
          <cell r="E638" t="str">
            <v>TDW20-L</v>
          </cell>
          <cell r="G638" t="str">
            <v>L15</v>
          </cell>
          <cell r="J638" t="str">
            <v>V07</v>
          </cell>
          <cell r="L638">
            <v>0</v>
          </cell>
          <cell r="M638">
            <v>0</v>
          </cell>
          <cell r="N638">
            <v>-1</v>
          </cell>
          <cell r="O638">
            <v>2004</v>
          </cell>
          <cell r="P638" t="str">
            <v>DEARBORN PLANT BUILD</v>
          </cell>
          <cell r="Q638" t="str">
            <v>P221/P397</v>
          </cell>
          <cell r="R638" t="str">
            <v>ALL</v>
          </cell>
          <cell r="S638" t="str">
            <v>OUTSIDE DOOR HANDLE ROD LOOSE</v>
          </cell>
          <cell r="T638">
            <v>1</v>
          </cell>
          <cell r="AB638">
            <v>1</v>
          </cell>
        </row>
        <row r="639">
          <cell r="A639">
            <v>0</v>
          </cell>
          <cell r="B639" t="str">
            <v>ALL VRTS</v>
          </cell>
          <cell r="G639" t="str">
            <v>M10</v>
          </cell>
          <cell r="J639" t="str">
            <v>V13</v>
          </cell>
          <cell r="L639">
            <v>0</v>
          </cell>
          <cell r="M639">
            <v>-1</v>
          </cell>
          <cell r="N639">
            <v>0</v>
          </cell>
          <cell r="O639">
            <v>2004</v>
          </cell>
          <cell r="P639" t="str">
            <v>DEARBORN PLANT BUILD</v>
          </cell>
          <cell r="Q639" t="str">
            <v>P221/P397</v>
          </cell>
          <cell r="R639" t="str">
            <v>ALL</v>
          </cell>
          <cell r="S639" t="str">
            <v>Outside sail mount replaced</v>
          </cell>
          <cell r="T639">
            <v>1</v>
          </cell>
          <cell r="X639">
            <v>1</v>
          </cell>
        </row>
        <row r="640">
          <cell r="A640">
            <v>0</v>
          </cell>
          <cell r="B640" t="str">
            <v>ALL VRTS</v>
          </cell>
          <cell r="C640" t="str">
            <v>5500</v>
          </cell>
          <cell r="E640" t="str">
            <v>T2W27L</v>
          </cell>
          <cell r="G640" t="str">
            <v>B53</v>
          </cell>
          <cell r="J640" t="str">
            <v>V71</v>
          </cell>
          <cell r="L640">
            <v>0</v>
          </cell>
          <cell r="M640">
            <v>0</v>
          </cell>
          <cell r="N640">
            <v>-1</v>
          </cell>
          <cell r="O640">
            <v>2004</v>
          </cell>
          <cell r="P640" t="str">
            <v>DEARBORN PLANT BUILD</v>
          </cell>
          <cell r="Q640" t="str">
            <v>P221/P397</v>
          </cell>
          <cell r="R640" t="str">
            <v>ALL</v>
          </cell>
          <cell r="S640" t="str">
            <v>PAD MISSING, BRAKE</v>
          </cell>
          <cell r="T640">
            <v>1</v>
          </cell>
          <cell r="Z640">
            <v>1</v>
          </cell>
        </row>
        <row r="641">
          <cell r="A641">
            <v>0</v>
          </cell>
          <cell r="B641" t="str">
            <v>ALL VRTS</v>
          </cell>
          <cell r="C641" t="str">
            <v>6490</v>
          </cell>
          <cell r="E641" t="str">
            <v>C4E25L</v>
          </cell>
          <cell r="G641" t="str">
            <v>H02</v>
          </cell>
          <cell r="J641" t="str">
            <v>V21</v>
          </cell>
          <cell r="L641">
            <v>0</v>
          </cell>
          <cell r="M641">
            <v>0</v>
          </cell>
          <cell r="N641">
            <v>-1</v>
          </cell>
          <cell r="O641">
            <v>2004</v>
          </cell>
          <cell r="P641" t="str">
            <v>DEARBORN PLANT BUILD</v>
          </cell>
          <cell r="Q641" t="str">
            <v>P221/P397</v>
          </cell>
          <cell r="R641" t="str">
            <v>ALL</v>
          </cell>
          <cell r="S641" t="str">
            <v>PADS &amp; ROTOR WET WITH TRANS FLUID - CLEANED &amp; SANDED</v>
          </cell>
          <cell r="T641">
            <v>1</v>
          </cell>
          <cell r="Z641">
            <v>1</v>
          </cell>
        </row>
        <row r="642">
          <cell r="A642">
            <v>0</v>
          </cell>
          <cell r="B642" t="str">
            <v>ALL VRTS</v>
          </cell>
          <cell r="G642" t="str">
            <v>F40</v>
          </cell>
          <cell r="J642" t="str">
            <v>V75</v>
          </cell>
          <cell r="L642">
            <v>0</v>
          </cell>
          <cell r="M642">
            <v>-1</v>
          </cell>
          <cell r="N642">
            <v>0</v>
          </cell>
          <cell r="O642">
            <v>2004</v>
          </cell>
          <cell r="P642" t="str">
            <v>DEARBORN PLANT BUILD</v>
          </cell>
          <cell r="Q642" t="str">
            <v>P221/P397</v>
          </cell>
          <cell r="R642" t="str">
            <v>ALL</v>
          </cell>
          <cell r="S642" t="str">
            <v>PAINT OVERSPRAY</v>
          </cell>
          <cell r="T642">
            <v>1</v>
          </cell>
          <cell r="AB642">
            <v>1</v>
          </cell>
        </row>
        <row r="643">
          <cell r="A643">
            <v>0</v>
          </cell>
          <cell r="B643" t="str">
            <v>ALL VRTS</v>
          </cell>
          <cell r="G643" t="str">
            <v>H04</v>
          </cell>
          <cell r="J643" t="str">
            <v>V21</v>
          </cell>
          <cell r="L643">
            <v>0</v>
          </cell>
          <cell r="M643">
            <v>-1</v>
          </cell>
          <cell r="N643">
            <v>0</v>
          </cell>
          <cell r="O643">
            <v>2004</v>
          </cell>
          <cell r="P643" t="str">
            <v>DEARBORN PLANT BUILD</v>
          </cell>
          <cell r="Q643" t="str">
            <v>P221/P397</v>
          </cell>
          <cell r="R643" t="str">
            <v>ALL</v>
          </cell>
          <cell r="S643" t="str">
            <v>PEDAL COVER MISSING - REPLACED</v>
          </cell>
          <cell r="T643">
            <v>1</v>
          </cell>
          <cell r="Y643">
            <v>1</v>
          </cell>
        </row>
        <row r="644">
          <cell r="A644">
            <v>0</v>
          </cell>
          <cell r="B644" t="str">
            <v>ALL VRTS</v>
          </cell>
          <cell r="C644" t="str">
            <v>5510</v>
          </cell>
          <cell r="E644" t="str">
            <v>T2W33L</v>
          </cell>
          <cell r="G644" t="str">
            <v>T51</v>
          </cell>
          <cell r="J644" t="str">
            <v>V74</v>
          </cell>
          <cell r="L644">
            <v>0</v>
          </cell>
          <cell r="M644">
            <v>-1</v>
          </cell>
          <cell r="N644">
            <v>-1</v>
          </cell>
          <cell r="O644">
            <v>2004</v>
          </cell>
          <cell r="P644" t="str">
            <v>DEARBORN PLANT BUILD</v>
          </cell>
          <cell r="Q644" t="str">
            <v>P221/P397</v>
          </cell>
          <cell r="R644" t="str">
            <v>ALL</v>
          </cell>
          <cell r="S644" t="str">
            <v>PIN HOLE</v>
          </cell>
          <cell r="T644">
            <v>1</v>
          </cell>
          <cell r="AA644">
            <v>1</v>
          </cell>
        </row>
        <row r="645">
          <cell r="A645">
            <v>0</v>
          </cell>
          <cell r="B645" t="str">
            <v>ALL VRTS</v>
          </cell>
          <cell r="G645" t="str">
            <v>W05</v>
          </cell>
          <cell r="J645" t="str">
            <v>V16</v>
          </cell>
          <cell r="L645">
            <v>0</v>
          </cell>
          <cell r="M645">
            <v>-1</v>
          </cell>
          <cell r="N645">
            <v>0</v>
          </cell>
          <cell r="O645">
            <v>2004</v>
          </cell>
          <cell r="P645" t="str">
            <v>DEARBORN PLANT BUILD</v>
          </cell>
          <cell r="Q645" t="str">
            <v>P221/P397</v>
          </cell>
          <cell r="R645" t="str">
            <v>ALL</v>
          </cell>
          <cell r="S645" t="str">
            <v>Pin Push out at motor</v>
          </cell>
          <cell r="T645">
            <v>1</v>
          </cell>
          <cell r="AA645">
            <v>1</v>
          </cell>
        </row>
        <row r="646">
          <cell r="A646">
            <v>0</v>
          </cell>
          <cell r="B646" t="str">
            <v>ALL VRTS</v>
          </cell>
          <cell r="C646" t="str">
            <v>6480</v>
          </cell>
          <cell r="E646" t="str">
            <v>IC4E01L</v>
          </cell>
          <cell r="G646" t="str">
            <v>H21</v>
          </cell>
          <cell r="J646" t="str">
            <v>V87</v>
          </cell>
          <cell r="L646">
            <v>0</v>
          </cell>
          <cell r="M646">
            <v>0</v>
          </cell>
          <cell r="N646">
            <v>-1</v>
          </cell>
          <cell r="O646">
            <v>2004</v>
          </cell>
          <cell r="P646" t="str">
            <v>DEARBORN PLANT BUILD</v>
          </cell>
          <cell r="Q646" t="str">
            <v>P221/P397</v>
          </cell>
          <cell r="R646" t="str">
            <v>ALL</v>
          </cell>
          <cell r="S646" t="str">
            <v>PINCH BOLT TIGHTENED</v>
          </cell>
          <cell r="T646">
            <v>1</v>
          </cell>
          <cell r="Z646">
            <v>1</v>
          </cell>
        </row>
        <row r="647">
          <cell r="A647">
            <v>0</v>
          </cell>
          <cell r="B647" t="str">
            <v>ALL VRTS</v>
          </cell>
          <cell r="G647" t="str">
            <v>W05</v>
          </cell>
          <cell r="J647" t="str">
            <v>V16</v>
          </cell>
          <cell r="L647">
            <v>0</v>
          </cell>
          <cell r="M647">
            <v>0</v>
          </cell>
          <cell r="N647">
            <v>-1</v>
          </cell>
          <cell r="O647">
            <v>2004</v>
          </cell>
          <cell r="P647" t="str">
            <v>DEARBORN PLANT BUILD</v>
          </cell>
          <cell r="Q647" t="str">
            <v>P221/P397</v>
          </cell>
          <cell r="R647" t="str">
            <v>ALL</v>
          </cell>
          <cell r="S647" t="str">
            <v>Pinched Hose, behind battery box.</v>
          </cell>
          <cell r="T647">
            <v>1</v>
          </cell>
          <cell r="AA647">
            <v>1</v>
          </cell>
        </row>
        <row r="648">
          <cell r="A648">
            <v>0</v>
          </cell>
          <cell r="B648" t="str">
            <v>ALL VRTS</v>
          </cell>
          <cell r="G648" t="str">
            <v>C27</v>
          </cell>
          <cell r="J648" t="str">
            <v>V19</v>
          </cell>
          <cell r="L648">
            <v>0</v>
          </cell>
          <cell r="M648">
            <v>0</v>
          </cell>
          <cell r="N648">
            <v>-1</v>
          </cell>
          <cell r="O648">
            <v>2004</v>
          </cell>
          <cell r="P648" t="str">
            <v>DEARBORN PLANT BUILD</v>
          </cell>
          <cell r="Q648" t="str">
            <v>P221/P397</v>
          </cell>
          <cell r="R648" t="str">
            <v>ALL</v>
          </cell>
          <cell r="S648" t="str">
            <v>Pinched wire by coat hook.</v>
          </cell>
          <cell r="T648">
            <v>1</v>
          </cell>
          <cell r="Z648">
            <v>1</v>
          </cell>
        </row>
        <row r="649">
          <cell r="A649">
            <v>0</v>
          </cell>
          <cell r="B649" t="str">
            <v>ALL VRTS</v>
          </cell>
          <cell r="G649" t="str">
            <v>E29</v>
          </cell>
          <cell r="J649" t="str">
            <v>V44</v>
          </cell>
          <cell r="L649">
            <v>-1</v>
          </cell>
          <cell r="M649">
            <v>0</v>
          </cell>
          <cell r="N649">
            <v>0</v>
          </cell>
          <cell r="O649">
            <v>2004</v>
          </cell>
          <cell r="P649" t="str">
            <v>DEARBORN PLANT BUILD</v>
          </cell>
          <cell r="Q649" t="str">
            <v>P221/P397</v>
          </cell>
          <cell r="R649" t="str">
            <v>ALL</v>
          </cell>
          <cell r="S649" t="str">
            <v>Pinched wire C3137 &amp; C435</v>
          </cell>
          <cell r="T649">
            <v>1</v>
          </cell>
          <cell r="AA649">
            <v>1</v>
          </cell>
        </row>
        <row r="650">
          <cell r="A650">
            <v>0</v>
          </cell>
          <cell r="B650" t="str">
            <v>ALL VRTS</v>
          </cell>
          <cell r="G650" t="str">
            <v>B62</v>
          </cell>
          <cell r="J650" t="str">
            <v>V75</v>
          </cell>
          <cell r="L650">
            <v>0</v>
          </cell>
          <cell r="M650">
            <v>-1</v>
          </cell>
          <cell r="N650">
            <v>0</v>
          </cell>
          <cell r="O650">
            <v>2004</v>
          </cell>
          <cell r="P650" t="str">
            <v>DEARBORN PLANT BUILD</v>
          </cell>
          <cell r="Q650" t="str">
            <v>P221/P397</v>
          </cell>
          <cell r="R650" t="str">
            <v>ALL</v>
          </cell>
          <cell r="S650" t="str">
            <v>POOR FINISH</v>
          </cell>
          <cell r="T650">
            <v>1</v>
          </cell>
          <cell r="Z650">
            <v>1</v>
          </cell>
        </row>
        <row r="651">
          <cell r="A651">
            <v>0</v>
          </cell>
          <cell r="B651" t="str">
            <v>ALL VRTS</v>
          </cell>
          <cell r="C651" t="str">
            <v>5550</v>
          </cell>
          <cell r="E651" t="str">
            <v>T3W25L/T3E26R</v>
          </cell>
          <cell r="G651" t="str">
            <v>T53</v>
          </cell>
          <cell r="J651" t="str">
            <v>V74</v>
          </cell>
          <cell r="L651">
            <v>0</v>
          </cell>
          <cell r="M651">
            <v>0</v>
          </cell>
          <cell r="N651">
            <v>-1</v>
          </cell>
          <cell r="O651">
            <v>2004</v>
          </cell>
          <cell r="P651" t="str">
            <v>DEARBORN PLANT BUILD</v>
          </cell>
          <cell r="Q651" t="str">
            <v>P221/P397</v>
          </cell>
          <cell r="R651" t="str">
            <v>ALL</v>
          </cell>
          <cell r="S651" t="str">
            <v>POOR FIT,BOTH FRONT</v>
          </cell>
          <cell r="T651">
            <v>1</v>
          </cell>
          <cell r="Z651">
            <v>1</v>
          </cell>
        </row>
        <row r="652">
          <cell r="A652">
            <v>0</v>
          </cell>
          <cell r="B652" t="str">
            <v>ALL VRTS</v>
          </cell>
          <cell r="C652" t="str">
            <v>5550</v>
          </cell>
          <cell r="E652" t="str">
            <v>T3E26R</v>
          </cell>
          <cell r="G652" t="str">
            <v>T53</v>
          </cell>
          <cell r="J652" t="str">
            <v>V74</v>
          </cell>
          <cell r="L652">
            <v>0</v>
          </cell>
          <cell r="M652">
            <v>0</v>
          </cell>
          <cell r="N652">
            <v>-1</v>
          </cell>
          <cell r="O652">
            <v>2004</v>
          </cell>
          <cell r="P652" t="str">
            <v>DEARBORN PLANT BUILD</v>
          </cell>
          <cell r="Q652" t="str">
            <v>P221/P397</v>
          </cell>
          <cell r="R652" t="str">
            <v>ALL</v>
          </cell>
          <cell r="S652" t="str">
            <v>POOR FIT,RT</v>
          </cell>
          <cell r="T652">
            <v>1</v>
          </cell>
          <cell r="AB652">
            <v>1</v>
          </cell>
        </row>
        <row r="653">
          <cell r="A653">
            <v>0</v>
          </cell>
          <cell r="B653" t="str">
            <v>ALL VRTS</v>
          </cell>
          <cell r="G653" t="str">
            <v>H02</v>
          </cell>
          <cell r="J653" t="str">
            <v>V21</v>
          </cell>
          <cell r="L653">
            <v>0</v>
          </cell>
          <cell r="M653">
            <v>-1</v>
          </cell>
          <cell r="N653">
            <v>0</v>
          </cell>
          <cell r="O653">
            <v>2004</v>
          </cell>
          <cell r="P653" t="str">
            <v>DEARBORN PLANT BUILD</v>
          </cell>
          <cell r="Q653" t="str">
            <v>P221/P397</v>
          </cell>
          <cell r="R653" t="str">
            <v>ALL</v>
          </cell>
          <cell r="S653" t="str">
            <v>POWER BOOSTER MC Rod REPLACED</v>
          </cell>
          <cell r="T653">
            <v>1</v>
          </cell>
          <cell r="X653">
            <v>1</v>
          </cell>
        </row>
        <row r="654">
          <cell r="A654">
            <v>0</v>
          </cell>
          <cell r="B654" t="str">
            <v>ALL VRTS</v>
          </cell>
          <cell r="C654" t="str">
            <v>6450</v>
          </cell>
          <cell r="E654" t="str">
            <v>C2E41F</v>
          </cell>
          <cell r="G654" t="str">
            <v>L68</v>
          </cell>
          <cell r="J654" t="str">
            <v>V87</v>
          </cell>
          <cell r="L654">
            <v>0</v>
          </cell>
          <cell r="M654">
            <v>0</v>
          </cell>
          <cell r="N654">
            <v>-1</v>
          </cell>
          <cell r="O654">
            <v>2004</v>
          </cell>
          <cell r="P654" t="str">
            <v>DEARBORN PLANT BUILD</v>
          </cell>
          <cell r="Q654" t="str">
            <v>P221/P397</v>
          </cell>
          <cell r="R654" t="str">
            <v>ALL</v>
          </cell>
          <cell r="S654" t="str">
            <v>POWER STEERING COOLER CLAMP</v>
          </cell>
          <cell r="T654">
            <v>1</v>
          </cell>
          <cell r="AB654">
            <v>1</v>
          </cell>
        </row>
        <row r="655">
          <cell r="A655">
            <v>0</v>
          </cell>
          <cell r="B655" t="str">
            <v>ALL VRTS</v>
          </cell>
          <cell r="G655" t="str">
            <v>N12</v>
          </cell>
          <cell r="J655" t="str">
            <v>V49</v>
          </cell>
          <cell r="L655">
            <v>-1</v>
          </cell>
          <cell r="M655">
            <v>-1</v>
          </cell>
          <cell r="N655">
            <v>0</v>
          </cell>
          <cell r="O655">
            <v>2004</v>
          </cell>
          <cell r="P655" t="str">
            <v>DEARBORN PLANT BUILD</v>
          </cell>
          <cell r="Q655" t="str">
            <v>P221/P397</v>
          </cell>
          <cell r="R655" t="str">
            <v>ALL</v>
          </cell>
          <cell r="S655" t="str">
            <v>Powersteering pulley defective</v>
          </cell>
          <cell r="T655">
            <v>1</v>
          </cell>
          <cell r="AA655">
            <v>1</v>
          </cell>
        </row>
        <row r="656">
          <cell r="A656">
            <v>0</v>
          </cell>
          <cell r="B656" t="str">
            <v>ALL VRTS</v>
          </cell>
          <cell r="G656" t="str">
            <v>K03</v>
          </cell>
          <cell r="J656" t="str">
            <v>V44</v>
          </cell>
          <cell r="L656">
            <v>-1</v>
          </cell>
          <cell r="M656">
            <v>-1</v>
          </cell>
          <cell r="N656">
            <v>0</v>
          </cell>
          <cell r="O656">
            <v>2004</v>
          </cell>
          <cell r="P656" t="str">
            <v>DEARBORN PLANT BUILD</v>
          </cell>
          <cell r="Q656" t="str">
            <v>P221/P397</v>
          </cell>
          <cell r="R656" t="str">
            <v>ALL</v>
          </cell>
          <cell r="S656" t="str">
            <v>Preformed NVH Diag.Performed TSB verified repair</v>
          </cell>
          <cell r="T656">
            <v>1</v>
          </cell>
          <cell r="V656">
            <v>1</v>
          </cell>
        </row>
        <row r="657">
          <cell r="A657">
            <v>0</v>
          </cell>
          <cell r="B657" t="str">
            <v>ALL VRTS</v>
          </cell>
          <cell r="G657" t="str">
            <v>E69</v>
          </cell>
          <cell r="J657" t="str">
            <v>V44</v>
          </cell>
          <cell r="L657">
            <v>0</v>
          </cell>
          <cell r="M657">
            <v>-1</v>
          </cell>
          <cell r="N657">
            <v>0</v>
          </cell>
          <cell r="O657">
            <v>2004</v>
          </cell>
          <cell r="P657" t="str">
            <v>DEARBORN PLANT BUILD</v>
          </cell>
          <cell r="Q657" t="str">
            <v>P221/P397</v>
          </cell>
          <cell r="R657" t="str">
            <v>ALL</v>
          </cell>
          <cell r="S657" t="str">
            <v>PSI Oil Switch Replaced</v>
          </cell>
          <cell r="T657">
            <v>1</v>
          </cell>
          <cell r="AA657">
            <v>1</v>
          </cell>
        </row>
        <row r="658">
          <cell r="A658">
            <v>0</v>
          </cell>
          <cell r="B658" t="str">
            <v>ALL VRTS</v>
          </cell>
          <cell r="G658" t="str">
            <v>E29</v>
          </cell>
          <cell r="J658" t="str">
            <v>V44</v>
          </cell>
          <cell r="L658">
            <v>0</v>
          </cell>
          <cell r="M658">
            <v>-1</v>
          </cell>
          <cell r="N658">
            <v>0</v>
          </cell>
          <cell r="O658">
            <v>2004</v>
          </cell>
          <cell r="P658" t="str">
            <v>DEARBORN PLANT BUILD</v>
          </cell>
          <cell r="Q658" t="str">
            <v>P221/P397</v>
          </cell>
          <cell r="R658" t="str">
            <v>ALL</v>
          </cell>
          <cell r="S658" t="str">
            <v>PSI Sensor disconnected</v>
          </cell>
          <cell r="T658">
            <v>1</v>
          </cell>
          <cell r="AA658">
            <v>1</v>
          </cell>
        </row>
        <row r="659">
          <cell r="A659">
            <v>0</v>
          </cell>
          <cell r="B659" t="str">
            <v>ALL VRTS</v>
          </cell>
          <cell r="G659" t="str">
            <v>H19</v>
          </cell>
          <cell r="J659" t="str">
            <v>V21</v>
          </cell>
          <cell r="L659">
            <v>-1</v>
          </cell>
          <cell r="M659">
            <v>-1</v>
          </cell>
          <cell r="N659">
            <v>0</v>
          </cell>
          <cell r="O659">
            <v>2004</v>
          </cell>
          <cell r="P659" t="str">
            <v>DEARBORN PLANT BUILD</v>
          </cell>
          <cell r="Q659" t="str">
            <v>P221/P397</v>
          </cell>
          <cell r="R659" t="str">
            <v>ALL</v>
          </cell>
          <cell r="S659" t="str">
            <v>PURGED BRAKE RESEVOUR-REFILL</v>
          </cell>
          <cell r="T659">
            <v>1</v>
          </cell>
          <cell r="AB659">
            <v>1</v>
          </cell>
        </row>
        <row r="660">
          <cell r="A660">
            <v>0</v>
          </cell>
          <cell r="B660" t="str">
            <v>ALL VRTS</v>
          </cell>
          <cell r="G660" t="str">
            <v>E29</v>
          </cell>
          <cell r="J660" t="str">
            <v>V44</v>
          </cell>
          <cell r="L660">
            <v>-1</v>
          </cell>
          <cell r="M660">
            <v>-1</v>
          </cell>
          <cell r="N660">
            <v>0</v>
          </cell>
          <cell r="O660">
            <v>2004</v>
          </cell>
          <cell r="P660" t="str">
            <v>DEARBORN PLANT BUILD</v>
          </cell>
          <cell r="Q660" t="str">
            <v>P221/P397</v>
          </cell>
          <cell r="R660" t="str">
            <v>ALL</v>
          </cell>
          <cell r="S660" t="str">
            <v>R &amp; R oil pan &amp; TCC</v>
          </cell>
          <cell r="T660">
            <v>1</v>
          </cell>
          <cell r="Y660">
            <v>1</v>
          </cell>
        </row>
        <row r="661">
          <cell r="A661">
            <v>0</v>
          </cell>
          <cell r="B661" t="str">
            <v>ALL VRTS</v>
          </cell>
          <cell r="G661" t="str">
            <v>E29</v>
          </cell>
          <cell r="J661" t="str">
            <v>V44</v>
          </cell>
          <cell r="L661">
            <v>-1</v>
          </cell>
          <cell r="M661">
            <v>-1</v>
          </cell>
          <cell r="N661">
            <v>0</v>
          </cell>
          <cell r="O661">
            <v>2004</v>
          </cell>
          <cell r="P661" t="str">
            <v>DEARBORN PLANT BUILD</v>
          </cell>
          <cell r="Q661" t="str">
            <v>P221/P397</v>
          </cell>
          <cell r="R661" t="str">
            <v>ALL</v>
          </cell>
          <cell r="S661" t="str">
            <v>R&amp;R IMRC</v>
          </cell>
          <cell r="T661">
            <v>1</v>
          </cell>
          <cell r="V661">
            <v>1</v>
          </cell>
        </row>
        <row r="662">
          <cell r="A662">
            <v>0</v>
          </cell>
          <cell r="B662" t="str">
            <v>ALL VRTS</v>
          </cell>
          <cell r="G662" t="str">
            <v>F19</v>
          </cell>
          <cell r="J662" t="str">
            <v>V33</v>
          </cell>
          <cell r="L662">
            <v>0</v>
          </cell>
          <cell r="M662">
            <v>0</v>
          </cell>
          <cell r="N662">
            <v>-1</v>
          </cell>
          <cell r="O662">
            <v>2004</v>
          </cell>
          <cell r="P662" t="str">
            <v>DEARBORN PLANT BUILD</v>
          </cell>
          <cell r="Q662" t="str">
            <v>P221/P397</v>
          </cell>
          <cell r="R662" t="str">
            <v>ALL</v>
          </cell>
          <cell r="S662" t="str">
            <v>R/S C Pillar</v>
          </cell>
          <cell r="T662">
            <v>1</v>
          </cell>
          <cell r="AB662">
            <v>1</v>
          </cell>
        </row>
        <row r="663">
          <cell r="A663">
            <v>0</v>
          </cell>
          <cell r="B663" t="str">
            <v>ALL VRTS</v>
          </cell>
          <cell r="G663" t="str">
            <v>F04</v>
          </cell>
          <cell r="J663" t="str">
            <v>V33</v>
          </cell>
          <cell r="L663">
            <v>0</v>
          </cell>
          <cell r="M663">
            <v>0</v>
          </cell>
          <cell r="N663">
            <v>-1</v>
          </cell>
          <cell r="O663">
            <v>2004</v>
          </cell>
          <cell r="P663" t="str">
            <v>DEARBORN PLANT BUILD</v>
          </cell>
          <cell r="Q663" t="str">
            <v>P221/P397</v>
          </cell>
          <cell r="R663" t="str">
            <v>ALL</v>
          </cell>
          <cell r="S663" t="str">
            <v>R/S Door Bottom</v>
          </cell>
          <cell r="T663">
            <v>1</v>
          </cell>
          <cell r="AA663">
            <v>1</v>
          </cell>
        </row>
        <row r="664">
          <cell r="A664">
            <v>0</v>
          </cell>
          <cell r="B664" t="str">
            <v>ALL VRTS</v>
          </cell>
          <cell r="C664" t="str">
            <v>6410</v>
          </cell>
          <cell r="E664" t="str">
            <v>C2W08B</v>
          </cell>
          <cell r="G664" t="str">
            <v>N58</v>
          </cell>
          <cell r="J664" t="str">
            <v>V87</v>
          </cell>
          <cell r="L664">
            <v>0</v>
          </cell>
          <cell r="M664">
            <v>0</v>
          </cell>
          <cell r="N664">
            <v>-1</v>
          </cell>
          <cell r="O664">
            <v>2004</v>
          </cell>
          <cell r="P664" t="str">
            <v>DEARBORN PLANT BUILD</v>
          </cell>
          <cell r="Q664" t="str">
            <v>P221/P397</v>
          </cell>
          <cell r="R664" t="str">
            <v>ALL</v>
          </cell>
          <cell r="S664" t="str">
            <v>R/S UPPER REAR SHOCK NUT TIGHTENED</v>
          </cell>
          <cell r="T664">
            <v>1</v>
          </cell>
          <cell r="W664">
            <v>1</v>
          </cell>
        </row>
        <row r="665">
          <cell r="A665">
            <v>0</v>
          </cell>
          <cell r="B665" t="str">
            <v>ALL VRTS</v>
          </cell>
          <cell r="G665" t="str">
            <v>L68</v>
          </cell>
          <cell r="J665" t="str">
            <v>V89</v>
          </cell>
          <cell r="L665">
            <v>0</v>
          </cell>
          <cell r="M665">
            <v>-1</v>
          </cell>
          <cell r="N665">
            <v>0</v>
          </cell>
          <cell r="O665">
            <v>2004</v>
          </cell>
          <cell r="P665" t="str">
            <v>DEARBORN PLANT BUILD</v>
          </cell>
          <cell r="Q665" t="str">
            <v>P221/P397</v>
          </cell>
          <cell r="R665" t="str">
            <v>ALL</v>
          </cell>
          <cell r="S665" t="str">
            <v>RACK AND PINION REPLACED</v>
          </cell>
          <cell r="T665">
            <v>1</v>
          </cell>
          <cell r="Y665">
            <v>1</v>
          </cell>
        </row>
        <row r="666">
          <cell r="A666">
            <v>0</v>
          </cell>
          <cell r="B666" t="str">
            <v>ALL VRTS</v>
          </cell>
          <cell r="G666" t="str">
            <v>N59</v>
          </cell>
          <cell r="J666" t="str">
            <v>V39</v>
          </cell>
          <cell r="L666">
            <v>0</v>
          </cell>
          <cell r="M666">
            <v>0</v>
          </cell>
          <cell r="N666">
            <v>-1</v>
          </cell>
          <cell r="O666">
            <v>2004</v>
          </cell>
          <cell r="P666" t="str">
            <v>DEARBORN PLANT BUILD</v>
          </cell>
          <cell r="Q666" t="str">
            <v>P221/P397</v>
          </cell>
          <cell r="R666" t="str">
            <v>ALL</v>
          </cell>
          <cell r="S666" t="str">
            <v>Radiator Air Shield Not Seated</v>
          </cell>
          <cell r="T666">
            <v>1</v>
          </cell>
          <cell r="Y666">
            <v>1</v>
          </cell>
        </row>
        <row r="667">
          <cell r="A667">
            <v>0</v>
          </cell>
          <cell r="B667" t="str">
            <v>ALL VRTS</v>
          </cell>
          <cell r="G667" t="str">
            <v>N33</v>
          </cell>
          <cell r="J667" t="str">
            <v>V39</v>
          </cell>
          <cell r="L667">
            <v>0</v>
          </cell>
          <cell r="M667">
            <v>-1</v>
          </cell>
          <cell r="N667">
            <v>0</v>
          </cell>
          <cell r="O667">
            <v>2004</v>
          </cell>
          <cell r="P667" t="str">
            <v>DEARBORN PLANT BUILD</v>
          </cell>
          <cell r="Q667" t="str">
            <v>P221/P397</v>
          </cell>
          <cell r="R667" t="str">
            <v>ALL</v>
          </cell>
          <cell r="S667" t="str">
            <v>Radio Garnish squeaks to radio face</v>
          </cell>
          <cell r="T667">
            <v>1</v>
          </cell>
          <cell r="V667">
            <v>1</v>
          </cell>
        </row>
        <row r="668">
          <cell r="A668">
            <v>0</v>
          </cell>
          <cell r="B668" t="str">
            <v>ALL VRTS</v>
          </cell>
          <cell r="G668" t="str">
            <v>L88</v>
          </cell>
          <cell r="J668" t="str">
            <v>V44</v>
          </cell>
          <cell r="L668">
            <v>0</v>
          </cell>
          <cell r="M668">
            <v>-1</v>
          </cell>
          <cell r="N668">
            <v>0</v>
          </cell>
          <cell r="O668">
            <v>2004</v>
          </cell>
          <cell r="P668" t="str">
            <v>DEARBORN PLANT BUILD</v>
          </cell>
          <cell r="Q668" t="str">
            <v>P221/P397</v>
          </cell>
          <cell r="R668" t="str">
            <v>ALL</v>
          </cell>
          <cell r="S668" t="str">
            <v>Rear Axle Seal</v>
          </cell>
          <cell r="T668">
            <v>1</v>
          </cell>
          <cell r="AA668">
            <v>1</v>
          </cell>
        </row>
        <row r="669">
          <cell r="A669">
            <v>0</v>
          </cell>
          <cell r="B669" t="str">
            <v>ALL VRTS</v>
          </cell>
          <cell r="G669" t="str">
            <v>N17</v>
          </cell>
          <cell r="J669" t="str">
            <v>V21</v>
          </cell>
          <cell r="L669">
            <v>0</v>
          </cell>
          <cell r="M669">
            <v>-1</v>
          </cell>
          <cell r="N669">
            <v>0</v>
          </cell>
          <cell r="O669">
            <v>2004</v>
          </cell>
          <cell r="P669" t="str">
            <v>DEARBORN PLANT BUILD</v>
          </cell>
          <cell r="Q669" t="str">
            <v>P221/P397</v>
          </cell>
          <cell r="R669" t="str">
            <v>ALL</v>
          </cell>
          <cell r="S669" t="str">
            <v>REAR BRAKE PADS - REPLACED</v>
          </cell>
          <cell r="T669">
            <v>1</v>
          </cell>
          <cell r="X669">
            <v>1</v>
          </cell>
        </row>
        <row r="670">
          <cell r="A670">
            <v>0</v>
          </cell>
          <cell r="B670" t="str">
            <v>ALL VRTS</v>
          </cell>
          <cell r="G670" t="str">
            <v>B69</v>
          </cell>
          <cell r="J670" t="str">
            <v>V75</v>
          </cell>
          <cell r="L670">
            <v>0</v>
          </cell>
          <cell r="M670">
            <v>-1</v>
          </cell>
          <cell r="N670">
            <v>0</v>
          </cell>
          <cell r="O670">
            <v>2004</v>
          </cell>
          <cell r="P670" t="str">
            <v>DEARBORN PLANT BUILD</v>
          </cell>
          <cell r="Q670" t="str">
            <v>P221/P397</v>
          </cell>
          <cell r="R670" t="str">
            <v>ALL</v>
          </cell>
          <cell r="S670" t="str">
            <v>Rear Bumper Replaced</v>
          </cell>
          <cell r="T670">
            <v>1</v>
          </cell>
          <cell r="Y670">
            <v>1</v>
          </cell>
        </row>
        <row r="671">
          <cell r="A671">
            <v>0</v>
          </cell>
          <cell r="B671" t="str">
            <v>ALL VRTS</v>
          </cell>
          <cell r="C671" t="str">
            <v>5340</v>
          </cell>
          <cell r="E671" t="str">
            <v>TDE27-L</v>
          </cell>
          <cell r="G671" t="str">
            <v>G07</v>
          </cell>
          <cell r="J671" t="str">
            <v>V09</v>
          </cell>
          <cell r="L671">
            <v>0</v>
          </cell>
          <cell r="M671">
            <v>0</v>
          </cell>
          <cell r="N671">
            <v>-1</v>
          </cell>
          <cell r="O671">
            <v>2004</v>
          </cell>
          <cell r="P671" t="str">
            <v>DEARBORN PLANT BUILD</v>
          </cell>
          <cell r="Q671" t="str">
            <v>P221/P397</v>
          </cell>
          <cell r="R671" t="str">
            <v>ALL</v>
          </cell>
          <cell r="S671" t="str">
            <v>REATTACH CHANNEL WEATHERSTRIP</v>
          </cell>
          <cell r="T671">
            <v>1</v>
          </cell>
          <cell r="W671">
            <v>1</v>
          </cell>
        </row>
        <row r="672">
          <cell r="A672">
            <v>0</v>
          </cell>
          <cell r="B672" t="str">
            <v>ALL VRTS</v>
          </cell>
          <cell r="G672" t="str">
            <v>G32</v>
          </cell>
          <cell r="J672" t="str">
            <v>V83</v>
          </cell>
          <cell r="L672">
            <v>0</v>
          </cell>
          <cell r="M672">
            <v>-1</v>
          </cell>
          <cell r="N672">
            <v>0</v>
          </cell>
          <cell r="O672">
            <v>2004</v>
          </cell>
          <cell r="P672" t="str">
            <v>DEARBORN PLANT BUILD</v>
          </cell>
          <cell r="Q672" t="str">
            <v>P221/P397</v>
          </cell>
          <cell r="R672" t="str">
            <v>ALL</v>
          </cell>
          <cell r="S672" t="str">
            <v>Re-Crimped Wire.</v>
          </cell>
          <cell r="T672">
            <v>1</v>
          </cell>
          <cell r="Y672">
            <v>1</v>
          </cell>
        </row>
        <row r="673">
          <cell r="A673">
            <v>0</v>
          </cell>
          <cell r="B673" t="str">
            <v>ALL VRTS</v>
          </cell>
          <cell r="G673" t="str">
            <v>G07</v>
          </cell>
          <cell r="J673" t="str">
            <v>V09</v>
          </cell>
          <cell r="L673">
            <v>0</v>
          </cell>
          <cell r="M673">
            <v>-1</v>
          </cell>
          <cell r="N673">
            <v>0</v>
          </cell>
          <cell r="O673">
            <v>2004</v>
          </cell>
          <cell r="P673" t="str">
            <v>DEARBORN PLANT BUILD</v>
          </cell>
          <cell r="Q673" t="str">
            <v>P221/P397</v>
          </cell>
          <cell r="R673" t="str">
            <v>ALL</v>
          </cell>
          <cell r="S673" t="str">
            <v>REGULATOR CABLE BROKEN</v>
          </cell>
          <cell r="T673">
            <v>1</v>
          </cell>
          <cell r="Z673">
            <v>1</v>
          </cell>
        </row>
        <row r="674">
          <cell r="A674">
            <v>0</v>
          </cell>
          <cell r="B674" t="str">
            <v>ALL VRTS</v>
          </cell>
          <cell r="G674" t="str">
            <v>C20</v>
          </cell>
          <cell r="J674" t="str">
            <v>V79</v>
          </cell>
          <cell r="L674">
            <v>0</v>
          </cell>
          <cell r="M674">
            <v>0</v>
          </cell>
          <cell r="N674">
            <v>-1</v>
          </cell>
          <cell r="O674">
            <v>2004</v>
          </cell>
          <cell r="P674" t="str">
            <v>DEARBORN PLANT BUILD</v>
          </cell>
          <cell r="Q674" t="str">
            <v>P221/P397</v>
          </cell>
          <cell r="R674" t="str">
            <v>ALL</v>
          </cell>
          <cell r="S674" t="str">
            <v>Regulator, not hooked-up</v>
          </cell>
          <cell r="T674">
            <v>1</v>
          </cell>
          <cell r="Z674">
            <v>1</v>
          </cell>
        </row>
        <row r="675">
          <cell r="A675">
            <v>0</v>
          </cell>
          <cell r="B675" t="str">
            <v>ALL VRTS</v>
          </cell>
          <cell r="G675" t="str">
            <v>E29</v>
          </cell>
          <cell r="J675" t="str">
            <v>V44</v>
          </cell>
          <cell r="L675">
            <v>0</v>
          </cell>
          <cell r="M675">
            <v>-1</v>
          </cell>
          <cell r="N675">
            <v>0</v>
          </cell>
          <cell r="O675">
            <v>2004</v>
          </cell>
          <cell r="P675" t="str">
            <v>DEARBORN PLANT BUILD</v>
          </cell>
          <cell r="Q675" t="str">
            <v>P221/P397</v>
          </cell>
          <cell r="R675" t="str">
            <v>ALL</v>
          </cell>
          <cell r="S675" t="str">
            <v>Re-install Fuel tank</v>
          </cell>
          <cell r="T675">
            <v>1</v>
          </cell>
          <cell r="AB675">
            <v>1</v>
          </cell>
        </row>
        <row r="676">
          <cell r="A676">
            <v>0</v>
          </cell>
          <cell r="B676" t="str">
            <v>ALL VRTS</v>
          </cell>
          <cell r="C676" t="str">
            <v>5330</v>
          </cell>
          <cell r="E676" t="str">
            <v>TWD20-R</v>
          </cell>
          <cell r="G676" t="str">
            <v>L18</v>
          </cell>
          <cell r="J676" t="str">
            <v>V07</v>
          </cell>
          <cell r="L676">
            <v>0</v>
          </cell>
          <cell r="M676">
            <v>0</v>
          </cell>
          <cell r="N676">
            <v>-1</v>
          </cell>
          <cell r="O676">
            <v>2004</v>
          </cell>
          <cell r="P676" t="str">
            <v>DEARBORN PLANT BUILD</v>
          </cell>
          <cell r="Q676" t="str">
            <v>P221/P397</v>
          </cell>
          <cell r="R676" t="str">
            <v>ALL</v>
          </cell>
          <cell r="S676" t="str">
            <v>REINSTALL R/REAR DOOR HANDLE</v>
          </cell>
          <cell r="T676">
            <v>1</v>
          </cell>
          <cell r="AA676">
            <v>1</v>
          </cell>
        </row>
        <row r="677">
          <cell r="A677">
            <v>0</v>
          </cell>
          <cell r="B677" t="str">
            <v>ALL VRTS</v>
          </cell>
          <cell r="C677" t="str">
            <v>5330</v>
          </cell>
          <cell r="E677" t="str">
            <v>TDE09-L</v>
          </cell>
          <cell r="G677" t="str">
            <v>L15</v>
          </cell>
          <cell r="J677" t="str">
            <v>V07</v>
          </cell>
          <cell r="L677">
            <v>0</v>
          </cell>
          <cell r="M677">
            <v>0</v>
          </cell>
          <cell r="N677">
            <v>-1</v>
          </cell>
          <cell r="O677">
            <v>2004</v>
          </cell>
          <cell r="P677" t="str">
            <v>DEARBORN PLANT BUILD</v>
          </cell>
          <cell r="Q677" t="str">
            <v>P221/P397</v>
          </cell>
          <cell r="R677" t="str">
            <v>ALL</v>
          </cell>
          <cell r="S677" t="str">
            <v>REPAIR BENT LATCH</v>
          </cell>
          <cell r="T677">
            <v>1</v>
          </cell>
          <cell r="AA677">
            <v>1</v>
          </cell>
        </row>
        <row r="678">
          <cell r="A678">
            <v>0</v>
          </cell>
          <cell r="B678" t="str">
            <v>ALL VRTS</v>
          </cell>
          <cell r="G678" t="str">
            <v>E40</v>
          </cell>
          <cell r="J678" t="str">
            <v>V17</v>
          </cell>
          <cell r="L678">
            <v>-1</v>
          </cell>
          <cell r="M678">
            <v>0</v>
          </cell>
          <cell r="N678">
            <v>0</v>
          </cell>
          <cell r="O678">
            <v>2004</v>
          </cell>
          <cell r="P678" t="str">
            <v>DEARBORN PLANT BUILD</v>
          </cell>
          <cell r="Q678" t="str">
            <v>P221/P397</v>
          </cell>
          <cell r="R678" t="str">
            <v>ALL</v>
          </cell>
          <cell r="S678" t="str">
            <v>Repair comment makes no sense</v>
          </cell>
          <cell r="T678">
            <v>1</v>
          </cell>
          <cell r="Z678">
            <v>1</v>
          </cell>
        </row>
        <row r="679">
          <cell r="A679">
            <v>0</v>
          </cell>
          <cell r="B679" t="str">
            <v>ALL VRTS</v>
          </cell>
          <cell r="G679" t="str">
            <v>A88</v>
          </cell>
          <cell r="J679" t="str">
            <v>V19</v>
          </cell>
          <cell r="L679">
            <v>-1</v>
          </cell>
          <cell r="M679">
            <v>0</v>
          </cell>
          <cell r="N679">
            <v>-1</v>
          </cell>
          <cell r="O679">
            <v>2004</v>
          </cell>
          <cell r="P679" t="str">
            <v>DEARBORN PLANT BUILD</v>
          </cell>
          <cell r="Q679" t="str">
            <v>P221/P397</v>
          </cell>
          <cell r="R679" t="str">
            <v>ALL</v>
          </cell>
          <cell r="S679" t="str">
            <v>Repair comment needs defining</v>
          </cell>
          <cell r="T679">
            <v>1</v>
          </cell>
          <cell r="Z679">
            <v>1</v>
          </cell>
        </row>
        <row r="680">
          <cell r="A680">
            <v>0</v>
          </cell>
          <cell r="B680" t="str">
            <v>ALL VRTS</v>
          </cell>
          <cell r="G680" t="str">
            <v>L25</v>
          </cell>
          <cell r="J680" t="str">
            <v>V77</v>
          </cell>
          <cell r="L680">
            <v>0</v>
          </cell>
          <cell r="M680">
            <v>0</v>
          </cell>
          <cell r="N680">
            <v>-1</v>
          </cell>
          <cell r="O680">
            <v>2004</v>
          </cell>
          <cell r="P680" t="str">
            <v>DEARBORN PLANT BUILD</v>
          </cell>
          <cell r="Q680" t="str">
            <v>P221/P397</v>
          </cell>
          <cell r="R680" t="str">
            <v>ALL</v>
          </cell>
          <cell r="S680" t="str">
            <v>Repair Connector #C4035</v>
          </cell>
          <cell r="T680">
            <v>1</v>
          </cell>
          <cell r="AA680">
            <v>1</v>
          </cell>
        </row>
        <row r="681">
          <cell r="A681">
            <v>0</v>
          </cell>
          <cell r="B681" t="str">
            <v>ALL VRTS</v>
          </cell>
          <cell r="G681" t="str">
            <v>L15</v>
          </cell>
          <cell r="J681" t="str">
            <v>V07</v>
          </cell>
          <cell r="L681">
            <v>0</v>
          </cell>
          <cell r="M681">
            <v>-1</v>
          </cell>
          <cell r="N681">
            <v>0</v>
          </cell>
          <cell r="O681">
            <v>2004</v>
          </cell>
          <cell r="P681" t="str">
            <v>DEARBORN PLANT BUILD</v>
          </cell>
          <cell r="Q681" t="str">
            <v>P221/P397</v>
          </cell>
          <cell r="R681" t="str">
            <v>ALL</v>
          </cell>
          <cell r="S681" t="str">
            <v>REPAIR INTERLOCK LINKAGE</v>
          </cell>
          <cell r="T681">
            <v>1</v>
          </cell>
          <cell r="Y681">
            <v>1</v>
          </cell>
        </row>
        <row r="682">
          <cell r="A682">
            <v>0</v>
          </cell>
          <cell r="B682" t="str">
            <v>ALL VRTS</v>
          </cell>
          <cell r="G682" t="str">
            <v>J04</v>
          </cell>
          <cell r="J682" t="str">
            <v>V09</v>
          </cell>
          <cell r="L682">
            <v>0</v>
          </cell>
          <cell r="M682">
            <v>-1</v>
          </cell>
          <cell r="N682">
            <v>0</v>
          </cell>
          <cell r="O682">
            <v>2004</v>
          </cell>
          <cell r="P682" t="str">
            <v>DEARBORN PLANT BUILD</v>
          </cell>
          <cell r="Q682" t="str">
            <v>P221/P397</v>
          </cell>
          <cell r="R682" t="str">
            <v>ALL</v>
          </cell>
          <cell r="S682" t="str">
            <v>REPAIR SUNROOF RAIL ASSEMBLY</v>
          </cell>
          <cell r="T682">
            <v>1</v>
          </cell>
          <cell r="AA682">
            <v>1</v>
          </cell>
        </row>
        <row r="683">
          <cell r="A683">
            <v>0</v>
          </cell>
          <cell r="B683" t="str">
            <v>ALL VRTS</v>
          </cell>
          <cell r="C683" t="str">
            <v>Chassis 4 Team 1</v>
          </cell>
          <cell r="E683" t="str">
            <v>C4E07L</v>
          </cell>
          <cell r="G683" t="str">
            <v>L26</v>
          </cell>
          <cell r="J683" t="str">
            <v>V77</v>
          </cell>
          <cell r="L683">
            <v>0</v>
          </cell>
          <cell r="M683">
            <v>-1</v>
          </cell>
          <cell r="N683">
            <v>-1</v>
          </cell>
          <cell r="O683">
            <v>2004</v>
          </cell>
          <cell r="P683" t="str">
            <v>DEARBORN PLANT BUILD</v>
          </cell>
          <cell r="Q683" t="str">
            <v>P221/P397</v>
          </cell>
          <cell r="R683" t="str">
            <v>ALL</v>
          </cell>
          <cell r="S683" t="str">
            <v>Repaired Broken wire at connector 3137.</v>
          </cell>
          <cell r="T683">
            <v>1</v>
          </cell>
          <cell r="W683">
            <v>1</v>
          </cell>
        </row>
        <row r="684">
          <cell r="A684">
            <v>0</v>
          </cell>
          <cell r="B684" t="str">
            <v>ALL VRTS</v>
          </cell>
          <cell r="G684" t="str">
            <v>L25</v>
          </cell>
          <cell r="J684" t="str">
            <v>V77</v>
          </cell>
          <cell r="L684">
            <v>0</v>
          </cell>
          <cell r="M684">
            <v>-1</v>
          </cell>
          <cell r="N684">
            <v>0</v>
          </cell>
          <cell r="O684">
            <v>2004</v>
          </cell>
          <cell r="P684" t="str">
            <v>DEARBORN PLANT BUILD</v>
          </cell>
          <cell r="Q684" t="str">
            <v>P221/P397</v>
          </cell>
          <cell r="R684" t="str">
            <v>ALL</v>
          </cell>
          <cell r="S684" t="str">
            <v>Repaired circult 13 Red &amp; Black in 14401.</v>
          </cell>
          <cell r="T684">
            <v>1</v>
          </cell>
          <cell r="V684">
            <v>1</v>
          </cell>
        </row>
        <row r="685">
          <cell r="A685">
            <v>0</v>
          </cell>
          <cell r="B685" t="str">
            <v>ALL VRTS</v>
          </cell>
          <cell r="G685" t="str">
            <v>L26</v>
          </cell>
          <cell r="J685" t="str">
            <v>V77</v>
          </cell>
          <cell r="L685">
            <v>0</v>
          </cell>
          <cell r="M685">
            <v>-1</v>
          </cell>
          <cell r="N685">
            <v>0</v>
          </cell>
          <cell r="O685">
            <v>2004</v>
          </cell>
          <cell r="P685" t="str">
            <v>DEARBORN PLANT BUILD</v>
          </cell>
          <cell r="Q685" t="str">
            <v>P221/P397</v>
          </cell>
          <cell r="R685" t="str">
            <v>ALL</v>
          </cell>
          <cell r="S685" t="str">
            <v>Repaired connector 205a</v>
          </cell>
          <cell r="T685">
            <v>1</v>
          </cell>
          <cell r="AA685">
            <v>1</v>
          </cell>
        </row>
        <row r="686">
          <cell r="A686">
            <v>0</v>
          </cell>
          <cell r="B686" t="str">
            <v>ALL VRTS</v>
          </cell>
          <cell r="G686" t="str">
            <v>C19</v>
          </cell>
          <cell r="J686" t="str">
            <v>V79</v>
          </cell>
          <cell r="L686">
            <v>0</v>
          </cell>
          <cell r="M686">
            <v>-1</v>
          </cell>
          <cell r="N686">
            <v>-1</v>
          </cell>
          <cell r="O686">
            <v>2004</v>
          </cell>
          <cell r="P686" t="str">
            <v>DEARBORN PLANT BUILD</v>
          </cell>
          <cell r="Q686" t="str">
            <v>P221/P397</v>
          </cell>
          <cell r="R686" t="str">
            <v>ALL</v>
          </cell>
          <cell r="S686" t="str">
            <v>Repaired Defrost vents circult wire #1989.</v>
          </cell>
          <cell r="T686">
            <v>1</v>
          </cell>
          <cell r="W686">
            <v>1</v>
          </cell>
        </row>
        <row r="687">
          <cell r="A687">
            <v>0</v>
          </cell>
          <cell r="B687" t="str">
            <v>ALL VRTS</v>
          </cell>
          <cell r="G687" t="str">
            <v>E29</v>
          </cell>
          <cell r="J687" t="str">
            <v>V44</v>
          </cell>
          <cell r="L687">
            <v>-1</v>
          </cell>
          <cell r="M687">
            <v>-1</v>
          </cell>
          <cell r="N687">
            <v>0</v>
          </cell>
          <cell r="O687">
            <v>2004</v>
          </cell>
          <cell r="P687" t="str">
            <v>DEARBORN PLANT BUILD</v>
          </cell>
          <cell r="Q687" t="str">
            <v>P221/P397</v>
          </cell>
          <cell r="R687" t="str">
            <v>ALL</v>
          </cell>
          <cell r="S687" t="str">
            <v>Repaired Fuel Vapor Hose</v>
          </cell>
          <cell r="T687">
            <v>1</v>
          </cell>
          <cell r="AB687">
            <v>1</v>
          </cell>
        </row>
        <row r="688">
          <cell r="A688">
            <v>0</v>
          </cell>
          <cell r="B688" t="str">
            <v>ALL VRTS</v>
          </cell>
          <cell r="G688" t="str">
            <v>A06</v>
          </cell>
          <cell r="J688" t="str">
            <v>V81</v>
          </cell>
          <cell r="L688">
            <v>0</v>
          </cell>
          <cell r="M688">
            <v>0</v>
          </cell>
          <cell r="N688">
            <v>-1</v>
          </cell>
          <cell r="O688">
            <v>2004</v>
          </cell>
          <cell r="P688" t="str">
            <v>DEARBORN PLANT BUILD</v>
          </cell>
          <cell r="Q688" t="str">
            <v>P221/P397</v>
          </cell>
          <cell r="R688" t="str">
            <v>ALL</v>
          </cell>
          <cell r="S688" t="str">
            <v>Repaired Open Circuit C5234</v>
          </cell>
          <cell r="T688">
            <v>1</v>
          </cell>
          <cell r="Z688">
            <v>1</v>
          </cell>
        </row>
        <row r="689">
          <cell r="A689">
            <v>0</v>
          </cell>
          <cell r="B689" t="str">
            <v>ALL VRTS</v>
          </cell>
          <cell r="G689" t="str">
            <v>E29</v>
          </cell>
          <cell r="J689" t="str">
            <v>V44</v>
          </cell>
          <cell r="L689">
            <v>-1</v>
          </cell>
          <cell r="M689">
            <v>-1</v>
          </cell>
          <cell r="N689">
            <v>0</v>
          </cell>
          <cell r="O689">
            <v>2004</v>
          </cell>
          <cell r="P689" t="str">
            <v>DEARBORN PLANT BUILD</v>
          </cell>
          <cell r="Q689" t="str">
            <v>P221/P397</v>
          </cell>
          <cell r="R689" t="str">
            <v>ALL</v>
          </cell>
          <cell r="S689" t="str">
            <v>repaired terminal 12029</v>
          </cell>
          <cell r="T689">
            <v>1</v>
          </cell>
          <cell r="AA689">
            <v>1</v>
          </cell>
        </row>
        <row r="690">
          <cell r="A690">
            <v>0</v>
          </cell>
          <cell r="B690" t="str">
            <v>ALL VRTS</v>
          </cell>
          <cell r="G690" t="str">
            <v>A85</v>
          </cell>
          <cell r="J690" t="str">
            <v>V19</v>
          </cell>
          <cell r="L690">
            <v>0</v>
          </cell>
          <cell r="M690">
            <v>0</v>
          </cell>
          <cell r="N690">
            <v>-1</v>
          </cell>
          <cell r="O690">
            <v>2004</v>
          </cell>
          <cell r="P690" t="str">
            <v>DEARBORN PLANT BUILD</v>
          </cell>
          <cell r="Q690" t="str">
            <v>P221/P397</v>
          </cell>
          <cell r="R690" t="str">
            <v>ALL</v>
          </cell>
          <cell r="S690" t="str">
            <v>Repaired Terminals in C608,Circuit 334,and 333.</v>
          </cell>
          <cell r="T690">
            <v>1</v>
          </cell>
          <cell r="Z690">
            <v>1</v>
          </cell>
        </row>
        <row r="691">
          <cell r="A691">
            <v>0</v>
          </cell>
          <cell r="B691" t="str">
            <v>ALL VRTS</v>
          </cell>
          <cell r="G691" t="str">
            <v>E29</v>
          </cell>
          <cell r="J691" t="str">
            <v>V44</v>
          </cell>
          <cell r="L691">
            <v>-1</v>
          </cell>
          <cell r="M691">
            <v>-1</v>
          </cell>
          <cell r="N691">
            <v>0</v>
          </cell>
          <cell r="O691">
            <v>2004</v>
          </cell>
          <cell r="P691" t="str">
            <v>DEARBORN PLANT BUILD</v>
          </cell>
          <cell r="Q691" t="str">
            <v>P221/P397</v>
          </cell>
          <cell r="R691" t="str">
            <v>ALL</v>
          </cell>
          <cell r="S691" t="str">
            <v>Repaired TP Sensor</v>
          </cell>
          <cell r="T691">
            <v>1</v>
          </cell>
          <cell r="AA691">
            <v>1</v>
          </cell>
        </row>
        <row r="692">
          <cell r="A692">
            <v>0</v>
          </cell>
          <cell r="B692" t="str">
            <v>ALL VRTS</v>
          </cell>
          <cell r="G692" t="str">
            <v>A88</v>
          </cell>
          <cell r="J692" t="str">
            <v>V83</v>
          </cell>
          <cell r="L692">
            <v>-1</v>
          </cell>
          <cell r="M692">
            <v>-1</v>
          </cell>
          <cell r="N692">
            <v>0</v>
          </cell>
          <cell r="O692">
            <v>2004</v>
          </cell>
          <cell r="P692" t="str">
            <v>DEARBORN PLANT BUILD</v>
          </cell>
          <cell r="Q692" t="str">
            <v>P221/P397</v>
          </cell>
          <cell r="R692" t="str">
            <v>ALL</v>
          </cell>
          <cell r="S692" t="str">
            <v>Repaired wiring. 14A005/14405.</v>
          </cell>
          <cell r="T692">
            <v>1</v>
          </cell>
          <cell r="W692">
            <v>1</v>
          </cell>
        </row>
        <row r="693">
          <cell r="A693">
            <v>0</v>
          </cell>
          <cell r="B693" t="str">
            <v>ALL VRTS</v>
          </cell>
          <cell r="G693" t="str">
            <v>W05</v>
          </cell>
          <cell r="J693" t="str">
            <v>V16</v>
          </cell>
          <cell r="L693">
            <v>0</v>
          </cell>
          <cell r="M693">
            <v>0</v>
          </cell>
          <cell r="N693">
            <v>-1</v>
          </cell>
          <cell r="O693">
            <v>2004</v>
          </cell>
          <cell r="P693" t="str">
            <v>DEARBORN PLANT BUILD</v>
          </cell>
          <cell r="Q693" t="str">
            <v>P221/P397</v>
          </cell>
          <cell r="R693" t="str">
            <v>ALL</v>
          </cell>
          <cell r="S693" t="str">
            <v>Repaired, circuit 941 harness.</v>
          </cell>
          <cell r="T693">
            <v>1</v>
          </cell>
          <cell r="AA693">
            <v>1</v>
          </cell>
        </row>
        <row r="694">
          <cell r="A694">
            <v>0</v>
          </cell>
          <cell r="B694" t="str">
            <v>ALL VRTS</v>
          </cell>
          <cell r="G694" t="str">
            <v>L17</v>
          </cell>
          <cell r="J694" t="str">
            <v>V07</v>
          </cell>
          <cell r="L694">
            <v>0</v>
          </cell>
          <cell r="M694">
            <v>-1</v>
          </cell>
          <cell r="N694">
            <v>0</v>
          </cell>
          <cell r="O694">
            <v>2004</v>
          </cell>
          <cell r="P694" t="str">
            <v>DEARBORN PLANT BUILD</v>
          </cell>
          <cell r="Q694" t="str">
            <v>P221/P397</v>
          </cell>
          <cell r="R694" t="str">
            <v>ALL</v>
          </cell>
          <cell r="S694" t="str">
            <v>REPLACE ACUATOR</v>
          </cell>
          <cell r="T694">
            <v>1</v>
          </cell>
          <cell r="AB694">
            <v>1</v>
          </cell>
        </row>
        <row r="695">
          <cell r="A695">
            <v>0</v>
          </cell>
          <cell r="B695" t="str">
            <v>ALL VRTS</v>
          </cell>
          <cell r="C695" t="str">
            <v>5330</v>
          </cell>
          <cell r="E695" t="str">
            <v>TDE17-L</v>
          </cell>
          <cell r="G695" t="str">
            <v>L15</v>
          </cell>
          <cell r="J695" t="str">
            <v>V07</v>
          </cell>
          <cell r="L695">
            <v>0</v>
          </cell>
          <cell r="M695">
            <v>0</v>
          </cell>
          <cell r="N695">
            <v>-1</v>
          </cell>
          <cell r="O695">
            <v>2004</v>
          </cell>
          <cell r="P695" t="str">
            <v>DEARBORN PLANT BUILD</v>
          </cell>
          <cell r="Q695" t="str">
            <v>P221/P397</v>
          </cell>
          <cell r="R695" t="str">
            <v>ALL</v>
          </cell>
          <cell r="S695" t="str">
            <v>REPLACE ACUATOR CLIP</v>
          </cell>
          <cell r="T695">
            <v>1</v>
          </cell>
          <cell r="AB695">
            <v>1</v>
          </cell>
        </row>
        <row r="696">
          <cell r="A696">
            <v>0</v>
          </cell>
          <cell r="B696" t="str">
            <v>ALL VRTS</v>
          </cell>
          <cell r="G696" t="str">
            <v>A88</v>
          </cell>
          <cell r="J696" t="str">
            <v>V17</v>
          </cell>
          <cell r="L696">
            <v>0</v>
          </cell>
          <cell r="M696">
            <v>-1</v>
          </cell>
          <cell r="N696">
            <v>0</v>
          </cell>
          <cell r="O696">
            <v>2004</v>
          </cell>
          <cell r="P696" t="str">
            <v>DEARBORN PLANT BUILD</v>
          </cell>
          <cell r="Q696" t="str">
            <v>P221/P397</v>
          </cell>
          <cell r="R696" t="str">
            <v>ALL</v>
          </cell>
          <cell r="S696" t="str">
            <v>Replace Body Control Module.</v>
          </cell>
          <cell r="T696">
            <v>1</v>
          </cell>
          <cell r="X696">
            <v>1</v>
          </cell>
        </row>
        <row r="697">
          <cell r="A697">
            <v>0</v>
          </cell>
          <cell r="B697" t="str">
            <v>ALL VRTS</v>
          </cell>
          <cell r="G697" t="str">
            <v>B66</v>
          </cell>
          <cell r="J697" t="str">
            <v>V75</v>
          </cell>
          <cell r="L697">
            <v>0</v>
          </cell>
          <cell r="M697">
            <v>-1</v>
          </cell>
          <cell r="N697">
            <v>0</v>
          </cell>
          <cell r="O697">
            <v>2004</v>
          </cell>
          <cell r="P697" t="str">
            <v>DEARBORN PLANT BUILD</v>
          </cell>
          <cell r="Q697" t="str">
            <v>P221/P397</v>
          </cell>
          <cell r="R697" t="str">
            <v>ALL</v>
          </cell>
          <cell r="S697" t="str">
            <v>Replace Box Extender</v>
          </cell>
          <cell r="T697">
            <v>1</v>
          </cell>
          <cell r="AA697">
            <v>1</v>
          </cell>
        </row>
        <row r="698">
          <cell r="A698">
            <v>0</v>
          </cell>
          <cell r="B698" t="str">
            <v>ALL VRTS</v>
          </cell>
          <cell r="C698" t="str">
            <v>5390</v>
          </cell>
          <cell r="E698" t="str">
            <v>TBE10BB</v>
          </cell>
          <cell r="G698" t="str">
            <v>L15</v>
          </cell>
          <cell r="J698" t="str">
            <v>V07</v>
          </cell>
          <cell r="L698">
            <v>0</v>
          </cell>
          <cell r="M698">
            <v>0</v>
          </cell>
          <cell r="N698">
            <v>-1</v>
          </cell>
          <cell r="O698">
            <v>2004</v>
          </cell>
          <cell r="P698" t="str">
            <v>DEARBORN PLANT BUILD</v>
          </cell>
          <cell r="Q698" t="str">
            <v>P221/P397</v>
          </cell>
          <cell r="R698" t="str">
            <v>ALL</v>
          </cell>
          <cell r="S698" t="str">
            <v>REPLACE BUSHING</v>
          </cell>
          <cell r="T698">
            <v>1</v>
          </cell>
          <cell r="X698">
            <v>1</v>
          </cell>
        </row>
        <row r="699">
          <cell r="A699">
            <v>0</v>
          </cell>
          <cell r="B699" t="str">
            <v>ALL VRTS</v>
          </cell>
          <cell r="G699" t="str">
            <v>A34</v>
          </cell>
          <cell r="J699" t="str">
            <v>V83</v>
          </cell>
          <cell r="L699">
            <v>0</v>
          </cell>
          <cell r="M699">
            <v>-1</v>
          </cell>
          <cell r="N699">
            <v>0</v>
          </cell>
          <cell r="O699">
            <v>2004</v>
          </cell>
          <cell r="P699" t="str">
            <v>DEARBORN PLANT BUILD</v>
          </cell>
          <cell r="Q699" t="str">
            <v>P221/P397</v>
          </cell>
          <cell r="R699" t="str">
            <v>ALL</v>
          </cell>
          <cell r="S699" t="str">
            <v>Replace Clock Spring</v>
          </cell>
          <cell r="T699">
            <v>1</v>
          </cell>
          <cell r="AA699">
            <v>1</v>
          </cell>
        </row>
        <row r="700">
          <cell r="A700">
            <v>0</v>
          </cell>
          <cell r="B700" t="str">
            <v>ALL VRTS</v>
          </cell>
          <cell r="G700" t="str">
            <v>L25</v>
          </cell>
          <cell r="J700" t="str">
            <v>V77</v>
          </cell>
          <cell r="L700">
            <v>0</v>
          </cell>
          <cell r="M700">
            <v>-1</v>
          </cell>
          <cell r="N700">
            <v>0</v>
          </cell>
          <cell r="O700">
            <v>2004</v>
          </cell>
          <cell r="P700" t="str">
            <v>DEARBORN PLANT BUILD</v>
          </cell>
          <cell r="Q700" t="str">
            <v>P221/P397</v>
          </cell>
          <cell r="R700" t="str">
            <v>ALL</v>
          </cell>
          <cell r="S700" t="str">
            <v>Replace Cluster new module</v>
          </cell>
          <cell r="T700">
            <v>1</v>
          </cell>
          <cell r="AB700">
            <v>1</v>
          </cell>
        </row>
        <row r="701">
          <cell r="A701">
            <v>0</v>
          </cell>
          <cell r="B701" t="str">
            <v>ALL VRTS</v>
          </cell>
          <cell r="G701" t="str">
            <v>T50</v>
          </cell>
          <cell r="J701" t="str">
            <v>V71</v>
          </cell>
          <cell r="L701">
            <v>0</v>
          </cell>
          <cell r="M701">
            <v>-1</v>
          </cell>
          <cell r="N701">
            <v>0</v>
          </cell>
          <cell r="O701">
            <v>2004</v>
          </cell>
          <cell r="P701" t="str">
            <v>DEARBORN PLANT BUILD</v>
          </cell>
          <cell r="Q701" t="str">
            <v>P221/P397</v>
          </cell>
          <cell r="R701" t="str">
            <v>ALL</v>
          </cell>
          <cell r="S701" t="str">
            <v>REPLACE CUPHOLDER</v>
          </cell>
          <cell r="T701">
            <v>1</v>
          </cell>
          <cell r="W701">
            <v>1</v>
          </cell>
        </row>
        <row r="702">
          <cell r="A702">
            <v>0</v>
          </cell>
          <cell r="B702" t="str">
            <v>ALL VRTS</v>
          </cell>
          <cell r="G702" t="str">
            <v>L29</v>
          </cell>
          <cell r="J702" t="str">
            <v>V77</v>
          </cell>
          <cell r="L702">
            <v>0</v>
          </cell>
          <cell r="M702">
            <v>0</v>
          </cell>
          <cell r="N702">
            <v>-1</v>
          </cell>
          <cell r="O702">
            <v>2004</v>
          </cell>
          <cell r="P702" t="str">
            <v>DEARBORN PLANT BUILD</v>
          </cell>
          <cell r="Q702" t="str">
            <v>P221/P397</v>
          </cell>
          <cell r="R702" t="str">
            <v>ALL</v>
          </cell>
          <cell r="S702" t="str">
            <v>Replace Door Harness</v>
          </cell>
          <cell r="T702">
            <v>1</v>
          </cell>
          <cell r="Y702">
            <v>1</v>
          </cell>
        </row>
        <row r="703">
          <cell r="A703">
            <v>0</v>
          </cell>
          <cell r="B703" t="str">
            <v>ALL VRTS</v>
          </cell>
          <cell r="G703" t="str">
            <v>F37</v>
          </cell>
          <cell r="J703" t="str">
            <v>V75</v>
          </cell>
          <cell r="L703">
            <v>0</v>
          </cell>
          <cell r="M703">
            <v>-1</v>
          </cell>
          <cell r="N703">
            <v>0</v>
          </cell>
          <cell r="O703">
            <v>2004</v>
          </cell>
          <cell r="P703" t="str">
            <v>DEARBORN PLANT BUILD</v>
          </cell>
          <cell r="Q703" t="str">
            <v>P221/P397</v>
          </cell>
          <cell r="R703" t="str">
            <v>ALL</v>
          </cell>
          <cell r="S703" t="str">
            <v>Replace Fascia</v>
          </cell>
          <cell r="T703">
            <v>1</v>
          </cell>
          <cell r="W703">
            <v>1</v>
          </cell>
        </row>
        <row r="704">
          <cell r="A704">
            <v>0</v>
          </cell>
          <cell r="B704" t="str">
            <v>ALL VRTS</v>
          </cell>
          <cell r="G704" t="str">
            <v>A85</v>
          </cell>
          <cell r="J704" t="str">
            <v>V17</v>
          </cell>
          <cell r="L704">
            <v>0</v>
          </cell>
          <cell r="M704">
            <v>-1</v>
          </cell>
          <cell r="N704">
            <v>0</v>
          </cell>
          <cell r="O704">
            <v>2004</v>
          </cell>
          <cell r="P704" t="str">
            <v>DEARBORN PLANT BUILD</v>
          </cell>
          <cell r="Q704" t="str">
            <v>P221/P397</v>
          </cell>
          <cell r="R704" t="str">
            <v>ALL</v>
          </cell>
          <cell r="S704" t="str">
            <v>Replace Faulty ICM</v>
          </cell>
          <cell r="T704">
            <v>1</v>
          </cell>
          <cell r="AA704">
            <v>1</v>
          </cell>
        </row>
        <row r="705">
          <cell r="A705">
            <v>0</v>
          </cell>
          <cell r="B705" t="str">
            <v>ALL VRTS</v>
          </cell>
          <cell r="G705" t="str">
            <v>J04</v>
          </cell>
          <cell r="J705" t="str">
            <v>V09</v>
          </cell>
          <cell r="L705">
            <v>0</v>
          </cell>
          <cell r="M705">
            <v>-1</v>
          </cell>
          <cell r="N705">
            <v>0</v>
          </cell>
          <cell r="O705">
            <v>2004</v>
          </cell>
          <cell r="P705" t="str">
            <v>DEARBORN PLANT BUILD</v>
          </cell>
          <cell r="Q705" t="str">
            <v>P221/P397</v>
          </cell>
          <cell r="R705" t="str">
            <v>ALL</v>
          </cell>
          <cell r="S705" t="str">
            <v>REPLACE GLASS ASSEMBLY</v>
          </cell>
          <cell r="T705">
            <v>1</v>
          </cell>
          <cell r="AB705">
            <v>1</v>
          </cell>
        </row>
        <row r="706">
          <cell r="A706">
            <v>0</v>
          </cell>
          <cell r="B706" t="str">
            <v>ALL VRTS</v>
          </cell>
          <cell r="G706" t="str">
            <v>L20</v>
          </cell>
          <cell r="J706" t="str">
            <v>V07</v>
          </cell>
          <cell r="L706">
            <v>0</v>
          </cell>
          <cell r="M706">
            <v>-1</v>
          </cell>
          <cell r="N706">
            <v>0</v>
          </cell>
          <cell r="O706">
            <v>2004</v>
          </cell>
          <cell r="P706" t="str">
            <v>DEARBORN PLANT BUILD</v>
          </cell>
          <cell r="Q706" t="str">
            <v>P221/P397</v>
          </cell>
          <cell r="R706" t="str">
            <v>ALL</v>
          </cell>
          <cell r="S706" t="str">
            <v>REPLACE KEYPAD</v>
          </cell>
          <cell r="T706">
            <v>1</v>
          </cell>
          <cell r="AA706">
            <v>1</v>
          </cell>
        </row>
        <row r="707">
          <cell r="A707">
            <v>0</v>
          </cell>
          <cell r="B707" t="str">
            <v>ALL VRTS</v>
          </cell>
          <cell r="G707" t="str">
            <v>L15</v>
          </cell>
          <cell r="J707" t="str">
            <v>V07</v>
          </cell>
          <cell r="L707">
            <v>0</v>
          </cell>
          <cell r="M707">
            <v>-1</v>
          </cell>
          <cell r="N707">
            <v>0</v>
          </cell>
          <cell r="O707">
            <v>2004</v>
          </cell>
          <cell r="P707" t="str">
            <v>DEARBORN PLANT BUILD</v>
          </cell>
          <cell r="Q707" t="str">
            <v>P221/P397</v>
          </cell>
          <cell r="R707" t="str">
            <v>ALL</v>
          </cell>
          <cell r="S707" t="str">
            <v>REPLACE LATCH</v>
          </cell>
          <cell r="T707">
            <v>1</v>
          </cell>
          <cell r="AB707">
            <v>1</v>
          </cell>
        </row>
        <row r="708">
          <cell r="A708">
            <v>0</v>
          </cell>
          <cell r="B708" t="str">
            <v>ALL VRTS</v>
          </cell>
          <cell r="G708" t="str">
            <v>L15</v>
          </cell>
          <cell r="J708" t="str">
            <v>V07</v>
          </cell>
          <cell r="L708">
            <v>0</v>
          </cell>
          <cell r="M708">
            <v>-1</v>
          </cell>
          <cell r="N708">
            <v>0</v>
          </cell>
          <cell r="O708">
            <v>2004</v>
          </cell>
          <cell r="P708" t="str">
            <v>DEARBORN PLANT BUILD</v>
          </cell>
          <cell r="Q708" t="str">
            <v>P221/P397</v>
          </cell>
          <cell r="R708" t="str">
            <v>ALL</v>
          </cell>
          <cell r="S708" t="str">
            <v>REPLACE LOCK CYLINDER</v>
          </cell>
          <cell r="T708">
            <v>1</v>
          </cell>
          <cell r="Z708">
            <v>1</v>
          </cell>
        </row>
        <row r="709">
          <cell r="A709">
            <v>0</v>
          </cell>
          <cell r="B709" t="str">
            <v>ALL VRTS</v>
          </cell>
          <cell r="G709" t="str">
            <v>W05</v>
          </cell>
          <cell r="J709" t="str">
            <v>V16</v>
          </cell>
          <cell r="L709">
            <v>0</v>
          </cell>
          <cell r="M709">
            <v>-1</v>
          </cell>
          <cell r="N709">
            <v>-1</v>
          </cell>
          <cell r="O709">
            <v>2004</v>
          </cell>
          <cell r="P709" t="str">
            <v>DEARBORN PLANT BUILD</v>
          </cell>
          <cell r="Q709" t="str">
            <v>P221/P397</v>
          </cell>
          <cell r="R709" t="str">
            <v>ALL</v>
          </cell>
          <cell r="S709" t="str">
            <v>Replace motor and Linkage Ass.</v>
          </cell>
          <cell r="T709">
            <v>1</v>
          </cell>
          <cell r="Z709">
            <v>1</v>
          </cell>
        </row>
        <row r="710">
          <cell r="A710">
            <v>0</v>
          </cell>
          <cell r="B710" t="str">
            <v>ALL VRTS</v>
          </cell>
          <cell r="G710" t="str">
            <v>G07</v>
          </cell>
          <cell r="J710" t="str">
            <v>V09</v>
          </cell>
          <cell r="L710">
            <v>0</v>
          </cell>
          <cell r="M710">
            <v>-1</v>
          </cell>
          <cell r="N710">
            <v>0</v>
          </cell>
          <cell r="O710">
            <v>2004</v>
          </cell>
          <cell r="P710" t="str">
            <v>DEARBORN PLANT BUILD</v>
          </cell>
          <cell r="Q710" t="str">
            <v>P221/P397</v>
          </cell>
          <cell r="R710" t="str">
            <v>ALL</v>
          </cell>
          <cell r="S710" t="str">
            <v>REPLACE POWER WINDOW SWITCH</v>
          </cell>
          <cell r="T710">
            <v>1</v>
          </cell>
          <cell r="AA710">
            <v>1</v>
          </cell>
        </row>
        <row r="711">
          <cell r="A711">
            <v>0</v>
          </cell>
          <cell r="B711" t="str">
            <v>ALL VRTS</v>
          </cell>
          <cell r="G711" t="str">
            <v>G32</v>
          </cell>
          <cell r="J711" t="str">
            <v>V17</v>
          </cell>
          <cell r="L711">
            <v>0</v>
          </cell>
          <cell r="M711">
            <v>-1</v>
          </cell>
          <cell r="N711">
            <v>0</v>
          </cell>
          <cell r="O711">
            <v>2004</v>
          </cell>
          <cell r="P711" t="str">
            <v>DEARBORN PLANT BUILD</v>
          </cell>
          <cell r="Q711" t="str">
            <v>P221/P397</v>
          </cell>
          <cell r="R711" t="str">
            <v>ALL</v>
          </cell>
          <cell r="S711" t="str">
            <v>Replace RCM</v>
          </cell>
          <cell r="T711">
            <v>1</v>
          </cell>
          <cell r="AA711">
            <v>1</v>
          </cell>
        </row>
        <row r="712">
          <cell r="A712">
            <v>0</v>
          </cell>
          <cell r="B712" t="str">
            <v>ALL VRTS</v>
          </cell>
          <cell r="G712" t="str">
            <v>L20</v>
          </cell>
          <cell r="J712" t="str">
            <v>V07</v>
          </cell>
          <cell r="L712">
            <v>0</v>
          </cell>
          <cell r="M712">
            <v>-1</v>
          </cell>
          <cell r="N712">
            <v>0</v>
          </cell>
          <cell r="O712">
            <v>2004</v>
          </cell>
          <cell r="P712" t="str">
            <v>DEARBORN PLANT BUILD</v>
          </cell>
          <cell r="Q712" t="str">
            <v>P221/P397</v>
          </cell>
          <cell r="R712" t="str">
            <v>ALL</v>
          </cell>
          <cell r="S712" t="str">
            <v>REPLACE REMOTE</v>
          </cell>
          <cell r="T712">
            <v>1</v>
          </cell>
          <cell r="AA712">
            <v>1</v>
          </cell>
        </row>
        <row r="713">
          <cell r="A713">
            <v>0</v>
          </cell>
          <cell r="B713" t="str">
            <v>ALL VRTS</v>
          </cell>
          <cell r="C713" t="str">
            <v>5390</v>
          </cell>
          <cell r="E713" t="str">
            <v>TBE10-B</v>
          </cell>
          <cell r="G713" t="str">
            <v>L15</v>
          </cell>
          <cell r="J713" t="str">
            <v>V07</v>
          </cell>
          <cell r="L713">
            <v>0</v>
          </cell>
          <cell r="M713">
            <v>0</v>
          </cell>
          <cell r="N713">
            <v>-1</v>
          </cell>
          <cell r="O713">
            <v>2004</v>
          </cell>
          <cell r="P713" t="str">
            <v>DEARBORN PLANT BUILD</v>
          </cell>
          <cell r="Q713" t="str">
            <v>P221/P397</v>
          </cell>
          <cell r="R713" t="str">
            <v>ALL</v>
          </cell>
          <cell r="S713" t="str">
            <v>REPLACE ROLLER GROMMET</v>
          </cell>
          <cell r="T713">
            <v>1</v>
          </cell>
          <cell r="Z713">
            <v>1</v>
          </cell>
        </row>
        <row r="714">
          <cell r="A714">
            <v>0</v>
          </cell>
          <cell r="B714" t="str">
            <v>ALL VRTS</v>
          </cell>
          <cell r="G714" t="str">
            <v>L19</v>
          </cell>
          <cell r="J714" t="str">
            <v>V07</v>
          </cell>
          <cell r="L714">
            <v>0</v>
          </cell>
          <cell r="M714">
            <v>-1</v>
          </cell>
          <cell r="N714">
            <v>0</v>
          </cell>
          <cell r="O714">
            <v>2004</v>
          </cell>
          <cell r="P714" t="str">
            <v>DEARBORN PLANT BUILD</v>
          </cell>
          <cell r="Q714" t="str">
            <v>P221/P397</v>
          </cell>
          <cell r="R714" t="str">
            <v>ALL</v>
          </cell>
          <cell r="S714" t="str">
            <v>REPLACE SECURITY MODULE</v>
          </cell>
          <cell r="T714">
            <v>1</v>
          </cell>
          <cell r="AB714">
            <v>1</v>
          </cell>
        </row>
        <row r="715">
          <cell r="A715">
            <v>0</v>
          </cell>
          <cell r="B715" t="str">
            <v>ALL VRTS</v>
          </cell>
          <cell r="C715" t="str">
            <v>5350</v>
          </cell>
          <cell r="E715" t="str">
            <v>TDE31-I</v>
          </cell>
          <cell r="G715" t="str">
            <v>L15</v>
          </cell>
          <cell r="J715" t="str">
            <v>V07</v>
          </cell>
          <cell r="L715">
            <v>0</v>
          </cell>
          <cell r="M715">
            <v>-1</v>
          </cell>
          <cell r="N715">
            <v>0</v>
          </cell>
          <cell r="O715">
            <v>2004</v>
          </cell>
          <cell r="P715" t="str">
            <v>DEARBORN PLANT BUILD</v>
          </cell>
          <cell r="Q715" t="str">
            <v>P221/P397</v>
          </cell>
          <cell r="R715" t="str">
            <v>ALL</v>
          </cell>
          <cell r="S715" t="str">
            <v>REPLACE STRIKER BOLTS</v>
          </cell>
          <cell r="T715">
            <v>1</v>
          </cell>
          <cell r="W715">
            <v>1</v>
          </cell>
        </row>
        <row r="716">
          <cell r="A716">
            <v>0</v>
          </cell>
          <cell r="B716" t="str">
            <v>ALL VRTS</v>
          </cell>
          <cell r="G716" t="str">
            <v>J03</v>
          </cell>
          <cell r="J716" t="str">
            <v>V09</v>
          </cell>
          <cell r="L716">
            <v>0</v>
          </cell>
          <cell r="M716">
            <v>-1</v>
          </cell>
          <cell r="N716">
            <v>0</v>
          </cell>
          <cell r="O716">
            <v>2004</v>
          </cell>
          <cell r="P716" t="str">
            <v>DEARBORN PLANT BUILD</v>
          </cell>
          <cell r="Q716" t="str">
            <v>P221/P397</v>
          </cell>
          <cell r="R716" t="str">
            <v>ALL</v>
          </cell>
          <cell r="S716" t="str">
            <v>REPLACE SUNROOF RATTLES</v>
          </cell>
          <cell r="T716">
            <v>1</v>
          </cell>
          <cell r="AB716">
            <v>1</v>
          </cell>
        </row>
        <row r="717">
          <cell r="A717">
            <v>0</v>
          </cell>
          <cell r="B717" t="str">
            <v>ALL VRTS</v>
          </cell>
          <cell r="G717" t="str">
            <v>A85</v>
          </cell>
          <cell r="J717" t="str">
            <v>V17</v>
          </cell>
          <cell r="L717">
            <v>0</v>
          </cell>
          <cell r="M717">
            <v>-1</v>
          </cell>
          <cell r="N717">
            <v>0</v>
          </cell>
          <cell r="O717">
            <v>2004</v>
          </cell>
          <cell r="P717" t="str">
            <v>DEARBORN PLANT BUILD</v>
          </cell>
          <cell r="Q717" t="str">
            <v>P221/P397</v>
          </cell>
          <cell r="R717" t="str">
            <v>ALL</v>
          </cell>
          <cell r="S717" t="str">
            <v>Replace Transmitter.</v>
          </cell>
          <cell r="T717">
            <v>1</v>
          </cell>
          <cell r="AA717">
            <v>1</v>
          </cell>
        </row>
        <row r="718">
          <cell r="A718">
            <v>0</v>
          </cell>
          <cell r="B718" t="str">
            <v>ALL VRTS</v>
          </cell>
          <cell r="C718" t="str">
            <v>5380-2-A</v>
          </cell>
          <cell r="E718" t="str">
            <v>TDW19L/20R</v>
          </cell>
          <cell r="G718" t="str">
            <v>B62</v>
          </cell>
          <cell r="J718" t="str">
            <v>V75</v>
          </cell>
          <cell r="L718">
            <v>0</v>
          </cell>
          <cell r="M718">
            <v>0</v>
          </cell>
          <cell r="N718">
            <v>-1</v>
          </cell>
          <cell r="O718">
            <v>2004</v>
          </cell>
          <cell r="P718" t="str">
            <v>DEARBORN PLANT BUILD</v>
          </cell>
          <cell r="Q718" t="str">
            <v>P221/P397</v>
          </cell>
          <cell r="R718" t="str">
            <v>ALL</v>
          </cell>
          <cell r="S718" t="str">
            <v>REPLACED  FRT DOOR WEATHERSTRIP</v>
          </cell>
          <cell r="T718">
            <v>1</v>
          </cell>
          <cell r="W718">
            <v>1</v>
          </cell>
        </row>
        <row r="719">
          <cell r="A719">
            <v>0</v>
          </cell>
          <cell r="B719" t="str">
            <v>ALL VRTS</v>
          </cell>
          <cell r="G719" t="str">
            <v>A88</v>
          </cell>
          <cell r="J719" t="str">
            <v>V17</v>
          </cell>
          <cell r="L719">
            <v>0</v>
          </cell>
          <cell r="M719">
            <v>0</v>
          </cell>
          <cell r="N719">
            <v>-1</v>
          </cell>
          <cell r="O719">
            <v>2004</v>
          </cell>
          <cell r="P719" t="str">
            <v>DEARBORN PLANT BUILD</v>
          </cell>
          <cell r="Q719" t="str">
            <v>P221/P397</v>
          </cell>
          <cell r="R719" t="str">
            <v>ALL</v>
          </cell>
          <cell r="S719" t="str">
            <v>Replaced 954 Component.</v>
          </cell>
          <cell r="T719">
            <v>1</v>
          </cell>
          <cell r="X719">
            <v>1</v>
          </cell>
        </row>
        <row r="720">
          <cell r="A720">
            <v>0</v>
          </cell>
          <cell r="B720" t="str">
            <v>ALL VRTS</v>
          </cell>
          <cell r="C720" t="str">
            <v>Trim 1 5440 -D</v>
          </cell>
          <cell r="E720" t="str">
            <v>T1E02R</v>
          </cell>
          <cell r="G720" t="str">
            <v>B63</v>
          </cell>
          <cell r="J720" t="str">
            <v>V75</v>
          </cell>
          <cell r="L720">
            <v>0</v>
          </cell>
          <cell r="M720">
            <v>0</v>
          </cell>
          <cell r="N720">
            <v>-1</v>
          </cell>
          <cell r="O720">
            <v>2004</v>
          </cell>
          <cell r="P720" t="str">
            <v>DEARBORN PLANT BUILD</v>
          </cell>
          <cell r="Q720" t="str">
            <v>P221/P397</v>
          </cell>
          <cell r="R720" t="str">
            <v>ALL</v>
          </cell>
          <cell r="S720" t="str">
            <v>Replaced Antenna Base Cover</v>
          </cell>
          <cell r="T720">
            <v>1</v>
          </cell>
          <cell r="AB720">
            <v>1</v>
          </cell>
        </row>
        <row r="721">
          <cell r="A721">
            <v>0</v>
          </cell>
          <cell r="B721" t="str">
            <v>ALL VRTS</v>
          </cell>
          <cell r="G721" t="str">
            <v>G29</v>
          </cell>
          <cell r="J721" t="str">
            <v>V83</v>
          </cell>
          <cell r="L721">
            <v>0</v>
          </cell>
          <cell r="M721">
            <v>-1</v>
          </cell>
          <cell r="N721">
            <v>0</v>
          </cell>
          <cell r="O721">
            <v>2004</v>
          </cell>
          <cell r="P721" t="str">
            <v>DEARBORN PLANT BUILD</v>
          </cell>
          <cell r="Q721" t="str">
            <v>P221/P397</v>
          </cell>
          <cell r="R721" t="str">
            <v>ALL</v>
          </cell>
          <cell r="S721" t="str">
            <v>Replaced Audio Unit, under Dash.</v>
          </cell>
          <cell r="T721">
            <v>1</v>
          </cell>
          <cell r="Z721">
            <v>1</v>
          </cell>
        </row>
        <row r="722">
          <cell r="A722">
            <v>0</v>
          </cell>
          <cell r="B722" t="str">
            <v>ALL VRTS</v>
          </cell>
          <cell r="G722" t="str">
            <v>E29</v>
          </cell>
          <cell r="J722" t="str">
            <v>V44</v>
          </cell>
          <cell r="L722">
            <v>-1</v>
          </cell>
          <cell r="M722">
            <v>-1</v>
          </cell>
          <cell r="N722">
            <v>0</v>
          </cell>
          <cell r="O722">
            <v>2004</v>
          </cell>
          <cell r="P722" t="str">
            <v>DEARBORN PLANT BUILD</v>
          </cell>
          <cell r="Q722" t="str">
            <v>P221/P397</v>
          </cell>
          <cell r="R722" t="str">
            <v>ALL</v>
          </cell>
          <cell r="S722" t="str">
            <v>replaced bank 202 sensor</v>
          </cell>
          <cell r="T722">
            <v>1</v>
          </cell>
          <cell r="Y722">
            <v>1</v>
          </cell>
        </row>
        <row r="723">
          <cell r="A723">
            <v>0</v>
          </cell>
          <cell r="B723" t="str">
            <v>ALL VRTS</v>
          </cell>
          <cell r="C723" t="str">
            <v>Chassis 2 6440-2-D</v>
          </cell>
          <cell r="E723" t="str">
            <v>C2W48-52B</v>
          </cell>
          <cell r="G723" t="str">
            <v>B07</v>
          </cell>
          <cell r="J723" t="str">
            <v>V75</v>
          </cell>
          <cell r="L723">
            <v>0</v>
          </cell>
          <cell r="M723">
            <v>-1</v>
          </cell>
          <cell r="N723">
            <v>0</v>
          </cell>
          <cell r="O723">
            <v>2004</v>
          </cell>
          <cell r="P723" t="str">
            <v>DEARBORN PLANT BUILD</v>
          </cell>
          <cell r="Q723" t="str">
            <v>P221/P397</v>
          </cell>
          <cell r="R723" t="str">
            <v>ALL</v>
          </cell>
          <cell r="S723" t="str">
            <v>Replaced Bumper</v>
          </cell>
          <cell r="T723">
            <v>1</v>
          </cell>
          <cell r="X723">
            <v>1</v>
          </cell>
        </row>
        <row r="724">
          <cell r="A724">
            <v>0</v>
          </cell>
          <cell r="B724" t="str">
            <v>ALL VRTS</v>
          </cell>
          <cell r="G724" t="str">
            <v>D36</v>
          </cell>
          <cell r="J724" t="str">
            <v>V41</v>
          </cell>
          <cell r="L724">
            <v>-1</v>
          </cell>
          <cell r="M724">
            <v>-1</v>
          </cell>
          <cell r="N724">
            <v>0</v>
          </cell>
          <cell r="O724">
            <v>2004</v>
          </cell>
          <cell r="P724" t="str">
            <v>DEARBORN PLANT BUILD</v>
          </cell>
          <cell r="Q724" t="str">
            <v>P221/P397</v>
          </cell>
          <cell r="R724" t="str">
            <v>ALL</v>
          </cell>
          <cell r="S724" t="str">
            <v>replaced cam shaft</v>
          </cell>
          <cell r="T724">
            <v>1</v>
          </cell>
          <cell r="Z724">
            <v>1</v>
          </cell>
        </row>
        <row r="725">
          <cell r="A725">
            <v>0</v>
          </cell>
          <cell r="B725" t="str">
            <v>ALL VRTS</v>
          </cell>
          <cell r="C725" t="str">
            <v>6360</v>
          </cell>
          <cell r="E725" t="str">
            <v>CEW46R</v>
          </cell>
          <cell r="G725" t="str">
            <v>E29</v>
          </cell>
          <cell r="J725" t="str">
            <v>V44</v>
          </cell>
          <cell r="L725">
            <v>-1</v>
          </cell>
          <cell r="M725">
            <v>-1</v>
          </cell>
          <cell r="N725">
            <v>-1</v>
          </cell>
          <cell r="O725">
            <v>2004</v>
          </cell>
          <cell r="P725" t="str">
            <v>DEARBORN PLANT BUILD</v>
          </cell>
          <cell r="Q725" t="str">
            <v>P221/P397</v>
          </cell>
          <cell r="R725" t="str">
            <v>ALL</v>
          </cell>
          <cell r="S725" t="str">
            <v>replaced catalytic converter</v>
          </cell>
          <cell r="T725">
            <v>1</v>
          </cell>
          <cell r="X725">
            <v>1</v>
          </cell>
        </row>
        <row r="726">
          <cell r="A726">
            <v>0</v>
          </cell>
          <cell r="B726" t="str">
            <v>ALL VRTS</v>
          </cell>
          <cell r="C726" t="str">
            <v>6360</v>
          </cell>
          <cell r="E726" t="str">
            <v>CEW46R</v>
          </cell>
          <cell r="G726" t="str">
            <v>D02</v>
          </cell>
          <cell r="J726" t="str">
            <v>V43</v>
          </cell>
          <cell r="L726">
            <v>-1</v>
          </cell>
          <cell r="M726">
            <v>-1</v>
          </cell>
          <cell r="N726">
            <v>-1</v>
          </cell>
          <cell r="O726">
            <v>2004</v>
          </cell>
          <cell r="P726" t="str">
            <v>DEARBORN PLANT BUILD</v>
          </cell>
          <cell r="Q726" t="str">
            <v>P221/P397</v>
          </cell>
          <cell r="R726" t="str">
            <v>ALL</v>
          </cell>
          <cell r="S726" t="str">
            <v>Replaced CMS</v>
          </cell>
          <cell r="T726">
            <v>1</v>
          </cell>
          <cell r="Z726">
            <v>1</v>
          </cell>
        </row>
        <row r="727">
          <cell r="A727">
            <v>0</v>
          </cell>
          <cell r="B727" t="str">
            <v>ALL VRTS</v>
          </cell>
          <cell r="G727" t="str">
            <v>K03</v>
          </cell>
          <cell r="J727" t="str">
            <v>V44</v>
          </cell>
          <cell r="L727">
            <v>-1</v>
          </cell>
          <cell r="M727">
            <v>-1</v>
          </cell>
          <cell r="N727">
            <v>0</v>
          </cell>
          <cell r="O727">
            <v>2004</v>
          </cell>
          <cell r="P727" t="str">
            <v>DEARBORN PLANT BUILD</v>
          </cell>
          <cell r="Q727" t="str">
            <v>P221/P397</v>
          </cell>
          <cell r="R727" t="str">
            <v>ALL</v>
          </cell>
          <cell r="S727" t="str">
            <v>Replaced Differential</v>
          </cell>
          <cell r="T727">
            <v>1</v>
          </cell>
          <cell r="Y727">
            <v>1</v>
          </cell>
        </row>
        <row r="728">
          <cell r="A728">
            <v>0</v>
          </cell>
          <cell r="B728" t="str">
            <v>ALL VRTS</v>
          </cell>
          <cell r="G728" t="str">
            <v>E19</v>
          </cell>
          <cell r="J728" t="str">
            <v>V44</v>
          </cell>
          <cell r="L728">
            <v>-1</v>
          </cell>
          <cell r="M728">
            <v>-1</v>
          </cell>
          <cell r="N728">
            <v>0</v>
          </cell>
          <cell r="O728">
            <v>2004</v>
          </cell>
          <cell r="P728" t="str">
            <v>DEARBORN PLANT BUILD</v>
          </cell>
          <cell r="Q728" t="str">
            <v>P221/P397</v>
          </cell>
          <cell r="R728" t="str">
            <v>ALL</v>
          </cell>
          <cell r="S728" t="str">
            <v>replaced drive belt</v>
          </cell>
          <cell r="T728">
            <v>1</v>
          </cell>
          <cell r="W728">
            <v>1</v>
          </cell>
        </row>
        <row r="729">
          <cell r="A729">
            <v>0</v>
          </cell>
          <cell r="B729" t="str">
            <v>ALL VRTS</v>
          </cell>
          <cell r="G729" t="str">
            <v>E29</v>
          </cell>
          <cell r="J729" t="str">
            <v>V44</v>
          </cell>
          <cell r="L729">
            <v>-1</v>
          </cell>
          <cell r="M729">
            <v>-1</v>
          </cell>
          <cell r="N729">
            <v>0</v>
          </cell>
          <cell r="O729">
            <v>2004</v>
          </cell>
          <cell r="P729" t="str">
            <v>DEARBORN PLANT BUILD</v>
          </cell>
          <cell r="Q729" t="str">
            <v>P221/P397</v>
          </cell>
          <cell r="R729" t="str">
            <v>ALL</v>
          </cell>
          <cell r="S729" t="str">
            <v>replaced EGR DPFE</v>
          </cell>
          <cell r="T729">
            <v>1</v>
          </cell>
          <cell r="X729">
            <v>1</v>
          </cell>
        </row>
        <row r="730">
          <cell r="A730">
            <v>0</v>
          </cell>
          <cell r="B730" t="str">
            <v>ALL VRTS</v>
          </cell>
          <cell r="G730" t="str">
            <v>D02</v>
          </cell>
          <cell r="J730" t="str">
            <v>V43</v>
          </cell>
          <cell r="L730">
            <v>-1</v>
          </cell>
          <cell r="M730">
            <v>-1</v>
          </cell>
          <cell r="N730">
            <v>0</v>
          </cell>
          <cell r="O730">
            <v>2004</v>
          </cell>
          <cell r="P730" t="str">
            <v>DEARBORN PLANT BUILD</v>
          </cell>
          <cell r="Q730" t="str">
            <v>P221/P397</v>
          </cell>
          <cell r="R730" t="str">
            <v>ALL</v>
          </cell>
          <cell r="S730" t="str">
            <v>replaced faulty starter ass.</v>
          </cell>
          <cell r="T730">
            <v>1</v>
          </cell>
          <cell r="Y730">
            <v>1</v>
          </cell>
        </row>
        <row r="731">
          <cell r="A731">
            <v>0</v>
          </cell>
          <cell r="B731" t="str">
            <v>ALL VRTS</v>
          </cell>
          <cell r="C731" t="str">
            <v>door line 5350-2-A</v>
          </cell>
          <cell r="E731" t="str">
            <v>TDW32R</v>
          </cell>
          <cell r="G731" t="str">
            <v>B63</v>
          </cell>
          <cell r="J731" t="str">
            <v>V75</v>
          </cell>
          <cell r="L731">
            <v>0</v>
          </cell>
          <cell r="M731">
            <v>0</v>
          </cell>
          <cell r="N731">
            <v>-1</v>
          </cell>
          <cell r="O731">
            <v>2004</v>
          </cell>
          <cell r="P731" t="str">
            <v>DEARBORN PLANT BUILD</v>
          </cell>
          <cell r="Q731" t="str">
            <v>P221/P397</v>
          </cell>
          <cell r="R731" t="str">
            <v>ALL</v>
          </cell>
          <cell r="S731" t="str">
            <v>Replaced Frt Mldg</v>
          </cell>
          <cell r="T731">
            <v>1</v>
          </cell>
          <cell r="AA731">
            <v>1</v>
          </cell>
        </row>
        <row r="732">
          <cell r="A732">
            <v>0</v>
          </cell>
          <cell r="B732" t="str">
            <v>ALL VRTS</v>
          </cell>
          <cell r="G732" t="str">
            <v>D21</v>
          </cell>
          <cell r="J732" t="str">
            <v>V42</v>
          </cell>
          <cell r="L732">
            <v>0</v>
          </cell>
          <cell r="M732">
            <v>-1</v>
          </cell>
          <cell r="N732">
            <v>0</v>
          </cell>
          <cell r="O732">
            <v>2004</v>
          </cell>
          <cell r="P732" t="str">
            <v>DEARBORN PLANT BUILD</v>
          </cell>
          <cell r="Q732" t="str">
            <v>P221/P397</v>
          </cell>
          <cell r="R732" t="str">
            <v>ALL</v>
          </cell>
          <cell r="S732" t="str">
            <v>Replaced fuel driver module</v>
          </cell>
          <cell r="T732">
            <v>1</v>
          </cell>
          <cell r="X732">
            <v>1</v>
          </cell>
        </row>
        <row r="733">
          <cell r="A733">
            <v>0</v>
          </cell>
          <cell r="B733" t="str">
            <v>ALL VRTS</v>
          </cell>
          <cell r="G733" t="str">
            <v>E29</v>
          </cell>
          <cell r="J733" t="str">
            <v>V44</v>
          </cell>
          <cell r="L733">
            <v>-1</v>
          </cell>
          <cell r="M733">
            <v>-1</v>
          </cell>
          <cell r="N733">
            <v>0</v>
          </cell>
          <cell r="O733">
            <v>2004</v>
          </cell>
          <cell r="P733" t="str">
            <v>DEARBORN PLANT BUILD</v>
          </cell>
          <cell r="Q733" t="str">
            <v>P221/P397</v>
          </cell>
          <cell r="R733" t="str">
            <v>ALL</v>
          </cell>
          <cell r="S733" t="str">
            <v>Replaced fuel pump wire asy</v>
          </cell>
          <cell r="T733">
            <v>1</v>
          </cell>
          <cell r="Z733">
            <v>1</v>
          </cell>
        </row>
        <row r="734">
          <cell r="A734">
            <v>0</v>
          </cell>
          <cell r="B734" t="str">
            <v>ALL VRTS</v>
          </cell>
          <cell r="G734" t="str">
            <v>E29</v>
          </cell>
          <cell r="J734" t="str">
            <v>V44</v>
          </cell>
          <cell r="L734">
            <v>-1</v>
          </cell>
          <cell r="M734">
            <v>-1</v>
          </cell>
          <cell r="N734">
            <v>0</v>
          </cell>
          <cell r="O734">
            <v>2004</v>
          </cell>
          <cell r="P734" t="str">
            <v>DEARBORN PLANT BUILD</v>
          </cell>
          <cell r="Q734" t="str">
            <v>P221/P397</v>
          </cell>
          <cell r="R734" t="str">
            <v>ALL</v>
          </cell>
          <cell r="S734" t="str">
            <v>replaced fuel rail</v>
          </cell>
          <cell r="T734">
            <v>1</v>
          </cell>
          <cell r="X734">
            <v>1</v>
          </cell>
        </row>
        <row r="735">
          <cell r="A735">
            <v>0</v>
          </cell>
          <cell r="B735" t="str">
            <v>ALL VRTS</v>
          </cell>
          <cell r="G735" t="str">
            <v>E68</v>
          </cell>
          <cell r="J735" t="str">
            <v>V25</v>
          </cell>
          <cell r="L735">
            <v>-1</v>
          </cell>
          <cell r="M735">
            <v>-1</v>
          </cell>
          <cell r="N735">
            <v>0</v>
          </cell>
          <cell r="O735">
            <v>2004</v>
          </cell>
          <cell r="P735" t="str">
            <v>DEARBORN PLANT BUILD</v>
          </cell>
          <cell r="Q735" t="str">
            <v>P221/P397</v>
          </cell>
          <cell r="R735" t="str">
            <v>ALL</v>
          </cell>
          <cell r="S735" t="str">
            <v>Replaced Fuel Return Tube</v>
          </cell>
          <cell r="T735">
            <v>1</v>
          </cell>
          <cell r="AA735">
            <v>1</v>
          </cell>
        </row>
        <row r="736">
          <cell r="A736">
            <v>0</v>
          </cell>
          <cell r="B736" t="str">
            <v>ALL VRTS</v>
          </cell>
          <cell r="G736" t="str">
            <v>G29</v>
          </cell>
          <cell r="J736" t="str">
            <v>V83</v>
          </cell>
          <cell r="L736">
            <v>0</v>
          </cell>
          <cell r="M736">
            <v>-1</v>
          </cell>
          <cell r="N736">
            <v>0</v>
          </cell>
          <cell r="O736">
            <v>2004</v>
          </cell>
          <cell r="P736" t="str">
            <v>DEARBORN PLANT BUILD</v>
          </cell>
          <cell r="Q736" t="str">
            <v>P221/P397</v>
          </cell>
          <cell r="R736" t="str">
            <v>ALL</v>
          </cell>
          <cell r="S736" t="str">
            <v>Replaced Fuel sender / Fuel Tank</v>
          </cell>
          <cell r="T736">
            <v>1</v>
          </cell>
          <cell r="Y736">
            <v>1</v>
          </cell>
        </row>
        <row r="737">
          <cell r="A737">
            <v>0</v>
          </cell>
          <cell r="B737" t="str">
            <v>ALL VRTS</v>
          </cell>
          <cell r="G737" t="str">
            <v>E29</v>
          </cell>
          <cell r="J737" t="str">
            <v>V44</v>
          </cell>
          <cell r="L737">
            <v>-1</v>
          </cell>
          <cell r="M737">
            <v>-1</v>
          </cell>
          <cell r="N737">
            <v>0</v>
          </cell>
          <cell r="O737">
            <v>2004</v>
          </cell>
          <cell r="P737" t="str">
            <v>DEARBORN PLANT BUILD</v>
          </cell>
          <cell r="Q737" t="str">
            <v>P221/P397</v>
          </cell>
          <cell r="R737" t="str">
            <v>ALL</v>
          </cell>
          <cell r="S737" t="str">
            <v>replaced intake manifold</v>
          </cell>
          <cell r="T737">
            <v>1</v>
          </cell>
          <cell r="Y737">
            <v>1</v>
          </cell>
        </row>
        <row r="738">
          <cell r="A738">
            <v>0</v>
          </cell>
          <cell r="B738" t="str">
            <v>ALL VRTS</v>
          </cell>
          <cell r="G738" t="str">
            <v>A85</v>
          </cell>
          <cell r="J738" t="str">
            <v>V19</v>
          </cell>
          <cell r="L738">
            <v>0</v>
          </cell>
          <cell r="M738">
            <v>0</v>
          </cell>
          <cell r="N738">
            <v>-1</v>
          </cell>
          <cell r="O738">
            <v>2004</v>
          </cell>
          <cell r="P738" t="str">
            <v>DEARBORN PLANT BUILD</v>
          </cell>
          <cell r="Q738" t="str">
            <v>P221/P397</v>
          </cell>
          <cell r="R738" t="str">
            <v>ALL</v>
          </cell>
          <cell r="S738" t="str">
            <v>Replaced Keyless Remote</v>
          </cell>
          <cell r="T738">
            <v>1</v>
          </cell>
          <cell r="AA738">
            <v>1</v>
          </cell>
        </row>
        <row r="739">
          <cell r="A739">
            <v>0</v>
          </cell>
          <cell r="B739" t="str">
            <v>ALL VRTS</v>
          </cell>
          <cell r="G739" t="str">
            <v>A85</v>
          </cell>
          <cell r="J739" t="str">
            <v>V17</v>
          </cell>
          <cell r="L739">
            <v>0</v>
          </cell>
          <cell r="M739">
            <v>-1</v>
          </cell>
          <cell r="N739">
            <v>0</v>
          </cell>
          <cell r="O739">
            <v>2004</v>
          </cell>
          <cell r="P739" t="str">
            <v>DEARBORN PLANT BUILD</v>
          </cell>
          <cell r="Q739" t="str">
            <v>P221/P397</v>
          </cell>
          <cell r="R739" t="str">
            <v>ALL</v>
          </cell>
          <cell r="S739" t="str">
            <v>Replaced Mirror.</v>
          </cell>
          <cell r="T739">
            <v>1</v>
          </cell>
          <cell r="Z739">
            <v>1</v>
          </cell>
        </row>
        <row r="740">
          <cell r="A740">
            <v>0</v>
          </cell>
          <cell r="B740" t="str">
            <v>ALL VRTS</v>
          </cell>
          <cell r="G740" t="str">
            <v>E41</v>
          </cell>
          <cell r="J740" t="str">
            <v>V44</v>
          </cell>
          <cell r="L740">
            <v>0</v>
          </cell>
          <cell r="M740">
            <v>-1</v>
          </cell>
          <cell r="N740">
            <v>0</v>
          </cell>
          <cell r="O740">
            <v>2004</v>
          </cell>
          <cell r="P740" t="str">
            <v>DEARBORN PLANT BUILD</v>
          </cell>
          <cell r="Q740" t="str">
            <v>P221/P397</v>
          </cell>
          <cell r="R740" t="str">
            <v>ALL</v>
          </cell>
          <cell r="S740" t="str">
            <v>Replaced Muffler Pipe Asy</v>
          </cell>
          <cell r="T740">
            <v>1</v>
          </cell>
          <cell r="AB740">
            <v>1</v>
          </cell>
        </row>
        <row r="741">
          <cell r="A741">
            <v>0</v>
          </cell>
          <cell r="B741" t="str">
            <v>ALL VRTS</v>
          </cell>
          <cell r="G741" t="str">
            <v>A02</v>
          </cell>
          <cell r="J741" t="str">
            <v>V81</v>
          </cell>
          <cell r="L741">
            <v>0</v>
          </cell>
          <cell r="M741">
            <v>-1</v>
          </cell>
          <cell r="N741">
            <v>0</v>
          </cell>
          <cell r="O741">
            <v>2004</v>
          </cell>
          <cell r="P741" t="str">
            <v>DEARBORN PLANT BUILD</v>
          </cell>
          <cell r="Q741" t="str">
            <v>P221/P397</v>
          </cell>
          <cell r="R741" t="str">
            <v>ALL</v>
          </cell>
          <cell r="S741" t="str">
            <v>Replaced Noise Supressor</v>
          </cell>
          <cell r="T741">
            <v>1</v>
          </cell>
          <cell r="W741">
            <v>1</v>
          </cell>
        </row>
        <row r="742">
          <cell r="A742">
            <v>0</v>
          </cell>
          <cell r="B742" t="str">
            <v>ALL VRTS</v>
          </cell>
          <cell r="G742" t="str">
            <v>C02</v>
          </cell>
          <cell r="J742" t="str">
            <v>V79</v>
          </cell>
          <cell r="L742">
            <v>0</v>
          </cell>
          <cell r="M742">
            <v>-1</v>
          </cell>
          <cell r="N742">
            <v>0</v>
          </cell>
          <cell r="O742">
            <v>2004</v>
          </cell>
          <cell r="P742" t="str">
            <v>DEARBORN PLANT BUILD</v>
          </cell>
          <cell r="Q742" t="str">
            <v>P221/P397</v>
          </cell>
          <cell r="R742" t="str">
            <v>ALL</v>
          </cell>
          <cell r="S742" t="str">
            <v>REPLACED ORFICE TUBE.</v>
          </cell>
          <cell r="T742">
            <v>1</v>
          </cell>
          <cell r="AA742">
            <v>1</v>
          </cell>
        </row>
        <row r="743">
          <cell r="A743">
            <v>0</v>
          </cell>
          <cell r="B743" t="str">
            <v>ALL VRTS</v>
          </cell>
          <cell r="C743" t="str">
            <v>6360</v>
          </cell>
          <cell r="E743" t="str">
            <v>CEW34R</v>
          </cell>
          <cell r="G743" t="str">
            <v>N11</v>
          </cell>
          <cell r="J743" t="str">
            <v>V49</v>
          </cell>
          <cell r="L743">
            <v>-1</v>
          </cell>
          <cell r="M743">
            <v>-1</v>
          </cell>
          <cell r="N743">
            <v>-1</v>
          </cell>
          <cell r="O743">
            <v>2004</v>
          </cell>
          <cell r="P743" t="str">
            <v>DEARBORN PLANT BUILD</v>
          </cell>
          <cell r="Q743" t="str">
            <v>P221/P397</v>
          </cell>
          <cell r="R743" t="str">
            <v>ALL</v>
          </cell>
          <cell r="S743" t="str">
            <v>replaced pulley tensioner</v>
          </cell>
          <cell r="T743">
            <v>1</v>
          </cell>
          <cell r="Z743">
            <v>1</v>
          </cell>
        </row>
        <row r="744">
          <cell r="A744">
            <v>0</v>
          </cell>
          <cell r="B744" t="str">
            <v>ALL VRTS</v>
          </cell>
          <cell r="G744" t="str">
            <v>E29</v>
          </cell>
          <cell r="J744" t="str">
            <v>V44</v>
          </cell>
          <cell r="L744">
            <v>-1</v>
          </cell>
          <cell r="M744">
            <v>-1</v>
          </cell>
          <cell r="N744">
            <v>0</v>
          </cell>
          <cell r="O744">
            <v>2004</v>
          </cell>
          <cell r="P744" t="str">
            <v>DEARBORN PLANT BUILD</v>
          </cell>
          <cell r="Q744" t="str">
            <v>P221/P397</v>
          </cell>
          <cell r="R744" t="str">
            <v>ALL</v>
          </cell>
          <cell r="S744" t="str">
            <v>Replaced Purge Valve</v>
          </cell>
          <cell r="T744">
            <v>1</v>
          </cell>
          <cell r="AB744">
            <v>1</v>
          </cell>
        </row>
        <row r="745">
          <cell r="A745">
            <v>0</v>
          </cell>
          <cell r="B745" t="str">
            <v>ALL VRTS</v>
          </cell>
          <cell r="G745" t="str">
            <v>L88</v>
          </cell>
          <cell r="J745" t="str">
            <v>V44</v>
          </cell>
          <cell r="L745">
            <v>-1</v>
          </cell>
          <cell r="M745">
            <v>-1</v>
          </cell>
          <cell r="N745">
            <v>0</v>
          </cell>
          <cell r="O745">
            <v>2004</v>
          </cell>
          <cell r="P745" t="str">
            <v>DEARBORN PLANT BUILD</v>
          </cell>
          <cell r="Q745" t="str">
            <v>P221/P397</v>
          </cell>
          <cell r="R745" t="str">
            <v>ALL</v>
          </cell>
          <cell r="S745" t="str">
            <v>Replaced rear diff cover seal</v>
          </cell>
          <cell r="T745">
            <v>1</v>
          </cell>
          <cell r="AA745">
            <v>1</v>
          </cell>
        </row>
        <row r="746">
          <cell r="A746">
            <v>0</v>
          </cell>
          <cell r="B746" t="str">
            <v>ALL VRTS</v>
          </cell>
          <cell r="C746" t="str">
            <v>6340</v>
          </cell>
          <cell r="E746" t="str">
            <v>CEW04R</v>
          </cell>
          <cell r="G746" t="str">
            <v>L65</v>
          </cell>
          <cell r="J746" t="str">
            <v>V44</v>
          </cell>
          <cell r="L746">
            <v>0</v>
          </cell>
          <cell r="M746">
            <v>-1</v>
          </cell>
          <cell r="N746">
            <v>-1</v>
          </cell>
          <cell r="O746">
            <v>2004</v>
          </cell>
          <cell r="P746" t="str">
            <v>DEARBORN PLANT BUILD</v>
          </cell>
          <cell r="Q746" t="str">
            <v>P221/P397</v>
          </cell>
          <cell r="R746" t="str">
            <v>ALL</v>
          </cell>
          <cell r="S746" t="str">
            <v>replaced Rear main seal</v>
          </cell>
          <cell r="T746">
            <v>1</v>
          </cell>
          <cell r="Y746">
            <v>1</v>
          </cell>
        </row>
        <row r="747">
          <cell r="A747">
            <v>0</v>
          </cell>
          <cell r="B747" t="str">
            <v>ALL VRTS</v>
          </cell>
          <cell r="G747" t="str">
            <v>L72</v>
          </cell>
          <cell r="J747" t="str">
            <v>V44</v>
          </cell>
          <cell r="L747">
            <v>0</v>
          </cell>
          <cell r="M747">
            <v>-1</v>
          </cell>
          <cell r="N747">
            <v>0</v>
          </cell>
          <cell r="O747">
            <v>2004</v>
          </cell>
          <cell r="P747" t="str">
            <v>DEARBORN PLANT BUILD</v>
          </cell>
          <cell r="Q747" t="str">
            <v>P221/P397</v>
          </cell>
          <cell r="R747" t="str">
            <v>ALL</v>
          </cell>
          <cell r="S747" t="str">
            <v>Replaced Rear Seal</v>
          </cell>
          <cell r="T747">
            <v>1</v>
          </cell>
          <cell r="AB747">
            <v>1</v>
          </cell>
        </row>
        <row r="748">
          <cell r="A748">
            <v>0</v>
          </cell>
          <cell r="B748" t="str">
            <v>ALL VRTS</v>
          </cell>
          <cell r="G748" t="str">
            <v>A85</v>
          </cell>
          <cell r="J748" t="str">
            <v>V17</v>
          </cell>
          <cell r="L748">
            <v>0</v>
          </cell>
          <cell r="M748">
            <v>-1</v>
          </cell>
          <cell r="N748">
            <v>0</v>
          </cell>
          <cell r="O748">
            <v>2004</v>
          </cell>
          <cell r="P748" t="str">
            <v>DEARBORN PLANT BUILD</v>
          </cell>
          <cell r="Q748" t="str">
            <v>P221/P397</v>
          </cell>
          <cell r="R748" t="str">
            <v>ALL</v>
          </cell>
          <cell r="S748" t="str">
            <v>Replaced Shift Lock Actuator</v>
          </cell>
          <cell r="T748">
            <v>1</v>
          </cell>
          <cell r="Z748">
            <v>1</v>
          </cell>
        </row>
        <row r="749">
          <cell r="A749">
            <v>0</v>
          </cell>
          <cell r="B749" t="str">
            <v>ALL VRTS</v>
          </cell>
          <cell r="G749" t="str">
            <v>G29</v>
          </cell>
          <cell r="J749" t="str">
            <v>V83</v>
          </cell>
          <cell r="L749">
            <v>0</v>
          </cell>
          <cell r="M749">
            <v>-1</v>
          </cell>
          <cell r="N749">
            <v>0</v>
          </cell>
          <cell r="O749">
            <v>2004</v>
          </cell>
          <cell r="P749" t="str">
            <v>DEARBORN PLANT BUILD</v>
          </cell>
          <cell r="Q749" t="str">
            <v>P221/P397</v>
          </cell>
          <cell r="R749" t="str">
            <v>ALL</v>
          </cell>
          <cell r="S749" t="str">
            <v>Replaced Speed Senor.</v>
          </cell>
          <cell r="T749">
            <v>1</v>
          </cell>
          <cell r="Y749">
            <v>1</v>
          </cell>
        </row>
        <row r="750">
          <cell r="A750">
            <v>0</v>
          </cell>
          <cell r="B750" t="str">
            <v>ALL VRTS</v>
          </cell>
          <cell r="G750" t="str">
            <v>B66</v>
          </cell>
          <cell r="J750" t="str">
            <v>V75</v>
          </cell>
          <cell r="L750">
            <v>0</v>
          </cell>
          <cell r="M750">
            <v>-1</v>
          </cell>
          <cell r="N750">
            <v>0</v>
          </cell>
          <cell r="O750">
            <v>2004</v>
          </cell>
          <cell r="P750" t="str">
            <v>DEARBORN PLANT BUILD</v>
          </cell>
          <cell r="Q750" t="str">
            <v>P221/P397</v>
          </cell>
          <cell r="R750" t="str">
            <v>ALL</v>
          </cell>
          <cell r="S750" t="str">
            <v>Replaced Step Plate Screws</v>
          </cell>
          <cell r="T750">
            <v>1</v>
          </cell>
          <cell r="W750">
            <v>1</v>
          </cell>
        </row>
        <row r="751">
          <cell r="A751">
            <v>0</v>
          </cell>
          <cell r="B751" t="str">
            <v>ALL VRTS</v>
          </cell>
          <cell r="G751" t="str">
            <v>A04</v>
          </cell>
          <cell r="J751" t="str">
            <v>V81</v>
          </cell>
          <cell r="L751">
            <v>0</v>
          </cell>
          <cell r="M751">
            <v>-1</v>
          </cell>
          <cell r="N751">
            <v>-1</v>
          </cell>
          <cell r="O751">
            <v>2004</v>
          </cell>
          <cell r="P751" t="str">
            <v>DEARBORN PLANT BUILD</v>
          </cell>
          <cell r="Q751" t="str">
            <v>P221/P397</v>
          </cell>
          <cell r="R751" t="str">
            <v>ALL</v>
          </cell>
          <cell r="S751" t="str">
            <v>Replaced Switch in Door</v>
          </cell>
          <cell r="T751">
            <v>1</v>
          </cell>
          <cell r="AA751">
            <v>1</v>
          </cell>
        </row>
        <row r="752">
          <cell r="A752">
            <v>0</v>
          </cell>
          <cell r="B752" t="str">
            <v>ALL VRTS</v>
          </cell>
          <cell r="G752" t="str">
            <v>L72</v>
          </cell>
          <cell r="J752" t="str">
            <v>V44</v>
          </cell>
          <cell r="L752">
            <v>0</v>
          </cell>
          <cell r="M752">
            <v>-1</v>
          </cell>
          <cell r="N752">
            <v>0</v>
          </cell>
          <cell r="O752">
            <v>2004</v>
          </cell>
          <cell r="P752" t="str">
            <v>DEARBORN PLANT BUILD</v>
          </cell>
          <cell r="Q752" t="str">
            <v>P221/P397</v>
          </cell>
          <cell r="R752" t="str">
            <v>ALL</v>
          </cell>
          <cell r="S752" t="str">
            <v>replaced tail shaft housing</v>
          </cell>
          <cell r="T752">
            <v>1</v>
          </cell>
          <cell r="Y752">
            <v>1</v>
          </cell>
        </row>
        <row r="753">
          <cell r="A753">
            <v>0</v>
          </cell>
          <cell r="B753" t="str">
            <v>ALL VRTS</v>
          </cell>
          <cell r="G753" t="str">
            <v>P59</v>
          </cell>
          <cell r="J753" t="str">
            <v>V48</v>
          </cell>
          <cell r="L753">
            <v>0</v>
          </cell>
          <cell r="M753">
            <v>-1</v>
          </cell>
          <cell r="N753">
            <v>0</v>
          </cell>
          <cell r="O753">
            <v>2004</v>
          </cell>
          <cell r="P753" t="str">
            <v>DEARBORN PLANT BUILD</v>
          </cell>
          <cell r="Q753" t="str">
            <v>P221/P397</v>
          </cell>
          <cell r="R753" t="str">
            <v>ALL</v>
          </cell>
          <cell r="S753" t="str">
            <v>Replaced Torque Converter</v>
          </cell>
          <cell r="T753">
            <v>1</v>
          </cell>
          <cell r="AA753">
            <v>1</v>
          </cell>
        </row>
        <row r="754">
          <cell r="A754">
            <v>0</v>
          </cell>
          <cell r="B754" t="str">
            <v>ALL VRTS</v>
          </cell>
          <cell r="G754" t="str">
            <v>P51</v>
          </cell>
          <cell r="J754" t="str">
            <v>V48</v>
          </cell>
          <cell r="L754">
            <v>-1</v>
          </cell>
          <cell r="M754">
            <v>-1</v>
          </cell>
          <cell r="N754">
            <v>0</v>
          </cell>
          <cell r="O754">
            <v>2004</v>
          </cell>
          <cell r="P754" t="str">
            <v>DEARBORN PLANT BUILD</v>
          </cell>
          <cell r="Q754" t="str">
            <v>P221/P397</v>
          </cell>
          <cell r="R754" t="str">
            <v>ALL</v>
          </cell>
          <cell r="S754" t="str">
            <v>Replaced Trans Sensor</v>
          </cell>
          <cell r="T754">
            <v>1</v>
          </cell>
          <cell r="AB754">
            <v>1</v>
          </cell>
        </row>
        <row r="755">
          <cell r="A755">
            <v>0</v>
          </cell>
          <cell r="B755" t="str">
            <v>ALL VRTS</v>
          </cell>
          <cell r="G755" t="str">
            <v>P59</v>
          </cell>
          <cell r="J755" t="str">
            <v>V48</v>
          </cell>
          <cell r="L755">
            <v>0</v>
          </cell>
          <cell r="M755">
            <v>-1</v>
          </cell>
          <cell r="N755">
            <v>0</v>
          </cell>
          <cell r="O755">
            <v>2004</v>
          </cell>
          <cell r="P755" t="str">
            <v>DEARBORN PLANT BUILD</v>
          </cell>
          <cell r="Q755" t="str">
            <v>P221/P397</v>
          </cell>
          <cell r="R755" t="str">
            <v>ALL</v>
          </cell>
          <cell r="S755" t="str">
            <v>Replaced Trans temp sensor</v>
          </cell>
          <cell r="T755">
            <v>1</v>
          </cell>
          <cell r="AA755">
            <v>1</v>
          </cell>
        </row>
        <row r="756">
          <cell r="A756">
            <v>0</v>
          </cell>
          <cell r="B756" t="str">
            <v>ALL VRTS</v>
          </cell>
          <cell r="G756" t="str">
            <v>D21</v>
          </cell>
          <cell r="J756" t="str">
            <v>V42</v>
          </cell>
          <cell r="L756">
            <v>0</v>
          </cell>
          <cell r="M756">
            <v>-1</v>
          </cell>
          <cell r="N756">
            <v>0</v>
          </cell>
          <cell r="O756">
            <v>2004</v>
          </cell>
          <cell r="P756" t="str">
            <v>DEARBORN PLANT BUILD</v>
          </cell>
          <cell r="Q756" t="str">
            <v>P221/P397</v>
          </cell>
          <cell r="R756" t="str">
            <v>ALL</v>
          </cell>
          <cell r="S756" t="str">
            <v>Replaced VMV Valve</v>
          </cell>
          <cell r="T756">
            <v>1</v>
          </cell>
          <cell r="AB756">
            <v>1</v>
          </cell>
        </row>
        <row r="757">
          <cell r="A757">
            <v>0</v>
          </cell>
          <cell r="B757" t="str">
            <v>ALL VRTS</v>
          </cell>
          <cell r="G757" t="str">
            <v>G05</v>
          </cell>
          <cell r="J757" t="str">
            <v>V09</v>
          </cell>
          <cell r="L757">
            <v>0</v>
          </cell>
          <cell r="M757">
            <v>-1</v>
          </cell>
          <cell r="N757">
            <v>0</v>
          </cell>
          <cell r="O757">
            <v>2004</v>
          </cell>
          <cell r="P757" t="str">
            <v>DEARBORN PLANT BUILD</v>
          </cell>
          <cell r="Q757" t="str">
            <v>P221/P397</v>
          </cell>
          <cell r="R757" t="str">
            <v>ALL</v>
          </cell>
          <cell r="S757" t="str">
            <v>REPOSITION WINDOW CRANK</v>
          </cell>
          <cell r="T757">
            <v>1</v>
          </cell>
          <cell r="AB757">
            <v>1</v>
          </cell>
        </row>
        <row r="758">
          <cell r="A758">
            <v>0</v>
          </cell>
          <cell r="B758" t="str">
            <v>ALL VRTS</v>
          </cell>
          <cell r="G758" t="str">
            <v>A37</v>
          </cell>
          <cell r="J758" t="str">
            <v>V83</v>
          </cell>
          <cell r="L758">
            <v>0</v>
          </cell>
          <cell r="M758">
            <v>-1</v>
          </cell>
          <cell r="N758">
            <v>0</v>
          </cell>
          <cell r="O758">
            <v>2004</v>
          </cell>
          <cell r="P758" t="str">
            <v>DEARBORN PLANT BUILD</v>
          </cell>
          <cell r="Q758" t="str">
            <v>P221/P397</v>
          </cell>
          <cell r="R758" t="str">
            <v>ALL</v>
          </cell>
          <cell r="S758" t="str">
            <v>Reprogram Cluster</v>
          </cell>
          <cell r="T758">
            <v>1</v>
          </cell>
          <cell r="AA758">
            <v>1</v>
          </cell>
        </row>
        <row r="759">
          <cell r="A759">
            <v>0</v>
          </cell>
          <cell r="B759" t="str">
            <v>ALL VRTS</v>
          </cell>
          <cell r="G759" t="str">
            <v>A85</v>
          </cell>
          <cell r="J759" t="str">
            <v>V17</v>
          </cell>
          <cell r="L759">
            <v>0</v>
          </cell>
          <cell r="M759">
            <v>0</v>
          </cell>
          <cell r="N759">
            <v>-1</v>
          </cell>
          <cell r="O759">
            <v>2004</v>
          </cell>
          <cell r="P759" t="str">
            <v>DEARBORN PLANT BUILD</v>
          </cell>
          <cell r="Q759" t="str">
            <v>P221/P397</v>
          </cell>
          <cell r="R759" t="str">
            <v>ALL</v>
          </cell>
          <cell r="S759" t="str">
            <v>Re-program Keyless entry.</v>
          </cell>
          <cell r="T759">
            <v>1</v>
          </cell>
          <cell r="W759">
            <v>1</v>
          </cell>
        </row>
        <row r="760">
          <cell r="A760">
            <v>0</v>
          </cell>
          <cell r="B760" t="str">
            <v>ALL VRTS</v>
          </cell>
          <cell r="G760" t="str">
            <v>C20</v>
          </cell>
          <cell r="J760" t="str">
            <v>V79</v>
          </cell>
          <cell r="L760">
            <v>0</v>
          </cell>
          <cell r="M760">
            <v>0</v>
          </cell>
          <cell r="N760">
            <v>-1</v>
          </cell>
          <cell r="O760">
            <v>2004</v>
          </cell>
          <cell r="P760" t="str">
            <v>DEARBORN PLANT BUILD</v>
          </cell>
          <cell r="Q760" t="str">
            <v>P221/P397</v>
          </cell>
          <cell r="R760" t="str">
            <v>ALL</v>
          </cell>
          <cell r="S760" t="str">
            <v>Resister no connect.</v>
          </cell>
          <cell r="T760">
            <v>1</v>
          </cell>
          <cell r="X760">
            <v>1</v>
          </cell>
        </row>
        <row r="761">
          <cell r="A761">
            <v>0</v>
          </cell>
          <cell r="B761" t="str">
            <v>ALL VRTS</v>
          </cell>
          <cell r="G761" t="str">
            <v>N33</v>
          </cell>
          <cell r="J761" t="str">
            <v>V39</v>
          </cell>
          <cell r="L761">
            <v>0</v>
          </cell>
          <cell r="M761">
            <v>-1</v>
          </cell>
          <cell r="N761">
            <v>0</v>
          </cell>
          <cell r="O761">
            <v>2004</v>
          </cell>
          <cell r="P761" t="str">
            <v>DEARBORN PLANT BUILD</v>
          </cell>
          <cell r="Q761" t="str">
            <v>P221/P397</v>
          </cell>
          <cell r="R761" t="str">
            <v>ALL</v>
          </cell>
          <cell r="S761" t="str">
            <v>Retainer Clips Squeak</v>
          </cell>
          <cell r="T761">
            <v>1</v>
          </cell>
          <cell r="AB761">
            <v>1</v>
          </cell>
        </row>
        <row r="762">
          <cell r="A762">
            <v>0</v>
          </cell>
          <cell r="B762" t="str">
            <v>ALL VRTS</v>
          </cell>
          <cell r="G762" t="str">
            <v>B66</v>
          </cell>
          <cell r="J762" t="str">
            <v>V75</v>
          </cell>
          <cell r="L762">
            <v>0</v>
          </cell>
          <cell r="M762">
            <v>-1</v>
          </cell>
          <cell r="N762">
            <v>0</v>
          </cell>
          <cell r="O762">
            <v>2004</v>
          </cell>
          <cell r="P762" t="str">
            <v>DEARBORN PLANT BUILD</v>
          </cell>
          <cell r="Q762" t="str">
            <v>P221/P397</v>
          </cell>
          <cell r="R762" t="str">
            <v>ALL</v>
          </cell>
          <cell r="S762" t="str">
            <v>RETAINING PIN BROKEN</v>
          </cell>
          <cell r="T762">
            <v>1</v>
          </cell>
          <cell r="AA762">
            <v>1</v>
          </cell>
        </row>
        <row r="763">
          <cell r="A763">
            <v>0</v>
          </cell>
          <cell r="B763" t="str">
            <v>ALL VRTS</v>
          </cell>
          <cell r="G763" t="str">
            <v>J04</v>
          </cell>
          <cell r="J763" t="str">
            <v>V09</v>
          </cell>
          <cell r="L763">
            <v>0</v>
          </cell>
          <cell r="M763">
            <v>-1</v>
          </cell>
          <cell r="N763">
            <v>0</v>
          </cell>
          <cell r="O763">
            <v>2004</v>
          </cell>
          <cell r="P763" t="str">
            <v>DEARBORN PLANT BUILD</v>
          </cell>
          <cell r="Q763" t="str">
            <v>P221/P397</v>
          </cell>
          <cell r="R763" t="str">
            <v>ALL</v>
          </cell>
          <cell r="S763" t="str">
            <v>RETIME MOTOR</v>
          </cell>
          <cell r="T763">
            <v>1</v>
          </cell>
          <cell r="AB763">
            <v>1</v>
          </cell>
        </row>
        <row r="764">
          <cell r="A764">
            <v>0</v>
          </cell>
          <cell r="B764" t="str">
            <v>ALL VRTS</v>
          </cell>
          <cell r="C764" t="str">
            <v>5510</v>
          </cell>
          <cell r="E764" t="str">
            <v>T2E34R</v>
          </cell>
          <cell r="G764" t="str">
            <v>B73</v>
          </cell>
          <cell r="J764" t="str">
            <v>V74</v>
          </cell>
          <cell r="L764">
            <v>0</v>
          </cell>
          <cell r="M764">
            <v>0</v>
          </cell>
          <cell r="N764">
            <v>-1</v>
          </cell>
          <cell r="O764">
            <v>2004</v>
          </cell>
          <cell r="P764" t="str">
            <v>DEARBORN PLANT BUILD</v>
          </cell>
          <cell r="Q764" t="str">
            <v>P221/P397</v>
          </cell>
          <cell r="R764" t="str">
            <v>ALL</v>
          </cell>
          <cell r="S764" t="str">
            <v>RIGHT SIDE WEATHERSTRIPS</v>
          </cell>
          <cell r="T764">
            <v>1</v>
          </cell>
          <cell r="AB764">
            <v>1</v>
          </cell>
        </row>
        <row r="765">
          <cell r="A765">
            <v>0</v>
          </cell>
          <cell r="B765" t="str">
            <v>ALL VRTS</v>
          </cell>
          <cell r="C765" t="str">
            <v>6370</v>
          </cell>
          <cell r="E765" t="str">
            <v>C1E11F</v>
          </cell>
          <cell r="G765" t="str">
            <v>C50</v>
          </cell>
          <cell r="J765" t="str">
            <v>V89</v>
          </cell>
          <cell r="L765">
            <v>0</v>
          </cell>
          <cell r="M765">
            <v>0</v>
          </cell>
          <cell r="N765">
            <v>-1</v>
          </cell>
          <cell r="O765">
            <v>2004</v>
          </cell>
          <cell r="P765" t="str">
            <v>DEARBORN PLANT BUILD</v>
          </cell>
          <cell r="Q765" t="str">
            <v>P221/P397</v>
          </cell>
          <cell r="R765" t="str">
            <v>ALL</v>
          </cell>
          <cell r="S765" t="str">
            <v>ring &amp; pinion loose</v>
          </cell>
          <cell r="T765">
            <v>1</v>
          </cell>
          <cell r="AB765">
            <v>1</v>
          </cell>
        </row>
        <row r="766">
          <cell r="A766">
            <v>0</v>
          </cell>
          <cell r="B766" t="str">
            <v>ALL VRTS</v>
          </cell>
          <cell r="G766" t="str">
            <v>N17</v>
          </cell>
          <cell r="J766" t="str">
            <v>V21</v>
          </cell>
          <cell r="L766">
            <v>-1</v>
          </cell>
          <cell r="M766">
            <v>0</v>
          </cell>
          <cell r="N766">
            <v>0</v>
          </cell>
          <cell r="O766">
            <v>2004</v>
          </cell>
          <cell r="P766" t="str">
            <v>DEARBORN PLANT BUILD</v>
          </cell>
          <cell r="Q766" t="str">
            <v>P221/P397</v>
          </cell>
          <cell r="R766" t="str">
            <v>ALL</v>
          </cell>
          <cell r="S766" t="str">
            <v>ROCK ON REAR BRAKE PADS - REMOVED</v>
          </cell>
          <cell r="T766">
            <v>1</v>
          </cell>
          <cell r="AA766">
            <v>1</v>
          </cell>
        </row>
        <row r="767">
          <cell r="A767">
            <v>0</v>
          </cell>
          <cell r="B767" t="str">
            <v>ALL VRTS</v>
          </cell>
          <cell r="C767" t="str">
            <v>34502C</v>
          </cell>
          <cell r="E767" t="str">
            <v>Metal Finishers</v>
          </cell>
          <cell r="G767" t="str">
            <v>B01</v>
          </cell>
          <cell r="J767" t="str">
            <v>V31</v>
          </cell>
          <cell r="L767">
            <v>0</v>
          </cell>
          <cell r="M767">
            <v>0</v>
          </cell>
          <cell r="N767">
            <v>-1</v>
          </cell>
          <cell r="O767">
            <v>2004</v>
          </cell>
          <cell r="P767" t="str">
            <v>DEARBORN PLANT BUILD</v>
          </cell>
          <cell r="Q767" t="str">
            <v>P221/P397</v>
          </cell>
          <cell r="R767" t="str">
            <v>ALL</v>
          </cell>
          <cell r="S767" t="str">
            <v>RS ding</v>
          </cell>
          <cell r="T767">
            <v>1</v>
          </cell>
          <cell r="AA767">
            <v>1</v>
          </cell>
        </row>
        <row r="768">
          <cell r="A768">
            <v>0</v>
          </cell>
          <cell r="B768" t="str">
            <v>ALL VRTS</v>
          </cell>
          <cell r="G768" t="str">
            <v>L15</v>
          </cell>
          <cell r="J768" t="str">
            <v>V07</v>
          </cell>
          <cell r="L768">
            <v>0</v>
          </cell>
          <cell r="M768">
            <v>-1</v>
          </cell>
          <cell r="N768">
            <v>0</v>
          </cell>
          <cell r="O768">
            <v>2004</v>
          </cell>
          <cell r="P768" t="str">
            <v>DEARBORN PLANT BUILD</v>
          </cell>
          <cell r="Q768" t="str">
            <v>P221/P397</v>
          </cell>
          <cell r="R768" t="str">
            <v>ALL</v>
          </cell>
          <cell r="S768" t="str">
            <v>RT TAILGATE CABLE SHORT INSTALL NEW</v>
          </cell>
          <cell r="T768">
            <v>1</v>
          </cell>
          <cell r="Y768">
            <v>1</v>
          </cell>
        </row>
        <row r="769">
          <cell r="A769">
            <v>0</v>
          </cell>
          <cell r="B769" t="str">
            <v>ALL VRTS</v>
          </cell>
          <cell r="C769" t="str">
            <v>Trim 1 5450 -D</v>
          </cell>
          <cell r="E769" t="str">
            <v>T1W07L</v>
          </cell>
          <cell r="G769" t="str">
            <v>B64</v>
          </cell>
          <cell r="J769" t="str">
            <v>V75</v>
          </cell>
          <cell r="L769">
            <v>0</v>
          </cell>
          <cell r="M769">
            <v>0</v>
          </cell>
          <cell r="N769">
            <v>-1</v>
          </cell>
          <cell r="O769">
            <v>2004</v>
          </cell>
          <cell r="P769" t="str">
            <v>DEARBORN PLANT BUILD</v>
          </cell>
          <cell r="Q769" t="str">
            <v>P221/P397</v>
          </cell>
          <cell r="R769" t="str">
            <v>ALL</v>
          </cell>
          <cell r="S769" t="str">
            <v>SCRATCHED</v>
          </cell>
          <cell r="T769">
            <v>1</v>
          </cell>
          <cell r="AA769">
            <v>1</v>
          </cell>
        </row>
        <row r="770">
          <cell r="A770">
            <v>0</v>
          </cell>
          <cell r="B770" t="str">
            <v>ALL VRTS</v>
          </cell>
          <cell r="G770" t="str">
            <v>H20</v>
          </cell>
          <cell r="J770" t="str">
            <v>V21</v>
          </cell>
          <cell r="L770">
            <v>-1</v>
          </cell>
          <cell r="M770">
            <v>0</v>
          </cell>
          <cell r="N770">
            <v>0</v>
          </cell>
          <cell r="O770">
            <v>2004</v>
          </cell>
          <cell r="P770" t="str">
            <v>DEARBORN PLANT BUILD</v>
          </cell>
          <cell r="Q770" t="str">
            <v>P221/P397</v>
          </cell>
          <cell r="R770" t="str">
            <v>ALL</v>
          </cell>
          <cell r="S770" t="str">
            <v>SCUFFED ROTOR</v>
          </cell>
          <cell r="T770">
            <v>1</v>
          </cell>
          <cell r="Z770">
            <v>1</v>
          </cell>
        </row>
        <row r="771">
          <cell r="A771">
            <v>0</v>
          </cell>
          <cell r="B771" t="str">
            <v>ALL VRTS</v>
          </cell>
          <cell r="C771" t="str">
            <v>Trim 2 5510-2-E</v>
          </cell>
          <cell r="E771" t="str">
            <v>TW31L</v>
          </cell>
          <cell r="G771" t="str">
            <v>B63</v>
          </cell>
          <cell r="J771" t="str">
            <v>V75</v>
          </cell>
          <cell r="L771">
            <v>0</v>
          </cell>
          <cell r="M771">
            <v>0</v>
          </cell>
          <cell r="N771">
            <v>-1</v>
          </cell>
          <cell r="O771">
            <v>2004</v>
          </cell>
          <cell r="P771" t="str">
            <v>DEARBORN PLANT BUILD</v>
          </cell>
          <cell r="Q771" t="str">
            <v>P221/P397</v>
          </cell>
          <cell r="R771" t="str">
            <v>ALL</v>
          </cell>
          <cell r="S771" t="str">
            <v>Seal Replaced</v>
          </cell>
          <cell r="T771">
            <v>1</v>
          </cell>
          <cell r="Y771">
            <v>1</v>
          </cell>
        </row>
        <row r="772">
          <cell r="A772">
            <v>0</v>
          </cell>
          <cell r="B772" t="str">
            <v>ALL VRTS</v>
          </cell>
          <cell r="G772" t="str">
            <v>R02</v>
          </cell>
          <cell r="J772" t="str">
            <v>V37</v>
          </cell>
          <cell r="L772">
            <v>0</v>
          </cell>
          <cell r="M772">
            <v>0</v>
          </cell>
          <cell r="N772">
            <v>-1</v>
          </cell>
          <cell r="O772">
            <v>2004</v>
          </cell>
          <cell r="P772" t="str">
            <v>DEARBORN PLANT BUILD</v>
          </cell>
          <cell r="Q772" t="str">
            <v>P221/P397</v>
          </cell>
          <cell r="R772" t="str">
            <v>ALL</v>
          </cell>
          <cell r="S772" t="str">
            <v>Sealer Skip</v>
          </cell>
          <cell r="T772">
            <v>1</v>
          </cell>
          <cell r="AA772">
            <v>1</v>
          </cell>
        </row>
        <row r="773">
          <cell r="A773">
            <v>0</v>
          </cell>
          <cell r="B773" t="str">
            <v>ALL VRTS</v>
          </cell>
          <cell r="C773" t="str">
            <v>5340</v>
          </cell>
          <cell r="E773" t="str">
            <v>TDW36-R</v>
          </cell>
          <cell r="G773" t="str">
            <v>G05</v>
          </cell>
          <cell r="J773" t="str">
            <v>V09</v>
          </cell>
          <cell r="L773">
            <v>0</v>
          </cell>
          <cell r="M773">
            <v>0</v>
          </cell>
          <cell r="N773">
            <v>-1</v>
          </cell>
          <cell r="O773">
            <v>2004</v>
          </cell>
          <cell r="P773" t="str">
            <v>DEARBORN PLANT BUILD</v>
          </cell>
          <cell r="Q773" t="str">
            <v>P221/P397</v>
          </cell>
          <cell r="R773" t="str">
            <v>ALL</v>
          </cell>
          <cell r="S773" t="str">
            <v>SEALER TRANSFER (SOUND DEADENING)</v>
          </cell>
          <cell r="T773">
            <v>1</v>
          </cell>
          <cell r="V773">
            <v>1</v>
          </cell>
        </row>
        <row r="774">
          <cell r="A774">
            <v>0</v>
          </cell>
          <cell r="B774" t="str">
            <v>ALL VRTS</v>
          </cell>
          <cell r="G774" t="str">
            <v>N42</v>
          </cell>
          <cell r="J774" t="str">
            <v>V39</v>
          </cell>
          <cell r="L774">
            <v>0</v>
          </cell>
          <cell r="M774">
            <v>0</v>
          </cell>
          <cell r="N774">
            <v>-1</v>
          </cell>
          <cell r="O774">
            <v>2004</v>
          </cell>
          <cell r="P774" t="str">
            <v>DEARBORN PLANT BUILD</v>
          </cell>
          <cell r="Q774" t="str">
            <v>P221/P397</v>
          </cell>
          <cell r="R774" t="str">
            <v>ALL</v>
          </cell>
          <cell r="S774" t="str">
            <v>Seat Frame Brkt Loose</v>
          </cell>
          <cell r="T774">
            <v>1</v>
          </cell>
          <cell r="AA774">
            <v>1</v>
          </cell>
        </row>
        <row r="775">
          <cell r="A775">
            <v>0</v>
          </cell>
          <cell r="B775" t="str">
            <v>ALL VRTS</v>
          </cell>
          <cell r="C775" t="str">
            <v>unsure</v>
          </cell>
          <cell r="E775" t="str">
            <v>T3E01L</v>
          </cell>
          <cell r="G775" t="str">
            <v>N59</v>
          </cell>
          <cell r="J775" t="str">
            <v>V39</v>
          </cell>
          <cell r="L775">
            <v>0</v>
          </cell>
          <cell r="M775">
            <v>0</v>
          </cell>
          <cell r="N775">
            <v>-1</v>
          </cell>
          <cell r="O775">
            <v>2004</v>
          </cell>
          <cell r="P775" t="str">
            <v>DEARBORN PLANT BUILD</v>
          </cell>
          <cell r="Q775" t="str">
            <v>P221/P397</v>
          </cell>
          <cell r="R775" t="str">
            <v>ALL</v>
          </cell>
          <cell r="S775" t="str">
            <v>Seatbelt - Loose to Mount</v>
          </cell>
          <cell r="T775">
            <v>1</v>
          </cell>
          <cell r="Z775">
            <v>1</v>
          </cell>
        </row>
        <row r="776">
          <cell r="A776">
            <v>0</v>
          </cell>
          <cell r="B776" t="str">
            <v>ALL VRTS</v>
          </cell>
          <cell r="G776" t="str">
            <v>L15</v>
          </cell>
          <cell r="J776" t="str">
            <v>V07</v>
          </cell>
          <cell r="L776">
            <v>0</v>
          </cell>
          <cell r="M776">
            <v>-1</v>
          </cell>
          <cell r="N776">
            <v>0</v>
          </cell>
          <cell r="O776">
            <v>2004</v>
          </cell>
          <cell r="P776" t="str">
            <v>DEARBORN PLANT BUILD</v>
          </cell>
          <cell r="Q776" t="str">
            <v>P221/P397</v>
          </cell>
          <cell r="R776" t="str">
            <v>ALL</v>
          </cell>
          <cell r="S776" t="str">
            <v>SHEATHING PEELING OFF</v>
          </cell>
          <cell r="T776">
            <v>1</v>
          </cell>
          <cell r="Z776">
            <v>1</v>
          </cell>
        </row>
        <row r="777">
          <cell r="A777">
            <v>0</v>
          </cell>
          <cell r="B777" t="str">
            <v>ALL VRTS</v>
          </cell>
          <cell r="G777" t="str">
            <v>A99</v>
          </cell>
          <cell r="J777" t="str">
            <v>V99</v>
          </cell>
          <cell r="L777">
            <v>0</v>
          </cell>
          <cell r="M777">
            <v>-1</v>
          </cell>
          <cell r="N777">
            <v>0</v>
          </cell>
          <cell r="O777">
            <v>2004</v>
          </cell>
          <cell r="P777" t="str">
            <v>DEARBORN PLANT BUILD</v>
          </cell>
          <cell r="Q777" t="str">
            <v>P221/P397</v>
          </cell>
          <cell r="R777" t="str">
            <v>ALL</v>
          </cell>
          <cell r="S777" t="str">
            <v>Shield replaced</v>
          </cell>
          <cell r="T777">
            <v>1</v>
          </cell>
          <cell r="AA777">
            <v>1</v>
          </cell>
        </row>
        <row r="778">
          <cell r="A778">
            <v>0</v>
          </cell>
          <cell r="B778" t="str">
            <v>ALL VRTS</v>
          </cell>
          <cell r="G778" t="str">
            <v>G32</v>
          </cell>
          <cell r="J778" t="str">
            <v>V83</v>
          </cell>
          <cell r="L778">
            <v>-1</v>
          </cell>
          <cell r="M778">
            <v>-1</v>
          </cell>
          <cell r="N778">
            <v>0</v>
          </cell>
          <cell r="O778">
            <v>2004</v>
          </cell>
          <cell r="P778" t="str">
            <v>DEARBORN PLANT BUILD</v>
          </cell>
          <cell r="Q778" t="str">
            <v>P221/P397</v>
          </cell>
          <cell r="R778" t="str">
            <v>ALL</v>
          </cell>
          <cell r="S778" t="str">
            <v>Shift Indicator installed.</v>
          </cell>
          <cell r="T778">
            <v>1</v>
          </cell>
          <cell r="Y778">
            <v>1</v>
          </cell>
        </row>
        <row r="779">
          <cell r="A779">
            <v>0</v>
          </cell>
          <cell r="B779" t="str">
            <v>ALL VRTS</v>
          </cell>
          <cell r="C779" t="str">
            <v>6520</v>
          </cell>
          <cell r="E779" t="str">
            <v>C5E05L</v>
          </cell>
          <cell r="G779" t="str">
            <v>B91</v>
          </cell>
          <cell r="J779" t="str">
            <v>V71</v>
          </cell>
          <cell r="L779">
            <v>0</v>
          </cell>
          <cell r="M779">
            <v>-1</v>
          </cell>
          <cell r="N779">
            <v>-1</v>
          </cell>
          <cell r="O779">
            <v>2004</v>
          </cell>
          <cell r="P779" t="str">
            <v>DEARBORN PLANT BUILD</v>
          </cell>
          <cell r="Q779" t="str">
            <v>P221/P397</v>
          </cell>
          <cell r="R779" t="str">
            <v>ALL</v>
          </cell>
          <cell r="S779" t="str">
            <v>SHIFT LEVER SCRATCHED</v>
          </cell>
          <cell r="T779">
            <v>1</v>
          </cell>
          <cell r="AA779">
            <v>1</v>
          </cell>
        </row>
        <row r="780">
          <cell r="A780">
            <v>0</v>
          </cell>
          <cell r="B780" t="str">
            <v>ALL VRTS</v>
          </cell>
          <cell r="C780" t="str">
            <v>6570</v>
          </cell>
          <cell r="E780" t="str">
            <v>C7W01</v>
          </cell>
          <cell r="G780" t="str">
            <v>P51</v>
          </cell>
          <cell r="J780" t="str">
            <v>V48</v>
          </cell>
          <cell r="L780">
            <v>0</v>
          </cell>
          <cell r="M780">
            <v>0</v>
          </cell>
          <cell r="N780">
            <v>-1</v>
          </cell>
          <cell r="O780">
            <v>2004</v>
          </cell>
          <cell r="P780" t="str">
            <v>DEARBORN PLANT BUILD</v>
          </cell>
          <cell r="Q780" t="str">
            <v>P221/P397</v>
          </cell>
          <cell r="R780" t="str">
            <v>ALL</v>
          </cell>
          <cell r="S780" t="str">
            <v>Shift solenoid binding</v>
          </cell>
          <cell r="T780">
            <v>1</v>
          </cell>
          <cell r="AA780">
            <v>1</v>
          </cell>
        </row>
        <row r="781">
          <cell r="A781">
            <v>0</v>
          </cell>
          <cell r="B781" t="str">
            <v>ALL VRTS</v>
          </cell>
          <cell r="G781" t="str">
            <v>L26</v>
          </cell>
          <cell r="J781" t="str">
            <v>V77</v>
          </cell>
          <cell r="L781">
            <v>0</v>
          </cell>
          <cell r="M781">
            <v>-1</v>
          </cell>
          <cell r="N781">
            <v>0</v>
          </cell>
          <cell r="O781">
            <v>2004</v>
          </cell>
          <cell r="P781" t="str">
            <v>DEARBORN PLANT BUILD</v>
          </cell>
          <cell r="Q781" t="str">
            <v>P221/P397</v>
          </cell>
          <cell r="R781" t="str">
            <v>ALL</v>
          </cell>
          <cell r="S781" t="str">
            <v>Short in Circuit 14 Connector, Repaired</v>
          </cell>
          <cell r="T781">
            <v>1</v>
          </cell>
          <cell r="AA781">
            <v>1</v>
          </cell>
        </row>
        <row r="782">
          <cell r="A782">
            <v>0</v>
          </cell>
          <cell r="B782" t="str">
            <v>ALL VRTS</v>
          </cell>
          <cell r="G782" t="str">
            <v>L26</v>
          </cell>
          <cell r="J782" t="str">
            <v>V77</v>
          </cell>
          <cell r="L782">
            <v>0</v>
          </cell>
          <cell r="M782">
            <v>0</v>
          </cell>
          <cell r="N782">
            <v>-1</v>
          </cell>
          <cell r="O782">
            <v>2004</v>
          </cell>
          <cell r="P782" t="str">
            <v>DEARBORN PLANT BUILD</v>
          </cell>
          <cell r="Q782" t="str">
            <v>P221/P397</v>
          </cell>
          <cell r="R782" t="str">
            <v>ALL</v>
          </cell>
          <cell r="S782" t="str">
            <v>Short in Circult, Connector #4032</v>
          </cell>
          <cell r="T782">
            <v>1</v>
          </cell>
          <cell r="AA782">
            <v>1</v>
          </cell>
        </row>
        <row r="783">
          <cell r="A783">
            <v>0</v>
          </cell>
          <cell r="B783" t="str">
            <v>ALL VRTS</v>
          </cell>
          <cell r="C783" t="str">
            <v>5360-2-A</v>
          </cell>
          <cell r="E783" t="str">
            <v>TDW40L</v>
          </cell>
          <cell r="G783" t="str">
            <v>M05</v>
          </cell>
          <cell r="J783" t="str">
            <v>V13</v>
          </cell>
          <cell r="L783">
            <v>0</v>
          </cell>
          <cell r="M783">
            <v>0</v>
          </cell>
          <cell r="N783">
            <v>-1</v>
          </cell>
          <cell r="O783">
            <v>2004</v>
          </cell>
          <cell r="P783" t="str">
            <v>DEARBORN PLANT BUILD</v>
          </cell>
          <cell r="Q783" t="str">
            <v>P221/P397</v>
          </cell>
          <cell r="R783" t="str">
            <v>ALL</v>
          </cell>
          <cell r="S783" t="str">
            <v>Side Mirror Bolts tightened</v>
          </cell>
          <cell r="T783">
            <v>1</v>
          </cell>
          <cell r="Y783">
            <v>1</v>
          </cell>
        </row>
        <row r="784">
          <cell r="A784">
            <v>0</v>
          </cell>
          <cell r="B784" t="str">
            <v>ALL VRTS</v>
          </cell>
          <cell r="C784" t="str">
            <v>34502C</v>
          </cell>
          <cell r="E784" t="str">
            <v>Metal Finishers</v>
          </cell>
          <cell r="G784" t="str">
            <v>B19</v>
          </cell>
          <cell r="J784" t="str">
            <v>V31</v>
          </cell>
          <cell r="L784">
            <v>0</v>
          </cell>
          <cell r="M784">
            <v>0</v>
          </cell>
          <cell r="N784">
            <v>-1</v>
          </cell>
          <cell r="O784">
            <v>2004</v>
          </cell>
          <cell r="P784" t="str">
            <v>DEARBORN PLANT BUILD</v>
          </cell>
          <cell r="Q784" t="str">
            <v>P221/P397</v>
          </cell>
          <cell r="R784" t="str">
            <v>ALL</v>
          </cell>
          <cell r="S784" t="str">
            <v>Sound deadener misaligned</v>
          </cell>
          <cell r="T784">
            <v>1</v>
          </cell>
          <cell r="AB784">
            <v>1</v>
          </cell>
        </row>
        <row r="785">
          <cell r="A785">
            <v>0</v>
          </cell>
          <cell r="B785" t="str">
            <v>ALL VRTS</v>
          </cell>
          <cell r="G785" t="str">
            <v>N40</v>
          </cell>
          <cell r="J785" t="str">
            <v>V39</v>
          </cell>
          <cell r="L785">
            <v>-1</v>
          </cell>
          <cell r="M785">
            <v>0</v>
          </cell>
          <cell r="N785">
            <v>0</v>
          </cell>
          <cell r="O785">
            <v>2004</v>
          </cell>
          <cell r="P785" t="str">
            <v>DEARBORN PLANT BUILD</v>
          </cell>
          <cell r="Q785" t="str">
            <v>P221/P397</v>
          </cell>
          <cell r="R785" t="str">
            <v>ALL</v>
          </cell>
          <cell r="S785" t="str">
            <v>Spare Tire Jack Rattle Hot Patch Misposition</v>
          </cell>
          <cell r="T785">
            <v>1</v>
          </cell>
          <cell r="W785">
            <v>1</v>
          </cell>
        </row>
        <row r="786">
          <cell r="A786">
            <v>0</v>
          </cell>
          <cell r="B786" t="str">
            <v>ALL VRTS</v>
          </cell>
          <cell r="G786" t="str">
            <v>E35</v>
          </cell>
          <cell r="J786" t="str">
            <v>V89</v>
          </cell>
          <cell r="L786">
            <v>0</v>
          </cell>
          <cell r="M786">
            <v>-1</v>
          </cell>
          <cell r="N786">
            <v>0</v>
          </cell>
          <cell r="O786">
            <v>2004</v>
          </cell>
          <cell r="P786" t="str">
            <v>DEARBORN PLANT BUILD</v>
          </cell>
          <cell r="Q786" t="str">
            <v>P221/P397</v>
          </cell>
          <cell r="R786" t="str">
            <v>ALL</v>
          </cell>
          <cell r="S786" t="str">
            <v>Spare Tire Winch - Replaced</v>
          </cell>
          <cell r="T786">
            <v>1</v>
          </cell>
          <cell r="Z786">
            <v>1</v>
          </cell>
        </row>
        <row r="787">
          <cell r="A787">
            <v>0</v>
          </cell>
          <cell r="B787" t="str">
            <v>ALL VRTS</v>
          </cell>
          <cell r="G787" t="str">
            <v>D41</v>
          </cell>
          <cell r="J787" t="str">
            <v>V41</v>
          </cell>
          <cell r="L787">
            <v>-1</v>
          </cell>
          <cell r="M787">
            <v>-1</v>
          </cell>
          <cell r="N787">
            <v>0</v>
          </cell>
          <cell r="O787">
            <v>2004</v>
          </cell>
          <cell r="P787" t="str">
            <v>DEARBORN PLANT BUILD</v>
          </cell>
          <cell r="Q787" t="str">
            <v>P221/P397</v>
          </cell>
          <cell r="R787" t="str">
            <v>ALL</v>
          </cell>
          <cell r="S787" t="str">
            <v>Sparkplug fouled</v>
          </cell>
          <cell r="T787">
            <v>1</v>
          </cell>
          <cell r="AA787">
            <v>1</v>
          </cell>
        </row>
        <row r="788">
          <cell r="A788">
            <v>0</v>
          </cell>
          <cell r="B788" t="str">
            <v>ALL VRTS</v>
          </cell>
          <cell r="G788" t="str">
            <v>A37</v>
          </cell>
          <cell r="J788" t="str">
            <v>V83</v>
          </cell>
          <cell r="L788">
            <v>0</v>
          </cell>
          <cell r="M788">
            <v>-1</v>
          </cell>
          <cell r="N788">
            <v>0</v>
          </cell>
          <cell r="O788">
            <v>2004</v>
          </cell>
          <cell r="P788" t="str">
            <v>DEARBORN PLANT BUILD</v>
          </cell>
          <cell r="Q788" t="str">
            <v>P221/P397</v>
          </cell>
          <cell r="R788" t="str">
            <v>ALL</v>
          </cell>
          <cell r="S788" t="str">
            <v>Speedo , in cluster assembly repaired</v>
          </cell>
          <cell r="T788">
            <v>1</v>
          </cell>
          <cell r="Z788">
            <v>1</v>
          </cell>
        </row>
        <row r="789">
          <cell r="A789">
            <v>0</v>
          </cell>
          <cell r="B789" t="str">
            <v>ALL VRTS</v>
          </cell>
          <cell r="G789" t="str">
            <v>B53</v>
          </cell>
          <cell r="J789" t="str">
            <v>V71</v>
          </cell>
          <cell r="L789">
            <v>-1</v>
          </cell>
          <cell r="M789">
            <v>0</v>
          </cell>
          <cell r="N789">
            <v>0</v>
          </cell>
          <cell r="O789">
            <v>2004</v>
          </cell>
          <cell r="P789" t="str">
            <v>DEARBORN PLANT BUILD</v>
          </cell>
          <cell r="Q789" t="str">
            <v>P221/P397</v>
          </cell>
          <cell r="R789" t="str">
            <v>ALL</v>
          </cell>
          <cell r="S789" t="str">
            <v>SQUEAKS</v>
          </cell>
          <cell r="T789">
            <v>1</v>
          </cell>
          <cell r="AA789">
            <v>1</v>
          </cell>
        </row>
        <row r="790">
          <cell r="A790">
            <v>0</v>
          </cell>
          <cell r="B790" t="str">
            <v>ALL VRTS</v>
          </cell>
          <cell r="C790" t="str">
            <v>5540</v>
          </cell>
          <cell r="E790" t="str">
            <v>T3E16R</v>
          </cell>
          <cell r="G790" t="str">
            <v>S40</v>
          </cell>
          <cell r="J790" t="str">
            <v>V05</v>
          </cell>
          <cell r="L790">
            <v>0</v>
          </cell>
          <cell r="M790">
            <v>-1</v>
          </cell>
          <cell r="N790">
            <v>-1</v>
          </cell>
          <cell r="O790">
            <v>2004</v>
          </cell>
          <cell r="P790" t="str">
            <v>DEARBORN PLANT BUILD</v>
          </cell>
          <cell r="Q790" t="str">
            <v>P221/P397</v>
          </cell>
          <cell r="R790" t="str">
            <v>ALL</v>
          </cell>
          <cell r="S790" t="str">
            <v>STAINED COVER</v>
          </cell>
          <cell r="T790">
            <v>1</v>
          </cell>
          <cell r="Z790">
            <v>1</v>
          </cell>
        </row>
        <row r="791">
          <cell r="A791">
            <v>0</v>
          </cell>
          <cell r="B791" t="str">
            <v>ALL VRTS</v>
          </cell>
          <cell r="C791" t="str">
            <v>unsure</v>
          </cell>
          <cell r="E791" t="str">
            <v>CEW20R</v>
          </cell>
          <cell r="G791" t="str">
            <v>N50</v>
          </cell>
          <cell r="J791" t="str">
            <v>V39</v>
          </cell>
          <cell r="L791">
            <v>0</v>
          </cell>
          <cell r="M791">
            <v>0</v>
          </cell>
          <cell r="N791">
            <v>-1</v>
          </cell>
          <cell r="O791">
            <v>2004</v>
          </cell>
          <cell r="P791" t="str">
            <v>DEARBORN PLANT BUILD</v>
          </cell>
          <cell r="Q791" t="str">
            <v>P221/P397</v>
          </cell>
          <cell r="R791" t="str">
            <v>ALL</v>
          </cell>
          <cell r="S791" t="str">
            <v>Starter Rattle</v>
          </cell>
          <cell r="T791">
            <v>1</v>
          </cell>
          <cell r="Y791">
            <v>1</v>
          </cell>
        </row>
        <row r="792">
          <cell r="A792">
            <v>0</v>
          </cell>
          <cell r="B792" t="str">
            <v>ALL VRTS</v>
          </cell>
          <cell r="G792" t="str">
            <v>H21</v>
          </cell>
          <cell r="J792" t="str">
            <v>V87</v>
          </cell>
          <cell r="L792">
            <v>0</v>
          </cell>
          <cell r="M792">
            <v>-1</v>
          </cell>
          <cell r="N792">
            <v>0</v>
          </cell>
          <cell r="O792">
            <v>2004</v>
          </cell>
          <cell r="P792" t="str">
            <v>DEARBORN PLANT BUILD</v>
          </cell>
          <cell r="Q792" t="str">
            <v>P221/P397</v>
          </cell>
          <cell r="R792" t="str">
            <v>ALL</v>
          </cell>
          <cell r="S792" t="str">
            <v>STEERING COLUMN SHORT SHAFT - REPLACED</v>
          </cell>
          <cell r="T792">
            <v>1</v>
          </cell>
          <cell r="Z792">
            <v>1</v>
          </cell>
        </row>
        <row r="793">
          <cell r="A793">
            <v>0</v>
          </cell>
          <cell r="B793" t="str">
            <v>ALL VRTS</v>
          </cell>
          <cell r="G793" t="str">
            <v>N57</v>
          </cell>
          <cell r="J793" t="str">
            <v>V39</v>
          </cell>
          <cell r="L793">
            <v>0</v>
          </cell>
          <cell r="M793">
            <v>-1</v>
          </cell>
          <cell r="N793">
            <v>0</v>
          </cell>
          <cell r="O793">
            <v>2004</v>
          </cell>
          <cell r="P793" t="str">
            <v>DEARBORN PLANT BUILD</v>
          </cell>
          <cell r="Q793" t="str">
            <v>P221/P397</v>
          </cell>
          <cell r="R793" t="str">
            <v>ALL</v>
          </cell>
          <cell r="S793" t="str">
            <v>Steering Column Transfer Clocks</v>
          </cell>
          <cell r="T793">
            <v>1</v>
          </cell>
          <cell r="Z793">
            <v>1</v>
          </cell>
        </row>
        <row r="794">
          <cell r="A794">
            <v>0</v>
          </cell>
          <cell r="B794" t="str">
            <v>ALL VRTS</v>
          </cell>
          <cell r="G794" t="str">
            <v>N12</v>
          </cell>
          <cell r="J794" t="str">
            <v>V49</v>
          </cell>
          <cell r="L794">
            <v>-1</v>
          </cell>
          <cell r="M794">
            <v>-1</v>
          </cell>
          <cell r="N794">
            <v>0</v>
          </cell>
          <cell r="O794">
            <v>2004</v>
          </cell>
          <cell r="P794" t="str">
            <v>DEARBORN PLANT BUILD</v>
          </cell>
          <cell r="Q794" t="str">
            <v>P221/P397</v>
          </cell>
          <cell r="R794" t="str">
            <v>ALL</v>
          </cell>
          <cell r="S794" t="str">
            <v>steering rack replaced</v>
          </cell>
          <cell r="T794">
            <v>1</v>
          </cell>
          <cell r="X794">
            <v>1</v>
          </cell>
        </row>
        <row r="795">
          <cell r="A795">
            <v>0</v>
          </cell>
          <cell r="B795" t="str">
            <v>ALL VRTS</v>
          </cell>
          <cell r="G795" t="str">
            <v>S52</v>
          </cell>
          <cell r="J795" t="str">
            <v>V03</v>
          </cell>
          <cell r="L795">
            <v>0</v>
          </cell>
          <cell r="M795">
            <v>-1</v>
          </cell>
          <cell r="N795">
            <v>0</v>
          </cell>
          <cell r="O795">
            <v>2004</v>
          </cell>
          <cell r="P795" t="str">
            <v>DEARBORN PLANT BUILD</v>
          </cell>
          <cell r="Q795" t="str">
            <v>P221/P397</v>
          </cell>
          <cell r="R795" t="str">
            <v>ALL</v>
          </cell>
          <cell r="S795" t="str">
            <v>STITCHING LOOSE,BACKS L/F&amp;R/F</v>
          </cell>
          <cell r="T795">
            <v>1</v>
          </cell>
          <cell r="Y795">
            <v>1</v>
          </cell>
        </row>
        <row r="796">
          <cell r="A796">
            <v>0</v>
          </cell>
          <cell r="B796" t="str">
            <v>ALL VRTS</v>
          </cell>
          <cell r="C796" t="str">
            <v>Trim 2 5490-2-E</v>
          </cell>
          <cell r="E796" t="str">
            <v>T2E10-14R</v>
          </cell>
          <cell r="G796" t="str">
            <v>B66</v>
          </cell>
          <cell r="J796" t="str">
            <v>V75</v>
          </cell>
          <cell r="L796">
            <v>0</v>
          </cell>
          <cell r="M796">
            <v>0</v>
          </cell>
          <cell r="N796">
            <v>-1</v>
          </cell>
          <cell r="O796">
            <v>2004</v>
          </cell>
          <cell r="P796" t="str">
            <v>DEARBORN PLANT BUILD</v>
          </cell>
          <cell r="Q796" t="str">
            <v>P221/P397</v>
          </cell>
          <cell r="R796" t="str">
            <v>ALL</v>
          </cell>
          <cell r="S796" t="str">
            <v>Sunroof adjust to flush with roof</v>
          </cell>
          <cell r="T796">
            <v>1</v>
          </cell>
          <cell r="X796">
            <v>1</v>
          </cell>
        </row>
        <row r="797">
          <cell r="A797">
            <v>0</v>
          </cell>
          <cell r="B797" t="str">
            <v>ALL VRTS</v>
          </cell>
          <cell r="G797" t="str">
            <v>N43</v>
          </cell>
          <cell r="J797" t="str">
            <v>V39</v>
          </cell>
          <cell r="L797">
            <v>-1</v>
          </cell>
          <cell r="M797">
            <v>0</v>
          </cell>
          <cell r="N797">
            <v>0</v>
          </cell>
          <cell r="O797">
            <v>2004</v>
          </cell>
          <cell r="P797" t="str">
            <v>DEARBORN PLANT BUILD</v>
          </cell>
          <cell r="Q797" t="str">
            <v>P221/P397</v>
          </cell>
          <cell r="R797" t="str">
            <v>ALL</v>
          </cell>
          <cell r="S797" t="str">
            <v>Sunroof Cover Rattle movement between part and track</v>
          </cell>
          <cell r="T797">
            <v>1</v>
          </cell>
          <cell r="V797">
            <v>1</v>
          </cell>
        </row>
        <row r="798">
          <cell r="A798">
            <v>0</v>
          </cell>
          <cell r="B798" t="str">
            <v>ALL VRTS</v>
          </cell>
          <cell r="C798" t="str">
            <v>5480</v>
          </cell>
          <cell r="E798" t="str">
            <v>T212RB</v>
          </cell>
          <cell r="G798" t="str">
            <v>J04</v>
          </cell>
          <cell r="J798" t="str">
            <v>V09</v>
          </cell>
          <cell r="L798">
            <v>0</v>
          </cell>
          <cell r="M798">
            <v>0</v>
          </cell>
          <cell r="N798">
            <v>-1</v>
          </cell>
          <cell r="O798">
            <v>2004</v>
          </cell>
          <cell r="P798" t="str">
            <v>DEARBORN PLANT BUILD</v>
          </cell>
          <cell r="Q798" t="str">
            <v>P221/P397</v>
          </cell>
          <cell r="R798" t="str">
            <v>ALL</v>
          </cell>
          <cell r="S798" t="str">
            <v>SUNROOF TRACK FASTENERS MISSING</v>
          </cell>
          <cell r="T798">
            <v>1</v>
          </cell>
          <cell r="AB798">
            <v>1</v>
          </cell>
        </row>
        <row r="799">
          <cell r="A799">
            <v>0</v>
          </cell>
          <cell r="B799" t="str">
            <v>ALL VRTS</v>
          </cell>
          <cell r="G799" t="str">
            <v>C27</v>
          </cell>
          <cell r="J799" t="str">
            <v>V19</v>
          </cell>
          <cell r="L799">
            <v>0</v>
          </cell>
          <cell r="M799">
            <v>-1</v>
          </cell>
          <cell r="N799">
            <v>0</v>
          </cell>
          <cell r="O799">
            <v>2004</v>
          </cell>
          <cell r="P799" t="str">
            <v>DEARBORN PLANT BUILD</v>
          </cell>
          <cell r="Q799" t="str">
            <v>P221/P397</v>
          </cell>
          <cell r="R799" t="str">
            <v>ALL</v>
          </cell>
          <cell r="S799" t="str">
            <v>Switch Assy. Replaced</v>
          </cell>
          <cell r="T799">
            <v>1</v>
          </cell>
          <cell r="Y799">
            <v>1</v>
          </cell>
        </row>
        <row r="800">
          <cell r="A800">
            <v>0</v>
          </cell>
          <cell r="B800" t="str">
            <v>ALL VRTS</v>
          </cell>
          <cell r="C800" t="str">
            <v>Chassis 2 6440-2-D</v>
          </cell>
          <cell r="E800" t="str">
            <v>C2W56B</v>
          </cell>
          <cell r="G800" t="str">
            <v>B63</v>
          </cell>
          <cell r="J800" t="str">
            <v>V75</v>
          </cell>
          <cell r="L800">
            <v>0</v>
          </cell>
          <cell r="M800">
            <v>0</v>
          </cell>
          <cell r="N800">
            <v>-1</v>
          </cell>
          <cell r="O800">
            <v>2004</v>
          </cell>
          <cell r="P800" t="str">
            <v>DEARBORN PLANT BUILD</v>
          </cell>
          <cell r="Q800" t="str">
            <v>P221/P397</v>
          </cell>
          <cell r="R800" t="str">
            <v>ALL</v>
          </cell>
          <cell r="S800" t="str">
            <v>Tag Lamp Lens Replaced</v>
          </cell>
          <cell r="T800">
            <v>1</v>
          </cell>
          <cell r="Y800">
            <v>1</v>
          </cell>
        </row>
        <row r="801">
          <cell r="A801">
            <v>0</v>
          </cell>
          <cell r="B801" t="str">
            <v>ALL VRTS</v>
          </cell>
          <cell r="C801" t="str">
            <v>box 5400</v>
          </cell>
          <cell r="E801" t="str">
            <v>TBE01B</v>
          </cell>
          <cell r="G801" t="str">
            <v>B66</v>
          </cell>
          <cell r="J801" t="str">
            <v>V75</v>
          </cell>
          <cell r="L801">
            <v>0</v>
          </cell>
          <cell r="M801">
            <v>0</v>
          </cell>
          <cell r="N801">
            <v>-1</v>
          </cell>
          <cell r="O801">
            <v>2004</v>
          </cell>
          <cell r="P801" t="str">
            <v>DEARBORN PLANT BUILD</v>
          </cell>
          <cell r="Q801" t="str">
            <v>P221/P397</v>
          </cell>
          <cell r="R801" t="str">
            <v>ALL</v>
          </cell>
          <cell r="S801" t="str">
            <v>Tailgate Bumper replaced</v>
          </cell>
          <cell r="T801">
            <v>1</v>
          </cell>
          <cell r="AB801">
            <v>1</v>
          </cell>
        </row>
        <row r="802">
          <cell r="A802">
            <v>0</v>
          </cell>
          <cell r="B802" t="str">
            <v>ALL VRTS</v>
          </cell>
          <cell r="G802" t="str">
            <v>L15</v>
          </cell>
          <cell r="J802" t="str">
            <v>V07</v>
          </cell>
          <cell r="L802">
            <v>0</v>
          </cell>
          <cell r="M802">
            <v>-1</v>
          </cell>
          <cell r="N802">
            <v>0</v>
          </cell>
          <cell r="O802">
            <v>2004</v>
          </cell>
          <cell r="P802" t="str">
            <v>DEARBORN PLANT BUILD</v>
          </cell>
          <cell r="Q802" t="str">
            <v>P221/P397</v>
          </cell>
          <cell r="R802" t="str">
            <v>ALL</v>
          </cell>
          <cell r="S802" t="str">
            <v>TAILGATE CABLE SHORT ONE SIDE</v>
          </cell>
          <cell r="T802">
            <v>1</v>
          </cell>
          <cell r="W802">
            <v>1</v>
          </cell>
        </row>
        <row r="803">
          <cell r="A803">
            <v>0</v>
          </cell>
          <cell r="B803" t="str">
            <v>ALL VRTS</v>
          </cell>
          <cell r="G803" t="str">
            <v>G09</v>
          </cell>
          <cell r="J803" t="str">
            <v>V39</v>
          </cell>
          <cell r="L803">
            <v>0</v>
          </cell>
          <cell r="M803">
            <v>-1</v>
          </cell>
          <cell r="N803">
            <v>0</v>
          </cell>
          <cell r="O803">
            <v>2004</v>
          </cell>
          <cell r="P803" t="str">
            <v>DEARBORN PLANT BUILD</v>
          </cell>
          <cell r="Q803" t="str">
            <v>P221/P397</v>
          </cell>
          <cell r="R803" t="str">
            <v>ALL</v>
          </cell>
          <cell r="S803" t="str">
            <v>Tailgate Rattle</v>
          </cell>
          <cell r="T803">
            <v>1</v>
          </cell>
          <cell r="AA803">
            <v>1</v>
          </cell>
        </row>
        <row r="804">
          <cell r="A804">
            <v>0</v>
          </cell>
          <cell r="B804" t="str">
            <v>ALL VRTS</v>
          </cell>
          <cell r="G804" t="str">
            <v>E29</v>
          </cell>
          <cell r="J804" t="str">
            <v>V44</v>
          </cell>
          <cell r="L804">
            <v>-1</v>
          </cell>
          <cell r="M804">
            <v>-1</v>
          </cell>
          <cell r="N804">
            <v>0</v>
          </cell>
          <cell r="O804">
            <v>2004</v>
          </cell>
          <cell r="P804" t="str">
            <v>DEARBORN PLANT BUILD</v>
          </cell>
          <cell r="Q804" t="str">
            <v>P221/P397</v>
          </cell>
          <cell r="R804" t="str">
            <v>ALL</v>
          </cell>
          <cell r="S804" t="str">
            <v>TCC Solenoid</v>
          </cell>
          <cell r="T804">
            <v>1</v>
          </cell>
          <cell r="AA804">
            <v>1</v>
          </cell>
        </row>
        <row r="805">
          <cell r="A805">
            <v>0</v>
          </cell>
          <cell r="B805" t="str">
            <v>ALL VRTS</v>
          </cell>
          <cell r="G805" t="str">
            <v>L25</v>
          </cell>
          <cell r="J805" t="str">
            <v>V77</v>
          </cell>
          <cell r="L805">
            <v>0</v>
          </cell>
          <cell r="M805">
            <v>-1</v>
          </cell>
          <cell r="N805">
            <v>0</v>
          </cell>
          <cell r="O805">
            <v>2004</v>
          </cell>
          <cell r="P805" t="str">
            <v>DEARBORN PLANT BUILD</v>
          </cell>
          <cell r="Q805" t="str">
            <v>P221/P397</v>
          </cell>
          <cell r="R805" t="str">
            <v>ALL</v>
          </cell>
          <cell r="S805" t="str">
            <v>Terminal pushout on connector 238</v>
          </cell>
          <cell r="T805">
            <v>1</v>
          </cell>
          <cell r="Z805">
            <v>1</v>
          </cell>
        </row>
        <row r="806">
          <cell r="A806">
            <v>0</v>
          </cell>
          <cell r="B806" t="str">
            <v>ALL VRTS</v>
          </cell>
          <cell r="G806" t="str">
            <v>F35</v>
          </cell>
          <cell r="J806" t="str">
            <v>V75</v>
          </cell>
          <cell r="L806">
            <v>0</v>
          </cell>
          <cell r="M806">
            <v>-1</v>
          </cell>
          <cell r="N806">
            <v>0</v>
          </cell>
          <cell r="O806">
            <v>2004</v>
          </cell>
          <cell r="P806" t="str">
            <v>DEARBORN PLANT BUILD</v>
          </cell>
          <cell r="Q806" t="str">
            <v>P221/P397</v>
          </cell>
          <cell r="R806" t="str">
            <v>ALL</v>
          </cell>
          <cell r="S806" t="str">
            <v>THIN PAINT</v>
          </cell>
          <cell r="T806">
            <v>1</v>
          </cell>
          <cell r="AB806">
            <v>1</v>
          </cell>
        </row>
        <row r="807">
          <cell r="A807">
            <v>0</v>
          </cell>
          <cell r="B807" t="str">
            <v>ALL VRTS</v>
          </cell>
          <cell r="G807" t="str">
            <v>D21</v>
          </cell>
          <cell r="J807" t="str">
            <v>V42</v>
          </cell>
          <cell r="L807">
            <v>-1</v>
          </cell>
          <cell r="M807">
            <v>-1</v>
          </cell>
          <cell r="N807">
            <v>0</v>
          </cell>
          <cell r="O807">
            <v>2004</v>
          </cell>
          <cell r="P807" t="str">
            <v>DEARBORN PLANT BUILD</v>
          </cell>
          <cell r="Q807" t="str">
            <v>P221/P397</v>
          </cell>
          <cell r="R807" t="str">
            <v>ALL</v>
          </cell>
          <cell r="S807" t="str">
            <v>Throttle Body not properly seated</v>
          </cell>
          <cell r="T807">
            <v>1</v>
          </cell>
          <cell r="AA807">
            <v>1</v>
          </cell>
        </row>
        <row r="808">
          <cell r="A808">
            <v>0</v>
          </cell>
          <cell r="B808" t="str">
            <v>ALL VRTS</v>
          </cell>
          <cell r="G808" t="str">
            <v>L65</v>
          </cell>
          <cell r="J808" t="str">
            <v>V44</v>
          </cell>
          <cell r="L808">
            <v>0</v>
          </cell>
          <cell r="M808">
            <v>-1</v>
          </cell>
          <cell r="N808">
            <v>0</v>
          </cell>
          <cell r="O808">
            <v>2004</v>
          </cell>
          <cell r="P808" t="str">
            <v>DEARBORN PLANT BUILD</v>
          </cell>
          <cell r="Q808" t="str">
            <v>P221/P397</v>
          </cell>
          <cell r="R808" t="str">
            <v>ALL</v>
          </cell>
          <cell r="S808" t="str">
            <v>tighten oil filter</v>
          </cell>
          <cell r="T808">
            <v>1</v>
          </cell>
          <cell r="Z808">
            <v>1</v>
          </cell>
        </row>
        <row r="809">
          <cell r="A809">
            <v>0</v>
          </cell>
          <cell r="B809" t="str">
            <v>ALL VRTS</v>
          </cell>
          <cell r="G809" t="str">
            <v>N57</v>
          </cell>
          <cell r="J809" t="str">
            <v>V39</v>
          </cell>
          <cell r="L809">
            <v>0</v>
          </cell>
          <cell r="M809">
            <v>0</v>
          </cell>
          <cell r="N809">
            <v>-1</v>
          </cell>
          <cell r="O809">
            <v>2004</v>
          </cell>
          <cell r="P809" t="str">
            <v>DEARBORN PLANT BUILD</v>
          </cell>
          <cell r="Q809" t="str">
            <v>P221/P397</v>
          </cell>
          <cell r="R809" t="str">
            <v>ALL</v>
          </cell>
          <cell r="S809" t="str">
            <v>Tilt Level not clipped</v>
          </cell>
          <cell r="T809">
            <v>1</v>
          </cell>
          <cell r="AA809">
            <v>1</v>
          </cell>
        </row>
        <row r="810">
          <cell r="A810">
            <v>0</v>
          </cell>
          <cell r="B810" t="str">
            <v>ALL VRTS</v>
          </cell>
          <cell r="G810" t="str">
            <v>A85</v>
          </cell>
          <cell r="J810" t="str">
            <v>V17</v>
          </cell>
          <cell r="L810">
            <v>0</v>
          </cell>
          <cell r="M810">
            <v>0</v>
          </cell>
          <cell r="N810">
            <v>-1</v>
          </cell>
          <cell r="O810">
            <v>2004</v>
          </cell>
          <cell r="P810" t="str">
            <v>DEARBORN PLANT BUILD</v>
          </cell>
          <cell r="Q810" t="str">
            <v>P221/P397</v>
          </cell>
          <cell r="R810" t="str">
            <v>ALL</v>
          </cell>
          <cell r="S810" t="str">
            <v>Tonneau cover not installed.</v>
          </cell>
          <cell r="T810">
            <v>1</v>
          </cell>
          <cell r="AB810">
            <v>1</v>
          </cell>
        </row>
        <row r="811">
          <cell r="A811">
            <v>0</v>
          </cell>
          <cell r="B811" t="str">
            <v>ALL VRTS</v>
          </cell>
          <cell r="G811" t="str">
            <v>L72</v>
          </cell>
          <cell r="J811" t="str">
            <v>V44</v>
          </cell>
          <cell r="L811">
            <v>0</v>
          </cell>
          <cell r="M811">
            <v>-1</v>
          </cell>
          <cell r="N811">
            <v>0</v>
          </cell>
          <cell r="O811">
            <v>2004</v>
          </cell>
          <cell r="P811" t="str">
            <v>DEARBORN PLANT BUILD</v>
          </cell>
          <cell r="Q811" t="str">
            <v>P221/P397</v>
          </cell>
          <cell r="R811" t="str">
            <v>ALL</v>
          </cell>
          <cell r="S811" t="str">
            <v>Torque Converter Seal Damaged</v>
          </cell>
          <cell r="T811">
            <v>1</v>
          </cell>
          <cell r="AA811">
            <v>1</v>
          </cell>
        </row>
        <row r="812">
          <cell r="A812">
            <v>0</v>
          </cell>
          <cell r="B812" t="str">
            <v>ALL VRTS</v>
          </cell>
          <cell r="G812" t="str">
            <v>L72</v>
          </cell>
          <cell r="J812" t="str">
            <v>V44</v>
          </cell>
          <cell r="L812">
            <v>0</v>
          </cell>
          <cell r="M812">
            <v>-1</v>
          </cell>
          <cell r="N812">
            <v>0</v>
          </cell>
          <cell r="O812">
            <v>2004</v>
          </cell>
          <cell r="P812" t="str">
            <v>DEARBORN PLANT BUILD</v>
          </cell>
          <cell r="Q812" t="str">
            <v>P221/P397</v>
          </cell>
          <cell r="R812" t="str">
            <v>ALL</v>
          </cell>
          <cell r="S812" t="str">
            <v>Trans Pan bolts loose</v>
          </cell>
          <cell r="T812">
            <v>1</v>
          </cell>
          <cell r="AA812">
            <v>1</v>
          </cell>
        </row>
        <row r="813">
          <cell r="A813">
            <v>0</v>
          </cell>
          <cell r="B813" t="str">
            <v>ALL VRTS</v>
          </cell>
          <cell r="G813" t="str">
            <v>P66</v>
          </cell>
          <cell r="J813" t="str">
            <v>V48</v>
          </cell>
          <cell r="L813">
            <v>0</v>
          </cell>
          <cell r="M813">
            <v>-1</v>
          </cell>
          <cell r="N813">
            <v>0</v>
          </cell>
          <cell r="O813">
            <v>2004</v>
          </cell>
          <cell r="P813" t="str">
            <v>DEARBORN PLANT BUILD</v>
          </cell>
          <cell r="Q813" t="str">
            <v>P221/P397</v>
          </cell>
          <cell r="R813" t="str">
            <v>ALL</v>
          </cell>
          <cell r="S813" t="str">
            <v>Trans Range Sensor</v>
          </cell>
          <cell r="T813">
            <v>1</v>
          </cell>
          <cell r="AA813">
            <v>1</v>
          </cell>
        </row>
        <row r="814">
          <cell r="A814">
            <v>0</v>
          </cell>
          <cell r="B814" t="str">
            <v>ALL VRTS</v>
          </cell>
          <cell r="G814" t="str">
            <v>L72</v>
          </cell>
          <cell r="J814" t="str">
            <v>V44</v>
          </cell>
          <cell r="L814">
            <v>0</v>
          </cell>
          <cell r="M814">
            <v>-1</v>
          </cell>
          <cell r="N814">
            <v>0</v>
          </cell>
          <cell r="O814">
            <v>2004</v>
          </cell>
          <cell r="P814" t="str">
            <v>DEARBORN PLANT BUILD</v>
          </cell>
          <cell r="Q814" t="str">
            <v>P221/P397</v>
          </cell>
          <cell r="R814" t="str">
            <v>ALL</v>
          </cell>
          <cell r="S814" t="str">
            <v>Trans retaining clip</v>
          </cell>
          <cell r="T814">
            <v>1</v>
          </cell>
          <cell r="Z814">
            <v>1</v>
          </cell>
        </row>
        <row r="815">
          <cell r="A815">
            <v>0</v>
          </cell>
          <cell r="B815" t="str">
            <v>ALL VRTS</v>
          </cell>
          <cell r="C815" t="str">
            <v>6400</v>
          </cell>
          <cell r="E815" t="str">
            <v>C1E53FL</v>
          </cell>
          <cell r="G815" t="str">
            <v>E35</v>
          </cell>
          <cell r="J815" t="str">
            <v>V89</v>
          </cell>
          <cell r="L815">
            <v>0</v>
          </cell>
          <cell r="M815">
            <v>0</v>
          </cell>
          <cell r="N815">
            <v>-1</v>
          </cell>
          <cell r="O815">
            <v>2004</v>
          </cell>
          <cell r="P815" t="str">
            <v>DEARBORN PLANT BUILD</v>
          </cell>
          <cell r="Q815" t="str">
            <v>P221/P397</v>
          </cell>
          <cell r="R815" t="str">
            <v>ALL</v>
          </cell>
          <cell r="S815" t="str">
            <v>TRANS SKID PLATE LOOSE - TIGHTENED</v>
          </cell>
          <cell r="T815">
            <v>1</v>
          </cell>
          <cell r="Y815">
            <v>1</v>
          </cell>
        </row>
        <row r="816">
          <cell r="A816">
            <v>0</v>
          </cell>
          <cell r="B816" t="str">
            <v>ALL VRTS</v>
          </cell>
          <cell r="G816" t="str">
            <v>N12</v>
          </cell>
          <cell r="J816" t="str">
            <v>V49</v>
          </cell>
          <cell r="L816">
            <v>0</v>
          </cell>
          <cell r="M816">
            <v>-1</v>
          </cell>
          <cell r="N816">
            <v>0</v>
          </cell>
          <cell r="O816">
            <v>2004</v>
          </cell>
          <cell r="P816" t="str">
            <v>DEARBORN PLANT BUILD</v>
          </cell>
          <cell r="Q816" t="str">
            <v>P221/P397</v>
          </cell>
          <cell r="R816" t="str">
            <v>ALL</v>
          </cell>
          <cell r="S816" t="str">
            <v>Transfer Case Defective</v>
          </cell>
          <cell r="T816">
            <v>1</v>
          </cell>
          <cell r="AA816">
            <v>1</v>
          </cell>
        </row>
        <row r="817">
          <cell r="A817">
            <v>0</v>
          </cell>
          <cell r="B817" t="str">
            <v>ALL VRTS</v>
          </cell>
          <cell r="G817" t="str">
            <v>N51</v>
          </cell>
          <cell r="J817" t="str">
            <v>V39</v>
          </cell>
          <cell r="L817">
            <v>0</v>
          </cell>
          <cell r="M817">
            <v>0</v>
          </cell>
          <cell r="N817">
            <v>-1</v>
          </cell>
          <cell r="O817">
            <v>2004</v>
          </cell>
          <cell r="P817" t="str">
            <v>DEARBORN PLANT BUILD</v>
          </cell>
          <cell r="Q817" t="str">
            <v>P221/P397</v>
          </cell>
          <cell r="R817" t="str">
            <v>ALL</v>
          </cell>
          <cell r="S817" t="str">
            <v>Transfer Case Rattle</v>
          </cell>
          <cell r="T817">
            <v>1</v>
          </cell>
          <cell r="Z817">
            <v>1</v>
          </cell>
        </row>
        <row r="818">
          <cell r="A818">
            <v>0</v>
          </cell>
          <cell r="B818" t="str">
            <v>ALL VRTS</v>
          </cell>
          <cell r="G818" t="str">
            <v>P51</v>
          </cell>
          <cell r="J818" t="str">
            <v>V48</v>
          </cell>
          <cell r="L818">
            <v>-1</v>
          </cell>
          <cell r="M818">
            <v>-1</v>
          </cell>
          <cell r="N818">
            <v>0</v>
          </cell>
          <cell r="O818">
            <v>2004</v>
          </cell>
          <cell r="P818" t="str">
            <v>DEARBORN PLANT BUILD</v>
          </cell>
          <cell r="Q818" t="str">
            <v>P221/P397</v>
          </cell>
          <cell r="R818" t="str">
            <v>ALL</v>
          </cell>
          <cell r="S818" t="str">
            <v>Transfer Case rods disconnected</v>
          </cell>
          <cell r="T818">
            <v>1</v>
          </cell>
          <cell r="AA818">
            <v>1</v>
          </cell>
        </row>
        <row r="819">
          <cell r="A819">
            <v>0</v>
          </cell>
          <cell r="B819" t="str">
            <v>ALL VRTS</v>
          </cell>
          <cell r="G819" t="str">
            <v>N59</v>
          </cell>
          <cell r="J819" t="str">
            <v>V39</v>
          </cell>
          <cell r="L819">
            <v>0</v>
          </cell>
          <cell r="M819">
            <v>0</v>
          </cell>
          <cell r="N819">
            <v>-1</v>
          </cell>
          <cell r="O819">
            <v>2004</v>
          </cell>
          <cell r="P819" t="str">
            <v>DEARBORN PLANT BUILD</v>
          </cell>
          <cell r="Q819" t="str">
            <v>P221/P397</v>
          </cell>
          <cell r="R819" t="str">
            <v>ALL</v>
          </cell>
          <cell r="S819" t="str">
            <v>Transfer Case Skid Plate Lse</v>
          </cell>
          <cell r="T819">
            <v>1</v>
          </cell>
          <cell r="AA819">
            <v>1</v>
          </cell>
        </row>
        <row r="820">
          <cell r="A820">
            <v>0</v>
          </cell>
          <cell r="B820" t="str">
            <v>ALL VRTS</v>
          </cell>
          <cell r="G820" t="str">
            <v>B06</v>
          </cell>
          <cell r="J820" t="str">
            <v>V75</v>
          </cell>
          <cell r="L820">
            <v>0</v>
          </cell>
          <cell r="M820">
            <v>-1</v>
          </cell>
          <cell r="N820">
            <v>0</v>
          </cell>
          <cell r="O820">
            <v>2004</v>
          </cell>
          <cell r="P820" t="str">
            <v>DEARBORN PLANT BUILD</v>
          </cell>
          <cell r="Q820" t="str">
            <v>P221/P397</v>
          </cell>
          <cell r="R820" t="str">
            <v>ALL</v>
          </cell>
          <cell r="S820" t="str">
            <v>Transport claim</v>
          </cell>
          <cell r="T820">
            <v>1</v>
          </cell>
          <cell r="Z820">
            <v>1</v>
          </cell>
        </row>
        <row r="821">
          <cell r="A821">
            <v>0</v>
          </cell>
          <cell r="B821" t="str">
            <v>ALL VRTS</v>
          </cell>
          <cell r="G821" t="str">
            <v>G32</v>
          </cell>
          <cell r="J821" t="str">
            <v>V83</v>
          </cell>
          <cell r="L821">
            <v>0</v>
          </cell>
          <cell r="M821">
            <v>-1</v>
          </cell>
          <cell r="N821">
            <v>0</v>
          </cell>
          <cell r="O821">
            <v>2004</v>
          </cell>
          <cell r="P821" t="str">
            <v>DEARBORN PLANT BUILD</v>
          </cell>
          <cell r="Q821" t="str">
            <v>P221/P397</v>
          </cell>
          <cell r="R821" t="str">
            <v>ALL</v>
          </cell>
          <cell r="S821" t="str">
            <v>Trip Meter , Repaired button</v>
          </cell>
          <cell r="T821">
            <v>1</v>
          </cell>
          <cell r="AA821">
            <v>1</v>
          </cell>
        </row>
        <row r="822">
          <cell r="A822">
            <v>0</v>
          </cell>
          <cell r="B822" t="str">
            <v>ALL VRTS</v>
          </cell>
          <cell r="G822" t="str">
            <v>F06</v>
          </cell>
          <cell r="J822" t="str">
            <v>V33</v>
          </cell>
          <cell r="L822">
            <v>0</v>
          </cell>
          <cell r="M822">
            <v>0</v>
          </cell>
          <cell r="N822">
            <v>-1</v>
          </cell>
          <cell r="O822">
            <v>2004</v>
          </cell>
          <cell r="P822" t="str">
            <v>DEARBORN PLANT BUILD</v>
          </cell>
          <cell r="Q822" t="str">
            <v>P221/P397</v>
          </cell>
          <cell r="R822" t="str">
            <v>ALL</v>
          </cell>
          <cell r="S822" t="str">
            <v>UnderBody</v>
          </cell>
          <cell r="T822">
            <v>1</v>
          </cell>
          <cell r="Z822">
            <v>1</v>
          </cell>
        </row>
        <row r="823">
          <cell r="A823">
            <v>0</v>
          </cell>
          <cell r="B823" t="str">
            <v>ALL VRTS</v>
          </cell>
          <cell r="C823" t="str">
            <v>6500</v>
          </cell>
          <cell r="E823" t="str">
            <v>C4W24R</v>
          </cell>
          <cell r="G823" t="str">
            <v>D50</v>
          </cell>
          <cell r="J823" t="str">
            <v>V44</v>
          </cell>
          <cell r="L823">
            <v>0</v>
          </cell>
          <cell r="M823">
            <v>0</v>
          </cell>
          <cell r="N823">
            <v>-1</v>
          </cell>
          <cell r="O823">
            <v>2004</v>
          </cell>
          <cell r="P823" t="str">
            <v>DEARBORN PLANT BUILD</v>
          </cell>
          <cell r="Q823" t="str">
            <v>P221/P397</v>
          </cell>
          <cell r="R823" t="str">
            <v>ALL</v>
          </cell>
          <cell r="S823" t="str">
            <v>upper radiator hose mounting bracket broken</v>
          </cell>
          <cell r="T823">
            <v>1</v>
          </cell>
          <cell r="W823">
            <v>1</v>
          </cell>
        </row>
        <row r="824">
          <cell r="A824">
            <v>0</v>
          </cell>
          <cell r="B824" t="str">
            <v>ALL VRTS</v>
          </cell>
          <cell r="G824" t="str">
            <v>L07</v>
          </cell>
          <cell r="J824" t="str">
            <v>V07</v>
          </cell>
          <cell r="L824">
            <v>0</v>
          </cell>
          <cell r="M824">
            <v>0</v>
          </cell>
          <cell r="N824">
            <v>-1</v>
          </cell>
          <cell r="O824">
            <v>2004</v>
          </cell>
          <cell r="P824" t="str">
            <v>DEARBORN PLANT BUILD</v>
          </cell>
          <cell r="Q824" t="str">
            <v>P221/P397</v>
          </cell>
          <cell r="R824" t="str">
            <v>ALL</v>
          </cell>
          <cell r="S824" t="str">
            <v>UPPER STRIKER WRONG</v>
          </cell>
          <cell r="T824">
            <v>1</v>
          </cell>
          <cell r="AA824">
            <v>1</v>
          </cell>
        </row>
        <row r="825">
          <cell r="A825">
            <v>0</v>
          </cell>
          <cell r="B825" t="str">
            <v>ALL VRTS</v>
          </cell>
          <cell r="C825" t="str">
            <v>6500</v>
          </cell>
          <cell r="E825" t="str">
            <v>C4W22R</v>
          </cell>
          <cell r="G825" t="str">
            <v>E29</v>
          </cell>
          <cell r="J825" t="str">
            <v>V44</v>
          </cell>
          <cell r="L825">
            <v>0</v>
          </cell>
          <cell r="M825">
            <v>0</v>
          </cell>
          <cell r="N825">
            <v>-1</v>
          </cell>
          <cell r="O825">
            <v>2004</v>
          </cell>
          <cell r="P825" t="str">
            <v>DEARBORN PLANT BUILD</v>
          </cell>
          <cell r="Q825" t="str">
            <v>P221/P397</v>
          </cell>
          <cell r="R825" t="str">
            <v>ALL</v>
          </cell>
          <cell r="S825" t="str">
            <v>Vacuum harness disconnected</v>
          </cell>
          <cell r="T825">
            <v>1</v>
          </cell>
          <cell r="AB825">
            <v>1</v>
          </cell>
        </row>
        <row r="826">
          <cell r="A826">
            <v>0</v>
          </cell>
          <cell r="B826" t="str">
            <v>ALL VRTS</v>
          </cell>
          <cell r="C826" t="str">
            <v>6500</v>
          </cell>
          <cell r="E826" t="str">
            <v>C4W22R</v>
          </cell>
          <cell r="G826" t="str">
            <v>N12</v>
          </cell>
          <cell r="J826" t="str">
            <v>V49</v>
          </cell>
          <cell r="L826">
            <v>-1</v>
          </cell>
          <cell r="M826">
            <v>0</v>
          </cell>
          <cell r="N826">
            <v>-1</v>
          </cell>
          <cell r="O826">
            <v>2004</v>
          </cell>
          <cell r="P826" t="str">
            <v>DEARBORN PLANT BUILD</v>
          </cell>
          <cell r="Q826" t="str">
            <v>P221/P397</v>
          </cell>
          <cell r="R826" t="str">
            <v>ALL</v>
          </cell>
          <cell r="S826" t="str">
            <v>vacuum leak</v>
          </cell>
          <cell r="T826">
            <v>1</v>
          </cell>
          <cell r="Z826">
            <v>1</v>
          </cell>
        </row>
        <row r="827">
          <cell r="A827">
            <v>0</v>
          </cell>
          <cell r="B827" t="str">
            <v>ALL VRTS</v>
          </cell>
          <cell r="G827" t="str">
            <v>A85</v>
          </cell>
          <cell r="J827" t="str">
            <v>V17</v>
          </cell>
          <cell r="L827">
            <v>0</v>
          </cell>
          <cell r="M827">
            <v>0</v>
          </cell>
          <cell r="N827">
            <v>-1</v>
          </cell>
          <cell r="O827">
            <v>2004</v>
          </cell>
          <cell r="P827" t="str">
            <v>DEARBORN PLANT BUILD</v>
          </cell>
          <cell r="Q827" t="str">
            <v>P221/P397</v>
          </cell>
          <cell r="R827" t="str">
            <v>ALL</v>
          </cell>
          <cell r="S827" t="str">
            <v>Vacuum Line Broken</v>
          </cell>
          <cell r="T827">
            <v>1</v>
          </cell>
          <cell r="AA827">
            <v>1</v>
          </cell>
        </row>
        <row r="828">
          <cell r="A828">
            <v>0</v>
          </cell>
          <cell r="B828" t="str">
            <v>ALL VRTS</v>
          </cell>
          <cell r="C828" t="str">
            <v>6500</v>
          </cell>
          <cell r="E828" t="str">
            <v>C4W22R</v>
          </cell>
          <cell r="G828" t="str">
            <v>N12</v>
          </cell>
          <cell r="J828" t="str">
            <v>V49</v>
          </cell>
          <cell r="L828">
            <v>0</v>
          </cell>
          <cell r="M828">
            <v>0</v>
          </cell>
          <cell r="N828">
            <v>-1</v>
          </cell>
          <cell r="O828">
            <v>2004</v>
          </cell>
          <cell r="P828" t="str">
            <v>DEARBORN PLANT BUILD</v>
          </cell>
          <cell r="Q828" t="str">
            <v>P221/P397</v>
          </cell>
          <cell r="R828" t="str">
            <v>ALL</v>
          </cell>
          <cell r="S828" t="str">
            <v>vacuum line disconnected</v>
          </cell>
          <cell r="T828">
            <v>1</v>
          </cell>
          <cell r="Z828">
            <v>1</v>
          </cell>
        </row>
        <row r="829">
          <cell r="A829">
            <v>0</v>
          </cell>
          <cell r="B829" t="str">
            <v>ALL VRTS</v>
          </cell>
          <cell r="G829" t="str">
            <v>E29</v>
          </cell>
          <cell r="J829" t="str">
            <v>V44</v>
          </cell>
          <cell r="L829">
            <v>-1</v>
          </cell>
          <cell r="M829">
            <v>-1</v>
          </cell>
          <cell r="N829">
            <v>0</v>
          </cell>
          <cell r="O829">
            <v>2004</v>
          </cell>
          <cell r="P829" t="str">
            <v>DEARBORN PLANT BUILD</v>
          </cell>
          <cell r="Q829" t="str">
            <v>P221/P397</v>
          </cell>
          <cell r="R829" t="str">
            <v>ALL</v>
          </cell>
          <cell r="S829" t="str">
            <v>VCT Solenoid defective</v>
          </cell>
          <cell r="T829">
            <v>1</v>
          </cell>
          <cell r="AA829">
            <v>1</v>
          </cell>
        </row>
        <row r="830">
          <cell r="A830">
            <v>0</v>
          </cell>
          <cell r="B830" t="str">
            <v>ALL VRTS</v>
          </cell>
          <cell r="C830" t="str">
            <v>5540</v>
          </cell>
          <cell r="E830" t="str">
            <v>T3E15L</v>
          </cell>
          <cell r="G830" t="str">
            <v>B81</v>
          </cell>
          <cell r="J830" t="str">
            <v>V71</v>
          </cell>
          <cell r="L830">
            <v>0</v>
          </cell>
          <cell r="M830">
            <v>-1</v>
          </cell>
          <cell r="N830">
            <v>-1</v>
          </cell>
          <cell r="O830">
            <v>2004</v>
          </cell>
          <cell r="P830" t="str">
            <v>DEARBORN PLANT BUILD</v>
          </cell>
          <cell r="Q830" t="str">
            <v>P221/P397</v>
          </cell>
          <cell r="R830" t="str">
            <v>ALL</v>
          </cell>
          <cell r="S830" t="str">
            <v>VENT BROKEN</v>
          </cell>
          <cell r="T830">
            <v>1</v>
          </cell>
          <cell r="W830">
            <v>1</v>
          </cell>
        </row>
        <row r="831">
          <cell r="A831">
            <v>0</v>
          </cell>
          <cell r="B831" t="str">
            <v>ALL VRTS</v>
          </cell>
          <cell r="C831" t="str">
            <v>5540</v>
          </cell>
          <cell r="E831" t="str">
            <v>T3E15L</v>
          </cell>
          <cell r="G831" t="str">
            <v>B95</v>
          </cell>
          <cell r="J831" t="str">
            <v>V71</v>
          </cell>
          <cell r="L831">
            <v>0</v>
          </cell>
          <cell r="M831">
            <v>-1</v>
          </cell>
          <cell r="N831">
            <v>-1</v>
          </cell>
          <cell r="O831">
            <v>2004</v>
          </cell>
          <cell r="P831" t="str">
            <v>DEARBORN PLANT BUILD</v>
          </cell>
          <cell r="Q831" t="str">
            <v>P221/P397</v>
          </cell>
          <cell r="R831" t="str">
            <v>ALL</v>
          </cell>
          <cell r="S831" t="str">
            <v>VENT,SCRATCH</v>
          </cell>
          <cell r="T831">
            <v>1</v>
          </cell>
          <cell r="Z831">
            <v>1</v>
          </cell>
        </row>
        <row r="832">
          <cell r="A832">
            <v>0</v>
          </cell>
          <cell r="B832" t="str">
            <v>ALL VRTS</v>
          </cell>
          <cell r="G832" t="str">
            <v>L29</v>
          </cell>
          <cell r="J832" t="str">
            <v>V77</v>
          </cell>
          <cell r="L832">
            <v>-1</v>
          </cell>
          <cell r="M832">
            <v>0</v>
          </cell>
          <cell r="N832">
            <v>0</v>
          </cell>
          <cell r="O832">
            <v>2004</v>
          </cell>
          <cell r="P832" t="str">
            <v>DEARBORN PLANT BUILD</v>
          </cell>
          <cell r="Q832" t="str">
            <v>P221/P397</v>
          </cell>
          <cell r="R832" t="str">
            <v>ALL</v>
          </cell>
          <cell r="S832" t="str">
            <v>Water Leak</v>
          </cell>
          <cell r="T832">
            <v>1</v>
          </cell>
          <cell r="AB832">
            <v>1</v>
          </cell>
        </row>
        <row r="833">
          <cell r="A833">
            <v>0</v>
          </cell>
          <cell r="B833" t="str">
            <v>ALL VRTS</v>
          </cell>
          <cell r="C833" t="str">
            <v>34502C</v>
          </cell>
          <cell r="E833" t="str">
            <v>Metal Finishers</v>
          </cell>
          <cell r="G833" t="str">
            <v>B01</v>
          </cell>
          <cell r="J833" t="str">
            <v>V31</v>
          </cell>
          <cell r="L833">
            <v>0</v>
          </cell>
          <cell r="M833">
            <v>0</v>
          </cell>
          <cell r="N833">
            <v>-1</v>
          </cell>
          <cell r="O833">
            <v>2004</v>
          </cell>
          <cell r="P833" t="str">
            <v>DEARBORN PLANT BUILD</v>
          </cell>
          <cell r="Q833" t="str">
            <v>P221/P397</v>
          </cell>
          <cell r="R833" t="str">
            <v>ALL</v>
          </cell>
          <cell r="S833" t="str">
            <v>wavy metal / grind marks</v>
          </cell>
          <cell r="T833">
            <v>1</v>
          </cell>
          <cell r="Z833">
            <v>1</v>
          </cell>
        </row>
        <row r="834">
          <cell r="A834">
            <v>0</v>
          </cell>
          <cell r="B834" t="str">
            <v>ALL VRTS</v>
          </cell>
          <cell r="G834" t="str">
            <v>B01</v>
          </cell>
          <cell r="J834" t="str">
            <v>V31</v>
          </cell>
          <cell r="L834">
            <v>0</v>
          </cell>
          <cell r="M834">
            <v>-1</v>
          </cell>
          <cell r="N834">
            <v>0</v>
          </cell>
          <cell r="O834">
            <v>2004</v>
          </cell>
          <cell r="P834" t="str">
            <v>DEARBORN PLANT BUILD</v>
          </cell>
          <cell r="Q834" t="str">
            <v>P221/P397</v>
          </cell>
          <cell r="R834" t="str">
            <v>ALL</v>
          </cell>
          <cell r="S834" t="str">
            <v>wavy metal around handle</v>
          </cell>
          <cell r="T834">
            <v>1</v>
          </cell>
          <cell r="Y834">
            <v>1</v>
          </cell>
        </row>
        <row r="835">
          <cell r="A835">
            <v>0</v>
          </cell>
          <cell r="B835" t="str">
            <v>ALL VRTS</v>
          </cell>
          <cell r="G835" t="str">
            <v>R31</v>
          </cell>
          <cell r="J835" t="str">
            <v>V11</v>
          </cell>
          <cell r="L835">
            <v>0</v>
          </cell>
          <cell r="M835">
            <v>0</v>
          </cell>
          <cell r="N835">
            <v>-1</v>
          </cell>
          <cell r="O835">
            <v>2004</v>
          </cell>
          <cell r="P835" t="str">
            <v>DEARBORN PLANT BUILD</v>
          </cell>
          <cell r="Q835" t="str">
            <v>P221/P397</v>
          </cell>
          <cell r="R835" t="str">
            <v>ALL</v>
          </cell>
          <cell r="S835" t="str">
            <v>Weatherstrip Loose</v>
          </cell>
          <cell r="T835">
            <v>1</v>
          </cell>
          <cell r="AA835">
            <v>1</v>
          </cell>
        </row>
        <row r="836">
          <cell r="A836">
            <v>0</v>
          </cell>
          <cell r="B836" t="str">
            <v>ALL VRTS</v>
          </cell>
          <cell r="G836" t="str">
            <v>B62</v>
          </cell>
          <cell r="J836" t="str">
            <v>V75</v>
          </cell>
          <cell r="L836">
            <v>0</v>
          </cell>
          <cell r="M836">
            <v>-1</v>
          </cell>
          <cell r="N836">
            <v>0</v>
          </cell>
          <cell r="O836">
            <v>2004</v>
          </cell>
          <cell r="P836" t="str">
            <v>DEARBORN PLANT BUILD</v>
          </cell>
          <cell r="Q836" t="str">
            <v>P221/P397</v>
          </cell>
          <cell r="R836" t="str">
            <v>ALL</v>
          </cell>
          <cell r="S836" t="str">
            <v>wheel replaced</v>
          </cell>
          <cell r="T836">
            <v>1</v>
          </cell>
          <cell r="AA836">
            <v>1</v>
          </cell>
        </row>
        <row r="837">
          <cell r="A837">
            <v>0</v>
          </cell>
          <cell r="B837" t="str">
            <v>ALL VRTS</v>
          </cell>
          <cell r="C837" t="str">
            <v>unsure</v>
          </cell>
          <cell r="E837" t="str">
            <v>TDE29L</v>
          </cell>
          <cell r="G837" t="str">
            <v>N40</v>
          </cell>
          <cell r="J837" t="str">
            <v>V39</v>
          </cell>
          <cell r="L837">
            <v>0</v>
          </cell>
          <cell r="M837">
            <v>0</v>
          </cell>
          <cell r="N837">
            <v>-1</v>
          </cell>
          <cell r="O837">
            <v>2004</v>
          </cell>
          <cell r="P837" t="str">
            <v>DEARBORN PLANT BUILD</v>
          </cell>
          <cell r="Q837" t="str">
            <v>P221/P397</v>
          </cell>
          <cell r="R837" t="str">
            <v>ALL</v>
          </cell>
          <cell r="S837" t="str">
            <v>Window Run Loose</v>
          </cell>
          <cell r="T837">
            <v>1</v>
          </cell>
          <cell r="AA837">
            <v>1</v>
          </cell>
        </row>
        <row r="838">
          <cell r="A838">
            <v>0</v>
          </cell>
          <cell r="B838" t="str">
            <v>ALL VRTS</v>
          </cell>
          <cell r="G838" t="str">
            <v>G02</v>
          </cell>
          <cell r="J838" t="str">
            <v>V09</v>
          </cell>
          <cell r="L838">
            <v>0</v>
          </cell>
          <cell r="M838">
            <v>-1</v>
          </cell>
          <cell r="N838">
            <v>0</v>
          </cell>
          <cell r="O838">
            <v>2004</v>
          </cell>
          <cell r="P838" t="str">
            <v>DEARBORN PLANT BUILD</v>
          </cell>
          <cell r="Q838" t="str">
            <v>P221/P397</v>
          </cell>
          <cell r="R838" t="str">
            <v>ALL</v>
          </cell>
          <cell r="S838" t="str">
            <v>WINDSHIELD CLOUDY</v>
          </cell>
          <cell r="T838">
            <v>1</v>
          </cell>
          <cell r="W838">
            <v>1</v>
          </cell>
        </row>
        <row r="839">
          <cell r="A839">
            <v>0</v>
          </cell>
          <cell r="B839" t="str">
            <v>ALL VRTS</v>
          </cell>
          <cell r="G839" t="str">
            <v>N59</v>
          </cell>
          <cell r="J839" t="str">
            <v>V39</v>
          </cell>
          <cell r="L839">
            <v>0</v>
          </cell>
          <cell r="M839">
            <v>0</v>
          </cell>
          <cell r="N839">
            <v>-1</v>
          </cell>
          <cell r="O839">
            <v>2004</v>
          </cell>
          <cell r="P839" t="str">
            <v>DEARBORN PLANT BUILD</v>
          </cell>
          <cell r="Q839" t="str">
            <v>P221/P397</v>
          </cell>
          <cell r="R839" t="str">
            <v>ALL</v>
          </cell>
          <cell r="S839" t="str">
            <v>Windshield Misalign</v>
          </cell>
          <cell r="T839">
            <v>1</v>
          </cell>
          <cell r="AA839">
            <v>1</v>
          </cell>
        </row>
        <row r="840">
          <cell r="A840">
            <v>0</v>
          </cell>
          <cell r="B840" t="str">
            <v>ALL VRTS</v>
          </cell>
          <cell r="G840" t="str">
            <v>L26</v>
          </cell>
          <cell r="J840" t="str">
            <v>V77</v>
          </cell>
          <cell r="L840">
            <v>0</v>
          </cell>
          <cell r="M840">
            <v>-1</v>
          </cell>
          <cell r="N840">
            <v>0</v>
          </cell>
          <cell r="O840">
            <v>2004</v>
          </cell>
          <cell r="P840" t="str">
            <v>DEARBORN PLANT BUILD</v>
          </cell>
          <cell r="Q840" t="str">
            <v>P221/P397</v>
          </cell>
          <cell r="R840" t="str">
            <v>ALL</v>
          </cell>
          <cell r="S840" t="str">
            <v>Wire Connections at fuse panel repaired</v>
          </cell>
          <cell r="T840">
            <v>1</v>
          </cell>
          <cell r="W840">
            <v>1</v>
          </cell>
        </row>
        <row r="841">
          <cell r="A841">
            <v>0</v>
          </cell>
          <cell r="B841" t="str">
            <v>ALL VRTS</v>
          </cell>
          <cell r="G841" t="str">
            <v>L25</v>
          </cell>
          <cell r="J841" t="str">
            <v>V77</v>
          </cell>
          <cell r="L841">
            <v>0</v>
          </cell>
          <cell r="M841">
            <v>0</v>
          </cell>
          <cell r="N841">
            <v>-1</v>
          </cell>
          <cell r="O841">
            <v>2004</v>
          </cell>
          <cell r="P841" t="str">
            <v>DEARBORN PLANT BUILD</v>
          </cell>
          <cell r="Q841" t="str">
            <v>P221/P397</v>
          </cell>
          <cell r="R841" t="str">
            <v>ALL</v>
          </cell>
          <cell r="S841" t="str">
            <v>Wire going to Pedal not connected</v>
          </cell>
          <cell r="T841">
            <v>1</v>
          </cell>
          <cell r="AA841">
            <v>1</v>
          </cell>
        </row>
        <row r="842">
          <cell r="A842">
            <v>0</v>
          </cell>
          <cell r="B842" t="str">
            <v>ALL VRTS</v>
          </cell>
          <cell r="G842" t="str">
            <v>N33</v>
          </cell>
          <cell r="J842" t="str">
            <v>V39</v>
          </cell>
          <cell r="L842">
            <v>0</v>
          </cell>
          <cell r="M842">
            <v>0</v>
          </cell>
          <cell r="N842">
            <v>-1</v>
          </cell>
          <cell r="O842">
            <v>2004</v>
          </cell>
          <cell r="P842" t="str">
            <v>DEARBORN PLANT BUILD</v>
          </cell>
          <cell r="Q842" t="str">
            <v>P221/P397</v>
          </cell>
          <cell r="R842" t="str">
            <v>ALL</v>
          </cell>
          <cell r="S842" t="str">
            <v>Wire Loom - Main rubbing Dash</v>
          </cell>
          <cell r="T842">
            <v>1</v>
          </cell>
          <cell r="AA842">
            <v>1</v>
          </cell>
        </row>
        <row r="843">
          <cell r="A843">
            <v>0</v>
          </cell>
          <cell r="B843" t="str">
            <v>ALL VRTS</v>
          </cell>
          <cell r="G843" t="str">
            <v>S39</v>
          </cell>
          <cell r="J843" t="str">
            <v>V05</v>
          </cell>
          <cell r="L843">
            <v>0</v>
          </cell>
          <cell r="M843">
            <v>-1</v>
          </cell>
          <cell r="N843">
            <v>0</v>
          </cell>
          <cell r="O843">
            <v>2004</v>
          </cell>
          <cell r="P843" t="str">
            <v>DEARBORN PLANT BUILD</v>
          </cell>
          <cell r="Q843" t="str">
            <v>P221/P397</v>
          </cell>
          <cell r="R843" t="str">
            <v>ALL</v>
          </cell>
          <cell r="S843" t="str">
            <v>WIRE PINCH/IP</v>
          </cell>
          <cell r="T843">
            <v>1</v>
          </cell>
          <cell r="AB843">
            <v>1</v>
          </cell>
        </row>
        <row r="844">
          <cell r="A844">
            <v>0</v>
          </cell>
          <cell r="B844" t="str">
            <v>ALL VRTS</v>
          </cell>
          <cell r="G844" t="str">
            <v>A34</v>
          </cell>
          <cell r="J844" t="str">
            <v>V83</v>
          </cell>
          <cell r="L844">
            <v>-1</v>
          </cell>
          <cell r="M844">
            <v>0</v>
          </cell>
          <cell r="N844">
            <v>-1</v>
          </cell>
          <cell r="O844">
            <v>2004</v>
          </cell>
          <cell r="P844" t="str">
            <v>DEARBORN PLANT BUILD</v>
          </cell>
          <cell r="Q844" t="str">
            <v>P221/P397</v>
          </cell>
          <cell r="R844" t="str">
            <v>ALL</v>
          </cell>
          <cell r="S844" t="str">
            <v>Wire trapped at battery tray</v>
          </cell>
          <cell r="T844">
            <v>1</v>
          </cell>
          <cell r="AA844">
            <v>1</v>
          </cell>
        </row>
        <row r="845">
          <cell r="A845">
            <v>0</v>
          </cell>
          <cell r="B845" t="str">
            <v>ALL VRTS</v>
          </cell>
          <cell r="G845" t="str">
            <v>A34</v>
          </cell>
          <cell r="J845" t="str">
            <v>V83</v>
          </cell>
          <cell r="L845">
            <v>0</v>
          </cell>
          <cell r="M845">
            <v>0</v>
          </cell>
          <cell r="N845">
            <v>-1</v>
          </cell>
          <cell r="O845">
            <v>2004</v>
          </cell>
          <cell r="P845" t="str">
            <v>DEARBORN PLANT BUILD</v>
          </cell>
          <cell r="Q845" t="str">
            <v>P221/P397</v>
          </cell>
          <cell r="R845" t="str">
            <v>ALL</v>
          </cell>
          <cell r="S845" t="str">
            <v>Wire trapped behind Air Bag Ass.</v>
          </cell>
          <cell r="T845">
            <v>1</v>
          </cell>
          <cell r="AA845">
            <v>1</v>
          </cell>
        </row>
        <row r="846">
          <cell r="A846">
            <v>0</v>
          </cell>
          <cell r="B846" t="str">
            <v>ALL VRTS</v>
          </cell>
          <cell r="G846" t="str">
            <v>L26</v>
          </cell>
          <cell r="J846" t="str">
            <v>V77</v>
          </cell>
          <cell r="L846">
            <v>-1</v>
          </cell>
          <cell r="M846">
            <v>0</v>
          </cell>
          <cell r="N846">
            <v>-1</v>
          </cell>
          <cell r="O846">
            <v>2004</v>
          </cell>
          <cell r="P846" t="str">
            <v>DEARBORN PLANT BUILD</v>
          </cell>
          <cell r="Q846" t="str">
            <v>P221/P397</v>
          </cell>
          <cell r="R846" t="str">
            <v>ALL</v>
          </cell>
          <cell r="S846" t="str">
            <v>Wire trapped behind park brake</v>
          </cell>
          <cell r="T846">
            <v>1</v>
          </cell>
          <cell r="U846">
            <v>1</v>
          </cell>
        </row>
        <row r="847">
          <cell r="A847">
            <v>0</v>
          </cell>
          <cell r="B847" t="str">
            <v>ALL VRTS</v>
          </cell>
          <cell r="G847" t="str">
            <v>S15</v>
          </cell>
          <cell r="J847" t="str">
            <v>V03</v>
          </cell>
          <cell r="L847">
            <v>0</v>
          </cell>
          <cell r="M847">
            <v>-1</v>
          </cell>
          <cell r="N847">
            <v>0</v>
          </cell>
          <cell r="O847">
            <v>2004</v>
          </cell>
          <cell r="P847" t="str">
            <v>DEARBORN PLANT BUILD</v>
          </cell>
          <cell r="Q847" t="str">
            <v>P221/P397</v>
          </cell>
          <cell r="R847" t="str">
            <v>ALL</v>
          </cell>
          <cell r="S847" t="str">
            <v>WIRING REPAIR</v>
          </cell>
          <cell r="T847">
            <v>1</v>
          </cell>
          <cell r="AB847">
            <v>1</v>
          </cell>
        </row>
        <row r="848">
          <cell r="A848">
            <v>0</v>
          </cell>
          <cell r="B848" t="str">
            <v>ALL VRTS</v>
          </cell>
          <cell r="C848" t="str">
            <v xml:space="preserve"> door line 5360-2-A</v>
          </cell>
          <cell r="E848" t="str">
            <v>TDE37L</v>
          </cell>
          <cell r="G848" t="str">
            <v>M05</v>
          </cell>
          <cell r="J848" t="str">
            <v>V13</v>
          </cell>
          <cell r="L848">
            <v>0</v>
          </cell>
          <cell r="M848">
            <v>0</v>
          </cell>
          <cell r="N848">
            <v>-1</v>
          </cell>
          <cell r="O848">
            <v>2004</v>
          </cell>
          <cell r="P848" t="str">
            <v>DEARBORN PLANT BUILD</v>
          </cell>
          <cell r="Q848" t="str">
            <v>P221/P397</v>
          </cell>
          <cell r="R848" t="str">
            <v>ALL</v>
          </cell>
          <cell r="S848" t="str">
            <v>WONT ADJUST - BENT PINS IN CONNECTOR</v>
          </cell>
          <cell r="T848">
            <v>1</v>
          </cell>
          <cell r="AA848">
            <v>1</v>
          </cell>
        </row>
        <row r="849">
          <cell r="A849">
            <v>0</v>
          </cell>
          <cell r="B849" t="str">
            <v>ALL VRTS</v>
          </cell>
          <cell r="G849" t="str">
            <v>S26</v>
          </cell>
          <cell r="J849" t="str">
            <v>V05</v>
          </cell>
          <cell r="L849">
            <v>0</v>
          </cell>
          <cell r="M849">
            <v>-1</v>
          </cell>
          <cell r="N849">
            <v>0</v>
          </cell>
          <cell r="O849">
            <v>2004</v>
          </cell>
          <cell r="P849" t="str">
            <v>DEARBORN PLANT BUILD</v>
          </cell>
          <cell r="Q849" t="str">
            <v>P221/P397</v>
          </cell>
          <cell r="R849" t="str">
            <v>ALL</v>
          </cell>
          <cell r="S849" t="str">
            <v>WONT LATCH</v>
          </cell>
          <cell r="T849">
            <v>1</v>
          </cell>
          <cell r="Z849">
            <v>1</v>
          </cell>
        </row>
        <row r="850">
          <cell r="A850">
            <v>0</v>
          </cell>
          <cell r="B850" t="str">
            <v>ALL VRTS</v>
          </cell>
          <cell r="G850" t="str">
            <v>S26</v>
          </cell>
          <cell r="J850" t="str">
            <v>V05</v>
          </cell>
          <cell r="L850">
            <v>0</v>
          </cell>
          <cell r="M850">
            <v>-1</v>
          </cell>
          <cell r="N850">
            <v>0</v>
          </cell>
          <cell r="O850">
            <v>2004</v>
          </cell>
          <cell r="P850" t="str">
            <v>DEARBORN PLANT BUILD</v>
          </cell>
          <cell r="Q850" t="str">
            <v>P221/P397</v>
          </cell>
          <cell r="R850" t="str">
            <v>ALL</v>
          </cell>
          <cell r="S850" t="str">
            <v>WONT UNLATCH</v>
          </cell>
          <cell r="T850">
            <v>1</v>
          </cell>
          <cell r="AA850">
            <v>1</v>
          </cell>
        </row>
        <row r="851">
          <cell r="A851">
            <v>0</v>
          </cell>
          <cell r="B851" t="str">
            <v>ALL VRTS</v>
          </cell>
          <cell r="C851" t="str">
            <v>5340</v>
          </cell>
          <cell r="E851" t="str">
            <v>TDE27-L</v>
          </cell>
          <cell r="G851" t="str">
            <v>G05</v>
          </cell>
          <cell r="J851" t="str">
            <v>V09</v>
          </cell>
          <cell r="L851">
            <v>0</v>
          </cell>
          <cell r="M851">
            <v>0</v>
          </cell>
          <cell r="N851">
            <v>-1</v>
          </cell>
          <cell r="O851">
            <v>2004</v>
          </cell>
          <cell r="P851" t="str">
            <v>DEARBORN PLANT BUILD</v>
          </cell>
          <cell r="Q851" t="str">
            <v>P221/P397</v>
          </cell>
          <cell r="R851" t="str">
            <v>ALL</v>
          </cell>
          <cell r="S851" t="str">
            <v>WRONG RETAINER</v>
          </cell>
          <cell r="T851">
            <v>1</v>
          </cell>
          <cell r="Z851">
            <v>1</v>
          </cell>
        </row>
      </sheetData>
      <sheetData sheetId="7">
        <row r="1">
          <cell r="A1" t="str">
            <v>LYTotalClaimCnt</v>
          </cell>
          <cell r="B1" t="str">
            <v>VRT Description</v>
          </cell>
          <cell r="C1" t="str">
            <v>REPL</v>
          </cell>
          <cell r="D1" t="str">
            <v>TCN</v>
          </cell>
          <cell r="E1" t="str">
            <v>fps_01</v>
          </cell>
          <cell r="F1" t="str">
            <v>fps_02</v>
          </cell>
          <cell r="G1" t="str">
            <v>OP_01</v>
          </cell>
          <cell r="H1" t="str">
            <v>OP_02</v>
          </cell>
          <cell r="I1" t="str">
            <v>CCC_01</v>
          </cell>
          <cell r="J1" t="str">
            <v>CCC_02</v>
          </cell>
          <cell r="K1" t="str">
            <v>CCC_03</v>
          </cell>
          <cell r="L1" t="str">
            <v>VFG_01</v>
          </cell>
          <cell r="M1" t="str">
            <v>VFG_02</v>
          </cell>
          <cell r="N1" t="str">
            <v>Design</v>
          </cell>
          <cell r="O1" t="str">
            <v>Supplier</v>
          </cell>
          <cell r="P1" t="str">
            <v>Manufacturing</v>
          </cell>
          <cell r="Q1" t="str">
            <v>MDL_YR</v>
          </cell>
          <cell r="R1" t="str">
            <v>Plant Description</v>
          </cell>
          <cell r="S1" t="str">
            <v>Vehicle Description</v>
          </cell>
          <cell r="T1" t="str">
            <v>Claim Description</v>
          </cell>
          <cell r="U1" t="str">
            <v>Root Cause</v>
          </cell>
          <cell r="V1" t="str">
            <v>VRT_CD</v>
          </cell>
          <cell r="W1" t="str">
            <v>Total Of Claim Number</v>
          </cell>
          <cell r="X1" t="str">
            <v>2004-02</v>
          </cell>
          <cell r="Y1" t="str">
            <v>2004-03</v>
          </cell>
          <cell r="Z1" t="str">
            <v>2004-04</v>
          </cell>
          <cell r="AA1" t="str">
            <v>2004-05</v>
          </cell>
          <cell r="AB1" t="str">
            <v>2004-06</v>
          </cell>
          <cell r="AC1" t="str">
            <v>2004-07</v>
          </cell>
          <cell r="AD1" t="str">
            <v>2004-08</v>
          </cell>
          <cell r="AE1" t="str">
            <v>2004-09</v>
          </cell>
        </row>
        <row r="2">
          <cell r="A2">
            <v>0</v>
          </cell>
          <cell r="B2" t="str">
            <v>ALL VRTS</v>
          </cell>
          <cell r="D2">
            <v>612</v>
          </cell>
          <cell r="I2" t="str">
            <v>D21</v>
          </cell>
          <cell r="L2" t="str">
            <v>V42</v>
          </cell>
          <cell r="N2">
            <v>-1</v>
          </cell>
          <cell r="O2">
            <v>-1</v>
          </cell>
          <cell r="P2">
            <v>0</v>
          </cell>
          <cell r="Q2">
            <v>2004</v>
          </cell>
          <cell r="R2" t="str">
            <v>DEARBORN PLANT BUILD</v>
          </cell>
          <cell r="S2" t="str">
            <v>P221/P397</v>
          </cell>
          <cell r="T2" t="str">
            <v>ENGINE STALLS</v>
          </cell>
          <cell r="U2" t="str">
            <v>Reprogramed PCM</v>
          </cell>
          <cell r="V2" t="str">
            <v>ALL</v>
          </cell>
          <cell r="W2">
            <v>319</v>
          </cell>
          <cell r="AD2">
            <v>172</v>
          </cell>
          <cell r="AE2">
            <v>147</v>
          </cell>
        </row>
        <row r="3">
          <cell r="A3">
            <v>0</v>
          </cell>
          <cell r="B3" t="str">
            <v>ALL VRTS</v>
          </cell>
          <cell r="D3">
            <v>612</v>
          </cell>
          <cell r="I3" t="str">
            <v>D21</v>
          </cell>
          <cell r="L3" t="str">
            <v>V42</v>
          </cell>
          <cell r="N3">
            <v>-1</v>
          </cell>
          <cell r="O3">
            <v>-1</v>
          </cell>
          <cell r="P3">
            <v>0</v>
          </cell>
          <cell r="Q3">
            <v>2004</v>
          </cell>
          <cell r="R3" t="str">
            <v>DEARBORN PLANT BUILD</v>
          </cell>
          <cell r="S3" t="str">
            <v>P221/P397</v>
          </cell>
          <cell r="T3" t="str">
            <v>ENGINE STALLS</v>
          </cell>
          <cell r="U3" t="str">
            <v>PCM Defective</v>
          </cell>
          <cell r="V3" t="str">
            <v>ALL</v>
          </cell>
          <cell r="W3">
            <v>194</v>
          </cell>
          <cell r="AA3">
            <v>1</v>
          </cell>
          <cell r="AD3">
            <v>122</v>
          </cell>
          <cell r="AE3">
            <v>71</v>
          </cell>
        </row>
        <row r="4">
          <cell r="A4">
            <v>0</v>
          </cell>
          <cell r="B4" t="str">
            <v>ALL VRTS</v>
          </cell>
          <cell r="D4">
            <v>612</v>
          </cell>
          <cell r="I4" t="str">
            <v>D21</v>
          </cell>
          <cell r="J4" t="str">
            <v>G29</v>
          </cell>
          <cell r="L4" t="str">
            <v>V42</v>
          </cell>
          <cell r="M4" t="str">
            <v>V83</v>
          </cell>
          <cell r="N4">
            <v>-1</v>
          </cell>
          <cell r="O4">
            <v>-1</v>
          </cell>
          <cell r="P4">
            <v>0</v>
          </cell>
          <cell r="Q4">
            <v>2004</v>
          </cell>
          <cell r="R4" t="str">
            <v>DEARBORN PLANT BUILD</v>
          </cell>
          <cell r="S4" t="str">
            <v>P221/P397</v>
          </cell>
          <cell r="T4" t="str">
            <v>ENGINE STALLS</v>
          </cell>
          <cell r="U4" t="str">
            <v>npf</v>
          </cell>
          <cell r="V4" t="str">
            <v>ALL</v>
          </cell>
          <cell r="W4">
            <v>41</v>
          </cell>
          <cell r="AB4">
            <v>3</v>
          </cell>
          <cell r="AC4">
            <v>1</v>
          </cell>
          <cell r="AD4">
            <v>29</v>
          </cell>
          <cell r="AE4">
            <v>8</v>
          </cell>
        </row>
        <row r="5">
          <cell r="A5">
            <v>0</v>
          </cell>
          <cell r="B5" t="str">
            <v>ALL VRTS</v>
          </cell>
          <cell r="D5">
            <v>612</v>
          </cell>
          <cell r="I5" t="str">
            <v>D21</v>
          </cell>
          <cell r="L5" t="str">
            <v>V42</v>
          </cell>
          <cell r="N5">
            <v>-1</v>
          </cell>
          <cell r="O5">
            <v>-1</v>
          </cell>
          <cell r="P5">
            <v>0</v>
          </cell>
          <cell r="Q5">
            <v>2004</v>
          </cell>
          <cell r="R5" t="str">
            <v>DEARBORN PLANT BUILD</v>
          </cell>
          <cell r="S5" t="str">
            <v>P221/P397</v>
          </cell>
          <cell r="T5" t="str">
            <v>ENGINE STALLS</v>
          </cell>
          <cell r="U5" t="str">
            <v>Throttle Body defective</v>
          </cell>
          <cell r="V5" t="str">
            <v>ALL</v>
          </cell>
          <cell r="W5">
            <v>36</v>
          </cell>
          <cell r="AC5">
            <v>1</v>
          </cell>
          <cell r="AD5">
            <v>16</v>
          </cell>
          <cell r="AE5">
            <v>19</v>
          </cell>
        </row>
        <row r="6">
          <cell r="A6">
            <v>0</v>
          </cell>
          <cell r="B6" t="str">
            <v>ALL VRTS</v>
          </cell>
          <cell r="D6">
            <v>612</v>
          </cell>
          <cell r="I6" t="str">
            <v>D21</v>
          </cell>
          <cell r="L6" t="str">
            <v>V42</v>
          </cell>
          <cell r="N6">
            <v>-1</v>
          </cell>
          <cell r="O6">
            <v>-1</v>
          </cell>
          <cell r="P6">
            <v>0</v>
          </cell>
          <cell r="Q6">
            <v>2004</v>
          </cell>
          <cell r="R6" t="str">
            <v>DEARBORN PLANT BUILD</v>
          </cell>
          <cell r="S6" t="str">
            <v>P221/P397</v>
          </cell>
          <cell r="T6" t="str">
            <v>ENGINE STALLS</v>
          </cell>
          <cell r="U6" t="str">
            <v>Purge valve replaced</v>
          </cell>
          <cell r="V6" t="str">
            <v>ALL</v>
          </cell>
          <cell r="W6">
            <v>5</v>
          </cell>
          <cell r="AD6">
            <v>3</v>
          </cell>
          <cell r="AE6">
            <v>2</v>
          </cell>
        </row>
        <row r="7">
          <cell r="A7">
            <v>0</v>
          </cell>
          <cell r="B7" t="str">
            <v>ALL VRTS</v>
          </cell>
          <cell r="D7">
            <v>612</v>
          </cell>
          <cell r="I7" t="str">
            <v>D21</v>
          </cell>
          <cell r="L7" t="str">
            <v>V42</v>
          </cell>
          <cell r="N7">
            <v>-1</v>
          </cell>
          <cell r="O7">
            <v>-1</v>
          </cell>
          <cell r="P7">
            <v>0</v>
          </cell>
          <cell r="Q7">
            <v>2004</v>
          </cell>
          <cell r="R7" t="str">
            <v>DEARBORN PLANT BUILD</v>
          </cell>
          <cell r="S7" t="str">
            <v>P221/P397</v>
          </cell>
          <cell r="T7" t="str">
            <v>ENGINE STALLS</v>
          </cell>
          <cell r="U7" t="str">
            <v>PCM &amp; Throttle Body</v>
          </cell>
          <cell r="V7" t="str">
            <v>ALL</v>
          </cell>
          <cell r="W7">
            <v>4</v>
          </cell>
          <cell r="AD7">
            <v>1</v>
          </cell>
          <cell r="AE7">
            <v>3</v>
          </cell>
        </row>
        <row r="8">
          <cell r="A8">
            <v>0</v>
          </cell>
          <cell r="B8" t="str">
            <v>ALL VRTS</v>
          </cell>
          <cell r="D8">
            <v>612</v>
          </cell>
          <cell r="I8" t="str">
            <v>D21</v>
          </cell>
          <cell r="L8" t="str">
            <v>V42</v>
          </cell>
          <cell r="N8">
            <v>-1</v>
          </cell>
          <cell r="O8">
            <v>-1</v>
          </cell>
          <cell r="P8">
            <v>0</v>
          </cell>
          <cell r="Q8">
            <v>2004</v>
          </cell>
          <cell r="R8" t="str">
            <v>DEARBORN PLANT BUILD</v>
          </cell>
          <cell r="S8" t="str">
            <v>P221/P397</v>
          </cell>
          <cell r="T8" t="str">
            <v>ENGINE STALLS</v>
          </cell>
          <cell r="U8" t="str">
            <v>Replaced Mass air sensor</v>
          </cell>
          <cell r="V8" t="str">
            <v>ALL</v>
          </cell>
          <cell r="W8">
            <v>3</v>
          </cell>
          <cell r="AC8">
            <v>1</v>
          </cell>
          <cell r="AD8">
            <v>1</v>
          </cell>
          <cell r="AE8">
            <v>1</v>
          </cell>
        </row>
        <row r="9">
          <cell r="A9">
            <v>0</v>
          </cell>
          <cell r="B9" t="str">
            <v>ALL VRTS</v>
          </cell>
          <cell r="D9">
            <v>612</v>
          </cell>
          <cell r="I9" t="str">
            <v>D21</v>
          </cell>
          <cell r="L9" t="str">
            <v>V42</v>
          </cell>
          <cell r="N9">
            <v>-1</v>
          </cell>
          <cell r="O9">
            <v>-1</v>
          </cell>
          <cell r="P9">
            <v>0</v>
          </cell>
          <cell r="Q9">
            <v>2004</v>
          </cell>
          <cell r="R9" t="str">
            <v>DEARBORN PLANT BUILD</v>
          </cell>
          <cell r="S9" t="str">
            <v>P221/P397</v>
          </cell>
          <cell r="T9" t="str">
            <v>ENGINE STALLS</v>
          </cell>
          <cell r="U9" t="str">
            <v>fuel inj sensor asy</v>
          </cell>
          <cell r="V9" t="str">
            <v>ALL</v>
          </cell>
          <cell r="W9">
            <v>2</v>
          </cell>
          <cell r="AC9">
            <v>1</v>
          </cell>
          <cell r="AD9">
            <v>1</v>
          </cell>
        </row>
        <row r="10">
          <cell r="A10">
            <v>0</v>
          </cell>
          <cell r="B10" t="str">
            <v>ALL VRTS</v>
          </cell>
          <cell r="D10">
            <v>612</v>
          </cell>
          <cell r="I10" t="str">
            <v>G29</v>
          </cell>
          <cell r="L10" t="str">
            <v>V83</v>
          </cell>
          <cell r="N10">
            <v>0</v>
          </cell>
          <cell r="O10">
            <v>-1</v>
          </cell>
          <cell r="P10">
            <v>0</v>
          </cell>
          <cell r="Q10">
            <v>2004</v>
          </cell>
          <cell r="R10" t="str">
            <v>DEARBORN PLANT BUILD</v>
          </cell>
          <cell r="S10" t="str">
            <v>P221/P397</v>
          </cell>
          <cell r="T10" t="str">
            <v>ENGINE STALLS</v>
          </cell>
          <cell r="U10" t="str">
            <v>Processor Defective.</v>
          </cell>
          <cell r="V10" t="str">
            <v>ALL</v>
          </cell>
          <cell r="W10">
            <v>2</v>
          </cell>
          <cell r="AB10">
            <v>1</v>
          </cell>
          <cell r="AD10">
            <v>1</v>
          </cell>
        </row>
        <row r="11">
          <cell r="A11">
            <v>0</v>
          </cell>
          <cell r="B11" t="str">
            <v>ALL VRTS</v>
          </cell>
          <cell r="D11">
            <v>612</v>
          </cell>
          <cell r="I11" t="str">
            <v>D21</v>
          </cell>
          <cell r="L11" t="str">
            <v>V42</v>
          </cell>
          <cell r="N11">
            <v>-1</v>
          </cell>
          <cell r="O11">
            <v>-1</v>
          </cell>
          <cell r="P11">
            <v>0</v>
          </cell>
          <cell r="Q11">
            <v>2004</v>
          </cell>
          <cell r="R11" t="str">
            <v>DEARBORN PLANT BUILD</v>
          </cell>
          <cell r="S11" t="str">
            <v>P221/P397</v>
          </cell>
          <cell r="T11" t="str">
            <v>ENGINE STALLS</v>
          </cell>
          <cell r="U11" t="str">
            <v>Repaired Mass air sensor</v>
          </cell>
          <cell r="V11" t="str">
            <v>ALL</v>
          </cell>
          <cell r="W11">
            <v>2</v>
          </cell>
          <cell r="AE11">
            <v>2</v>
          </cell>
        </row>
        <row r="12">
          <cell r="A12">
            <v>0</v>
          </cell>
          <cell r="B12" t="str">
            <v>ALL VRTS</v>
          </cell>
          <cell r="D12">
            <v>612</v>
          </cell>
          <cell r="I12" t="str">
            <v>D21</v>
          </cell>
          <cell r="L12" t="str">
            <v>V42</v>
          </cell>
          <cell r="N12">
            <v>-1</v>
          </cell>
          <cell r="O12">
            <v>-1</v>
          </cell>
          <cell r="P12">
            <v>0</v>
          </cell>
          <cell r="Q12">
            <v>2004</v>
          </cell>
          <cell r="R12" t="str">
            <v>DEARBORN PLANT BUILD</v>
          </cell>
          <cell r="S12" t="str">
            <v>P221/P397</v>
          </cell>
          <cell r="T12" t="str">
            <v>ENGINE STALLS</v>
          </cell>
          <cell r="U12" t="str">
            <v>Replaced Crank Sensor</v>
          </cell>
          <cell r="V12" t="str">
            <v>ALL</v>
          </cell>
          <cell r="W12">
            <v>1</v>
          </cell>
          <cell r="AD12">
            <v>1</v>
          </cell>
        </row>
        <row r="13">
          <cell r="A13">
            <v>0</v>
          </cell>
          <cell r="B13" t="str">
            <v>ALL VRTS</v>
          </cell>
          <cell r="D13">
            <v>612</v>
          </cell>
          <cell r="I13" t="str">
            <v>D21</v>
          </cell>
          <cell r="L13" t="str">
            <v>V42</v>
          </cell>
          <cell r="N13">
            <v>0</v>
          </cell>
          <cell r="O13">
            <v>-1</v>
          </cell>
          <cell r="P13">
            <v>0</v>
          </cell>
          <cell r="Q13">
            <v>2004</v>
          </cell>
          <cell r="R13" t="str">
            <v>DEARBORN PLANT BUILD</v>
          </cell>
          <cell r="S13" t="str">
            <v>P221/P397</v>
          </cell>
          <cell r="T13" t="str">
            <v>ENGINE STALLS</v>
          </cell>
          <cell r="U13" t="str">
            <v>Replaced fuel driver module</v>
          </cell>
          <cell r="V13" t="str">
            <v>ALL</v>
          </cell>
          <cell r="W13">
            <v>1</v>
          </cell>
          <cell r="AA13">
            <v>1</v>
          </cell>
        </row>
        <row r="14">
          <cell r="A14">
            <v>0</v>
          </cell>
          <cell r="B14" t="str">
            <v>ALL VRTS</v>
          </cell>
          <cell r="D14">
            <v>612</v>
          </cell>
          <cell r="I14" t="str">
            <v>D21</v>
          </cell>
          <cell r="L14" t="str">
            <v>V42</v>
          </cell>
          <cell r="N14">
            <v>0</v>
          </cell>
          <cell r="O14">
            <v>-1</v>
          </cell>
          <cell r="P14">
            <v>0</v>
          </cell>
          <cell r="Q14">
            <v>2004</v>
          </cell>
          <cell r="R14" t="str">
            <v>DEARBORN PLANT BUILD</v>
          </cell>
          <cell r="S14" t="str">
            <v>P221/P397</v>
          </cell>
          <cell r="T14" t="str">
            <v>ENGINE STALLS</v>
          </cell>
          <cell r="U14" t="str">
            <v>Replaced VMV Valve</v>
          </cell>
          <cell r="V14" t="str">
            <v>ALL</v>
          </cell>
          <cell r="W14">
            <v>1</v>
          </cell>
          <cell r="AE14">
            <v>1</v>
          </cell>
        </row>
        <row r="15">
          <cell r="A15">
            <v>0</v>
          </cell>
          <cell r="B15" t="str">
            <v>ALL VRTS</v>
          </cell>
          <cell r="D15">
            <v>612</v>
          </cell>
          <cell r="I15" t="str">
            <v>D21</v>
          </cell>
          <cell r="L15" t="str">
            <v>V42</v>
          </cell>
          <cell r="N15">
            <v>-1</v>
          </cell>
          <cell r="O15">
            <v>-1</v>
          </cell>
          <cell r="P15">
            <v>0</v>
          </cell>
          <cell r="Q15">
            <v>2004</v>
          </cell>
          <cell r="R15" t="str">
            <v>DEARBORN PLANT BUILD</v>
          </cell>
          <cell r="S15" t="str">
            <v>P221/P397</v>
          </cell>
          <cell r="T15" t="str">
            <v>ENGINE STALLS</v>
          </cell>
          <cell r="U15" t="str">
            <v>Throttle Body not properly seated</v>
          </cell>
          <cell r="V15" t="str">
            <v>ALL</v>
          </cell>
          <cell r="W15">
            <v>1</v>
          </cell>
          <cell r="AD15">
            <v>1</v>
          </cell>
        </row>
        <row r="16">
          <cell r="A16">
            <v>0</v>
          </cell>
          <cell r="B16" t="str">
            <v>ALL VRTS</v>
          </cell>
          <cell r="C16" t="str">
            <v>X</v>
          </cell>
          <cell r="D16">
            <v>295</v>
          </cell>
          <cell r="E16" t="str">
            <v>7330</v>
          </cell>
          <cell r="G16" t="str">
            <v>m12</v>
          </cell>
          <cell r="I16" t="str">
            <v>N25</v>
          </cell>
          <cell r="J16" t="str">
            <v>N24</v>
          </cell>
          <cell r="K16" t="str">
            <v>N22</v>
          </cell>
          <cell r="L16" t="str">
            <v>V89</v>
          </cell>
          <cell r="M16" t="str">
            <v>V88</v>
          </cell>
          <cell r="N16">
            <v>0</v>
          </cell>
          <cell r="O16">
            <v>-1</v>
          </cell>
          <cell r="P16">
            <v>0</v>
          </cell>
          <cell r="Q16">
            <v>2004</v>
          </cell>
          <cell r="R16" t="str">
            <v>DEARBORN PLANT BUILD</v>
          </cell>
          <cell r="S16" t="str">
            <v>P221/P397</v>
          </cell>
          <cell r="T16" t="str">
            <v>VEHICLE VIBRATES</v>
          </cell>
          <cell r="U16" t="str">
            <v>TIRE ASSEMBLY BALANCE</v>
          </cell>
          <cell r="V16" t="str">
            <v>ALL</v>
          </cell>
          <cell r="W16">
            <v>174</v>
          </cell>
          <cell r="Y16">
            <v>2</v>
          </cell>
          <cell r="Z16">
            <v>26</v>
          </cell>
          <cell r="AA16">
            <v>13</v>
          </cell>
          <cell r="AB16">
            <v>30</v>
          </cell>
          <cell r="AC16">
            <v>24</v>
          </cell>
          <cell r="AD16">
            <v>50</v>
          </cell>
          <cell r="AE16">
            <v>29</v>
          </cell>
        </row>
        <row r="17">
          <cell r="A17">
            <v>0</v>
          </cell>
          <cell r="B17" t="str">
            <v>ALL VRTS</v>
          </cell>
          <cell r="C17" t="str">
            <v>X</v>
          </cell>
          <cell r="D17">
            <v>295</v>
          </cell>
          <cell r="I17" t="str">
            <v>TB3</v>
          </cell>
          <cell r="J17" t="str">
            <v>TC8</v>
          </cell>
          <cell r="K17" t="str">
            <v>N25</v>
          </cell>
          <cell r="L17" t="str">
            <v>V88</v>
          </cell>
          <cell r="M17" t="str">
            <v>V89</v>
          </cell>
          <cell r="N17">
            <v>0</v>
          </cell>
          <cell r="O17">
            <v>-1</v>
          </cell>
          <cell r="P17">
            <v>0</v>
          </cell>
          <cell r="Q17">
            <v>2004</v>
          </cell>
          <cell r="R17" t="str">
            <v>DEARBORN PLANT BUILD</v>
          </cell>
          <cell r="S17" t="str">
            <v>P221/P397</v>
          </cell>
          <cell r="T17" t="str">
            <v>VEHICLE VIBRATES</v>
          </cell>
          <cell r="U17" t="str">
            <v>TIRE REPLACED</v>
          </cell>
          <cell r="V17" t="str">
            <v>ALL</v>
          </cell>
          <cell r="W17">
            <v>47</v>
          </cell>
          <cell r="Z17">
            <v>5</v>
          </cell>
          <cell r="AA17">
            <v>2</v>
          </cell>
          <cell r="AB17">
            <v>2</v>
          </cell>
          <cell r="AC17">
            <v>7</v>
          </cell>
          <cell r="AD17">
            <v>22</v>
          </cell>
          <cell r="AE17">
            <v>9</v>
          </cell>
        </row>
        <row r="18">
          <cell r="A18">
            <v>0</v>
          </cell>
          <cell r="B18" t="str">
            <v>ALL VRTS</v>
          </cell>
          <cell r="C18" t="str">
            <v>X</v>
          </cell>
          <cell r="D18">
            <v>295</v>
          </cell>
          <cell r="I18" t="str">
            <v>N25</v>
          </cell>
          <cell r="J18" t="str">
            <v>N24</v>
          </cell>
          <cell r="K18" t="str">
            <v>N23</v>
          </cell>
          <cell r="L18" t="str">
            <v>V89</v>
          </cell>
          <cell r="M18" t="str">
            <v>V88</v>
          </cell>
          <cell r="N18">
            <v>0</v>
          </cell>
          <cell r="O18">
            <v>-1</v>
          </cell>
          <cell r="P18">
            <v>0</v>
          </cell>
          <cell r="Q18">
            <v>2004</v>
          </cell>
          <cell r="R18" t="str">
            <v>DEARBORN PLANT BUILD</v>
          </cell>
          <cell r="S18" t="str">
            <v>P221/P397</v>
          </cell>
          <cell r="T18" t="str">
            <v>VEHICLE VIBRATES</v>
          </cell>
          <cell r="U18" t="str">
            <v>TIRE / WHEEL INDEX</v>
          </cell>
          <cell r="V18" t="str">
            <v>ALL</v>
          </cell>
          <cell r="W18">
            <v>28</v>
          </cell>
          <cell r="Y18">
            <v>1</v>
          </cell>
          <cell r="AA18">
            <v>2</v>
          </cell>
          <cell r="AB18">
            <v>3</v>
          </cell>
          <cell r="AC18">
            <v>1</v>
          </cell>
          <cell r="AD18">
            <v>13</v>
          </cell>
          <cell r="AE18">
            <v>8</v>
          </cell>
        </row>
        <row r="19">
          <cell r="A19">
            <v>0</v>
          </cell>
          <cell r="B19" t="str">
            <v>ALL VRTS</v>
          </cell>
          <cell r="C19" t="str">
            <v>X</v>
          </cell>
          <cell r="D19">
            <v>295</v>
          </cell>
          <cell r="I19" t="str">
            <v>N25</v>
          </cell>
          <cell r="J19" t="str">
            <v>N22</v>
          </cell>
          <cell r="K19" t="str">
            <v>N23</v>
          </cell>
          <cell r="L19" t="str">
            <v>V89</v>
          </cell>
          <cell r="M19" t="str">
            <v>V88</v>
          </cell>
          <cell r="N19">
            <v>-1</v>
          </cell>
          <cell r="O19">
            <v>0</v>
          </cell>
          <cell r="P19">
            <v>0</v>
          </cell>
          <cell r="Q19">
            <v>2004</v>
          </cell>
          <cell r="R19" t="str">
            <v>DEARBORN PLANT BUILD</v>
          </cell>
          <cell r="S19" t="str">
            <v>P221/P397</v>
          </cell>
          <cell r="T19" t="str">
            <v>VEHICLE VIBRATES</v>
          </cell>
          <cell r="U19" t="str">
            <v>FRAME DAMPER INSTALLED</v>
          </cell>
          <cell r="V19" t="str">
            <v>ALL</v>
          </cell>
          <cell r="W19">
            <v>17</v>
          </cell>
          <cell r="Z19">
            <v>2</v>
          </cell>
          <cell r="AB19">
            <v>2</v>
          </cell>
          <cell r="AC19">
            <v>1</v>
          </cell>
          <cell r="AD19">
            <v>7</v>
          </cell>
          <cell r="AE19">
            <v>5</v>
          </cell>
        </row>
        <row r="20">
          <cell r="A20">
            <v>0</v>
          </cell>
          <cell r="B20" t="str">
            <v>ALL VRTS</v>
          </cell>
          <cell r="C20" t="str">
            <v>X</v>
          </cell>
          <cell r="D20">
            <v>295</v>
          </cell>
          <cell r="I20" t="str">
            <v>N27</v>
          </cell>
          <cell r="L20" t="str">
            <v>V21</v>
          </cell>
          <cell r="N20">
            <v>0</v>
          </cell>
          <cell r="O20">
            <v>-1</v>
          </cell>
          <cell r="P20">
            <v>0</v>
          </cell>
          <cell r="Q20">
            <v>2004</v>
          </cell>
          <cell r="R20" t="str">
            <v>DEARBORN PLANT BUILD</v>
          </cell>
          <cell r="S20" t="str">
            <v>P221/P397</v>
          </cell>
          <cell r="T20" t="str">
            <v>VEHICLE VIBRATES</v>
          </cell>
          <cell r="U20" t="str">
            <v>ROTORS  OUT OF ROUND - TURNED</v>
          </cell>
          <cell r="V20" t="str">
            <v>ALL</v>
          </cell>
          <cell r="W20">
            <v>8</v>
          </cell>
          <cell r="Z20">
            <v>1</v>
          </cell>
          <cell r="AA20">
            <v>1</v>
          </cell>
          <cell r="AD20">
            <v>6</v>
          </cell>
        </row>
        <row r="21">
          <cell r="A21">
            <v>0</v>
          </cell>
          <cell r="B21" t="str">
            <v>ALL VRTS</v>
          </cell>
          <cell r="C21" t="str">
            <v>X</v>
          </cell>
          <cell r="D21">
            <v>295</v>
          </cell>
          <cell r="E21" t="str">
            <v>6420</v>
          </cell>
          <cell r="G21" t="str">
            <v>C2W08B</v>
          </cell>
          <cell r="I21" t="str">
            <v>TA7</v>
          </cell>
          <cell r="J21" t="str">
            <v>N24</v>
          </cell>
          <cell r="K21" t="str">
            <v>N25</v>
          </cell>
          <cell r="L21" t="str">
            <v>V89</v>
          </cell>
          <cell r="N21">
            <v>0</v>
          </cell>
          <cell r="O21">
            <v>-1</v>
          </cell>
          <cell r="P21">
            <v>0</v>
          </cell>
          <cell r="Q21">
            <v>2004</v>
          </cell>
          <cell r="R21" t="str">
            <v>DEARBORN PLANT BUILD</v>
          </cell>
          <cell r="S21" t="str">
            <v>P221/P397</v>
          </cell>
          <cell r="T21" t="str">
            <v>VEHICLE VIBRATES</v>
          </cell>
          <cell r="U21" t="str">
            <v>WHEEL - REPLACED</v>
          </cell>
          <cell r="V21" t="str">
            <v>ALL</v>
          </cell>
          <cell r="W21">
            <v>5</v>
          </cell>
          <cell r="AA21">
            <v>1</v>
          </cell>
          <cell r="AB21">
            <v>1</v>
          </cell>
          <cell r="AD21">
            <v>3</v>
          </cell>
        </row>
        <row r="22">
          <cell r="A22">
            <v>0</v>
          </cell>
          <cell r="B22" t="str">
            <v>ALL VRTS</v>
          </cell>
          <cell r="C22" t="str">
            <v>X</v>
          </cell>
          <cell r="D22">
            <v>295</v>
          </cell>
          <cell r="I22" t="str">
            <v>N25</v>
          </cell>
          <cell r="J22" t="str">
            <v>E35</v>
          </cell>
          <cell r="K22" t="str">
            <v>H44</v>
          </cell>
          <cell r="L22" t="str">
            <v>V89</v>
          </cell>
          <cell r="N22">
            <v>0</v>
          </cell>
          <cell r="O22">
            <v>-1</v>
          </cell>
          <cell r="P22">
            <v>0</v>
          </cell>
          <cell r="Q22">
            <v>2004</v>
          </cell>
          <cell r="R22" t="str">
            <v>DEARBORN PLANT BUILD</v>
          </cell>
          <cell r="S22" t="str">
            <v>P221/P397</v>
          </cell>
          <cell r="T22" t="str">
            <v>VEHICLE VIBRATES</v>
          </cell>
          <cell r="U22" t="str">
            <v>DRIVE SHAFT YOKE - GREASED</v>
          </cell>
          <cell r="V22" t="str">
            <v>ALL</v>
          </cell>
          <cell r="W22">
            <v>4</v>
          </cell>
          <cell r="Z22">
            <v>2</v>
          </cell>
          <cell r="AA22">
            <v>1</v>
          </cell>
          <cell r="AB22">
            <v>1</v>
          </cell>
        </row>
        <row r="23">
          <cell r="A23">
            <v>0</v>
          </cell>
          <cell r="B23" t="str">
            <v>ALL VRTS</v>
          </cell>
          <cell r="C23" t="str">
            <v>X</v>
          </cell>
          <cell r="D23">
            <v>295</v>
          </cell>
          <cell r="I23" t="str">
            <v>N25</v>
          </cell>
          <cell r="J23" t="str">
            <v>E35</v>
          </cell>
          <cell r="L23" t="str">
            <v>V89</v>
          </cell>
          <cell r="N23">
            <v>-1</v>
          </cell>
          <cell r="O23">
            <v>-1</v>
          </cell>
          <cell r="P23">
            <v>0</v>
          </cell>
          <cell r="Q23">
            <v>2004</v>
          </cell>
          <cell r="R23" t="str">
            <v>DEARBORN PLANT BUILD</v>
          </cell>
          <cell r="S23" t="str">
            <v>P221/P397</v>
          </cell>
          <cell r="T23" t="str">
            <v>VEHICLE VIBRATES</v>
          </cell>
          <cell r="U23" t="str">
            <v>npf</v>
          </cell>
          <cell r="V23" t="str">
            <v>ALL</v>
          </cell>
          <cell r="W23">
            <v>4</v>
          </cell>
          <cell r="AA23">
            <v>1</v>
          </cell>
          <cell r="AC23">
            <v>1</v>
          </cell>
          <cell r="AD23">
            <v>2</v>
          </cell>
        </row>
        <row r="24">
          <cell r="A24">
            <v>0</v>
          </cell>
          <cell r="B24" t="str">
            <v>ALL VRTS</v>
          </cell>
          <cell r="C24" t="str">
            <v>X</v>
          </cell>
          <cell r="D24">
            <v>295</v>
          </cell>
          <cell r="E24" t="str">
            <v>7330</v>
          </cell>
          <cell r="G24" t="str">
            <v>M12</v>
          </cell>
          <cell r="I24" t="str">
            <v>H62</v>
          </cell>
          <cell r="J24" t="str">
            <v>N27</v>
          </cell>
          <cell r="K24" t="str">
            <v>N25</v>
          </cell>
          <cell r="L24" t="str">
            <v>V89</v>
          </cell>
          <cell r="M24" t="str">
            <v>V21</v>
          </cell>
          <cell r="N24">
            <v>0</v>
          </cell>
          <cell r="O24">
            <v>0</v>
          </cell>
          <cell r="P24">
            <v>-1</v>
          </cell>
          <cell r="Q24">
            <v>2004</v>
          </cell>
          <cell r="R24" t="str">
            <v>DEARBORN PLANT BUILD</v>
          </cell>
          <cell r="S24" t="str">
            <v>P221/P397</v>
          </cell>
          <cell r="T24" t="str">
            <v>VEHICLE VIBRATES</v>
          </cell>
          <cell r="U24" t="str">
            <v>ALIGNMENT</v>
          </cell>
          <cell r="V24" t="str">
            <v>ALL</v>
          </cell>
          <cell r="W24">
            <v>3</v>
          </cell>
          <cell r="AB24">
            <v>1</v>
          </cell>
          <cell r="AD24">
            <v>1</v>
          </cell>
          <cell r="AE24">
            <v>1</v>
          </cell>
        </row>
        <row r="25">
          <cell r="A25">
            <v>0</v>
          </cell>
          <cell r="B25" t="str">
            <v>ALL VRTS</v>
          </cell>
          <cell r="C25" t="str">
            <v>X</v>
          </cell>
          <cell r="D25">
            <v>295</v>
          </cell>
          <cell r="I25" t="str">
            <v>E35</v>
          </cell>
          <cell r="J25" t="str">
            <v>N25</v>
          </cell>
          <cell r="L25" t="str">
            <v>V89</v>
          </cell>
          <cell r="N25">
            <v>0</v>
          </cell>
          <cell r="O25">
            <v>-1</v>
          </cell>
          <cell r="P25">
            <v>0</v>
          </cell>
          <cell r="Q25">
            <v>2004</v>
          </cell>
          <cell r="R25" t="str">
            <v>DEARBORN PLANT BUILD</v>
          </cell>
          <cell r="S25" t="str">
            <v>P221/P397</v>
          </cell>
          <cell r="T25" t="str">
            <v>VEHICLE VIBRATES</v>
          </cell>
          <cell r="U25" t="str">
            <v>RING &amp; PINION REPLACED</v>
          </cell>
          <cell r="V25" t="str">
            <v>ALL</v>
          </cell>
          <cell r="W25">
            <v>2</v>
          </cell>
          <cell r="Z25">
            <v>1</v>
          </cell>
          <cell r="AC25">
            <v>1</v>
          </cell>
        </row>
        <row r="26">
          <cell r="A26">
            <v>0</v>
          </cell>
          <cell r="B26" t="str">
            <v>ALL VRTS</v>
          </cell>
          <cell r="C26" t="str">
            <v>X</v>
          </cell>
          <cell r="D26">
            <v>295</v>
          </cell>
          <cell r="I26" t="str">
            <v>TB3</v>
          </cell>
          <cell r="L26" t="str">
            <v>V88</v>
          </cell>
          <cell r="N26">
            <v>0</v>
          </cell>
          <cell r="O26">
            <v>-1</v>
          </cell>
          <cell r="P26">
            <v>0</v>
          </cell>
          <cell r="Q26">
            <v>2004</v>
          </cell>
          <cell r="R26" t="str">
            <v>DEARBORN PLANT BUILD</v>
          </cell>
          <cell r="S26" t="str">
            <v>P221/P397</v>
          </cell>
          <cell r="T26" t="str">
            <v>VEHICLE VIBRATES</v>
          </cell>
          <cell r="U26" t="str">
            <v>OUT OF ROUND  - REPLACED</v>
          </cell>
          <cell r="V26" t="str">
            <v>ALL</v>
          </cell>
          <cell r="W26">
            <v>1</v>
          </cell>
          <cell r="AD26">
            <v>1</v>
          </cell>
        </row>
        <row r="27">
          <cell r="A27">
            <v>0</v>
          </cell>
          <cell r="B27" t="str">
            <v>ALL VRTS</v>
          </cell>
          <cell r="C27" t="str">
            <v>X</v>
          </cell>
          <cell r="D27">
            <v>295</v>
          </cell>
          <cell r="I27" t="str">
            <v>H22</v>
          </cell>
          <cell r="L27" t="str">
            <v>V87</v>
          </cell>
          <cell r="N27">
            <v>0</v>
          </cell>
          <cell r="O27">
            <v>-1</v>
          </cell>
          <cell r="P27">
            <v>0</v>
          </cell>
          <cell r="Q27">
            <v>2004</v>
          </cell>
          <cell r="R27" t="str">
            <v>DEARBORN PLANT BUILD</v>
          </cell>
          <cell r="S27" t="str">
            <v>P221/P397</v>
          </cell>
          <cell r="T27" t="str">
            <v>VEHICLE VIBRATES</v>
          </cell>
          <cell r="U27" t="str">
            <v>RACK &amp; PINION - REPLACED</v>
          </cell>
          <cell r="V27" t="str">
            <v>ALL</v>
          </cell>
          <cell r="W27">
            <v>1</v>
          </cell>
          <cell r="AD27">
            <v>1</v>
          </cell>
        </row>
        <row r="28">
          <cell r="A28">
            <v>0</v>
          </cell>
          <cell r="B28" t="str">
            <v>ALL VRTS</v>
          </cell>
          <cell r="C28" t="str">
            <v>X</v>
          </cell>
          <cell r="D28">
            <v>295</v>
          </cell>
          <cell r="I28" t="str">
            <v>H04</v>
          </cell>
          <cell r="L28" t="str">
            <v>V21</v>
          </cell>
          <cell r="N28">
            <v>0</v>
          </cell>
          <cell r="O28">
            <v>-1</v>
          </cell>
          <cell r="P28">
            <v>0</v>
          </cell>
          <cell r="Q28">
            <v>2004</v>
          </cell>
          <cell r="R28" t="str">
            <v>DEARBORN PLANT BUILD</v>
          </cell>
          <cell r="S28" t="str">
            <v>P221/P397</v>
          </cell>
          <cell r="T28" t="str">
            <v>VEHICLE VIBRATES</v>
          </cell>
          <cell r="U28" t="str">
            <v>ROTORS - REPLACED</v>
          </cell>
          <cell r="V28" t="str">
            <v>ALL</v>
          </cell>
          <cell r="W28">
            <v>1</v>
          </cell>
          <cell r="AD28">
            <v>1</v>
          </cell>
        </row>
        <row r="29">
          <cell r="A29">
            <v>0</v>
          </cell>
          <cell r="B29" t="str">
            <v>ALL VRTS</v>
          </cell>
          <cell r="D29">
            <v>161</v>
          </cell>
          <cell r="I29" t="str">
            <v>E29</v>
          </cell>
          <cell r="L29" t="str">
            <v>V44</v>
          </cell>
          <cell r="N29">
            <v>-1</v>
          </cell>
          <cell r="O29">
            <v>-1</v>
          </cell>
          <cell r="P29">
            <v>0</v>
          </cell>
          <cell r="Q29">
            <v>2004</v>
          </cell>
          <cell r="R29" t="str">
            <v>DEARBORN PLANT BUILD</v>
          </cell>
          <cell r="S29" t="str">
            <v>P221/P397</v>
          </cell>
          <cell r="T29" t="str">
            <v>CHECK ENGINE LIGHT</v>
          </cell>
          <cell r="U29" t="str">
            <v>Reprogramed PCM</v>
          </cell>
          <cell r="V29" t="str">
            <v>ALL</v>
          </cell>
          <cell r="W29">
            <v>45</v>
          </cell>
          <cell r="Y29">
            <v>1</v>
          </cell>
          <cell r="AB29">
            <v>2</v>
          </cell>
          <cell r="AC29">
            <v>2</v>
          </cell>
          <cell r="AD29">
            <v>13</v>
          </cell>
          <cell r="AE29">
            <v>27</v>
          </cell>
        </row>
        <row r="30">
          <cell r="A30">
            <v>0</v>
          </cell>
          <cell r="B30" t="str">
            <v>ALL VRTS</v>
          </cell>
          <cell r="D30">
            <v>161</v>
          </cell>
          <cell r="I30" t="str">
            <v>E29</v>
          </cell>
          <cell r="L30" t="str">
            <v>V44</v>
          </cell>
          <cell r="N30">
            <v>-1</v>
          </cell>
          <cell r="O30">
            <v>-1</v>
          </cell>
          <cell r="P30">
            <v>0</v>
          </cell>
          <cell r="Q30">
            <v>2004</v>
          </cell>
          <cell r="R30" t="str">
            <v>DEARBORN PLANT BUILD</v>
          </cell>
          <cell r="S30" t="str">
            <v>P221/P397</v>
          </cell>
          <cell r="T30" t="str">
            <v>CHECK ENGINE LIGHT</v>
          </cell>
          <cell r="U30" t="str">
            <v>Throttle Body defective</v>
          </cell>
          <cell r="V30" t="str">
            <v>ALL</v>
          </cell>
          <cell r="W30">
            <v>17</v>
          </cell>
          <cell r="Y30">
            <v>3</v>
          </cell>
          <cell r="AA30">
            <v>1</v>
          </cell>
          <cell r="AB30">
            <v>4</v>
          </cell>
          <cell r="AC30">
            <v>2</v>
          </cell>
          <cell r="AD30">
            <v>3</v>
          </cell>
          <cell r="AE30">
            <v>4</v>
          </cell>
        </row>
        <row r="31">
          <cell r="A31">
            <v>0</v>
          </cell>
          <cell r="B31" t="str">
            <v>ALL VRTS</v>
          </cell>
          <cell r="D31">
            <v>161</v>
          </cell>
          <cell r="I31" t="str">
            <v>E29</v>
          </cell>
          <cell r="L31" t="str">
            <v>V44</v>
          </cell>
          <cell r="N31">
            <v>-1</v>
          </cell>
          <cell r="O31">
            <v>-1</v>
          </cell>
          <cell r="P31">
            <v>0</v>
          </cell>
          <cell r="Q31">
            <v>2004</v>
          </cell>
          <cell r="R31" t="str">
            <v>DEARBORN PLANT BUILD</v>
          </cell>
          <cell r="S31" t="str">
            <v>P221/P397</v>
          </cell>
          <cell r="T31" t="str">
            <v>CHECK ENGINE LIGHT</v>
          </cell>
          <cell r="U31" t="str">
            <v>npf</v>
          </cell>
          <cell r="V31" t="str">
            <v>ALL</v>
          </cell>
          <cell r="W31">
            <v>10</v>
          </cell>
          <cell r="AA31">
            <v>1</v>
          </cell>
          <cell r="AB31">
            <v>5</v>
          </cell>
          <cell r="AD31">
            <v>3</v>
          </cell>
          <cell r="AE31">
            <v>1</v>
          </cell>
        </row>
        <row r="32">
          <cell r="A32">
            <v>0</v>
          </cell>
          <cell r="B32" t="str">
            <v>ALL VRTS</v>
          </cell>
          <cell r="D32">
            <v>161</v>
          </cell>
          <cell r="I32" t="str">
            <v>E29</v>
          </cell>
          <cell r="L32" t="str">
            <v>V44</v>
          </cell>
          <cell r="N32">
            <v>-1</v>
          </cell>
          <cell r="O32">
            <v>-1</v>
          </cell>
          <cell r="P32">
            <v>0</v>
          </cell>
          <cell r="Q32">
            <v>2004</v>
          </cell>
          <cell r="R32" t="str">
            <v>DEARBORN PLANT BUILD</v>
          </cell>
          <cell r="S32" t="str">
            <v>P221/P397</v>
          </cell>
          <cell r="T32" t="str">
            <v>CHECK ENGINE LIGHT</v>
          </cell>
          <cell r="U32" t="str">
            <v>HEGO defective</v>
          </cell>
          <cell r="V32" t="str">
            <v>ALL</v>
          </cell>
          <cell r="W32">
            <v>7</v>
          </cell>
          <cell r="AB32">
            <v>1</v>
          </cell>
          <cell r="AD32">
            <v>3</v>
          </cell>
          <cell r="AE32">
            <v>3</v>
          </cell>
        </row>
        <row r="33">
          <cell r="A33">
            <v>0</v>
          </cell>
          <cell r="B33" t="str">
            <v>ALL VRTS</v>
          </cell>
          <cell r="D33">
            <v>161</v>
          </cell>
          <cell r="I33" t="str">
            <v>E29</v>
          </cell>
          <cell r="L33" t="str">
            <v>V44</v>
          </cell>
          <cell r="N33">
            <v>-1</v>
          </cell>
          <cell r="O33">
            <v>-1</v>
          </cell>
          <cell r="P33">
            <v>0</v>
          </cell>
          <cell r="Q33">
            <v>2004</v>
          </cell>
          <cell r="R33" t="str">
            <v>DEARBORN PLANT BUILD</v>
          </cell>
          <cell r="S33" t="str">
            <v>P221/P397</v>
          </cell>
          <cell r="T33" t="str">
            <v>CHECK ENGINE LIGHT</v>
          </cell>
          <cell r="U33" t="str">
            <v>Ignition coil defective</v>
          </cell>
          <cell r="V33" t="str">
            <v>ALL</v>
          </cell>
          <cell r="W33">
            <v>6</v>
          </cell>
          <cell r="AC33">
            <v>1</v>
          </cell>
          <cell r="AD33">
            <v>4</v>
          </cell>
          <cell r="AE33">
            <v>1</v>
          </cell>
        </row>
        <row r="34">
          <cell r="A34">
            <v>0</v>
          </cell>
          <cell r="B34" t="str">
            <v>ALL VRTS</v>
          </cell>
          <cell r="D34">
            <v>161</v>
          </cell>
          <cell r="I34" t="str">
            <v>E29</v>
          </cell>
          <cell r="L34" t="str">
            <v>V44</v>
          </cell>
          <cell r="N34">
            <v>-1</v>
          </cell>
          <cell r="O34">
            <v>-1</v>
          </cell>
          <cell r="P34">
            <v>0</v>
          </cell>
          <cell r="Q34">
            <v>2004</v>
          </cell>
          <cell r="R34" t="str">
            <v>DEARBORN PLANT BUILD</v>
          </cell>
          <cell r="S34" t="str">
            <v>P221/P397</v>
          </cell>
          <cell r="T34" t="str">
            <v>CHECK ENGINE LIGHT</v>
          </cell>
          <cell r="U34" t="str">
            <v>PCM Defective</v>
          </cell>
          <cell r="V34" t="str">
            <v>ALL</v>
          </cell>
          <cell r="W34">
            <v>6</v>
          </cell>
          <cell r="AB34">
            <v>1</v>
          </cell>
          <cell r="AD34">
            <v>2</v>
          </cell>
          <cell r="AE34">
            <v>3</v>
          </cell>
        </row>
        <row r="35">
          <cell r="A35">
            <v>0</v>
          </cell>
          <cell r="B35" t="str">
            <v>ALL VRTS</v>
          </cell>
          <cell r="D35">
            <v>161</v>
          </cell>
          <cell r="I35" t="str">
            <v>E29</v>
          </cell>
          <cell r="L35" t="str">
            <v>V44</v>
          </cell>
          <cell r="N35">
            <v>-1</v>
          </cell>
          <cell r="O35">
            <v>-1</v>
          </cell>
          <cell r="P35">
            <v>0</v>
          </cell>
          <cell r="Q35">
            <v>2004</v>
          </cell>
          <cell r="R35" t="str">
            <v>DEARBORN PLANT BUILD</v>
          </cell>
          <cell r="S35" t="str">
            <v>P221/P397</v>
          </cell>
          <cell r="T35" t="str">
            <v>CHECK ENGINE LIGHT</v>
          </cell>
          <cell r="U35" t="str">
            <v>Fuel vapor tube assy</v>
          </cell>
          <cell r="V35" t="str">
            <v>ALL</v>
          </cell>
          <cell r="W35">
            <v>5</v>
          </cell>
          <cell r="AB35">
            <v>1</v>
          </cell>
          <cell r="AD35">
            <v>4</v>
          </cell>
        </row>
        <row r="36">
          <cell r="A36">
            <v>0</v>
          </cell>
          <cell r="B36" t="str">
            <v>ALL VRTS</v>
          </cell>
          <cell r="D36">
            <v>161</v>
          </cell>
          <cell r="E36" t="str">
            <v>6500</v>
          </cell>
          <cell r="G36" t="str">
            <v>C4W22R</v>
          </cell>
          <cell r="I36" t="str">
            <v>E29</v>
          </cell>
          <cell r="L36" t="str">
            <v>V44</v>
          </cell>
          <cell r="N36">
            <v>0</v>
          </cell>
          <cell r="O36">
            <v>0</v>
          </cell>
          <cell r="P36">
            <v>-1</v>
          </cell>
          <cell r="Q36">
            <v>2004</v>
          </cell>
          <cell r="R36" t="str">
            <v>DEARBORN PLANT BUILD</v>
          </cell>
          <cell r="S36" t="str">
            <v>P221/P397</v>
          </cell>
          <cell r="T36" t="str">
            <v>CHECK ENGINE LIGHT</v>
          </cell>
          <cell r="U36" t="str">
            <v>vacuum line leak</v>
          </cell>
          <cell r="V36" t="str">
            <v>ALL</v>
          </cell>
          <cell r="W36">
            <v>5</v>
          </cell>
          <cell r="AD36">
            <v>4</v>
          </cell>
          <cell r="AE36">
            <v>1</v>
          </cell>
        </row>
        <row r="37">
          <cell r="A37">
            <v>0</v>
          </cell>
          <cell r="B37" t="str">
            <v>ALL VRTS</v>
          </cell>
          <cell r="D37">
            <v>161</v>
          </cell>
          <cell r="I37" t="str">
            <v>E29</v>
          </cell>
          <cell r="L37" t="str">
            <v>V44</v>
          </cell>
          <cell r="N37">
            <v>-1</v>
          </cell>
          <cell r="O37">
            <v>-1</v>
          </cell>
          <cell r="P37">
            <v>0</v>
          </cell>
          <cell r="Q37">
            <v>2004</v>
          </cell>
          <cell r="R37" t="str">
            <v>DEARBORN PLANT BUILD</v>
          </cell>
          <cell r="S37" t="str">
            <v>P221/P397</v>
          </cell>
          <cell r="T37" t="str">
            <v>CHECK ENGINE LIGHT</v>
          </cell>
          <cell r="U37" t="str">
            <v>r&amp;r oss sensor</v>
          </cell>
          <cell r="V37" t="str">
            <v>ALL</v>
          </cell>
          <cell r="W37">
            <v>4</v>
          </cell>
          <cell r="AB37">
            <v>2</v>
          </cell>
          <cell r="AE37">
            <v>2</v>
          </cell>
        </row>
        <row r="38">
          <cell r="A38">
            <v>0</v>
          </cell>
          <cell r="B38" t="str">
            <v>ALL VRTS</v>
          </cell>
          <cell r="D38">
            <v>161</v>
          </cell>
          <cell r="I38" t="str">
            <v>E29</v>
          </cell>
          <cell r="L38" t="str">
            <v>V44</v>
          </cell>
          <cell r="N38">
            <v>-1</v>
          </cell>
          <cell r="O38">
            <v>-1</v>
          </cell>
          <cell r="P38">
            <v>0</v>
          </cell>
          <cell r="Q38">
            <v>2004</v>
          </cell>
          <cell r="R38" t="str">
            <v>DEARBORN PLANT BUILD</v>
          </cell>
          <cell r="S38" t="str">
            <v>P221/P397</v>
          </cell>
          <cell r="T38" t="str">
            <v>CHECK ENGINE LIGHT</v>
          </cell>
          <cell r="U38" t="str">
            <v>R&amp;R Gas Tank</v>
          </cell>
          <cell r="V38" t="str">
            <v>ALL</v>
          </cell>
          <cell r="W38">
            <v>3</v>
          </cell>
          <cell r="AC38">
            <v>1</v>
          </cell>
          <cell r="AD38">
            <v>2</v>
          </cell>
        </row>
        <row r="39">
          <cell r="A39">
            <v>0</v>
          </cell>
          <cell r="B39" t="str">
            <v>ALL VRTS</v>
          </cell>
          <cell r="D39">
            <v>161</v>
          </cell>
          <cell r="I39" t="str">
            <v>E29</v>
          </cell>
          <cell r="L39" t="str">
            <v>V44</v>
          </cell>
          <cell r="N39">
            <v>-1</v>
          </cell>
          <cell r="O39">
            <v>-1</v>
          </cell>
          <cell r="P39">
            <v>0</v>
          </cell>
          <cell r="Q39">
            <v>2004</v>
          </cell>
          <cell r="R39" t="str">
            <v>DEARBORN PLANT BUILD</v>
          </cell>
          <cell r="S39" t="str">
            <v>P221/P397</v>
          </cell>
          <cell r="T39" t="str">
            <v>CHECK ENGINE LIGHT</v>
          </cell>
          <cell r="U39" t="str">
            <v>replaced cam gear &amp; valve</v>
          </cell>
          <cell r="V39" t="str">
            <v>ALL</v>
          </cell>
          <cell r="W39">
            <v>3</v>
          </cell>
          <cell r="AA39">
            <v>2</v>
          </cell>
          <cell r="AB39">
            <v>1</v>
          </cell>
        </row>
        <row r="40">
          <cell r="A40">
            <v>0</v>
          </cell>
          <cell r="B40" t="str">
            <v>ALL VRTS</v>
          </cell>
          <cell r="D40">
            <v>161</v>
          </cell>
          <cell r="E40" t="str">
            <v>6360</v>
          </cell>
          <cell r="G40" t="str">
            <v>CEW50R</v>
          </cell>
          <cell r="I40" t="str">
            <v>E29</v>
          </cell>
          <cell r="L40" t="str">
            <v>V44</v>
          </cell>
          <cell r="N40">
            <v>0</v>
          </cell>
          <cell r="O40">
            <v>0</v>
          </cell>
          <cell r="P40">
            <v>-1</v>
          </cell>
          <cell r="Q40">
            <v>2004</v>
          </cell>
          <cell r="R40" t="str">
            <v>DEARBORN PLANT BUILD</v>
          </cell>
          <cell r="S40" t="str">
            <v>P221/P397</v>
          </cell>
          <cell r="T40" t="str">
            <v>CHECK ENGINE LIGHT</v>
          </cell>
          <cell r="U40" t="str">
            <v>crankcase vent tube not properly connected</v>
          </cell>
          <cell r="V40" t="str">
            <v>ALL</v>
          </cell>
          <cell r="W40">
            <v>2</v>
          </cell>
          <cell r="Y40">
            <v>1</v>
          </cell>
          <cell r="Z40">
            <v>1</v>
          </cell>
        </row>
        <row r="41">
          <cell r="A41">
            <v>0</v>
          </cell>
          <cell r="B41" t="str">
            <v>ALL VRTS</v>
          </cell>
          <cell r="D41">
            <v>161</v>
          </cell>
          <cell r="I41" t="str">
            <v>E29</v>
          </cell>
          <cell r="L41" t="str">
            <v>V44</v>
          </cell>
          <cell r="N41">
            <v>-1</v>
          </cell>
          <cell r="O41">
            <v>-1</v>
          </cell>
          <cell r="P41">
            <v>0</v>
          </cell>
          <cell r="Q41">
            <v>2004</v>
          </cell>
          <cell r="R41" t="str">
            <v>DEARBORN PLANT BUILD</v>
          </cell>
          <cell r="S41" t="str">
            <v>P221/P397</v>
          </cell>
          <cell r="T41" t="str">
            <v>CHECK ENGINE LIGHT</v>
          </cell>
          <cell r="U41" t="str">
            <v>Fuel inj asy</v>
          </cell>
          <cell r="V41" t="str">
            <v>ALL</v>
          </cell>
          <cell r="W41">
            <v>2</v>
          </cell>
          <cell r="AC41">
            <v>1</v>
          </cell>
          <cell r="AE41">
            <v>1</v>
          </cell>
        </row>
        <row r="42">
          <cell r="A42">
            <v>0</v>
          </cell>
          <cell r="B42" t="str">
            <v>ALL VRTS</v>
          </cell>
          <cell r="D42">
            <v>161</v>
          </cell>
          <cell r="I42" t="str">
            <v>E29</v>
          </cell>
          <cell r="L42" t="str">
            <v>V44</v>
          </cell>
          <cell r="N42">
            <v>-1</v>
          </cell>
          <cell r="O42">
            <v>-1</v>
          </cell>
          <cell r="P42">
            <v>0</v>
          </cell>
          <cell r="Q42">
            <v>2004</v>
          </cell>
          <cell r="R42" t="str">
            <v>DEARBORN PLANT BUILD</v>
          </cell>
          <cell r="S42" t="str">
            <v>P221/P397</v>
          </cell>
          <cell r="T42" t="str">
            <v>CHECK ENGINE LIGHT</v>
          </cell>
          <cell r="U42" t="str">
            <v>Replaced Crank Sensor</v>
          </cell>
          <cell r="V42" t="str">
            <v>ALL</v>
          </cell>
          <cell r="W42">
            <v>2</v>
          </cell>
          <cell r="AE42">
            <v>2</v>
          </cell>
        </row>
        <row r="43">
          <cell r="A43">
            <v>0</v>
          </cell>
          <cell r="B43" t="str">
            <v>ALL VRTS</v>
          </cell>
          <cell r="D43">
            <v>161</v>
          </cell>
          <cell r="I43" t="str">
            <v>E29</v>
          </cell>
          <cell r="L43" t="str">
            <v>V44</v>
          </cell>
          <cell r="N43">
            <v>-1</v>
          </cell>
          <cell r="O43">
            <v>-1</v>
          </cell>
          <cell r="P43">
            <v>0</v>
          </cell>
          <cell r="Q43">
            <v>2004</v>
          </cell>
          <cell r="R43" t="str">
            <v>DEARBORN PLANT BUILD</v>
          </cell>
          <cell r="S43" t="str">
            <v>P221/P397</v>
          </cell>
          <cell r="T43" t="str">
            <v>CHECK ENGINE LIGHT</v>
          </cell>
          <cell r="U43" t="str">
            <v>Replaced FTP Sensor</v>
          </cell>
          <cell r="V43" t="str">
            <v>ALL</v>
          </cell>
          <cell r="W43">
            <v>2</v>
          </cell>
          <cell r="AD43">
            <v>1</v>
          </cell>
          <cell r="AE43">
            <v>1</v>
          </cell>
        </row>
        <row r="44">
          <cell r="A44">
            <v>0</v>
          </cell>
          <cell r="B44" t="str">
            <v>ALL VRTS</v>
          </cell>
          <cell r="D44">
            <v>161</v>
          </cell>
          <cell r="I44" t="str">
            <v>E29</v>
          </cell>
          <cell r="L44" t="str">
            <v>V44</v>
          </cell>
          <cell r="N44">
            <v>-1</v>
          </cell>
          <cell r="O44">
            <v>-1</v>
          </cell>
          <cell r="P44">
            <v>0</v>
          </cell>
          <cell r="Q44">
            <v>2004</v>
          </cell>
          <cell r="R44" t="str">
            <v>DEARBORN PLANT BUILD</v>
          </cell>
          <cell r="S44" t="str">
            <v>P221/P397</v>
          </cell>
          <cell r="T44" t="str">
            <v>CHECK ENGINE LIGHT</v>
          </cell>
          <cell r="U44" t="str">
            <v>Replaced Pedal Sensor</v>
          </cell>
          <cell r="V44" t="str">
            <v>ALL</v>
          </cell>
          <cell r="W44">
            <v>2</v>
          </cell>
          <cell r="AE44">
            <v>2</v>
          </cell>
        </row>
        <row r="45">
          <cell r="A45">
            <v>0</v>
          </cell>
          <cell r="B45" t="str">
            <v>ALL VRTS</v>
          </cell>
          <cell r="D45">
            <v>161</v>
          </cell>
          <cell r="I45" t="str">
            <v>E29</v>
          </cell>
          <cell r="L45" t="str">
            <v>V44</v>
          </cell>
          <cell r="N45">
            <v>-1</v>
          </cell>
          <cell r="O45">
            <v>-1</v>
          </cell>
          <cell r="P45">
            <v>0</v>
          </cell>
          <cell r="Q45">
            <v>2004</v>
          </cell>
          <cell r="R45" t="str">
            <v>DEARBORN PLANT BUILD</v>
          </cell>
          <cell r="S45" t="str">
            <v>P221/P397</v>
          </cell>
          <cell r="T45" t="str">
            <v>CHECK ENGINE LIGHT</v>
          </cell>
          <cell r="U45" t="str">
            <v>valve rocker gasket</v>
          </cell>
          <cell r="V45" t="str">
            <v>ALL</v>
          </cell>
          <cell r="W45">
            <v>2</v>
          </cell>
          <cell r="AB45">
            <v>1</v>
          </cell>
          <cell r="AD45">
            <v>1</v>
          </cell>
        </row>
        <row r="46">
          <cell r="A46">
            <v>0</v>
          </cell>
          <cell r="B46" t="str">
            <v>ALL VRTS</v>
          </cell>
          <cell r="D46">
            <v>161</v>
          </cell>
          <cell r="I46" t="str">
            <v>E29</v>
          </cell>
          <cell r="L46" t="str">
            <v>V44</v>
          </cell>
          <cell r="N46">
            <v>-1</v>
          </cell>
          <cell r="O46">
            <v>-1</v>
          </cell>
          <cell r="P46">
            <v>0</v>
          </cell>
          <cell r="Q46">
            <v>2004</v>
          </cell>
          <cell r="R46" t="str">
            <v>DEARBORN PLANT BUILD</v>
          </cell>
          <cell r="S46" t="str">
            <v>P221/P397</v>
          </cell>
          <cell r="T46" t="str">
            <v>CHECK ENGINE LIGHT</v>
          </cell>
          <cell r="U46" t="str">
            <v xml:space="preserve"> found code PO158 eng overheat</v>
          </cell>
          <cell r="V46" t="str">
            <v>ALL</v>
          </cell>
          <cell r="W46">
            <v>1</v>
          </cell>
          <cell r="Y46">
            <v>1</v>
          </cell>
        </row>
        <row r="47">
          <cell r="A47">
            <v>0</v>
          </cell>
          <cell r="B47" t="str">
            <v>ALL VRTS</v>
          </cell>
          <cell r="D47">
            <v>161</v>
          </cell>
          <cell r="E47" t="str">
            <v>6500</v>
          </cell>
          <cell r="G47" t="str">
            <v>C4W22R</v>
          </cell>
          <cell r="I47" t="str">
            <v>E29</v>
          </cell>
          <cell r="L47" t="str">
            <v>V44</v>
          </cell>
          <cell r="N47">
            <v>0</v>
          </cell>
          <cell r="O47">
            <v>0</v>
          </cell>
          <cell r="P47">
            <v>-1</v>
          </cell>
          <cell r="Q47">
            <v>2004</v>
          </cell>
          <cell r="R47" t="str">
            <v>DEARBORN PLANT BUILD</v>
          </cell>
          <cell r="S47" t="str">
            <v>P221/P397</v>
          </cell>
          <cell r="T47" t="str">
            <v>CHECK ENGINE LIGHT</v>
          </cell>
          <cell r="U47" t="str">
            <v xml:space="preserve"> vacuum line kinked</v>
          </cell>
          <cell r="V47" t="str">
            <v>ALL</v>
          </cell>
          <cell r="W47">
            <v>1</v>
          </cell>
          <cell r="Z47">
            <v>1</v>
          </cell>
        </row>
        <row r="48">
          <cell r="A48">
            <v>0</v>
          </cell>
          <cell r="B48" t="str">
            <v>ALL VRTS</v>
          </cell>
          <cell r="D48">
            <v>161</v>
          </cell>
          <cell r="I48" t="str">
            <v>E29</v>
          </cell>
          <cell r="L48" t="str">
            <v>V44</v>
          </cell>
          <cell r="N48">
            <v>-1</v>
          </cell>
          <cell r="O48">
            <v>-1</v>
          </cell>
          <cell r="P48">
            <v>0</v>
          </cell>
          <cell r="Q48">
            <v>2004</v>
          </cell>
          <cell r="R48" t="str">
            <v>DEARBORN PLANT BUILD</v>
          </cell>
          <cell r="S48" t="str">
            <v>P221/P397</v>
          </cell>
          <cell r="T48" t="str">
            <v>CHECK ENGINE LIGHT</v>
          </cell>
          <cell r="U48" t="str">
            <v>#2 &amp; #3 coil on plugs misfiring</v>
          </cell>
          <cell r="V48" t="str">
            <v>ALL</v>
          </cell>
          <cell r="W48">
            <v>1</v>
          </cell>
          <cell r="AB48">
            <v>1</v>
          </cell>
        </row>
        <row r="49">
          <cell r="A49">
            <v>0</v>
          </cell>
          <cell r="B49" t="str">
            <v>ALL VRTS</v>
          </cell>
          <cell r="D49">
            <v>161</v>
          </cell>
          <cell r="I49" t="str">
            <v>G29</v>
          </cell>
          <cell r="L49" t="str">
            <v>V83</v>
          </cell>
          <cell r="N49">
            <v>0</v>
          </cell>
          <cell r="O49">
            <v>-1</v>
          </cell>
          <cell r="P49">
            <v>-1</v>
          </cell>
          <cell r="Q49">
            <v>2004</v>
          </cell>
          <cell r="R49" t="str">
            <v>DEARBORN PLANT BUILD</v>
          </cell>
          <cell r="S49" t="str">
            <v>P221/P397</v>
          </cell>
          <cell r="T49" t="str">
            <v>CHECK ENGINE LIGHT</v>
          </cell>
          <cell r="U49" t="str">
            <v>Bent Pin Engine 12B637.</v>
          </cell>
          <cell r="V49" t="str">
            <v>ALL</v>
          </cell>
          <cell r="W49">
            <v>1</v>
          </cell>
          <cell r="Z49">
            <v>1</v>
          </cell>
        </row>
        <row r="50">
          <cell r="A50">
            <v>0</v>
          </cell>
          <cell r="B50" t="str">
            <v>ALL VRTS</v>
          </cell>
          <cell r="D50">
            <v>161</v>
          </cell>
          <cell r="I50" t="str">
            <v>E29</v>
          </cell>
          <cell r="L50" t="str">
            <v>V44</v>
          </cell>
          <cell r="N50">
            <v>-1</v>
          </cell>
          <cell r="O50">
            <v>-1</v>
          </cell>
          <cell r="P50">
            <v>0</v>
          </cell>
          <cell r="Q50">
            <v>2004</v>
          </cell>
          <cell r="R50" t="str">
            <v>DEARBORN PLANT BUILD</v>
          </cell>
          <cell r="S50" t="str">
            <v>P221/P397</v>
          </cell>
          <cell r="T50" t="str">
            <v>CHECK ENGINE LIGHT</v>
          </cell>
          <cell r="U50" t="str">
            <v>C433 Loose</v>
          </cell>
          <cell r="V50" t="str">
            <v>ALL</v>
          </cell>
          <cell r="W50">
            <v>1</v>
          </cell>
          <cell r="AC50">
            <v>1</v>
          </cell>
        </row>
        <row r="51">
          <cell r="A51">
            <v>0</v>
          </cell>
          <cell r="B51" t="str">
            <v>ALL VRTS</v>
          </cell>
          <cell r="D51">
            <v>161</v>
          </cell>
          <cell r="I51" t="str">
            <v>E29</v>
          </cell>
          <cell r="L51" t="str">
            <v>V44</v>
          </cell>
          <cell r="N51">
            <v>-1</v>
          </cell>
          <cell r="O51">
            <v>-1</v>
          </cell>
          <cell r="P51">
            <v>0</v>
          </cell>
          <cell r="Q51">
            <v>2004</v>
          </cell>
          <cell r="R51" t="str">
            <v>DEARBORN PLANT BUILD</v>
          </cell>
          <cell r="S51" t="str">
            <v>P221/P397</v>
          </cell>
          <cell r="T51" t="str">
            <v>CHECK ENGINE LIGHT</v>
          </cell>
          <cell r="U51" t="str">
            <v>C435 Not connected</v>
          </cell>
          <cell r="V51" t="str">
            <v>ALL</v>
          </cell>
          <cell r="W51">
            <v>1</v>
          </cell>
          <cell r="AD51">
            <v>1</v>
          </cell>
        </row>
        <row r="52">
          <cell r="A52">
            <v>0</v>
          </cell>
          <cell r="B52" t="str">
            <v>ALL VRTS</v>
          </cell>
          <cell r="D52">
            <v>161</v>
          </cell>
          <cell r="I52" t="str">
            <v>E29</v>
          </cell>
          <cell r="L52" t="str">
            <v>V44</v>
          </cell>
          <cell r="N52">
            <v>0</v>
          </cell>
          <cell r="O52">
            <v>-1</v>
          </cell>
          <cell r="P52">
            <v>0</v>
          </cell>
          <cell r="Q52">
            <v>2004</v>
          </cell>
          <cell r="R52" t="str">
            <v>DEARBORN PLANT BUILD</v>
          </cell>
          <cell r="S52" t="str">
            <v>P221/P397</v>
          </cell>
          <cell r="T52" t="str">
            <v>CHECK ENGINE LIGHT</v>
          </cell>
          <cell r="U52" t="str">
            <v>Cam Sensor/Loose Connection</v>
          </cell>
          <cell r="V52" t="str">
            <v>ALL</v>
          </cell>
          <cell r="W52">
            <v>1</v>
          </cell>
          <cell r="AD52">
            <v>1</v>
          </cell>
        </row>
        <row r="53">
          <cell r="A53">
            <v>0</v>
          </cell>
          <cell r="B53" t="str">
            <v>ALL VRTS</v>
          </cell>
          <cell r="D53">
            <v>161</v>
          </cell>
          <cell r="I53" t="str">
            <v>E29</v>
          </cell>
          <cell r="L53" t="str">
            <v>V44</v>
          </cell>
          <cell r="N53">
            <v>-1</v>
          </cell>
          <cell r="O53">
            <v>-1</v>
          </cell>
          <cell r="P53">
            <v>0</v>
          </cell>
          <cell r="Q53">
            <v>2004</v>
          </cell>
          <cell r="R53" t="str">
            <v>DEARBORN PLANT BUILD</v>
          </cell>
          <cell r="S53" t="str">
            <v>P221/P397</v>
          </cell>
          <cell r="T53" t="str">
            <v>CHECK ENGINE LIGHT</v>
          </cell>
          <cell r="U53" t="str">
            <v>CKT 1273 Open in sensor pigtail</v>
          </cell>
          <cell r="V53" t="str">
            <v>ALL</v>
          </cell>
          <cell r="W53">
            <v>1</v>
          </cell>
          <cell r="Y53">
            <v>1</v>
          </cell>
        </row>
        <row r="54">
          <cell r="A54">
            <v>0</v>
          </cell>
          <cell r="B54" t="str">
            <v>ALL VRTS</v>
          </cell>
          <cell r="D54">
            <v>161</v>
          </cell>
          <cell r="I54" t="str">
            <v>G29</v>
          </cell>
          <cell r="L54" t="str">
            <v>V83</v>
          </cell>
          <cell r="N54">
            <v>0</v>
          </cell>
          <cell r="O54">
            <v>0</v>
          </cell>
          <cell r="P54">
            <v>-1</v>
          </cell>
          <cell r="Q54">
            <v>2004</v>
          </cell>
          <cell r="R54" t="str">
            <v>DEARBORN PLANT BUILD</v>
          </cell>
          <cell r="S54" t="str">
            <v>P221/P397</v>
          </cell>
          <cell r="T54" t="str">
            <v>CHECK ENGINE LIGHT</v>
          </cell>
          <cell r="U54" t="str">
            <v>Connector C450 CV Valve not seated.</v>
          </cell>
          <cell r="V54" t="str">
            <v>ALL</v>
          </cell>
          <cell r="W54">
            <v>1</v>
          </cell>
          <cell r="AD54">
            <v>1</v>
          </cell>
        </row>
        <row r="55">
          <cell r="A55">
            <v>0</v>
          </cell>
          <cell r="B55" t="str">
            <v>ALL VRTS</v>
          </cell>
          <cell r="D55">
            <v>161</v>
          </cell>
          <cell r="I55" t="str">
            <v>E29</v>
          </cell>
          <cell r="L55" t="str">
            <v>V44</v>
          </cell>
          <cell r="N55">
            <v>0</v>
          </cell>
          <cell r="O55">
            <v>-1</v>
          </cell>
          <cell r="P55">
            <v>0</v>
          </cell>
          <cell r="Q55">
            <v>2004</v>
          </cell>
          <cell r="R55" t="str">
            <v>DEARBORN PLANT BUILD</v>
          </cell>
          <cell r="S55" t="str">
            <v>P221/P397</v>
          </cell>
          <cell r="T55" t="str">
            <v>CHECK ENGINE LIGHT</v>
          </cell>
          <cell r="U55" t="str">
            <v>cracked sparkplug</v>
          </cell>
          <cell r="V55" t="str">
            <v>ALL</v>
          </cell>
          <cell r="W55">
            <v>1</v>
          </cell>
          <cell r="Z55">
            <v>1</v>
          </cell>
        </row>
        <row r="56">
          <cell r="A56">
            <v>0</v>
          </cell>
          <cell r="B56" t="str">
            <v>ALL VRTS</v>
          </cell>
          <cell r="D56">
            <v>161</v>
          </cell>
          <cell r="I56" t="str">
            <v>E29</v>
          </cell>
          <cell r="L56" t="str">
            <v>V44</v>
          </cell>
          <cell r="N56">
            <v>0</v>
          </cell>
          <cell r="O56">
            <v>-1</v>
          </cell>
          <cell r="P56">
            <v>0</v>
          </cell>
          <cell r="Q56">
            <v>2004</v>
          </cell>
          <cell r="R56" t="str">
            <v>DEARBORN PLANT BUILD</v>
          </cell>
          <cell r="S56" t="str">
            <v>P221/P397</v>
          </cell>
          <cell r="T56" t="str">
            <v>CHECK ENGINE LIGHT</v>
          </cell>
          <cell r="U56" t="str">
            <v>evap hose assembly</v>
          </cell>
          <cell r="V56" t="str">
            <v>ALL</v>
          </cell>
          <cell r="W56">
            <v>1</v>
          </cell>
          <cell r="AA56">
            <v>1</v>
          </cell>
        </row>
        <row r="57">
          <cell r="A57">
            <v>0</v>
          </cell>
          <cell r="B57" t="str">
            <v>ALL VRTS</v>
          </cell>
          <cell r="D57">
            <v>161</v>
          </cell>
          <cell r="I57" t="str">
            <v>G29</v>
          </cell>
          <cell r="L57" t="str">
            <v>V83</v>
          </cell>
          <cell r="N57">
            <v>0</v>
          </cell>
          <cell r="O57">
            <v>0</v>
          </cell>
          <cell r="P57">
            <v>-1</v>
          </cell>
          <cell r="Q57">
            <v>2004</v>
          </cell>
          <cell r="R57" t="str">
            <v>DEARBORN PLANT BUILD</v>
          </cell>
          <cell r="S57" t="str">
            <v>P221/P397</v>
          </cell>
          <cell r="T57" t="str">
            <v>CHECK ENGINE LIGHT</v>
          </cell>
          <cell r="U57" t="str">
            <v>Frost Plug not installed properly.</v>
          </cell>
          <cell r="V57" t="str">
            <v>ALL</v>
          </cell>
          <cell r="W57">
            <v>1</v>
          </cell>
          <cell r="AD57">
            <v>1</v>
          </cell>
        </row>
        <row r="58">
          <cell r="A58">
            <v>0</v>
          </cell>
          <cell r="B58" t="str">
            <v>ALL VRTS</v>
          </cell>
          <cell r="D58">
            <v>161</v>
          </cell>
          <cell r="E58" t="str">
            <v>6340</v>
          </cell>
          <cell r="G58" t="str">
            <v>CEE39L</v>
          </cell>
          <cell r="I58" t="str">
            <v>E29</v>
          </cell>
          <cell r="L58" t="str">
            <v>V44</v>
          </cell>
          <cell r="N58">
            <v>0</v>
          </cell>
          <cell r="O58">
            <v>0</v>
          </cell>
          <cell r="P58">
            <v>-1</v>
          </cell>
          <cell r="Q58">
            <v>2004</v>
          </cell>
          <cell r="R58" t="str">
            <v>DEARBORN PLANT BUILD</v>
          </cell>
          <cell r="S58" t="str">
            <v>P221/P397</v>
          </cell>
          <cell r="T58" t="str">
            <v>CHECK ENGINE LIGHT</v>
          </cell>
          <cell r="U58" t="str">
            <v>fuel line twisted</v>
          </cell>
          <cell r="V58" t="str">
            <v>ALL</v>
          </cell>
          <cell r="W58">
            <v>1</v>
          </cell>
          <cell r="AB58">
            <v>1</v>
          </cell>
        </row>
        <row r="59">
          <cell r="A59">
            <v>0</v>
          </cell>
          <cell r="B59" t="str">
            <v>ALL VRTS</v>
          </cell>
          <cell r="D59">
            <v>161</v>
          </cell>
          <cell r="I59" t="str">
            <v>E29</v>
          </cell>
          <cell r="L59" t="str">
            <v>V44</v>
          </cell>
          <cell r="N59">
            <v>-1</v>
          </cell>
          <cell r="O59">
            <v>-1</v>
          </cell>
          <cell r="P59">
            <v>0</v>
          </cell>
          <cell r="Q59">
            <v>2004</v>
          </cell>
          <cell r="R59" t="str">
            <v>DEARBORN PLANT BUILD</v>
          </cell>
          <cell r="S59" t="str">
            <v>P221/P397</v>
          </cell>
          <cell r="T59" t="str">
            <v>CHECK ENGINE LIGHT</v>
          </cell>
          <cell r="U59" t="str">
            <v>fuel vap storage canister</v>
          </cell>
          <cell r="V59" t="str">
            <v>ALL</v>
          </cell>
          <cell r="W59">
            <v>1</v>
          </cell>
          <cell r="AB59">
            <v>1</v>
          </cell>
        </row>
        <row r="60">
          <cell r="A60">
            <v>0</v>
          </cell>
          <cell r="B60" t="str">
            <v>ALL VRTS</v>
          </cell>
          <cell r="D60">
            <v>161</v>
          </cell>
          <cell r="I60" t="str">
            <v>E29</v>
          </cell>
          <cell r="L60" t="str">
            <v>V44</v>
          </cell>
          <cell r="N60">
            <v>0</v>
          </cell>
          <cell r="O60">
            <v>-1</v>
          </cell>
          <cell r="P60">
            <v>0</v>
          </cell>
          <cell r="Q60">
            <v>2004</v>
          </cell>
          <cell r="R60" t="str">
            <v>DEARBORN PLANT BUILD</v>
          </cell>
          <cell r="S60" t="str">
            <v>P221/P397</v>
          </cell>
          <cell r="T60" t="str">
            <v>CHECK ENGINE LIGHT</v>
          </cell>
          <cell r="U60" t="str">
            <v>Gas Cap leak</v>
          </cell>
          <cell r="V60" t="str">
            <v>ALL</v>
          </cell>
          <cell r="W60">
            <v>1</v>
          </cell>
          <cell r="AC60">
            <v>1</v>
          </cell>
        </row>
        <row r="61">
          <cell r="A61">
            <v>0</v>
          </cell>
          <cell r="B61" t="str">
            <v>ALL VRTS</v>
          </cell>
          <cell r="D61">
            <v>161</v>
          </cell>
          <cell r="I61" t="str">
            <v>E29</v>
          </cell>
          <cell r="L61" t="str">
            <v>V44</v>
          </cell>
          <cell r="N61">
            <v>-1</v>
          </cell>
          <cell r="O61">
            <v>-1</v>
          </cell>
          <cell r="P61">
            <v>0</v>
          </cell>
          <cell r="Q61">
            <v>2004</v>
          </cell>
          <cell r="R61" t="str">
            <v>DEARBORN PLANT BUILD</v>
          </cell>
          <cell r="S61" t="str">
            <v>P221/P397</v>
          </cell>
          <cell r="T61" t="str">
            <v>CHECK ENGINE LIGHT</v>
          </cell>
          <cell r="U61" t="str">
            <v>Injector asy replaced</v>
          </cell>
          <cell r="V61" t="str">
            <v>ALL</v>
          </cell>
          <cell r="W61">
            <v>1</v>
          </cell>
          <cell r="AD61">
            <v>1</v>
          </cell>
        </row>
        <row r="62">
          <cell r="A62">
            <v>0</v>
          </cell>
          <cell r="B62" t="str">
            <v>ALL VRTS</v>
          </cell>
          <cell r="D62">
            <v>161</v>
          </cell>
          <cell r="I62" t="str">
            <v>E29</v>
          </cell>
          <cell r="L62" t="str">
            <v>V44</v>
          </cell>
          <cell r="N62">
            <v>-1</v>
          </cell>
          <cell r="O62">
            <v>-1</v>
          </cell>
          <cell r="P62">
            <v>0</v>
          </cell>
          <cell r="Q62">
            <v>2004</v>
          </cell>
          <cell r="R62" t="str">
            <v>DEARBORN PLANT BUILD</v>
          </cell>
          <cell r="S62" t="str">
            <v>P221/P397</v>
          </cell>
          <cell r="T62" t="str">
            <v>CHECK ENGINE LIGHT</v>
          </cell>
          <cell r="U62" t="str">
            <v>Open Circuit/213</v>
          </cell>
          <cell r="V62" t="str">
            <v>ALL</v>
          </cell>
          <cell r="W62">
            <v>1</v>
          </cell>
          <cell r="AD62">
            <v>1</v>
          </cell>
        </row>
        <row r="63">
          <cell r="A63">
            <v>0</v>
          </cell>
          <cell r="B63" t="str">
            <v>ALL VRTS</v>
          </cell>
          <cell r="D63">
            <v>161</v>
          </cell>
          <cell r="I63" t="str">
            <v>E29</v>
          </cell>
          <cell r="L63" t="str">
            <v>V44</v>
          </cell>
          <cell r="N63">
            <v>-1</v>
          </cell>
          <cell r="O63">
            <v>0</v>
          </cell>
          <cell r="P63">
            <v>0</v>
          </cell>
          <cell r="Q63">
            <v>2004</v>
          </cell>
          <cell r="R63" t="str">
            <v>DEARBORN PLANT BUILD</v>
          </cell>
          <cell r="S63" t="str">
            <v>P221/P397</v>
          </cell>
          <cell r="T63" t="str">
            <v>CHECK ENGINE LIGHT</v>
          </cell>
          <cell r="U63" t="str">
            <v>Pinched wire C3137 &amp; C435</v>
          </cell>
          <cell r="V63" t="str">
            <v>ALL</v>
          </cell>
          <cell r="W63">
            <v>1</v>
          </cell>
          <cell r="AD63">
            <v>1</v>
          </cell>
        </row>
        <row r="64">
          <cell r="A64">
            <v>0</v>
          </cell>
          <cell r="B64" t="str">
            <v>ALL VRTS</v>
          </cell>
          <cell r="D64">
            <v>161</v>
          </cell>
          <cell r="I64" t="str">
            <v>E29</v>
          </cell>
          <cell r="L64" t="str">
            <v>V44</v>
          </cell>
          <cell r="N64">
            <v>0</v>
          </cell>
          <cell r="O64">
            <v>-1</v>
          </cell>
          <cell r="P64">
            <v>0</v>
          </cell>
          <cell r="Q64">
            <v>2004</v>
          </cell>
          <cell r="R64" t="str">
            <v>DEARBORN PLANT BUILD</v>
          </cell>
          <cell r="S64" t="str">
            <v>P221/P397</v>
          </cell>
          <cell r="T64" t="str">
            <v>CHECK ENGINE LIGHT</v>
          </cell>
          <cell r="U64" t="str">
            <v>PSI Sensor disconnected</v>
          </cell>
          <cell r="V64" t="str">
            <v>ALL</v>
          </cell>
          <cell r="W64">
            <v>1</v>
          </cell>
          <cell r="AD64">
            <v>1</v>
          </cell>
        </row>
        <row r="65">
          <cell r="A65">
            <v>0</v>
          </cell>
          <cell r="B65" t="str">
            <v>ALL VRTS</v>
          </cell>
          <cell r="D65">
            <v>161</v>
          </cell>
          <cell r="I65" t="str">
            <v>E29</v>
          </cell>
          <cell r="L65" t="str">
            <v>V44</v>
          </cell>
          <cell r="N65">
            <v>-1</v>
          </cell>
          <cell r="O65">
            <v>-1</v>
          </cell>
          <cell r="P65">
            <v>0</v>
          </cell>
          <cell r="Q65">
            <v>2004</v>
          </cell>
          <cell r="R65" t="str">
            <v>DEARBORN PLANT BUILD</v>
          </cell>
          <cell r="S65" t="str">
            <v>P221/P397</v>
          </cell>
          <cell r="T65" t="str">
            <v>CHECK ENGINE LIGHT</v>
          </cell>
          <cell r="U65" t="str">
            <v>R &amp; R oil pan &amp; TCC</v>
          </cell>
          <cell r="V65" t="str">
            <v>ALL</v>
          </cell>
          <cell r="W65">
            <v>1</v>
          </cell>
          <cell r="AB65">
            <v>1</v>
          </cell>
        </row>
        <row r="66">
          <cell r="A66">
            <v>0</v>
          </cell>
          <cell r="B66" t="str">
            <v>ALL VRTS</v>
          </cell>
          <cell r="D66">
            <v>161</v>
          </cell>
          <cell r="I66" t="str">
            <v>E29</v>
          </cell>
          <cell r="L66" t="str">
            <v>V44</v>
          </cell>
          <cell r="N66">
            <v>-1</v>
          </cell>
          <cell r="O66">
            <v>-1</v>
          </cell>
          <cell r="P66">
            <v>0</v>
          </cell>
          <cell r="Q66">
            <v>2004</v>
          </cell>
          <cell r="R66" t="str">
            <v>DEARBORN PLANT BUILD</v>
          </cell>
          <cell r="S66" t="str">
            <v>P221/P397</v>
          </cell>
          <cell r="T66" t="str">
            <v>CHECK ENGINE LIGHT</v>
          </cell>
          <cell r="U66" t="str">
            <v>R&amp;R IMRC</v>
          </cell>
          <cell r="V66" t="str">
            <v>ALL</v>
          </cell>
          <cell r="W66">
            <v>1</v>
          </cell>
          <cell r="Y66">
            <v>1</v>
          </cell>
        </row>
        <row r="67">
          <cell r="A67">
            <v>0</v>
          </cell>
          <cell r="B67" t="str">
            <v>ALL VRTS</v>
          </cell>
          <cell r="D67">
            <v>161</v>
          </cell>
          <cell r="I67" t="str">
            <v>E29</v>
          </cell>
          <cell r="L67" t="str">
            <v>V44</v>
          </cell>
          <cell r="N67">
            <v>0</v>
          </cell>
          <cell r="O67">
            <v>-1</v>
          </cell>
          <cell r="P67">
            <v>0</v>
          </cell>
          <cell r="Q67">
            <v>2004</v>
          </cell>
          <cell r="R67" t="str">
            <v>DEARBORN PLANT BUILD</v>
          </cell>
          <cell r="S67" t="str">
            <v>P221/P397</v>
          </cell>
          <cell r="T67" t="str">
            <v>CHECK ENGINE LIGHT</v>
          </cell>
          <cell r="U67" t="str">
            <v>Re-install Fuel tank</v>
          </cell>
          <cell r="V67" t="str">
            <v>ALL</v>
          </cell>
          <cell r="W67">
            <v>1</v>
          </cell>
          <cell r="AE67">
            <v>1</v>
          </cell>
        </row>
        <row r="68">
          <cell r="A68">
            <v>0</v>
          </cell>
          <cell r="B68" t="str">
            <v>ALL VRTS</v>
          </cell>
          <cell r="D68">
            <v>161</v>
          </cell>
          <cell r="I68" t="str">
            <v>E29</v>
          </cell>
          <cell r="L68" t="str">
            <v>V44</v>
          </cell>
          <cell r="N68">
            <v>-1</v>
          </cell>
          <cell r="O68">
            <v>-1</v>
          </cell>
          <cell r="P68">
            <v>0</v>
          </cell>
          <cell r="Q68">
            <v>2004</v>
          </cell>
          <cell r="R68" t="str">
            <v>DEARBORN PLANT BUILD</v>
          </cell>
          <cell r="S68" t="str">
            <v>P221/P397</v>
          </cell>
          <cell r="T68" t="str">
            <v>CHECK ENGINE LIGHT</v>
          </cell>
          <cell r="U68" t="str">
            <v>Repaired Fuel Vapor Hose</v>
          </cell>
          <cell r="V68" t="str">
            <v>ALL</v>
          </cell>
          <cell r="W68">
            <v>1</v>
          </cell>
          <cell r="AE68">
            <v>1</v>
          </cell>
        </row>
        <row r="69">
          <cell r="A69">
            <v>0</v>
          </cell>
          <cell r="B69" t="str">
            <v>ALL VRTS</v>
          </cell>
          <cell r="D69">
            <v>161</v>
          </cell>
          <cell r="I69" t="str">
            <v>E29</v>
          </cell>
          <cell r="L69" t="str">
            <v>V44</v>
          </cell>
          <cell r="N69">
            <v>-1</v>
          </cell>
          <cell r="O69">
            <v>-1</v>
          </cell>
          <cell r="P69">
            <v>0</v>
          </cell>
          <cell r="Q69">
            <v>2004</v>
          </cell>
          <cell r="R69" t="str">
            <v>DEARBORN PLANT BUILD</v>
          </cell>
          <cell r="S69" t="str">
            <v>P221/P397</v>
          </cell>
          <cell r="T69" t="str">
            <v>CHECK ENGINE LIGHT</v>
          </cell>
          <cell r="U69" t="str">
            <v>repaired terminal 12029</v>
          </cell>
          <cell r="V69" t="str">
            <v>ALL</v>
          </cell>
          <cell r="W69">
            <v>1</v>
          </cell>
          <cell r="AD69">
            <v>1</v>
          </cell>
        </row>
        <row r="70">
          <cell r="A70">
            <v>0</v>
          </cell>
          <cell r="B70" t="str">
            <v>ALL VRTS</v>
          </cell>
          <cell r="D70">
            <v>161</v>
          </cell>
          <cell r="I70" t="str">
            <v>E29</v>
          </cell>
          <cell r="L70" t="str">
            <v>V44</v>
          </cell>
          <cell r="N70">
            <v>-1</v>
          </cell>
          <cell r="O70">
            <v>-1</v>
          </cell>
          <cell r="P70">
            <v>0</v>
          </cell>
          <cell r="Q70">
            <v>2004</v>
          </cell>
          <cell r="R70" t="str">
            <v>DEARBORN PLANT BUILD</v>
          </cell>
          <cell r="S70" t="str">
            <v>P221/P397</v>
          </cell>
          <cell r="T70" t="str">
            <v>CHECK ENGINE LIGHT</v>
          </cell>
          <cell r="U70" t="str">
            <v>Repaired TP Sensor</v>
          </cell>
          <cell r="V70" t="str">
            <v>ALL</v>
          </cell>
          <cell r="W70">
            <v>1</v>
          </cell>
          <cell r="AD70">
            <v>1</v>
          </cell>
        </row>
        <row r="71">
          <cell r="A71">
            <v>0</v>
          </cell>
          <cell r="B71" t="str">
            <v>ALL VRTS</v>
          </cell>
          <cell r="D71">
            <v>161</v>
          </cell>
          <cell r="I71" t="str">
            <v>G29</v>
          </cell>
          <cell r="L71" t="str">
            <v>V83</v>
          </cell>
          <cell r="N71">
            <v>0</v>
          </cell>
          <cell r="O71">
            <v>-1</v>
          </cell>
          <cell r="P71">
            <v>0</v>
          </cell>
          <cell r="Q71">
            <v>2004</v>
          </cell>
          <cell r="R71" t="str">
            <v>DEARBORN PLANT BUILD</v>
          </cell>
          <cell r="S71" t="str">
            <v>P221/P397</v>
          </cell>
          <cell r="T71" t="str">
            <v>CHECK ENGINE LIGHT</v>
          </cell>
          <cell r="U71" t="str">
            <v>Replace Wiring Harness</v>
          </cell>
          <cell r="V71" t="str">
            <v>ALL</v>
          </cell>
          <cell r="W71">
            <v>1</v>
          </cell>
          <cell r="AD71">
            <v>1</v>
          </cell>
        </row>
        <row r="72">
          <cell r="A72">
            <v>0</v>
          </cell>
          <cell r="B72" t="str">
            <v>ALL VRTS</v>
          </cell>
          <cell r="D72">
            <v>161</v>
          </cell>
          <cell r="I72" t="str">
            <v>E29</v>
          </cell>
          <cell r="L72" t="str">
            <v>V44</v>
          </cell>
          <cell r="N72">
            <v>-1</v>
          </cell>
          <cell r="O72">
            <v>-1</v>
          </cell>
          <cell r="P72">
            <v>0</v>
          </cell>
          <cell r="Q72">
            <v>2004</v>
          </cell>
          <cell r="R72" t="str">
            <v>DEARBORN PLANT BUILD</v>
          </cell>
          <cell r="S72" t="str">
            <v>P221/P397</v>
          </cell>
          <cell r="T72" t="str">
            <v>CHECK ENGINE LIGHT</v>
          </cell>
          <cell r="U72" t="str">
            <v>replaced bank 202 sensor</v>
          </cell>
          <cell r="V72" t="str">
            <v>ALL</v>
          </cell>
          <cell r="W72">
            <v>1</v>
          </cell>
          <cell r="AB72">
            <v>1</v>
          </cell>
        </row>
        <row r="73">
          <cell r="A73">
            <v>0</v>
          </cell>
          <cell r="B73" t="str">
            <v>ALL VRTS</v>
          </cell>
          <cell r="D73">
            <v>161</v>
          </cell>
          <cell r="E73" t="str">
            <v>6360</v>
          </cell>
          <cell r="G73" t="str">
            <v>CEW46R</v>
          </cell>
          <cell r="I73" t="str">
            <v>E29</v>
          </cell>
          <cell r="L73" t="str">
            <v>V44</v>
          </cell>
          <cell r="N73">
            <v>-1</v>
          </cell>
          <cell r="O73">
            <v>-1</v>
          </cell>
          <cell r="P73">
            <v>-1</v>
          </cell>
          <cell r="Q73">
            <v>2004</v>
          </cell>
          <cell r="R73" t="str">
            <v>DEARBORN PLANT BUILD</v>
          </cell>
          <cell r="S73" t="str">
            <v>P221/P397</v>
          </cell>
          <cell r="T73" t="str">
            <v>CHECK ENGINE LIGHT</v>
          </cell>
          <cell r="U73" t="str">
            <v>replaced catalytic converter</v>
          </cell>
          <cell r="V73" t="str">
            <v>ALL</v>
          </cell>
          <cell r="W73">
            <v>1</v>
          </cell>
          <cell r="AA73">
            <v>1</v>
          </cell>
        </row>
        <row r="74">
          <cell r="A74">
            <v>0</v>
          </cell>
          <cell r="B74" t="str">
            <v>ALL VRTS</v>
          </cell>
          <cell r="D74">
            <v>161</v>
          </cell>
          <cell r="I74" t="str">
            <v>E29</v>
          </cell>
          <cell r="L74" t="str">
            <v>V44</v>
          </cell>
          <cell r="N74">
            <v>-1</v>
          </cell>
          <cell r="O74">
            <v>-1</v>
          </cell>
          <cell r="P74">
            <v>0</v>
          </cell>
          <cell r="Q74">
            <v>2004</v>
          </cell>
          <cell r="R74" t="str">
            <v>DEARBORN PLANT BUILD</v>
          </cell>
          <cell r="S74" t="str">
            <v>P221/P397</v>
          </cell>
          <cell r="T74" t="str">
            <v>CHECK ENGINE LIGHT</v>
          </cell>
          <cell r="U74" t="str">
            <v>replaced EGR DPFE</v>
          </cell>
          <cell r="V74" t="str">
            <v>ALL</v>
          </cell>
          <cell r="W74">
            <v>1</v>
          </cell>
          <cell r="AA74">
            <v>1</v>
          </cell>
        </row>
        <row r="75">
          <cell r="A75">
            <v>0</v>
          </cell>
          <cell r="B75" t="str">
            <v>ALL VRTS</v>
          </cell>
          <cell r="D75">
            <v>161</v>
          </cell>
          <cell r="I75" t="str">
            <v>E29</v>
          </cell>
          <cell r="L75" t="str">
            <v>V44</v>
          </cell>
          <cell r="N75">
            <v>-1</v>
          </cell>
          <cell r="O75">
            <v>-1</v>
          </cell>
          <cell r="P75">
            <v>0</v>
          </cell>
          <cell r="Q75">
            <v>2004</v>
          </cell>
          <cell r="R75" t="str">
            <v>DEARBORN PLANT BUILD</v>
          </cell>
          <cell r="S75" t="str">
            <v>P221/P397</v>
          </cell>
          <cell r="T75" t="str">
            <v>CHECK ENGINE LIGHT</v>
          </cell>
          <cell r="U75" t="str">
            <v>Replaced fuel pump wire asy</v>
          </cell>
          <cell r="V75" t="str">
            <v>ALL</v>
          </cell>
          <cell r="W75">
            <v>1</v>
          </cell>
          <cell r="AC75">
            <v>1</v>
          </cell>
        </row>
        <row r="76">
          <cell r="A76">
            <v>0</v>
          </cell>
          <cell r="B76" t="str">
            <v>ALL VRTS</v>
          </cell>
          <cell r="D76">
            <v>161</v>
          </cell>
          <cell r="I76" t="str">
            <v>E29</v>
          </cell>
          <cell r="L76" t="str">
            <v>V44</v>
          </cell>
          <cell r="N76">
            <v>-1</v>
          </cell>
          <cell r="O76">
            <v>-1</v>
          </cell>
          <cell r="P76">
            <v>0</v>
          </cell>
          <cell r="Q76">
            <v>2004</v>
          </cell>
          <cell r="R76" t="str">
            <v>DEARBORN PLANT BUILD</v>
          </cell>
          <cell r="S76" t="str">
            <v>P221/P397</v>
          </cell>
          <cell r="T76" t="str">
            <v>CHECK ENGINE LIGHT</v>
          </cell>
          <cell r="U76" t="str">
            <v>replaced fuel rail</v>
          </cell>
          <cell r="V76" t="str">
            <v>ALL</v>
          </cell>
          <cell r="W76">
            <v>1</v>
          </cell>
          <cell r="AA76">
            <v>1</v>
          </cell>
        </row>
        <row r="77">
          <cell r="A77">
            <v>0</v>
          </cell>
          <cell r="B77" t="str">
            <v>ALL VRTS</v>
          </cell>
          <cell r="D77">
            <v>161</v>
          </cell>
          <cell r="I77" t="str">
            <v>E29</v>
          </cell>
          <cell r="L77" t="str">
            <v>V44</v>
          </cell>
          <cell r="N77">
            <v>-1</v>
          </cell>
          <cell r="O77">
            <v>-1</v>
          </cell>
          <cell r="P77">
            <v>0</v>
          </cell>
          <cell r="Q77">
            <v>2004</v>
          </cell>
          <cell r="R77" t="str">
            <v>DEARBORN PLANT BUILD</v>
          </cell>
          <cell r="S77" t="str">
            <v>P221/P397</v>
          </cell>
          <cell r="T77" t="str">
            <v>CHECK ENGINE LIGHT</v>
          </cell>
          <cell r="U77" t="str">
            <v>replaced intake manifold</v>
          </cell>
          <cell r="V77" t="str">
            <v>ALL</v>
          </cell>
          <cell r="W77">
            <v>1</v>
          </cell>
          <cell r="AB77">
            <v>1</v>
          </cell>
        </row>
        <row r="78">
          <cell r="A78">
            <v>0</v>
          </cell>
          <cell r="B78" t="str">
            <v>ALL VRTS</v>
          </cell>
          <cell r="D78">
            <v>161</v>
          </cell>
          <cell r="I78" t="str">
            <v>E29</v>
          </cell>
          <cell r="L78" t="str">
            <v>V44</v>
          </cell>
          <cell r="N78">
            <v>-1</v>
          </cell>
          <cell r="O78">
            <v>-1</v>
          </cell>
          <cell r="P78">
            <v>0</v>
          </cell>
          <cell r="Q78">
            <v>2004</v>
          </cell>
          <cell r="R78" t="str">
            <v>DEARBORN PLANT BUILD</v>
          </cell>
          <cell r="S78" t="str">
            <v>P221/P397</v>
          </cell>
          <cell r="T78" t="str">
            <v>CHECK ENGINE LIGHT</v>
          </cell>
          <cell r="U78" t="str">
            <v>Replaced Purge Valve</v>
          </cell>
          <cell r="V78" t="str">
            <v>ALL</v>
          </cell>
          <cell r="W78">
            <v>1</v>
          </cell>
          <cell r="AE78">
            <v>1</v>
          </cell>
        </row>
        <row r="79">
          <cell r="A79">
            <v>0</v>
          </cell>
          <cell r="B79" t="str">
            <v>ALL VRTS</v>
          </cell>
          <cell r="D79">
            <v>161</v>
          </cell>
          <cell r="I79" t="str">
            <v>G29</v>
          </cell>
          <cell r="L79" t="str">
            <v>V83</v>
          </cell>
          <cell r="N79">
            <v>0</v>
          </cell>
          <cell r="O79">
            <v>-1</v>
          </cell>
          <cell r="P79">
            <v>0</v>
          </cell>
          <cell r="Q79">
            <v>2004</v>
          </cell>
          <cell r="R79" t="str">
            <v>DEARBORN PLANT BUILD</v>
          </cell>
          <cell r="S79" t="str">
            <v>P221/P397</v>
          </cell>
          <cell r="T79" t="str">
            <v>CHECK ENGINE LIGHT</v>
          </cell>
          <cell r="U79" t="str">
            <v>Replaced Speed Senor.</v>
          </cell>
          <cell r="V79" t="str">
            <v>ALL</v>
          </cell>
          <cell r="W79">
            <v>1</v>
          </cell>
          <cell r="AB79">
            <v>1</v>
          </cell>
        </row>
        <row r="80">
          <cell r="A80">
            <v>0</v>
          </cell>
          <cell r="B80" t="str">
            <v>ALL VRTS</v>
          </cell>
          <cell r="D80">
            <v>161</v>
          </cell>
          <cell r="I80" t="str">
            <v>G29</v>
          </cell>
          <cell r="L80" t="str">
            <v>V83</v>
          </cell>
          <cell r="N80">
            <v>0</v>
          </cell>
          <cell r="O80">
            <v>0</v>
          </cell>
          <cell r="P80">
            <v>-1</v>
          </cell>
          <cell r="Q80">
            <v>2004</v>
          </cell>
          <cell r="R80" t="str">
            <v>DEARBORN PLANT BUILD</v>
          </cell>
          <cell r="S80" t="str">
            <v>P221/P397</v>
          </cell>
          <cell r="T80" t="str">
            <v>CHECK ENGINE LIGHT</v>
          </cell>
          <cell r="U80" t="str">
            <v>Reprogram PCM</v>
          </cell>
          <cell r="V80" t="str">
            <v>ALL</v>
          </cell>
          <cell r="W80">
            <v>1</v>
          </cell>
          <cell r="AE80">
            <v>1</v>
          </cell>
        </row>
        <row r="81">
          <cell r="A81">
            <v>0</v>
          </cell>
          <cell r="B81" t="str">
            <v>ALL VRTS</v>
          </cell>
          <cell r="D81">
            <v>161</v>
          </cell>
          <cell r="I81" t="str">
            <v>E29</v>
          </cell>
          <cell r="L81" t="str">
            <v>V44</v>
          </cell>
          <cell r="N81">
            <v>-1</v>
          </cell>
          <cell r="O81">
            <v>-1</v>
          </cell>
          <cell r="P81">
            <v>0</v>
          </cell>
          <cell r="Q81">
            <v>2004</v>
          </cell>
          <cell r="R81" t="str">
            <v>DEARBORN PLANT BUILD</v>
          </cell>
          <cell r="S81" t="str">
            <v>P221/P397</v>
          </cell>
          <cell r="T81" t="str">
            <v>CHECK ENGINE LIGHT</v>
          </cell>
          <cell r="U81" t="str">
            <v>TCC Solenoid</v>
          </cell>
          <cell r="V81" t="str">
            <v>ALL</v>
          </cell>
          <cell r="W81">
            <v>1</v>
          </cell>
          <cell r="AD81">
            <v>1</v>
          </cell>
        </row>
        <row r="82">
          <cell r="A82">
            <v>0</v>
          </cell>
          <cell r="B82" t="str">
            <v>ALL VRTS</v>
          </cell>
          <cell r="D82">
            <v>161</v>
          </cell>
          <cell r="E82" t="str">
            <v>6500</v>
          </cell>
          <cell r="G82" t="str">
            <v>C4W22R</v>
          </cell>
          <cell r="I82" t="str">
            <v>E29</v>
          </cell>
          <cell r="L82" t="str">
            <v>V44</v>
          </cell>
          <cell r="N82">
            <v>0</v>
          </cell>
          <cell r="O82">
            <v>0</v>
          </cell>
          <cell r="P82">
            <v>-1</v>
          </cell>
          <cell r="Q82">
            <v>2004</v>
          </cell>
          <cell r="R82" t="str">
            <v>DEARBORN PLANT BUILD</v>
          </cell>
          <cell r="S82" t="str">
            <v>P221/P397</v>
          </cell>
          <cell r="T82" t="str">
            <v>CHECK ENGINE LIGHT</v>
          </cell>
          <cell r="U82" t="str">
            <v>Vacuum harness disconnected</v>
          </cell>
          <cell r="V82" t="str">
            <v>ALL</v>
          </cell>
          <cell r="W82">
            <v>1</v>
          </cell>
          <cell r="AE82">
            <v>1</v>
          </cell>
        </row>
        <row r="83">
          <cell r="A83">
            <v>0</v>
          </cell>
          <cell r="B83" t="str">
            <v>ALL VRTS</v>
          </cell>
          <cell r="D83">
            <v>161</v>
          </cell>
          <cell r="I83" t="str">
            <v>E29</v>
          </cell>
          <cell r="L83" t="str">
            <v>V44</v>
          </cell>
          <cell r="N83">
            <v>-1</v>
          </cell>
          <cell r="O83">
            <v>-1</v>
          </cell>
          <cell r="P83">
            <v>0</v>
          </cell>
          <cell r="Q83">
            <v>2004</v>
          </cell>
          <cell r="R83" t="str">
            <v>DEARBORN PLANT BUILD</v>
          </cell>
          <cell r="S83" t="str">
            <v>P221/P397</v>
          </cell>
          <cell r="T83" t="str">
            <v>CHECK ENGINE LIGHT</v>
          </cell>
          <cell r="U83" t="str">
            <v>VCT Solenoid defective</v>
          </cell>
          <cell r="V83" t="str">
            <v>ALL</v>
          </cell>
          <cell r="W83">
            <v>1</v>
          </cell>
          <cell r="AD83">
            <v>1</v>
          </cell>
        </row>
        <row r="84">
          <cell r="A84">
            <v>0</v>
          </cell>
          <cell r="B84" t="str">
            <v>ALL VRTS</v>
          </cell>
          <cell r="D84">
            <v>110</v>
          </cell>
          <cell r="I84" t="str">
            <v>C02</v>
          </cell>
          <cell r="J84" t="str">
            <v>C05</v>
          </cell>
          <cell r="K84" t="str">
            <v>C01</v>
          </cell>
          <cell r="L84" t="str">
            <v>V79</v>
          </cell>
          <cell r="N84">
            <v>0</v>
          </cell>
          <cell r="O84">
            <v>0</v>
          </cell>
          <cell r="P84">
            <v>-1</v>
          </cell>
          <cell r="Q84">
            <v>2004</v>
          </cell>
          <cell r="R84" t="str">
            <v>DEARBORN PLANT BUILD</v>
          </cell>
          <cell r="S84" t="str">
            <v>P221/P397</v>
          </cell>
          <cell r="T84" t="str">
            <v>AC Improper Function</v>
          </cell>
          <cell r="U84" t="str">
            <v>Freon added , low pressure, repaired.</v>
          </cell>
          <cell r="V84" t="str">
            <v>ALL</v>
          </cell>
          <cell r="W84">
            <v>30</v>
          </cell>
          <cell r="Z84">
            <v>8</v>
          </cell>
          <cell r="AA84">
            <v>11</v>
          </cell>
          <cell r="AB84">
            <v>4</v>
          </cell>
          <cell r="AD84">
            <v>6</v>
          </cell>
          <cell r="AE84">
            <v>1</v>
          </cell>
        </row>
        <row r="85">
          <cell r="A85">
            <v>0</v>
          </cell>
          <cell r="B85" t="str">
            <v>ALL VRTS</v>
          </cell>
          <cell r="D85">
            <v>110</v>
          </cell>
          <cell r="I85" t="str">
            <v>C02</v>
          </cell>
          <cell r="J85" t="str">
            <v>C05</v>
          </cell>
          <cell r="L85" t="str">
            <v>V79</v>
          </cell>
          <cell r="N85">
            <v>0</v>
          </cell>
          <cell r="O85">
            <v>0</v>
          </cell>
          <cell r="P85">
            <v>-1</v>
          </cell>
          <cell r="Q85">
            <v>2004</v>
          </cell>
          <cell r="R85" t="str">
            <v>DEARBORN PLANT BUILD</v>
          </cell>
          <cell r="S85" t="str">
            <v>P221/P397</v>
          </cell>
          <cell r="T85" t="str">
            <v>AC Improper Function</v>
          </cell>
          <cell r="U85" t="str">
            <v>Re-Charged System</v>
          </cell>
          <cell r="V85" t="str">
            <v>ALL</v>
          </cell>
          <cell r="W85">
            <v>14</v>
          </cell>
          <cell r="Z85">
            <v>1</v>
          </cell>
          <cell r="AB85">
            <v>2</v>
          </cell>
          <cell r="AC85">
            <v>2</v>
          </cell>
          <cell r="AD85">
            <v>8</v>
          </cell>
          <cell r="AE85">
            <v>1</v>
          </cell>
        </row>
        <row r="86">
          <cell r="A86">
            <v>0</v>
          </cell>
          <cell r="B86" t="str">
            <v>ALL VRTS</v>
          </cell>
          <cell r="D86">
            <v>110</v>
          </cell>
          <cell r="I86" t="str">
            <v>C20</v>
          </cell>
          <cell r="J86" t="str">
            <v>C02</v>
          </cell>
          <cell r="K86" t="str">
            <v>C05</v>
          </cell>
          <cell r="L86" t="str">
            <v>V79</v>
          </cell>
          <cell r="N86">
            <v>0</v>
          </cell>
          <cell r="O86">
            <v>-1</v>
          </cell>
          <cell r="P86">
            <v>0</v>
          </cell>
          <cell r="Q86">
            <v>2004</v>
          </cell>
          <cell r="R86" t="str">
            <v>DEARBORN PLANT BUILD</v>
          </cell>
          <cell r="S86" t="str">
            <v>P221/P397</v>
          </cell>
          <cell r="T86" t="str">
            <v>AC Improper Function</v>
          </cell>
          <cell r="U86" t="str">
            <v>Replaced Control</v>
          </cell>
          <cell r="V86" t="str">
            <v>ALL</v>
          </cell>
          <cell r="W86">
            <v>13</v>
          </cell>
          <cell r="AC86">
            <v>1</v>
          </cell>
          <cell r="AD86">
            <v>10</v>
          </cell>
          <cell r="AE86">
            <v>2</v>
          </cell>
        </row>
        <row r="87">
          <cell r="A87">
            <v>0</v>
          </cell>
          <cell r="B87" t="str">
            <v>ALL VRTS</v>
          </cell>
          <cell r="D87">
            <v>110</v>
          </cell>
          <cell r="I87" t="str">
            <v>C02</v>
          </cell>
          <cell r="J87" t="str">
            <v>C05</v>
          </cell>
          <cell r="K87" t="str">
            <v>C03</v>
          </cell>
          <cell r="L87" t="str">
            <v>V79</v>
          </cell>
          <cell r="N87">
            <v>0</v>
          </cell>
          <cell r="O87">
            <v>0</v>
          </cell>
          <cell r="P87">
            <v>-1</v>
          </cell>
          <cell r="Q87">
            <v>2004</v>
          </cell>
          <cell r="R87" t="str">
            <v>DEARBORN PLANT BUILD</v>
          </cell>
          <cell r="S87" t="str">
            <v>P221/P397</v>
          </cell>
          <cell r="T87" t="str">
            <v>AC Improper Function</v>
          </cell>
          <cell r="U87" t="str">
            <v>O-Ring at compressor leaking.</v>
          </cell>
          <cell r="V87" t="str">
            <v>ALL</v>
          </cell>
          <cell r="W87">
            <v>11</v>
          </cell>
          <cell r="Z87">
            <v>2</v>
          </cell>
          <cell r="AA87">
            <v>3</v>
          </cell>
          <cell r="AB87">
            <v>3</v>
          </cell>
          <cell r="AD87">
            <v>2</v>
          </cell>
          <cell r="AE87">
            <v>1</v>
          </cell>
        </row>
        <row r="88">
          <cell r="A88">
            <v>0</v>
          </cell>
          <cell r="B88" t="str">
            <v>ALL VRTS</v>
          </cell>
          <cell r="D88">
            <v>110</v>
          </cell>
          <cell r="I88" t="str">
            <v>C05</v>
          </cell>
          <cell r="J88" t="str">
            <v>C02</v>
          </cell>
          <cell r="K88" t="str">
            <v>C09</v>
          </cell>
          <cell r="L88" t="str">
            <v>V79</v>
          </cell>
          <cell r="N88">
            <v>0</v>
          </cell>
          <cell r="O88">
            <v>0</v>
          </cell>
          <cell r="P88">
            <v>-1</v>
          </cell>
          <cell r="Q88">
            <v>2004</v>
          </cell>
          <cell r="R88" t="str">
            <v>DEARBORN PLANT BUILD</v>
          </cell>
          <cell r="S88" t="str">
            <v>P221/P397</v>
          </cell>
          <cell r="T88" t="str">
            <v>AC Improper Function</v>
          </cell>
          <cell r="U88" t="str">
            <v>O-Ring at Cowl</v>
          </cell>
          <cell r="V88" t="str">
            <v>ALL</v>
          </cell>
          <cell r="W88">
            <v>6</v>
          </cell>
          <cell r="AB88">
            <v>3</v>
          </cell>
          <cell r="AC88">
            <v>3</v>
          </cell>
        </row>
        <row r="89">
          <cell r="A89">
            <v>0</v>
          </cell>
          <cell r="B89" t="str">
            <v>ALL VRTS</v>
          </cell>
          <cell r="D89">
            <v>110</v>
          </cell>
          <cell r="I89" t="str">
            <v>C08</v>
          </cell>
          <cell r="J89" t="str">
            <v>C02</v>
          </cell>
          <cell r="K89" t="str">
            <v>C20</v>
          </cell>
          <cell r="L89" t="str">
            <v>V79</v>
          </cell>
          <cell r="N89">
            <v>0</v>
          </cell>
          <cell r="O89">
            <v>0</v>
          </cell>
          <cell r="P89">
            <v>-1</v>
          </cell>
          <cell r="Q89">
            <v>2004</v>
          </cell>
          <cell r="R89" t="str">
            <v>DEARBORN PLANT BUILD</v>
          </cell>
          <cell r="S89" t="str">
            <v>P221/P397</v>
          </cell>
          <cell r="T89" t="str">
            <v>AC Improper Function</v>
          </cell>
          <cell r="U89" t="str">
            <v>NPF.</v>
          </cell>
          <cell r="V89" t="str">
            <v>ALL</v>
          </cell>
          <cell r="W89">
            <v>4</v>
          </cell>
          <cell r="AA89">
            <v>1</v>
          </cell>
          <cell r="AB89">
            <v>2</v>
          </cell>
          <cell r="AD89">
            <v>1</v>
          </cell>
        </row>
        <row r="90">
          <cell r="A90">
            <v>0</v>
          </cell>
          <cell r="B90" t="str">
            <v>ALL VRTS</v>
          </cell>
          <cell r="D90">
            <v>110</v>
          </cell>
          <cell r="I90" t="str">
            <v>C20</v>
          </cell>
          <cell r="J90" t="str">
            <v>C10</v>
          </cell>
          <cell r="K90" t="str">
            <v>C09</v>
          </cell>
          <cell r="L90" t="str">
            <v>V79</v>
          </cell>
          <cell r="N90">
            <v>0</v>
          </cell>
          <cell r="O90">
            <v>-1</v>
          </cell>
          <cell r="P90">
            <v>0</v>
          </cell>
          <cell r="Q90">
            <v>2004</v>
          </cell>
          <cell r="R90" t="str">
            <v>DEARBORN PLANT BUILD</v>
          </cell>
          <cell r="S90" t="str">
            <v>P221/P397</v>
          </cell>
          <cell r="T90" t="str">
            <v>AC Improper Function</v>
          </cell>
          <cell r="U90" t="str">
            <v>Replaced Compressor &amp; Clutch Ass.</v>
          </cell>
          <cell r="V90" t="str">
            <v>ALL</v>
          </cell>
          <cell r="W90">
            <v>4</v>
          </cell>
          <cell r="AB90">
            <v>1</v>
          </cell>
          <cell r="AD90">
            <v>3</v>
          </cell>
        </row>
        <row r="91">
          <cell r="A91">
            <v>0</v>
          </cell>
          <cell r="B91" t="str">
            <v>ALL VRTS</v>
          </cell>
          <cell r="D91">
            <v>110</v>
          </cell>
          <cell r="I91" t="str">
            <v>C05</v>
          </cell>
          <cell r="L91" t="str">
            <v>V79</v>
          </cell>
          <cell r="N91">
            <v>0</v>
          </cell>
          <cell r="O91">
            <v>-1</v>
          </cell>
          <cell r="P91">
            <v>0</v>
          </cell>
          <cell r="Q91">
            <v>2004</v>
          </cell>
          <cell r="R91" t="str">
            <v>DEARBORN PLANT BUILD</v>
          </cell>
          <cell r="S91" t="str">
            <v>P221/P397</v>
          </cell>
          <cell r="T91" t="str">
            <v>AC Improper Function</v>
          </cell>
          <cell r="U91" t="str">
            <v>Defective Pressure Switch, Re-placed switch.</v>
          </cell>
          <cell r="V91" t="str">
            <v>ALL</v>
          </cell>
          <cell r="W91">
            <v>3</v>
          </cell>
          <cell r="AA91">
            <v>1</v>
          </cell>
          <cell r="AB91">
            <v>1</v>
          </cell>
          <cell r="AD91">
            <v>1</v>
          </cell>
        </row>
        <row r="92">
          <cell r="A92">
            <v>0</v>
          </cell>
          <cell r="B92" t="str">
            <v>ALL VRTS</v>
          </cell>
          <cell r="D92">
            <v>110</v>
          </cell>
          <cell r="I92" t="str">
            <v>C01</v>
          </cell>
          <cell r="J92" t="str">
            <v>C02</v>
          </cell>
          <cell r="K92" t="str">
            <v>C05</v>
          </cell>
          <cell r="L92" t="str">
            <v>V79</v>
          </cell>
          <cell r="N92">
            <v>0</v>
          </cell>
          <cell r="O92">
            <v>0</v>
          </cell>
          <cell r="P92">
            <v>-1</v>
          </cell>
          <cell r="Q92">
            <v>2004</v>
          </cell>
          <cell r="R92" t="str">
            <v>DEARBORN PLANT BUILD</v>
          </cell>
          <cell r="S92" t="str">
            <v>P221/P397</v>
          </cell>
          <cell r="T92" t="str">
            <v>AC Improper Function</v>
          </cell>
          <cell r="U92" t="str">
            <v>Leak at liquid line to condensor</v>
          </cell>
          <cell r="V92" t="str">
            <v>ALL</v>
          </cell>
          <cell r="W92">
            <v>3</v>
          </cell>
          <cell r="Z92">
            <v>1</v>
          </cell>
          <cell r="AB92">
            <v>1</v>
          </cell>
          <cell r="AC92">
            <v>1</v>
          </cell>
        </row>
        <row r="93">
          <cell r="A93">
            <v>0</v>
          </cell>
          <cell r="B93" t="str">
            <v>ALL VRTS</v>
          </cell>
          <cell r="D93">
            <v>110</v>
          </cell>
          <cell r="I93" t="str">
            <v>C05</v>
          </cell>
          <cell r="J93" t="str">
            <v>C02</v>
          </cell>
          <cell r="L93" t="str">
            <v>V79</v>
          </cell>
          <cell r="N93">
            <v>0</v>
          </cell>
          <cell r="O93">
            <v>0</v>
          </cell>
          <cell r="P93">
            <v>-1</v>
          </cell>
          <cell r="Q93">
            <v>2004</v>
          </cell>
          <cell r="R93" t="str">
            <v>DEARBORN PLANT BUILD</v>
          </cell>
          <cell r="S93" t="str">
            <v>P221/P397</v>
          </cell>
          <cell r="T93" t="str">
            <v>AC Improper Function</v>
          </cell>
          <cell r="U93" t="str">
            <v>Open Circult.</v>
          </cell>
          <cell r="V93" t="str">
            <v>ALL</v>
          </cell>
          <cell r="W93">
            <v>3</v>
          </cell>
          <cell r="AA93">
            <v>1</v>
          </cell>
          <cell r="AD93">
            <v>2</v>
          </cell>
        </row>
        <row r="94">
          <cell r="A94">
            <v>0</v>
          </cell>
          <cell r="B94" t="str">
            <v>ALL VRTS</v>
          </cell>
          <cell r="D94">
            <v>110</v>
          </cell>
          <cell r="I94" t="str">
            <v>C01</v>
          </cell>
          <cell r="J94" t="str">
            <v>C05</v>
          </cell>
          <cell r="L94" t="str">
            <v>V79</v>
          </cell>
          <cell r="N94">
            <v>0</v>
          </cell>
          <cell r="O94">
            <v>-1</v>
          </cell>
          <cell r="P94">
            <v>-1</v>
          </cell>
          <cell r="Q94">
            <v>2004</v>
          </cell>
          <cell r="R94" t="str">
            <v>DEARBORN PLANT BUILD</v>
          </cell>
          <cell r="S94" t="str">
            <v>P221/P397</v>
          </cell>
          <cell r="T94" t="str">
            <v>AC Improper Function</v>
          </cell>
          <cell r="U94" t="str">
            <v>Repaired A/C Wire in the 12A581</v>
          </cell>
          <cell r="V94" t="str">
            <v>ALL</v>
          </cell>
          <cell r="W94">
            <v>2</v>
          </cell>
          <cell r="Z94">
            <v>1</v>
          </cell>
          <cell r="AB94">
            <v>1</v>
          </cell>
        </row>
        <row r="95">
          <cell r="A95">
            <v>0</v>
          </cell>
          <cell r="B95" t="str">
            <v>ALL VRTS</v>
          </cell>
          <cell r="D95">
            <v>110</v>
          </cell>
          <cell r="I95" t="str">
            <v>C05</v>
          </cell>
          <cell r="L95" t="str">
            <v>V79</v>
          </cell>
          <cell r="N95">
            <v>0</v>
          </cell>
          <cell r="O95">
            <v>0</v>
          </cell>
          <cell r="P95">
            <v>-1</v>
          </cell>
          <cell r="Q95">
            <v>2004</v>
          </cell>
          <cell r="R95" t="str">
            <v>DEARBORN PLANT BUILD</v>
          </cell>
          <cell r="S95" t="str">
            <v>P221/P397</v>
          </cell>
          <cell r="T95" t="str">
            <v>AC Improper Function</v>
          </cell>
          <cell r="U95" t="str">
            <v>Replace A/C Manifold line</v>
          </cell>
          <cell r="V95" t="str">
            <v>ALL</v>
          </cell>
          <cell r="W95">
            <v>2</v>
          </cell>
          <cell r="AD95">
            <v>2</v>
          </cell>
        </row>
        <row r="96">
          <cell r="A96">
            <v>0</v>
          </cell>
          <cell r="B96" t="str">
            <v>ALL VRTS</v>
          </cell>
          <cell r="D96">
            <v>110</v>
          </cell>
          <cell r="I96" t="str">
            <v>C05</v>
          </cell>
          <cell r="L96" t="str">
            <v>V79</v>
          </cell>
          <cell r="N96">
            <v>0</v>
          </cell>
          <cell r="O96">
            <v>-1</v>
          </cell>
          <cell r="P96">
            <v>0</v>
          </cell>
          <cell r="Q96">
            <v>2004</v>
          </cell>
          <cell r="R96" t="str">
            <v>DEARBORN PLANT BUILD</v>
          </cell>
          <cell r="S96" t="str">
            <v>P221/P397</v>
          </cell>
          <cell r="T96" t="str">
            <v>AC Improper Function</v>
          </cell>
          <cell r="U96" t="str">
            <v>Replaced Alternator &amp; EATC</v>
          </cell>
          <cell r="V96" t="str">
            <v>ALL</v>
          </cell>
          <cell r="W96">
            <v>2</v>
          </cell>
          <cell r="AE96">
            <v>2</v>
          </cell>
        </row>
        <row r="97">
          <cell r="A97">
            <v>0</v>
          </cell>
          <cell r="B97" t="str">
            <v>ALL VRTS</v>
          </cell>
          <cell r="D97">
            <v>110</v>
          </cell>
          <cell r="I97" t="str">
            <v>C02</v>
          </cell>
          <cell r="J97" t="str">
            <v>C05</v>
          </cell>
          <cell r="L97" t="str">
            <v>V79</v>
          </cell>
          <cell r="N97">
            <v>0</v>
          </cell>
          <cell r="O97">
            <v>0</v>
          </cell>
          <cell r="P97">
            <v>-1</v>
          </cell>
          <cell r="Q97">
            <v>2004</v>
          </cell>
          <cell r="R97" t="str">
            <v>DEARBORN PLANT BUILD</v>
          </cell>
          <cell r="S97" t="str">
            <v>P221/P397</v>
          </cell>
          <cell r="T97" t="str">
            <v>AC Improper Function</v>
          </cell>
          <cell r="U97" t="str">
            <v>System over charged.</v>
          </cell>
          <cell r="V97" t="str">
            <v>ALL</v>
          </cell>
          <cell r="W97">
            <v>2</v>
          </cell>
          <cell r="AD97">
            <v>2</v>
          </cell>
        </row>
        <row r="98">
          <cell r="A98">
            <v>0</v>
          </cell>
          <cell r="B98" t="str">
            <v>ALL VRTS</v>
          </cell>
          <cell r="D98">
            <v>110</v>
          </cell>
          <cell r="I98" t="str">
            <v>C24</v>
          </cell>
          <cell r="L98" t="str">
            <v>V79</v>
          </cell>
          <cell r="N98">
            <v>0</v>
          </cell>
          <cell r="O98">
            <v>0</v>
          </cell>
          <cell r="P98">
            <v>-1</v>
          </cell>
          <cell r="Q98">
            <v>2004</v>
          </cell>
          <cell r="R98" t="str">
            <v>DEARBORN PLANT BUILD</v>
          </cell>
          <cell r="S98" t="str">
            <v>P221/P397</v>
          </cell>
          <cell r="T98" t="str">
            <v>AC Improper Function</v>
          </cell>
          <cell r="U98" t="str">
            <v>Water Cowl Behind EVAC</v>
          </cell>
          <cell r="V98" t="str">
            <v>ALL</v>
          </cell>
          <cell r="W98">
            <v>2</v>
          </cell>
          <cell r="AD98">
            <v>2</v>
          </cell>
        </row>
        <row r="99">
          <cell r="A99">
            <v>0</v>
          </cell>
          <cell r="B99" t="str">
            <v>ALL VRTS</v>
          </cell>
          <cell r="D99">
            <v>110</v>
          </cell>
          <cell r="I99" t="str">
            <v>C05</v>
          </cell>
          <cell r="L99" t="str">
            <v>V79</v>
          </cell>
          <cell r="N99">
            <v>-1</v>
          </cell>
          <cell r="O99">
            <v>-1</v>
          </cell>
          <cell r="P99">
            <v>0</v>
          </cell>
          <cell r="Q99">
            <v>2004</v>
          </cell>
          <cell r="R99" t="str">
            <v>DEARBORN PLANT BUILD</v>
          </cell>
          <cell r="S99" t="str">
            <v>P221/P397</v>
          </cell>
          <cell r="T99" t="str">
            <v>AC Improper Function</v>
          </cell>
          <cell r="U99" t="str">
            <v>Blown Fuse</v>
          </cell>
          <cell r="V99" t="str">
            <v>ALL</v>
          </cell>
          <cell r="W99">
            <v>1</v>
          </cell>
          <cell r="AD99">
            <v>1</v>
          </cell>
        </row>
        <row r="100">
          <cell r="A100">
            <v>0</v>
          </cell>
          <cell r="B100" t="str">
            <v>ALL VRTS</v>
          </cell>
          <cell r="D100">
            <v>110</v>
          </cell>
          <cell r="I100" t="str">
            <v>C02</v>
          </cell>
          <cell r="L100" t="str">
            <v>V79</v>
          </cell>
          <cell r="N100">
            <v>0</v>
          </cell>
          <cell r="O100">
            <v>0</v>
          </cell>
          <cell r="P100">
            <v>-1</v>
          </cell>
          <cell r="Q100">
            <v>2004</v>
          </cell>
          <cell r="R100" t="str">
            <v>DEARBORN PLANT BUILD</v>
          </cell>
          <cell r="S100" t="str">
            <v>P221/P397</v>
          </cell>
          <cell r="T100" t="str">
            <v>AC Improper Function</v>
          </cell>
          <cell r="U100" t="str">
            <v>Connector clutch relay repaired.</v>
          </cell>
          <cell r="V100" t="str">
            <v>ALL</v>
          </cell>
          <cell r="W100">
            <v>1</v>
          </cell>
          <cell r="AB100">
            <v>1</v>
          </cell>
        </row>
        <row r="101">
          <cell r="A101">
            <v>0</v>
          </cell>
          <cell r="B101" t="str">
            <v>ALL VRTS</v>
          </cell>
          <cell r="D101">
            <v>110</v>
          </cell>
          <cell r="I101" t="str">
            <v>C20</v>
          </cell>
          <cell r="L101" t="str">
            <v>V79</v>
          </cell>
          <cell r="N101">
            <v>0</v>
          </cell>
          <cell r="O101">
            <v>-1</v>
          </cell>
          <cell r="P101">
            <v>0</v>
          </cell>
          <cell r="Q101">
            <v>2004</v>
          </cell>
          <cell r="R101" t="str">
            <v>DEARBORN PLANT BUILD</v>
          </cell>
          <cell r="S101" t="str">
            <v>P221/P397</v>
          </cell>
          <cell r="T101" t="str">
            <v>AC Improper Function</v>
          </cell>
          <cell r="U101" t="str">
            <v>Contamination in A/C system</v>
          </cell>
          <cell r="V101" t="str">
            <v>ALL</v>
          </cell>
          <cell r="W101">
            <v>1</v>
          </cell>
          <cell r="AA101">
            <v>1</v>
          </cell>
        </row>
        <row r="102">
          <cell r="A102">
            <v>0</v>
          </cell>
          <cell r="B102" t="str">
            <v>ALL VRTS</v>
          </cell>
          <cell r="D102">
            <v>110</v>
          </cell>
          <cell r="I102" t="str">
            <v>C05</v>
          </cell>
          <cell r="L102" t="str">
            <v>V79</v>
          </cell>
          <cell r="N102">
            <v>0</v>
          </cell>
          <cell r="O102">
            <v>-1</v>
          </cell>
          <cell r="P102">
            <v>0</v>
          </cell>
          <cell r="Q102">
            <v>2004</v>
          </cell>
          <cell r="R102" t="str">
            <v>DEARBORN PLANT BUILD</v>
          </cell>
          <cell r="S102" t="str">
            <v>P221/P397</v>
          </cell>
          <cell r="T102" t="str">
            <v>AC Improper Function</v>
          </cell>
          <cell r="U102" t="str">
            <v>Defective Compressor Coil</v>
          </cell>
          <cell r="V102" t="str">
            <v>ALL</v>
          </cell>
          <cell r="W102">
            <v>1</v>
          </cell>
          <cell r="AE102">
            <v>1</v>
          </cell>
        </row>
        <row r="103">
          <cell r="A103">
            <v>0</v>
          </cell>
          <cell r="B103" t="str">
            <v>ALL VRTS</v>
          </cell>
          <cell r="D103">
            <v>110</v>
          </cell>
          <cell r="I103" t="str">
            <v>C20</v>
          </cell>
          <cell r="L103" t="str">
            <v>V79</v>
          </cell>
          <cell r="N103">
            <v>0</v>
          </cell>
          <cell r="O103">
            <v>-1</v>
          </cell>
          <cell r="P103">
            <v>0</v>
          </cell>
          <cell r="Q103">
            <v>2004</v>
          </cell>
          <cell r="R103" t="str">
            <v>DEARBORN PLANT BUILD</v>
          </cell>
          <cell r="S103" t="str">
            <v>P221/P397</v>
          </cell>
          <cell r="T103" t="str">
            <v>AC Improper Function</v>
          </cell>
          <cell r="U103" t="str">
            <v>Harness Pin not connected</v>
          </cell>
          <cell r="V103" t="str">
            <v>ALL</v>
          </cell>
          <cell r="W103">
            <v>1</v>
          </cell>
          <cell r="AD103">
            <v>1</v>
          </cell>
        </row>
        <row r="104">
          <cell r="A104">
            <v>0</v>
          </cell>
          <cell r="B104" t="str">
            <v>ALL VRTS</v>
          </cell>
          <cell r="D104">
            <v>110</v>
          </cell>
          <cell r="I104" t="str">
            <v>C02</v>
          </cell>
          <cell r="L104" t="str">
            <v>V79</v>
          </cell>
          <cell r="N104">
            <v>-1</v>
          </cell>
          <cell r="O104">
            <v>0</v>
          </cell>
          <cell r="P104">
            <v>0</v>
          </cell>
          <cell r="Q104">
            <v>2004</v>
          </cell>
          <cell r="R104" t="str">
            <v>DEARBORN PLANT BUILD</v>
          </cell>
          <cell r="S104" t="str">
            <v>P221/P397</v>
          </cell>
          <cell r="T104" t="str">
            <v>AC Improper Function</v>
          </cell>
          <cell r="U104" t="str">
            <v>Harness Replaced</v>
          </cell>
          <cell r="V104" t="str">
            <v>ALL</v>
          </cell>
          <cell r="W104">
            <v>1</v>
          </cell>
          <cell r="AD104">
            <v>1</v>
          </cell>
        </row>
        <row r="105">
          <cell r="A105">
            <v>0</v>
          </cell>
          <cell r="B105" t="str">
            <v>ALL VRTS</v>
          </cell>
          <cell r="D105">
            <v>110</v>
          </cell>
          <cell r="I105" t="str">
            <v>C20</v>
          </cell>
          <cell r="L105" t="str">
            <v>V79</v>
          </cell>
          <cell r="N105">
            <v>0</v>
          </cell>
          <cell r="O105">
            <v>0</v>
          </cell>
          <cell r="P105">
            <v>-1</v>
          </cell>
          <cell r="Q105">
            <v>2004</v>
          </cell>
          <cell r="R105" t="str">
            <v>DEARBORN PLANT BUILD</v>
          </cell>
          <cell r="S105" t="str">
            <v>P221/P397</v>
          </cell>
          <cell r="T105" t="str">
            <v>AC Improper Function</v>
          </cell>
          <cell r="U105" t="str">
            <v>Improper Hose routing.</v>
          </cell>
          <cell r="V105" t="str">
            <v>ALL</v>
          </cell>
          <cell r="W105">
            <v>1</v>
          </cell>
          <cell r="AB105">
            <v>1</v>
          </cell>
        </row>
        <row r="106">
          <cell r="A106">
            <v>0</v>
          </cell>
          <cell r="B106" t="str">
            <v>ALL VRTS</v>
          </cell>
          <cell r="D106">
            <v>110</v>
          </cell>
          <cell r="I106" t="str">
            <v>A85</v>
          </cell>
          <cell r="L106" t="str">
            <v>V79</v>
          </cell>
          <cell r="N106">
            <v>0</v>
          </cell>
          <cell r="O106">
            <v>-1</v>
          </cell>
          <cell r="P106">
            <v>0</v>
          </cell>
          <cell r="Q106">
            <v>2004</v>
          </cell>
          <cell r="R106" t="str">
            <v>DEARBORN PLANT BUILD</v>
          </cell>
          <cell r="S106" t="str">
            <v>P221/P397</v>
          </cell>
          <cell r="T106" t="str">
            <v>AC Improper Function</v>
          </cell>
          <cell r="U106" t="str">
            <v>Replaced Actuator</v>
          </cell>
          <cell r="V106" t="str">
            <v>ALL</v>
          </cell>
          <cell r="W106">
            <v>1</v>
          </cell>
          <cell r="AE106">
            <v>1</v>
          </cell>
        </row>
        <row r="107">
          <cell r="A107">
            <v>0</v>
          </cell>
          <cell r="B107" t="str">
            <v>ALL VRTS</v>
          </cell>
          <cell r="D107">
            <v>110</v>
          </cell>
          <cell r="I107" t="str">
            <v>C02</v>
          </cell>
          <cell r="L107" t="str">
            <v>V79</v>
          </cell>
          <cell r="N107">
            <v>0</v>
          </cell>
          <cell r="O107">
            <v>-1</v>
          </cell>
          <cell r="P107">
            <v>0</v>
          </cell>
          <cell r="Q107">
            <v>2004</v>
          </cell>
          <cell r="R107" t="str">
            <v>DEARBORN PLANT BUILD</v>
          </cell>
          <cell r="S107" t="str">
            <v>P221/P397</v>
          </cell>
          <cell r="T107" t="str">
            <v>AC Improper Function</v>
          </cell>
          <cell r="U107" t="str">
            <v>REPLACED ORFICE TUBE.</v>
          </cell>
          <cell r="V107" t="str">
            <v>ALL</v>
          </cell>
          <cell r="W107">
            <v>1</v>
          </cell>
          <cell r="AD107">
            <v>1</v>
          </cell>
        </row>
        <row r="108">
          <cell r="A108">
            <v>0</v>
          </cell>
          <cell r="B108" t="str">
            <v>ALL VRTS</v>
          </cell>
          <cell r="D108">
            <v>95</v>
          </cell>
          <cell r="E108" t="str">
            <v>Trim 3 Team 4</v>
          </cell>
          <cell r="G108" t="str">
            <v>T3E24R</v>
          </cell>
          <cell r="I108" t="str">
            <v>A02</v>
          </cell>
          <cell r="J108" t="str">
            <v>A07</v>
          </cell>
          <cell r="K108" t="str">
            <v>A06</v>
          </cell>
          <cell r="L108" t="str">
            <v>V81</v>
          </cell>
          <cell r="N108">
            <v>0</v>
          </cell>
          <cell r="O108">
            <v>0</v>
          </cell>
          <cell r="P108">
            <v>-1</v>
          </cell>
          <cell r="Q108">
            <v>2004</v>
          </cell>
          <cell r="R108" t="str">
            <v>DEARBORN PLANT BUILD</v>
          </cell>
          <cell r="S108" t="str">
            <v>P221/P397</v>
          </cell>
          <cell r="T108" t="str">
            <v>Radio Improper Function</v>
          </cell>
          <cell r="U108" t="str">
            <v>Antenna Not connected, recorrected.</v>
          </cell>
          <cell r="V108" t="str">
            <v>ALL</v>
          </cell>
          <cell r="W108">
            <v>16</v>
          </cell>
          <cell r="X108">
            <v>1</v>
          </cell>
          <cell r="Y108">
            <v>1</v>
          </cell>
          <cell r="AB108">
            <v>2</v>
          </cell>
          <cell r="AC108">
            <v>4</v>
          </cell>
          <cell r="AD108">
            <v>7</v>
          </cell>
          <cell r="AE108">
            <v>1</v>
          </cell>
        </row>
        <row r="109">
          <cell r="A109">
            <v>0</v>
          </cell>
          <cell r="B109" t="str">
            <v>ALL VRTS</v>
          </cell>
          <cell r="D109">
            <v>95</v>
          </cell>
          <cell r="I109" t="str">
            <v>A07</v>
          </cell>
          <cell r="J109" t="str">
            <v>A16</v>
          </cell>
          <cell r="K109" t="str">
            <v>A04</v>
          </cell>
          <cell r="L109" t="str">
            <v>V81</v>
          </cell>
          <cell r="N109">
            <v>0</v>
          </cell>
          <cell r="O109">
            <v>-1</v>
          </cell>
          <cell r="P109">
            <v>0</v>
          </cell>
          <cell r="Q109">
            <v>2004</v>
          </cell>
          <cell r="R109" t="str">
            <v>DEARBORN PLANT BUILD</v>
          </cell>
          <cell r="S109" t="str">
            <v>P221/P397</v>
          </cell>
          <cell r="T109" t="str">
            <v>Radio Improper Function</v>
          </cell>
          <cell r="U109" t="str">
            <v>Radio Replaced.</v>
          </cell>
          <cell r="V109" t="str">
            <v>ALL</v>
          </cell>
          <cell r="W109">
            <v>15</v>
          </cell>
          <cell r="AA109">
            <v>1</v>
          </cell>
          <cell r="AB109">
            <v>1</v>
          </cell>
          <cell r="AC109">
            <v>2</v>
          </cell>
          <cell r="AD109">
            <v>9</v>
          </cell>
          <cell r="AE109">
            <v>2</v>
          </cell>
        </row>
        <row r="110">
          <cell r="A110">
            <v>0</v>
          </cell>
          <cell r="B110" t="str">
            <v>ALL VRTS</v>
          </cell>
          <cell r="D110">
            <v>95</v>
          </cell>
          <cell r="I110" t="str">
            <v>A06</v>
          </cell>
          <cell r="J110" t="str">
            <v>A07</v>
          </cell>
          <cell r="K110" t="str">
            <v>A16</v>
          </cell>
          <cell r="L110" t="str">
            <v>V81</v>
          </cell>
          <cell r="N110">
            <v>0</v>
          </cell>
          <cell r="O110">
            <v>-1</v>
          </cell>
          <cell r="P110">
            <v>0</v>
          </cell>
          <cell r="Q110">
            <v>2004</v>
          </cell>
          <cell r="R110" t="str">
            <v>DEARBORN PLANT BUILD</v>
          </cell>
          <cell r="S110" t="str">
            <v>P221/P397</v>
          </cell>
          <cell r="T110" t="str">
            <v>Radio Improper Function</v>
          </cell>
          <cell r="U110" t="str">
            <v>Speakers, replaced.</v>
          </cell>
          <cell r="V110" t="str">
            <v>ALL</v>
          </cell>
          <cell r="W110">
            <v>12</v>
          </cell>
          <cell r="Y110">
            <v>1</v>
          </cell>
          <cell r="AA110">
            <v>1</v>
          </cell>
          <cell r="AB110">
            <v>2</v>
          </cell>
          <cell r="AC110">
            <v>1</v>
          </cell>
          <cell r="AD110">
            <v>7</v>
          </cell>
        </row>
        <row r="111">
          <cell r="A111">
            <v>0</v>
          </cell>
          <cell r="B111" t="str">
            <v>ALL VRTS</v>
          </cell>
          <cell r="D111">
            <v>95</v>
          </cell>
          <cell r="I111" t="str">
            <v>A16</v>
          </cell>
          <cell r="J111" t="str">
            <v>A04</v>
          </cell>
          <cell r="K111" t="str">
            <v>A06</v>
          </cell>
          <cell r="L111" t="str">
            <v>V81</v>
          </cell>
          <cell r="N111">
            <v>0</v>
          </cell>
          <cell r="O111">
            <v>-1</v>
          </cell>
          <cell r="P111">
            <v>0</v>
          </cell>
          <cell r="Q111">
            <v>2004</v>
          </cell>
          <cell r="R111" t="str">
            <v>DEARBORN PLANT BUILD</v>
          </cell>
          <cell r="S111" t="str">
            <v>P221/P397</v>
          </cell>
          <cell r="T111" t="str">
            <v>Radio Improper Function</v>
          </cell>
          <cell r="U111" t="str">
            <v>Repaired CD.</v>
          </cell>
          <cell r="V111" t="str">
            <v>ALL</v>
          </cell>
          <cell r="W111">
            <v>9</v>
          </cell>
          <cell r="Z111">
            <v>1</v>
          </cell>
          <cell r="AB111">
            <v>1</v>
          </cell>
          <cell r="AC111">
            <v>2</v>
          </cell>
          <cell r="AD111">
            <v>4</v>
          </cell>
          <cell r="AE111">
            <v>1</v>
          </cell>
        </row>
        <row r="112">
          <cell r="A112">
            <v>0</v>
          </cell>
          <cell r="B112" t="str">
            <v>ALL VRTS</v>
          </cell>
          <cell r="D112">
            <v>95</v>
          </cell>
          <cell r="I112" t="str">
            <v>A07</v>
          </cell>
          <cell r="J112" t="str">
            <v>A02</v>
          </cell>
          <cell r="L112" t="str">
            <v>V81</v>
          </cell>
          <cell r="N112">
            <v>0</v>
          </cell>
          <cell r="O112">
            <v>0</v>
          </cell>
          <cell r="P112">
            <v>-1</v>
          </cell>
          <cell r="Q112">
            <v>2004</v>
          </cell>
          <cell r="R112" t="str">
            <v>DEARBORN PLANT BUILD</v>
          </cell>
          <cell r="S112" t="str">
            <v>P221/P397</v>
          </cell>
          <cell r="T112" t="str">
            <v>Radio Improper Function</v>
          </cell>
          <cell r="U112" t="str">
            <v>Antenna Rein-stalled</v>
          </cell>
          <cell r="V112" t="str">
            <v>ALL</v>
          </cell>
          <cell r="W112">
            <v>7</v>
          </cell>
          <cell r="AB112">
            <v>2</v>
          </cell>
          <cell r="AD112">
            <v>5</v>
          </cell>
        </row>
        <row r="113">
          <cell r="A113">
            <v>0</v>
          </cell>
          <cell r="B113" t="str">
            <v>ALL VRTS</v>
          </cell>
          <cell r="D113">
            <v>95</v>
          </cell>
          <cell r="I113" t="str">
            <v>A07</v>
          </cell>
          <cell r="L113" t="str">
            <v>V81</v>
          </cell>
          <cell r="N113">
            <v>0</v>
          </cell>
          <cell r="O113">
            <v>-1</v>
          </cell>
          <cell r="P113">
            <v>0</v>
          </cell>
          <cell r="Q113">
            <v>2004</v>
          </cell>
          <cell r="R113" t="str">
            <v>DEARBORN PLANT BUILD</v>
          </cell>
          <cell r="S113" t="str">
            <v>P221/P397</v>
          </cell>
          <cell r="T113" t="str">
            <v>Radio Improper Function</v>
          </cell>
          <cell r="U113" t="str">
            <v>Radio Replaced. / Duplicate Claim.</v>
          </cell>
          <cell r="V113" t="str">
            <v>ALL</v>
          </cell>
          <cell r="W113">
            <v>6</v>
          </cell>
          <cell r="Z113">
            <v>1</v>
          </cell>
          <cell r="AA113">
            <v>1</v>
          </cell>
          <cell r="AD113">
            <v>4</v>
          </cell>
        </row>
        <row r="114">
          <cell r="A114">
            <v>0</v>
          </cell>
          <cell r="B114" t="str">
            <v>ALL VRTS</v>
          </cell>
          <cell r="D114">
            <v>95</v>
          </cell>
          <cell r="I114" t="str">
            <v>A07</v>
          </cell>
          <cell r="J114" t="str">
            <v>A02</v>
          </cell>
          <cell r="K114" t="str">
            <v>A06</v>
          </cell>
          <cell r="L114" t="str">
            <v>V81</v>
          </cell>
          <cell r="N114">
            <v>0</v>
          </cell>
          <cell r="O114">
            <v>0</v>
          </cell>
          <cell r="P114">
            <v>-1</v>
          </cell>
          <cell r="Q114">
            <v>2004</v>
          </cell>
          <cell r="R114" t="str">
            <v>DEARBORN PLANT BUILD</v>
          </cell>
          <cell r="S114" t="str">
            <v>P221/P397</v>
          </cell>
          <cell r="T114" t="str">
            <v>Radio Improper Function</v>
          </cell>
          <cell r="U114" t="str">
            <v>Connection Behind Glove Box Connected.</v>
          </cell>
          <cell r="V114" t="str">
            <v>ALL</v>
          </cell>
          <cell r="W114">
            <v>4</v>
          </cell>
          <cell r="AC114">
            <v>1</v>
          </cell>
          <cell r="AD114">
            <v>3</v>
          </cell>
        </row>
        <row r="115">
          <cell r="A115">
            <v>0</v>
          </cell>
          <cell r="B115" t="str">
            <v>ALL VRTS</v>
          </cell>
          <cell r="D115">
            <v>95</v>
          </cell>
          <cell r="I115" t="str">
            <v>A02</v>
          </cell>
          <cell r="J115" t="str">
            <v>A04</v>
          </cell>
          <cell r="L115" t="str">
            <v>V81</v>
          </cell>
          <cell r="N115">
            <v>0</v>
          </cell>
          <cell r="O115">
            <v>0</v>
          </cell>
          <cell r="P115">
            <v>-1</v>
          </cell>
          <cell r="Q115">
            <v>2004</v>
          </cell>
          <cell r="R115" t="str">
            <v>DEARBORN PLANT BUILD</v>
          </cell>
          <cell r="S115" t="str">
            <v>P221/P397</v>
          </cell>
          <cell r="T115" t="str">
            <v>Radio Improper Function</v>
          </cell>
          <cell r="U115" t="str">
            <v>Antenna at mast not connected</v>
          </cell>
          <cell r="V115" t="str">
            <v>ALL</v>
          </cell>
          <cell r="W115">
            <v>3</v>
          </cell>
          <cell r="AB115">
            <v>1</v>
          </cell>
          <cell r="AE115">
            <v>2</v>
          </cell>
        </row>
        <row r="116">
          <cell r="A116">
            <v>0</v>
          </cell>
          <cell r="B116" t="str">
            <v>ALL VRTS</v>
          </cell>
          <cell r="D116">
            <v>95</v>
          </cell>
          <cell r="I116" t="str">
            <v>A06</v>
          </cell>
          <cell r="J116" t="str">
            <v>A07</v>
          </cell>
          <cell r="L116" t="str">
            <v>V81</v>
          </cell>
          <cell r="N116">
            <v>0</v>
          </cell>
          <cell r="O116">
            <v>0</v>
          </cell>
          <cell r="P116">
            <v>-1</v>
          </cell>
          <cell r="Q116">
            <v>2004</v>
          </cell>
          <cell r="R116" t="str">
            <v>DEARBORN PLANT BUILD</v>
          </cell>
          <cell r="S116" t="str">
            <v>P221/P397</v>
          </cell>
          <cell r="T116" t="str">
            <v>Radio Improper Function</v>
          </cell>
          <cell r="U116" t="str">
            <v>N/C Speaker</v>
          </cell>
          <cell r="V116" t="str">
            <v>ALL</v>
          </cell>
          <cell r="W116">
            <v>3</v>
          </cell>
          <cell r="AA116">
            <v>2</v>
          </cell>
          <cell r="AC116">
            <v>1</v>
          </cell>
        </row>
        <row r="117">
          <cell r="A117">
            <v>0</v>
          </cell>
          <cell r="B117" t="str">
            <v>ALL VRTS</v>
          </cell>
          <cell r="D117">
            <v>95</v>
          </cell>
          <cell r="I117" t="str">
            <v>A07</v>
          </cell>
          <cell r="J117" t="str">
            <v>A04</v>
          </cell>
          <cell r="L117" t="str">
            <v>V81</v>
          </cell>
          <cell r="N117">
            <v>0</v>
          </cell>
          <cell r="O117">
            <v>-1</v>
          </cell>
          <cell r="P117">
            <v>0</v>
          </cell>
          <cell r="Q117">
            <v>2004</v>
          </cell>
          <cell r="R117" t="str">
            <v>DEARBORN PLANT BUILD</v>
          </cell>
          <cell r="S117" t="str">
            <v>P221/P397</v>
          </cell>
          <cell r="T117" t="str">
            <v>Radio Improper Function</v>
          </cell>
          <cell r="U117" t="str">
            <v>Radio Reinstalled, Repaired shorted wiring.</v>
          </cell>
          <cell r="V117" t="str">
            <v>ALL</v>
          </cell>
          <cell r="W117">
            <v>3</v>
          </cell>
          <cell r="AD117">
            <v>1</v>
          </cell>
          <cell r="AE117">
            <v>2</v>
          </cell>
        </row>
        <row r="118">
          <cell r="A118">
            <v>0</v>
          </cell>
          <cell r="B118" t="str">
            <v>ALL VRTS</v>
          </cell>
          <cell r="D118">
            <v>95</v>
          </cell>
          <cell r="I118" t="str">
            <v>A02</v>
          </cell>
          <cell r="J118" t="str">
            <v>A06</v>
          </cell>
          <cell r="L118" t="str">
            <v>V81</v>
          </cell>
          <cell r="N118">
            <v>0</v>
          </cell>
          <cell r="O118">
            <v>0</v>
          </cell>
          <cell r="P118">
            <v>-1</v>
          </cell>
          <cell r="Q118">
            <v>2004</v>
          </cell>
          <cell r="R118" t="str">
            <v>DEARBORN PLANT BUILD</v>
          </cell>
          <cell r="S118" t="str">
            <v>P221/P397</v>
          </cell>
          <cell r="T118" t="str">
            <v>Radio Improper Function</v>
          </cell>
          <cell r="U118" t="str">
            <v>BENT  TERMINAL IN C2095</v>
          </cell>
          <cell r="V118" t="str">
            <v>ALL</v>
          </cell>
          <cell r="W118">
            <v>2</v>
          </cell>
          <cell r="Y118">
            <v>1</v>
          </cell>
          <cell r="AD118">
            <v>1</v>
          </cell>
        </row>
        <row r="119">
          <cell r="A119">
            <v>0</v>
          </cell>
          <cell r="B119" t="str">
            <v>ALL VRTS</v>
          </cell>
          <cell r="D119">
            <v>95</v>
          </cell>
          <cell r="I119" t="str">
            <v>A04</v>
          </cell>
          <cell r="L119" t="str">
            <v>V81</v>
          </cell>
          <cell r="N119">
            <v>-1</v>
          </cell>
          <cell r="O119">
            <v>-1</v>
          </cell>
          <cell r="P119">
            <v>0</v>
          </cell>
          <cell r="Q119">
            <v>2004</v>
          </cell>
          <cell r="R119" t="str">
            <v>DEARBORN PLANT BUILD</v>
          </cell>
          <cell r="S119" t="str">
            <v>P221/P397</v>
          </cell>
          <cell r="T119" t="str">
            <v>Radio Improper Function</v>
          </cell>
          <cell r="U119" t="str">
            <v>BENT  TERMINAL IN C2108</v>
          </cell>
          <cell r="V119" t="str">
            <v>ALL</v>
          </cell>
          <cell r="W119">
            <v>2</v>
          </cell>
          <cell r="AD119">
            <v>2</v>
          </cell>
        </row>
        <row r="120">
          <cell r="A120">
            <v>0</v>
          </cell>
          <cell r="B120" t="str">
            <v>ALL VRTS</v>
          </cell>
          <cell r="D120">
            <v>95</v>
          </cell>
          <cell r="I120" t="str">
            <v>A07</v>
          </cell>
          <cell r="L120" t="str">
            <v>V81</v>
          </cell>
          <cell r="N120">
            <v>0</v>
          </cell>
          <cell r="O120">
            <v>0</v>
          </cell>
          <cell r="P120">
            <v>-1</v>
          </cell>
          <cell r="Q120">
            <v>2004</v>
          </cell>
          <cell r="R120" t="str">
            <v>DEARBORN PLANT BUILD</v>
          </cell>
          <cell r="S120" t="str">
            <v>P221/P397</v>
          </cell>
          <cell r="T120" t="str">
            <v>Radio Improper Function</v>
          </cell>
          <cell r="U120" t="str">
            <v>Door ajar, no connect</v>
          </cell>
          <cell r="V120" t="str">
            <v>ALL</v>
          </cell>
          <cell r="W120">
            <v>2</v>
          </cell>
          <cell r="AB120">
            <v>1</v>
          </cell>
          <cell r="AC120">
            <v>1</v>
          </cell>
        </row>
        <row r="121">
          <cell r="A121">
            <v>0</v>
          </cell>
          <cell r="B121" t="str">
            <v>ALL VRTS</v>
          </cell>
          <cell r="D121">
            <v>95</v>
          </cell>
          <cell r="I121" t="str">
            <v>A07</v>
          </cell>
          <cell r="L121" t="str">
            <v>V81</v>
          </cell>
          <cell r="N121">
            <v>0</v>
          </cell>
          <cell r="O121">
            <v>-1</v>
          </cell>
          <cell r="P121">
            <v>0</v>
          </cell>
          <cell r="Q121">
            <v>2004</v>
          </cell>
          <cell r="R121" t="str">
            <v>DEARBORN PLANT BUILD</v>
          </cell>
          <cell r="S121" t="str">
            <v>P221/P397</v>
          </cell>
          <cell r="T121" t="str">
            <v>Radio Improper Function</v>
          </cell>
          <cell r="U121" t="str">
            <v>Radio Reinstalled</v>
          </cell>
          <cell r="V121" t="str">
            <v>ALL</v>
          </cell>
          <cell r="W121">
            <v>2</v>
          </cell>
          <cell r="Y121">
            <v>1</v>
          </cell>
          <cell r="Z121">
            <v>1</v>
          </cell>
        </row>
        <row r="122">
          <cell r="A122">
            <v>0</v>
          </cell>
          <cell r="B122" t="str">
            <v>ALL VRTS</v>
          </cell>
          <cell r="D122">
            <v>95</v>
          </cell>
          <cell r="I122" t="str">
            <v>A06</v>
          </cell>
          <cell r="L122" t="str">
            <v>V81</v>
          </cell>
          <cell r="N122">
            <v>0</v>
          </cell>
          <cell r="O122">
            <v>-1</v>
          </cell>
          <cell r="P122">
            <v>0</v>
          </cell>
          <cell r="Q122">
            <v>2004</v>
          </cell>
          <cell r="R122" t="str">
            <v>DEARBORN PLANT BUILD</v>
          </cell>
          <cell r="S122" t="str">
            <v>P221/P397</v>
          </cell>
          <cell r="T122" t="str">
            <v>Radio Improper Function</v>
          </cell>
          <cell r="U122" t="str">
            <v>Alarm ajusted</v>
          </cell>
          <cell r="V122" t="str">
            <v>ALL</v>
          </cell>
          <cell r="W122">
            <v>1</v>
          </cell>
          <cell r="AE122">
            <v>1</v>
          </cell>
        </row>
        <row r="123">
          <cell r="A123">
            <v>0</v>
          </cell>
          <cell r="B123" t="str">
            <v>ALL VRTS</v>
          </cell>
          <cell r="D123">
            <v>95</v>
          </cell>
          <cell r="I123" t="str">
            <v>A07</v>
          </cell>
          <cell r="L123" t="str">
            <v>V81</v>
          </cell>
          <cell r="N123">
            <v>0</v>
          </cell>
          <cell r="O123">
            <v>0</v>
          </cell>
          <cell r="P123">
            <v>-1</v>
          </cell>
          <cell r="Q123">
            <v>2004</v>
          </cell>
          <cell r="R123" t="str">
            <v>DEARBORN PLANT BUILD</v>
          </cell>
          <cell r="S123" t="str">
            <v>P221/P397</v>
          </cell>
          <cell r="T123" t="str">
            <v>Radio Improper Function</v>
          </cell>
          <cell r="U123" t="str">
            <v>Damaged, face, cracked.</v>
          </cell>
          <cell r="V123" t="str">
            <v>ALL</v>
          </cell>
          <cell r="W123">
            <v>1</v>
          </cell>
          <cell r="AD123">
            <v>1</v>
          </cell>
        </row>
        <row r="124">
          <cell r="A124">
            <v>0</v>
          </cell>
          <cell r="B124" t="str">
            <v>ALL VRTS</v>
          </cell>
          <cell r="D124">
            <v>95</v>
          </cell>
          <cell r="I124" t="str">
            <v>A07</v>
          </cell>
          <cell r="L124" t="str">
            <v>V81</v>
          </cell>
          <cell r="N124">
            <v>0</v>
          </cell>
          <cell r="O124">
            <v>-1</v>
          </cell>
          <cell r="P124">
            <v>-1</v>
          </cell>
          <cell r="Q124">
            <v>2004</v>
          </cell>
          <cell r="R124" t="str">
            <v>DEARBORN PLANT BUILD</v>
          </cell>
          <cell r="S124" t="str">
            <v>P221/P397</v>
          </cell>
          <cell r="T124" t="str">
            <v>Radio Improper Function</v>
          </cell>
          <cell r="U124" t="str">
            <v>Fuse Replace</v>
          </cell>
          <cell r="V124" t="str">
            <v>ALL</v>
          </cell>
          <cell r="W124">
            <v>1</v>
          </cell>
          <cell r="Y124">
            <v>1</v>
          </cell>
        </row>
        <row r="125">
          <cell r="A125">
            <v>0</v>
          </cell>
          <cell r="B125" t="str">
            <v>ALL VRTS</v>
          </cell>
          <cell r="D125">
            <v>95</v>
          </cell>
          <cell r="I125" t="str">
            <v>A16</v>
          </cell>
          <cell r="L125" t="str">
            <v>V81</v>
          </cell>
          <cell r="N125">
            <v>0</v>
          </cell>
          <cell r="O125">
            <v>-1</v>
          </cell>
          <cell r="P125">
            <v>0</v>
          </cell>
          <cell r="Q125">
            <v>2004</v>
          </cell>
          <cell r="R125" t="str">
            <v>DEARBORN PLANT BUILD</v>
          </cell>
          <cell r="S125" t="str">
            <v>P221/P397</v>
          </cell>
          <cell r="T125" t="str">
            <v>Radio Improper Function</v>
          </cell>
          <cell r="U125" t="str">
            <v>Loose connector 290A</v>
          </cell>
          <cell r="V125" t="str">
            <v>ALL</v>
          </cell>
          <cell r="W125">
            <v>1</v>
          </cell>
          <cell r="AB125">
            <v>1</v>
          </cell>
        </row>
        <row r="126">
          <cell r="A126">
            <v>0</v>
          </cell>
          <cell r="B126" t="str">
            <v>ALL VRTS</v>
          </cell>
          <cell r="D126">
            <v>95</v>
          </cell>
          <cell r="I126" t="str">
            <v>A07</v>
          </cell>
          <cell r="L126" t="str">
            <v>V81</v>
          </cell>
          <cell r="N126">
            <v>0</v>
          </cell>
          <cell r="O126">
            <v>0</v>
          </cell>
          <cell r="P126">
            <v>-1</v>
          </cell>
          <cell r="Q126">
            <v>2004</v>
          </cell>
          <cell r="R126" t="str">
            <v>DEARBORN PLANT BUILD</v>
          </cell>
          <cell r="S126" t="str">
            <v>P221/P397</v>
          </cell>
          <cell r="T126" t="str">
            <v>Radio Improper Function</v>
          </cell>
          <cell r="U126" t="str">
            <v>Loose connector405A</v>
          </cell>
          <cell r="V126" t="str">
            <v>ALL</v>
          </cell>
          <cell r="W126">
            <v>1</v>
          </cell>
          <cell r="AB126">
            <v>1</v>
          </cell>
        </row>
        <row r="127">
          <cell r="A127">
            <v>0</v>
          </cell>
          <cell r="B127" t="str">
            <v>ALL VRTS</v>
          </cell>
          <cell r="D127">
            <v>95</v>
          </cell>
          <cell r="I127" t="str">
            <v>A06</v>
          </cell>
          <cell r="L127" t="str">
            <v>V81</v>
          </cell>
          <cell r="N127">
            <v>0</v>
          </cell>
          <cell r="O127">
            <v>0</v>
          </cell>
          <cell r="P127">
            <v>-1</v>
          </cell>
          <cell r="Q127">
            <v>2004</v>
          </cell>
          <cell r="R127" t="str">
            <v>DEARBORN PLANT BUILD</v>
          </cell>
          <cell r="S127" t="str">
            <v>P221/P397</v>
          </cell>
          <cell r="T127" t="str">
            <v>Radio Improper Function</v>
          </cell>
          <cell r="U127" t="str">
            <v>Open Circult in C612</v>
          </cell>
          <cell r="V127" t="str">
            <v>ALL</v>
          </cell>
          <cell r="W127">
            <v>1</v>
          </cell>
          <cell r="AE127">
            <v>1</v>
          </cell>
        </row>
        <row r="128">
          <cell r="A128">
            <v>0</v>
          </cell>
          <cell r="B128" t="str">
            <v>ALL VRTS</v>
          </cell>
          <cell r="D128">
            <v>95</v>
          </cell>
          <cell r="I128" t="str">
            <v>A06</v>
          </cell>
          <cell r="L128" t="str">
            <v>V81</v>
          </cell>
          <cell r="N128">
            <v>0</v>
          </cell>
          <cell r="O128">
            <v>0</v>
          </cell>
          <cell r="P128">
            <v>-1</v>
          </cell>
          <cell r="Q128">
            <v>2004</v>
          </cell>
          <cell r="R128" t="str">
            <v>DEARBORN PLANT BUILD</v>
          </cell>
          <cell r="S128" t="str">
            <v>P221/P397</v>
          </cell>
          <cell r="T128" t="str">
            <v>Radio Improper Function</v>
          </cell>
          <cell r="U128" t="str">
            <v>Repaired Open Circuit C5234</v>
          </cell>
          <cell r="V128" t="str">
            <v>ALL</v>
          </cell>
          <cell r="W128">
            <v>1</v>
          </cell>
          <cell r="AC128">
            <v>1</v>
          </cell>
        </row>
        <row r="129">
          <cell r="A129">
            <v>0</v>
          </cell>
          <cell r="B129" t="str">
            <v>ALL VRTS</v>
          </cell>
          <cell r="D129">
            <v>95</v>
          </cell>
          <cell r="I129" t="str">
            <v>A02</v>
          </cell>
          <cell r="L129" t="str">
            <v>V81</v>
          </cell>
          <cell r="N129">
            <v>0</v>
          </cell>
          <cell r="O129">
            <v>-1</v>
          </cell>
          <cell r="P129">
            <v>0</v>
          </cell>
          <cell r="Q129">
            <v>2004</v>
          </cell>
          <cell r="R129" t="str">
            <v>DEARBORN PLANT BUILD</v>
          </cell>
          <cell r="S129" t="str">
            <v>P221/P397</v>
          </cell>
          <cell r="T129" t="str">
            <v>Radio Improper Function</v>
          </cell>
          <cell r="U129" t="str">
            <v>Replaced Noise Supressor</v>
          </cell>
          <cell r="V129" t="str">
            <v>ALL</v>
          </cell>
          <cell r="W129">
            <v>1</v>
          </cell>
          <cell r="Z129">
            <v>1</v>
          </cell>
        </row>
        <row r="130">
          <cell r="A130">
            <v>0</v>
          </cell>
          <cell r="B130" t="str">
            <v>ALL VRTS</v>
          </cell>
          <cell r="D130">
            <v>95</v>
          </cell>
          <cell r="I130" t="str">
            <v>A04</v>
          </cell>
          <cell r="L130" t="str">
            <v>V81</v>
          </cell>
          <cell r="N130">
            <v>0</v>
          </cell>
          <cell r="O130">
            <v>-1</v>
          </cell>
          <cell r="P130">
            <v>-1</v>
          </cell>
          <cell r="Q130">
            <v>2004</v>
          </cell>
          <cell r="R130" t="str">
            <v>DEARBORN PLANT BUILD</v>
          </cell>
          <cell r="S130" t="str">
            <v>P221/P397</v>
          </cell>
          <cell r="T130" t="str">
            <v>Radio Improper Function</v>
          </cell>
          <cell r="U130" t="str">
            <v>Replaced Switch in Door</v>
          </cell>
          <cell r="V130" t="str">
            <v>ALL</v>
          </cell>
          <cell r="W130">
            <v>1</v>
          </cell>
          <cell r="AD130">
            <v>1</v>
          </cell>
        </row>
        <row r="131">
          <cell r="A131">
            <v>0</v>
          </cell>
          <cell r="B131" t="str">
            <v>ALL VRTS</v>
          </cell>
          <cell r="D131">
            <v>77</v>
          </cell>
          <cell r="E131" t="str">
            <v>5590</v>
          </cell>
          <cell r="G131" t="str">
            <v>T4E24R</v>
          </cell>
          <cell r="I131" t="str">
            <v>T53</v>
          </cell>
          <cell r="J131" t="str">
            <v>B73</v>
          </cell>
          <cell r="K131" t="str">
            <v>T55</v>
          </cell>
          <cell r="L131" t="str">
            <v>V74</v>
          </cell>
          <cell r="N131">
            <v>0</v>
          </cell>
          <cell r="O131">
            <v>-1</v>
          </cell>
          <cell r="P131">
            <v>0</v>
          </cell>
          <cell r="Q131">
            <v>2004</v>
          </cell>
          <cell r="R131" t="str">
            <v>DEARBORN PLANT BUILD</v>
          </cell>
          <cell r="S131" t="str">
            <v>P221/P397</v>
          </cell>
          <cell r="T131" t="str">
            <v>MOONROOF</v>
          </cell>
          <cell r="U131" t="str">
            <v>GIMP,POOR FIT</v>
          </cell>
          <cell r="V131" t="str">
            <v>ALL</v>
          </cell>
          <cell r="W131">
            <v>70</v>
          </cell>
          <cell r="Y131">
            <v>1</v>
          </cell>
          <cell r="Z131">
            <v>2</v>
          </cell>
          <cell r="AA131">
            <v>3</v>
          </cell>
          <cell r="AB131">
            <v>19</v>
          </cell>
          <cell r="AC131">
            <v>15</v>
          </cell>
          <cell r="AD131">
            <v>19</v>
          </cell>
          <cell r="AE131">
            <v>11</v>
          </cell>
        </row>
        <row r="132">
          <cell r="A132">
            <v>0</v>
          </cell>
          <cell r="B132" t="str">
            <v>ALL VRTS</v>
          </cell>
          <cell r="D132">
            <v>77</v>
          </cell>
          <cell r="I132" t="str">
            <v>B73</v>
          </cell>
          <cell r="J132" t="str">
            <v>T90</v>
          </cell>
          <cell r="L132" t="str">
            <v>V74</v>
          </cell>
          <cell r="N132">
            <v>0</v>
          </cell>
          <cell r="O132">
            <v>-1</v>
          </cell>
          <cell r="P132">
            <v>0</v>
          </cell>
          <cell r="Q132">
            <v>2004</v>
          </cell>
          <cell r="R132" t="str">
            <v>DEARBORN PLANT BUILD</v>
          </cell>
          <cell r="S132" t="str">
            <v>P221/P397</v>
          </cell>
          <cell r="T132" t="str">
            <v>MOONROOF</v>
          </cell>
          <cell r="U132" t="str">
            <v>SUNSHADE</v>
          </cell>
          <cell r="V132" t="str">
            <v>ALL</v>
          </cell>
          <cell r="W132">
            <v>6</v>
          </cell>
          <cell r="AC132">
            <v>2</v>
          </cell>
          <cell r="AD132">
            <v>2</v>
          </cell>
          <cell r="AE132">
            <v>2</v>
          </cell>
        </row>
        <row r="133">
          <cell r="A133">
            <v>0</v>
          </cell>
          <cell r="B133" t="str">
            <v>ALL VRTS</v>
          </cell>
          <cell r="D133">
            <v>77</v>
          </cell>
          <cell r="E133" t="str">
            <v>5590</v>
          </cell>
          <cell r="G133" t="str">
            <v>T4E24R</v>
          </cell>
          <cell r="I133" t="str">
            <v>T53</v>
          </cell>
          <cell r="L133" t="str">
            <v>V74</v>
          </cell>
          <cell r="N133">
            <v>0</v>
          </cell>
          <cell r="O133">
            <v>-1</v>
          </cell>
          <cell r="P133">
            <v>-1</v>
          </cell>
          <cell r="Q133">
            <v>2004</v>
          </cell>
          <cell r="R133" t="str">
            <v>DEARBORN PLANT BUILD</v>
          </cell>
          <cell r="S133" t="str">
            <v>P221/P397</v>
          </cell>
          <cell r="T133" t="str">
            <v>MOONROOF</v>
          </cell>
          <cell r="U133" t="str">
            <v>GIMP,MISSING</v>
          </cell>
          <cell r="V133" t="str">
            <v>ALL</v>
          </cell>
          <cell r="W133">
            <v>1</v>
          </cell>
          <cell r="AB133">
            <v>1</v>
          </cell>
        </row>
        <row r="134">
          <cell r="A134">
            <v>0</v>
          </cell>
          <cell r="B134" t="str">
            <v>ALL VRTS</v>
          </cell>
          <cell r="D134">
            <v>59</v>
          </cell>
          <cell r="I134" t="str">
            <v>F1*</v>
          </cell>
          <cell r="J134" t="str">
            <v>F2*</v>
          </cell>
          <cell r="K134" t="str">
            <v>A9*</v>
          </cell>
          <cell r="L134" t="str">
            <v>V00</v>
          </cell>
          <cell r="N134">
            <v>-1</v>
          </cell>
          <cell r="O134">
            <v>-1</v>
          </cell>
          <cell r="P134">
            <v>-1</v>
          </cell>
          <cell r="Q134">
            <v>2004</v>
          </cell>
          <cell r="R134" t="str">
            <v>DEARBORN PLANT BUILD</v>
          </cell>
          <cell r="S134" t="str">
            <v>P221/P397</v>
          </cell>
          <cell r="T134" t="str">
            <v>Industrial Fallout</v>
          </cell>
          <cell r="U134" t="str">
            <v>Industrial fallout removal procedure</v>
          </cell>
          <cell r="V134" t="str">
            <v>ALL</v>
          </cell>
          <cell r="W134">
            <v>59</v>
          </cell>
          <cell r="Z134">
            <v>5</v>
          </cell>
          <cell r="AA134">
            <v>6</v>
          </cell>
          <cell r="AB134">
            <v>7</v>
          </cell>
          <cell r="AC134">
            <v>14</v>
          </cell>
          <cell r="AD134">
            <v>22</v>
          </cell>
          <cell r="AE134">
            <v>5</v>
          </cell>
        </row>
        <row r="135">
          <cell r="A135">
            <v>0</v>
          </cell>
          <cell r="B135" t="str">
            <v>ALL VRTS</v>
          </cell>
          <cell r="D135">
            <v>52</v>
          </cell>
          <cell r="I135" t="str">
            <v>F20</v>
          </cell>
          <cell r="J135" t="str">
            <v>F13</v>
          </cell>
          <cell r="L135" t="str">
            <v>V33</v>
          </cell>
          <cell r="N135">
            <v>0</v>
          </cell>
          <cell r="O135">
            <v>0</v>
          </cell>
          <cell r="P135">
            <v>-1</v>
          </cell>
          <cell r="Q135">
            <v>2004</v>
          </cell>
          <cell r="R135" t="str">
            <v>DEARBORN PLANT BUILD</v>
          </cell>
          <cell r="S135" t="str">
            <v>P221/P397</v>
          </cell>
          <cell r="T135" t="str">
            <v>Dirt in Paint</v>
          </cell>
          <cell r="U135" t="str">
            <v>L/S Bed</v>
          </cell>
          <cell r="V135" t="str">
            <v>ALL</v>
          </cell>
          <cell r="W135">
            <v>8</v>
          </cell>
          <cell r="AA135">
            <v>1</v>
          </cell>
          <cell r="AB135">
            <v>2</v>
          </cell>
          <cell r="AC135">
            <v>3</v>
          </cell>
          <cell r="AD135">
            <v>1</v>
          </cell>
          <cell r="AE135">
            <v>1</v>
          </cell>
        </row>
        <row r="136">
          <cell r="A136">
            <v>0</v>
          </cell>
          <cell r="B136" t="str">
            <v>ALL VRTS</v>
          </cell>
          <cell r="D136">
            <v>52</v>
          </cell>
          <cell r="I136" t="str">
            <v>F20</v>
          </cell>
          <cell r="L136" t="str">
            <v>V33</v>
          </cell>
          <cell r="N136">
            <v>0</v>
          </cell>
          <cell r="O136">
            <v>0</v>
          </cell>
          <cell r="P136">
            <v>-1</v>
          </cell>
          <cell r="Q136">
            <v>2004</v>
          </cell>
          <cell r="R136" t="str">
            <v>DEARBORN PLANT BUILD</v>
          </cell>
          <cell r="S136" t="str">
            <v>P221/P397</v>
          </cell>
          <cell r="T136" t="str">
            <v>Dirt in Paint</v>
          </cell>
          <cell r="U136" t="str">
            <v>R/S Bed</v>
          </cell>
          <cell r="V136" t="str">
            <v>ALL</v>
          </cell>
          <cell r="W136">
            <v>7</v>
          </cell>
          <cell r="AB136">
            <v>3</v>
          </cell>
          <cell r="AC136">
            <v>2</v>
          </cell>
          <cell r="AD136">
            <v>2</v>
          </cell>
        </row>
        <row r="137">
          <cell r="A137">
            <v>0</v>
          </cell>
          <cell r="B137" t="str">
            <v>ALL VRTS</v>
          </cell>
          <cell r="D137">
            <v>52</v>
          </cell>
          <cell r="I137" t="str">
            <v>F20</v>
          </cell>
          <cell r="L137" t="str">
            <v>V33</v>
          </cell>
          <cell r="N137">
            <v>0</v>
          </cell>
          <cell r="O137">
            <v>0</v>
          </cell>
          <cell r="P137">
            <v>-1</v>
          </cell>
          <cell r="Q137">
            <v>2004</v>
          </cell>
          <cell r="R137" t="str">
            <v>DEARBORN PLANT BUILD</v>
          </cell>
          <cell r="S137" t="str">
            <v>P221/P397</v>
          </cell>
          <cell r="T137" t="str">
            <v>Dirt in Paint</v>
          </cell>
          <cell r="U137" t="str">
            <v>L/S Door</v>
          </cell>
          <cell r="V137" t="str">
            <v>ALL</v>
          </cell>
          <cell r="W137">
            <v>6</v>
          </cell>
          <cell r="AB137">
            <v>1</v>
          </cell>
          <cell r="AC137">
            <v>2</v>
          </cell>
          <cell r="AD137">
            <v>2</v>
          </cell>
          <cell r="AE137">
            <v>1</v>
          </cell>
        </row>
        <row r="138">
          <cell r="A138">
            <v>0</v>
          </cell>
          <cell r="B138" t="str">
            <v>ALL VRTS</v>
          </cell>
          <cell r="D138">
            <v>52</v>
          </cell>
          <cell r="I138" t="str">
            <v>F20</v>
          </cell>
          <cell r="L138" t="str">
            <v>V33</v>
          </cell>
          <cell r="N138">
            <v>0</v>
          </cell>
          <cell r="O138">
            <v>0</v>
          </cell>
          <cell r="P138">
            <v>-1</v>
          </cell>
          <cell r="Q138">
            <v>2004</v>
          </cell>
          <cell r="R138" t="str">
            <v>DEARBORN PLANT BUILD</v>
          </cell>
          <cell r="S138" t="str">
            <v>P221/P397</v>
          </cell>
          <cell r="T138" t="str">
            <v>Dirt in Paint</v>
          </cell>
          <cell r="U138" t="str">
            <v>L/S Rear Door</v>
          </cell>
          <cell r="V138" t="str">
            <v>ALL</v>
          </cell>
          <cell r="W138">
            <v>5</v>
          </cell>
          <cell r="AB138">
            <v>1</v>
          </cell>
          <cell r="AC138">
            <v>2</v>
          </cell>
          <cell r="AD138">
            <v>1</v>
          </cell>
          <cell r="AE138">
            <v>1</v>
          </cell>
        </row>
        <row r="139">
          <cell r="A139">
            <v>0</v>
          </cell>
          <cell r="B139" t="str">
            <v>ALL VRTS</v>
          </cell>
          <cell r="D139">
            <v>52</v>
          </cell>
          <cell r="I139" t="str">
            <v>F20</v>
          </cell>
          <cell r="L139" t="str">
            <v>V33</v>
          </cell>
          <cell r="N139">
            <v>0</v>
          </cell>
          <cell r="O139">
            <v>0</v>
          </cell>
          <cell r="P139">
            <v>-1</v>
          </cell>
          <cell r="Q139">
            <v>2004</v>
          </cell>
          <cell r="R139" t="str">
            <v>DEARBORN PLANT BUILD</v>
          </cell>
          <cell r="S139" t="str">
            <v>P221/P397</v>
          </cell>
          <cell r="T139" t="str">
            <v>Dirt in Paint</v>
          </cell>
          <cell r="U139" t="str">
            <v>L/S Front Fender</v>
          </cell>
          <cell r="V139" t="str">
            <v>ALL</v>
          </cell>
          <cell r="W139">
            <v>4</v>
          </cell>
          <cell r="AB139">
            <v>2</v>
          </cell>
          <cell r="AD139">
            <v>1</v>
          </cell>
          <cell r="AE139">
            <v>1</v>
          </cell>
        </row>
        <row r="140">
          <cell r="A140">
            <v>0</v>
          </cell>
          <cell r="B140" t="str">
            <v>ALL VRTS</v>
          </cell>
          <cell r="D140">
            <v>52</v>
          </cell>
          <cell r="I140" t="str">
            <v>F20</v>
          </cell>
          <cell r="L140" t="str">
            <v>V33</v>
          </cell>
          <cell r="N140">
            <v>0</v>
          </cell>
          <cell r="O140">
            <v>0</v>
          </cell>
          <cell r="P140">
            <v>-1</v>
          </cell>
          <cell r="Q140">
            <v>2004</v>
          </cell>
          <cell r="R140" t="str">
            <v>DEARBORN PLANT BUILD</v>
          </cell>
          <cell r="S140" t="str">
            <v>P221/P397</v>
          </cell>
          <cell r="T140" t="str">
            <v>Dirt in Paint</v>
          </cell>
          <cell r="U140" t="str">
            <v>R/S Rear Door</v>
          </cell>
          <cell r="V140" t="str">
            <v>ALL</v>
          </cell>
          <cell r="W140">
            <v>4</v>
          </cell>
          <cell r="AA140">
            <v>1</v>
          </cell>
          <cell r="AC140">
            <v>1</v>
          </cell>
          <cell r="AD140">
            <v>2</v>
          </cell>
        </row>
        <row r="141">
          <cell r="A141">
            <v>0</v>
          </cell>
          <cell r="B141" t="str">
            <v>ALL VRTS</v>
          </cell>
          <cell r="D141">
            <v>52</v>
          </cell>
          <cell r="I141" t="str">
            <v>F20</v>
          </cell>
          <cell r="J141" t="str">
            <v>F04</v>
          </cell>
          <cell r="L141" t="str">
            <v>V33</v>
          </cell>
          <cell r="N141">
            <v>0</v>
          </cell>
          <cell r="O141">
            <v>0</v>
          </cell>
          <cell r="P141">
            <v>-1</v>
          </cell>
          <cell r="Q141">
            <v>2004</v>
          </cell>
          <cell r="R141" t="str">
            <v>DEARBORN PLANT BUILD</v>
          </cell>
          <cell r="S141" t="str">
            <v>P221/P397</v>
          </cell>
          <cell r="T141" t="str">
            <v>Dirt in Paint</v>
          </cell>
          <cell r="U141" t="str">
            <v>Hood</v>
          </cell>
          <cell r="V141" t="str">
            <v>ALL</v>
          </cell>
          <cell r="W141">
            <v>3</v>
          </cell>
          <cell r="AD141">
            <v>2</v>
          </cell>
          <cell r="AE141">
            <v>1</v>
          </cell>
        </row>
        <row r="142">
          <cell r="A142">
            <v>0</v>
          </cell>
          <cell r="B142" t="str">
            <v>ALL VRTS</v>
          </cell>
          <cell r="D142">
            <v>52</v>
          </cell>
          <cell r="I142" t="str">
            <v>F20</v>
          </cell>
          <cell r="L142" t="str">
            <v>V33</v>
          </cell>
          <cell r="N142">
            <v>0</v>
          </cell>
          <cell r="O142">
            <v>0</v>
          </cell>
          <cell r="P142">
            <v>-1</v>
          </cell>
          <cell r="Q142">
            <v>2004</v>
          </cell>
          <cell r="R142" t="str">
            <v>DEARBORN PLANT BUILD</v>
          </cell>
          <cell r="S142" t="str">
            <v>P221/P397</v>
          </cell>
          <cell r="T142" t="str">
            <v>Dirt in Paint</v>
          </cell>
          <cell r="U142" t="str">
            <v>Multi Panels</v>
          </cell>
          <cell r="V142" t="str">
            <v>ALL</v>
          </cell>
          <cell r="W142">
            <v>3</v>
          </cell>
          <cell r="AD142">
            <v>2</v>
          </cell>
          <cell r="AE142">
            <v>1</v>
          </cell>
        </row>
        <row r="143">
          <cell r="A143">
            <v>0</v>
          </cell>
          <cell r="B143" t="str">
            <v>ALL VRTS</v>
          </cell>
          <cell r="D143">
            <v>52</v>
          </cell>
          <cell r="I143" t="str">
            <v>F20</v>
          </cell>
          <cell r="L143" t="str">
            <v>V33</v>
          </cell>
          <cell r="N143">
            <v>0</v>
          </cell>
          <cell r="O143">
            <v>0</v>
          </cell>
          <cell r="P143">
            <v>-1</v>
          </cell>
          <cell r="Q143">
            <v>2004</v>
          </cell>
          <cell r="R143" t="str">
            <v>DEARBORN PLANT BUILD</v>
          </cell>
          <cell r="S143" t="str">
            <v>P221/P397</v>
          </cell>
          <cell r="T143" t="str">
            <v>Dirt in Paint</v>
          </cell>
          <cell r="U143" t="str">
            <v>R/S Fender</v>
          </cell>
          <cell r="V143" t="str">
            <v>ALL</v>
          </cell>
          <cell r="W143">
            <v>2</v>
          </cell>
          <cell r="AD143">
            <v>1</v>
          </cell>
          <cell r="AE143">
            <v>1</v>
          </cell>
        </row>
        <row r="144">
          <cell r="A144">
            <v>0</v>
          </cell>
          <cell r="B144" t="str">
            <v>ALL VRTS</v>
          </cell>
          <cell r="D144">
            <v>52</v>
          </cell>
          <cell r="I144" t="str">
            <v>F20</v>
          </cell>
          <cell r="L144" t="str">
            <v>V33</v>
          </cell>
          <cell r="N144">
            <v>0</v>
          </cell>
          <cell r="O144">
            <v>0</v>
          </cell>
          <cell r="P144">
            <v>-1</v>
          </cell>
          <cell r="Q144">
            <v>2004</v>
          </cell>
          <cell r="R144" t="str">
            <v>DEARBORN PLANT BUILD</v>
          </cell>
          <cell r="S144" t="str">
            <v>P221/P397</v>
          </cell>
          <cell r="T144" t="str">
            <v>Dirt in Paint</v>
          </cell>
          <cell r="U144" t="str">
            <v>R/S Front Door</v>
          </cell>
          <cell r="V144" t="str">
            <v>ALL</v>
          </cell>
          <cell r="W144">
            <v>2</v>
          </cell>
          <cell r="AB144">
            <v>1</v>
          </cell>
          <cell r="AE144">
            <v>1</v>
          </cell>
        </row>
        <row r="145">
          <cell r="A145">
            <v>0</v>
          </cell>
          <cell r="B145" t="str">
            <v>ALL VRTS</v>
          </cell>
          <cell r="D145">
            <v>52</v>
          </cell>
          <cell r="I145" t="str">
            <v>F20</v>
          </cell>
          <cell r="L145" t="str">
            <v>V33</v>
          </cell>
          <cell r="N145">
            <v>0</v>
          </cell>
          <cell r="O145">
            <v>0</v>
          </cell>
          <cell r="P145">
            <v>-1</v>
          </cell>
          <cell r="Q145">
            <v>2004</v>
          </cell>
          <cell r="R145" t="str">
            <v>DEARBORN PLANT BUILD</v>
          </cell>
          <cell r="S145" t="str">
            <v>P221/P397</v>
          </cell>
          <cell r="T145" t="str">
            <v>Dirt in Paint</v>
          </cell>
          <cell r="U145" t="str">
            <v>Rear Tailgate</v>
          </cell>
          <cell r="V145" t="str">
            <v>ALL</v>
          </cell>
          <cell r="W145">
            <v>2</v>
          </cell>
          <cell r="AD145">
            <v>1</v>
          </cell>
          <cell r="AE145">
            <v>1</v>
          </cell>
        </row>
        <row r="146">
          <cell r="A146">
            <v>0</v>
          </cell>
          <cell r="B146" t="str">
            <v>ALL VRTS</v>
          </cell>
          <cell r="D146">
            <v>52</v>
          </cell>
          <cell r="I146" t="str">
            <v>F20</v>
          </cell>
          <cell r="L146" t="str">
            <v>V33</v>
          </cell>
          <cell r="N146">
            <v>0</v>
          </cell>
          <cell r="O146">
            <v>0</v>
          </cell>
          <cell r="P146">
            <v>-1</v>
          </cell>
          <cell r="Q146">
            <v>2004</v>
          </cell>
          <cell r="R146" t="str">
            <v>DEARBORN PLANT BUILD</v>
          </cell>
          <cell r="S146" t="str">
            <v>P221/P397</v>
          </cell>
          <cell r="T146" t="str">
            <v>Dirt in Paint</v>
          </cell>
          <cell r="U146" t="str">
            <v>Inside Bed</v>
          </cell>
          <cell r="V146" t="str">
            <v>ALL</v>
          </cell>
          <cell r="W146">
            <v>1</v>
          </cell>
          <cell r="AC146">
            <v>1</v>
          </cell>
        </row>
        <row r="147">
          <cell r="A147">
            <v>0</v>
          </cell>
          <cell r="B147" t="str">
            <v>ALL VRTS</v>
          </cell>
          <cell r="D147">
            <v>52</v>
          </cell>
          <cell r="I147" t="str">
            <v>F20</v>
          </cell>
          <cell r="L147" t="str">
            <v>V33</v>
          </cell>
          <cell r="N147">
            <v>0</v>
          </cell>
          <cell r="O147">
            <v>0</v>
          </cell>
          <cell r="P147">
            <v>-1</v>
          </cell>
          <cell r="Q147">
            <v>2004</v>
          </cell>
          <cell r="R147" t="str">
            <v>DEARBORN PLANT BUILD</v>
          </cell>
          <cell r="S147" t="str">
            <v>P221/P397</v>
          </cell>
          <cell r="T147" t="str">
            <v>Dirt in Paint</v>
          </cell>
          <cell r="U147" t="str">
            <v>L/S Front Door Bottom</v>
          </cell>
          <cell r="V147" t="str">
            <v>ALL</v>
          </cell>
          <cell r="W147">
            <v>1</v>
          </cell>
          <cell r="AC147">
            <v>1</v>
          </cell>
        </row>
        <row r="148">
          <cell r="A148">
            <v>0</v>
          </cell>
          <cell r="B148" t="str">
            <v>ALL VRTS</v>
          </cell>
          <cell r="D148">
            <v>52</v>
          </cell>
          <cell r="I148" t="str">
            <v>F07</v>
          </cell>
          <cell r="L148" t="str">
            <v>V33</v>
          </cell>
          <cell r="N148">
            <v>0</v>
          </cell>
          <cell r="O148">
            <v>0</v>
          </cell>
          <cell r="P148">
            <v>-1</v>
          </cell>
          <cell r="Q148">
            <v>2004</v>
          </cell>
          <cell r="R148" t="str">
            <v>DEARBORN PLANT BUILD</v>
          </cell>
          <cell r="S148" t="str">
            <v>P221/P397</v>
          </cell>
          <cell r="T148" t="str">
            <v>Dirt in Paint</v>
          </cell>
          <cell r="U148" t="str">
            <v>L/S Wheelwell</v>
          </cell>
          <cell r="V148" t="str">
            <v>ALL</v>
          </cell>
          <cell r="W148">
            <v>1</v>
          </cell>
          <cell r="AD148">
            <v>1</v>
          </cell>
        </row>
        <row r="149">
          <cell r="A149">
            <v>0</v>
          </cell>
          <cell r="B149" t="str">
            <v>ALL VRTS</v>
          </cell>
          <cell r="D149">
            <v>52</v>
          </cell>
          <cell r="I149" t="str">
            <v>F20</v>
          </cell>
          <cell r="L149" t="str">
            <v>V33</v>
          </cell>
          <cell r="N149">
            <v>0</v>
          </cell>
          <cell r="O149">
            <v>0</v>
          </cell>
          <cell r="P149">
            <v>-1</v>
          </cell>
          <cell r="Q149">
            <v>2004</v>
          </cell>
          <cell r="R149" t="str">
            <v>DEARBORN PLANT BUILD</v>
          </cell>
          <cell r="S149" t="str">
            <v>P221/P397</v>
          </cell>
          <cell r="T149" t="str">
            <v>Dirt in Paint</v>
          </cell>
          <cell r="U149" t="str">
            <v>R/S Tailgate</v>
          </cell>
          <cell r="V149" t="str">
            <v>ALL</v>
          </cell>
          <cell r="W149">
            <v>1</v>
          </cell>
          <cell r="Z149">
            <v>1</v>
          </cell>
        </row>
        <row r="150">
          <cell r="A150">
            <v>0</v>
          </cell>
          <cell r="B150" t="str">
            <v>ALL VRTS</v>
          </cell>
          <cell r="D150">
            <v>52</v>
          </cell>
          <cell r="I150" t="str">
            <v>F07</v>
          </cell>
          <cell r="L150" t="str">
            <v>V33</v>
          </cell>
          <cell r="N150">
            <v>0</v>
          </cell>
          <cell r="O150">
            <v>0</v>
          </cell>
          <cell r="P150">
            <v>-1</v>
          </cell>
          <cell r="Q150">
            <v>2004</v>
          </cell>
          <cell r="R150" t="str">
            <v>DEARBORN PLANT BUILD</v>
          </cell>
          <cell r="S150" t="str">
            <v>P221/P397</v>
          </cell>
          <cell r="T150" t="str">
            <v>Dirt in Paint</v>
          </cell>
          <cell r="U150" t="str">
            <v>Roof</v>
          </cell>
          <cell r="V150" t="str">
            <v>ALL</v>
          </cell>
          <cell r="W150">
            <v>1</v>
          </cell>
          <cell r="AD150">
            <v>1</v>
          </cell>
        </row>
        <row r="151">
          <cell r="A151">
            <v>0</v>
          </cell>
          <cell r="B151" t="str">
            <v>ALL VRTS</v>
          </cell>
          <cell r="D151">
            <v>52</v>
          </cell>
          <cell r="I151" t="str">
            <v>F20</v>
          </cell>
          <cell r="L151" t="str">
            <v>V33</v>
          </cell>
          <cell r="N151">
            <v>0</v>
          </cell>
          <cell r="O151">
            <v>0</v>
          </cell>
          <cell r="P151">
            <v>-1</v>
          </cell>
          <cell r="Q151">
            <v>2004</v>
          </cell>
          <cell r="R151" t="str">
            <v>DEARBORN PLANT BUILD</v>
          </cell>
          <cell r="S151" t="str">
            <v>P221/P397</v>
          </cell>
          <cell r="T151" t="str">
            <v>Dirt in Paint</v>
          </cell>
          <cell r="U151" t="str">
            <v>Tu-Tone Area</v>
          </cell>
          <cell r="V151" t="str">
            <v>ALL</v>
          </cell>
          <cell r="W151">
            <v>1</v>
          </cell>
          <cell r="AD151">
            <v>1</v>
          </cell>
        </row>
        <row r="152">
          <cell r="A152">
            <v>0</v>
          </cell>
          <cell r="B152" t="str">
            <v>ALL VRTS</v>
          </cell>
          <cell r="D152">
            <v>49</v>
          </cell>
          <cell r="I152" t="str">
            <v>L10</v>
          </cell>
          <cell r="J152" t="str">
            <v>L15</v>
          </cell>
          <cell r="L152" t="str">
            <v>V07</v>
          </cell>
          <cell r="N152">
            <v>-1</v>
          </cell>
          <cell r="O152">
            <v>-1</v>
          </cell>
          <cell r="P152">
            <v>0</v>
          </cell>
          <cell r="Q152">
            <v>2004</v>
          </cell>
          <cell r="R152" t="str">
            <v>DEARBORN PLANT BUILD</v>
          </cell>
          <cell r="S152" t="str">
            <v>P221/P397</v>
          </cell>
          <cell r="T152" t="str">
            <v xml:space="preserve"> FUEL FILLER DOOR FUNCTION</v>
          </cell>
          <cell r="U152" t="str">
            <v>FUEL DOOR SPRING DAMAGED</v>
          </cell>
          <cell r="V152" t="str">
            <v>ALL</v>
          </cell>
          <cell r="W152">
            <v>48</v>
          </cell>
          <cell r="Z152">
            <v>18</v>
          </cell>
          <cell r="AA152">
            <v>15</v>
          </cell>
          <cell r="AB152">
            <v>5</v>
          </cell>
          <cell r="AC152">
            <v>6</v>
          </cell>
          <cell r="AD152">
            <v>2</v>
          </cell>
          <cell r="AE152">
            <v>2</v>
          </cell>
        </row>
        <row r="153">
          <cell r="A153">
            <v>0</v>
          </cell>
          <cell r="B153" t="str">
            <v>ALL VRTS</v>
          </cell>
          <cell r="D153">
            <v>49</v>
          </cell>
          <cell r="I153" t="str">
            <v>L10</v>
          </cell>
          <cell r="L153" t="str">
            <v>V07</v>
          </cell>
          <cell r="N153">
            <v>0</v>
          </cell>
          <cell r="O153">
            <v>-1</v>
          </cell>
          <cell r="P153">
            <v>0</v>
          </cell>
          <cell r="Q153">
            <v>2004</v>
          </cell>
          <cell r="R153" t="str">
            <v>DEARBORN PLANT BUILD</v>
          </cell>
          <cell r="S153" t="str">
            <v>P221/P397</v>
          </cell>
          <cell r="T153" t="str">
            <v xml:space="preserve"> FUEL FILLER DOOR FUNCTION</v>
          </cell>
          <cell r="U153" t="str">
            <v>FUEL DOOR ARM BROKE</v>
          </cell>
          <cell r="V153" t="str">
            <v>ALL</v>
          </cell>
          <cell r="W153">
            <v>1</v>
          </cell>
          <cell r="AA153">
            <v>1</v>
          </cell>
        </row>
        <row r="154">
          <cell r="A154">
            <v>0</v>
          </cell>
          <cell r="B154" t="str">
            <v>ALL VRTS</v>
          </cell>
          <cell r="D154">
            <v>44</v>
          </cell>
          <cell r="E154" t="str">
            <v>6500</v>
          </cell>
          <cell r="G154" t="str">
            <v>C4E21L</v>
          </cell>
          <cell r="I154" t="str">
            <v>L72</v>
          </cell>
          <cell r="L154" t="str">
            <v>V44</v>
          </cell>
          <cell r="N154">
            <v>0</v>
          </cell>
          <cell r="O154">
            <v>0</v>
          </cell>
          <cell r="P154">
            <v>-1</v>
          </cell>
          <cell r="Q154">
            <v>2004</v>
          </cell>
          <cell r="R154" t="str">
            <v>DEARBORN PLANT BUILD</v>
          </cell>
          <cell r="S154" t="str">
            <v>P221/P397</v>
          </cell>
          <cell r="T154" t="str">
            <v>TRANSMISSION LEAKS</v>
          </cell>
          <cell r="U154" t="str">
            <v>trans cooler line disconnected</v>
          </cell>
          <cell r="V154" t="str">
            <v>ALL</v>
          </cell>
          <cell r="W154">
            <v>17</v>
          </cell>
          <cell r="Z154">
            <v>1</v>
          </cell>
          <cell r="AA154">
            <v>2</v>
          </cell>
          <cell r="AB154">
            <v>1</v>
          </cell>
          <cell r="AC154">
            <v>3</v>
          </cell>
          <cell r="AD154">
            <v>8</v>
          </cell>
          <cell r="AE154">
            <v>2</v>
          </cell>
        </row>
        <row r="155">
          <cell r="A155">
            <v>0</v>
          </cell>
          <cell r="B155" t="str">
            <v>ALL VRTS</v>
          </cell>
          <cell r="D155">
            <v>44</v>
          </cell>
          <cell r="I155" t="str">
            <v>L72</v>
          </cell>
          <cell r="L155" t="str">
            <v>V44</v>
          </cell>
          <cell r="N155">
            <v>-1</v>
          </cell>
          <cell r="O155">
            <v>-1</v>
          </cell>
          <cell r="P155">
            <v>0</v>
          </cell>
          <cell r="Q155">
            <v>2004</v>
          </cell>
          <cell r="R155" t="str">
            <v>DEARBORN PLANT BUILD</v>
          </cell>
          <cell r="S155" t="str">
            <v>P221/P397</v>
          </cell>
          <cell r="T155" t="str">
            <v>TRANSMISSION LEAKS</v>
          </cell>
          <cell r="U155" t="str">
            <v>converter seal leak</v>
          </cell>
          <cell r="V155" t="str">
            <v>ALL</v>
          </cell>
          <cell r="W155">
            <v>6</v>
          </cell>
          <cell r="AB155">
            <v>1</v>
          </cell>
          <cell r="AD155">
            <v>5</v>
          </cell>
        </row>
        <row r="156">
          <cell r="A156">
            <v>0</v>
          </cell>
          <cell r="B156" t="str">
            <v>ALL VRTS</v>
          </cell>
          <cell r="D156">
            <v>44</v>
          </cell>
          <cell r="E156" t="str">
            <v>6570</v>
          </cell>
          <cell r="G156" t="str">
            <v>C7W09L</v>
          </cell>
          <cell r="I156" t="str">
            <v>L72</v>
          </cell>
          <cell r="L156" t="str">
            <v>V44</v>
          </cell>
          <cell r="N156">
            <v>0</v>
          </cell>
          <cell r="O156">
            <v>-1</v>
          </cell>
          <cell r="P156">
            <v>0</v>
          </cell>
          <cell r="Q156">
            <v>2004</v>
          </cell>
          <cell r="R156" t="str">
            <v>DEARBORN PLANT BUILD</v>
          </cell>
          <cell r="S156" t="str">
            <v>P221/P397</v>
          </cell>
          <cell r="T156" t="str">
            <v>TRANSMISSION LEAKS</v>
          </cell>
          <cell r="U156" t="str">
            <v>dip-stick o-ring leak</v>
          </cell>
          <cell r="V156" t="str">
            <v>ALL</v>
          </cell>
          <cell r="W156">
            <v>5</v>
          </cell>
          <cell r="AC156">
            <v>4</v>
          </cell>
          <cell r="AD156">
            <v>1</v>
          </cell>
        </row>
        <row r="157">
          <cell r="A157">
            <v>0</v>
          </cell>
          <cell r="B157" t="str">
            <v>ALL VRTS</v>
          </cell>
          <cell r="D157">
            <v>44</v>
          </cell>
          <cell r="E157" t="str">
            <v>6500</v>
          </cell>
          <cell r="G157" t="str">
            <v>C4E21L</v>
          </cell>
          <cell r="I157" t="str">
            <v>L72</v>
          </cell>
          <cell r="L157" t="str">
            <v>V44</v>
          </cell>
          <cell r="N157">
            <v>-1</v>
          </cell>
          <cell r="O157">
            <v>0</v>
          </cell>
          <cell r="P157">
            <v>-1</v>
          </cell>
          <cell r="Q157">
            <v>2004</v>
          </cell>
          <cell r="R157" t="str">
            <v>DEARBORN PLANT BUILD</v>
          </cell>
          <cell r="S157" t="str">
            <v>P221/P397</v>
          </cell>
          <cell r="T157" t="str">
            <v>TRANSMISSION LEAKS</v>
          </cell>
          <cell r="U157" t="str">
            <v>replaced cooler line</v>
          </cell>
          <cell r="V157" t="str">
            <v>ALL</v>
          </cell>
          <cell r="W157">
            <v>3</v>
          </cell>
          <cell r="AC157">
            <v>3</v>
          </cell>
        </row>
        <row r="158">
          <cell r="A158">
            <v>0</v>
          </cell>
          <cell r="B158" t="str">
            <v>ALL VRTS</v>
          </cell>
          <cell r="D158">
            <v>44</v>
          </cell>
          <cell r="I158" t="str">
            <v>L72</v>
          </cell>
          <cell r="L158" t="str">
            <v>V44</v>
          </cell>
          <cell r="N158">
            <v>0</v>
          </cell>
          <cell r="O158">
            <v>-1</v>
          </cell>
          <cell r="P158">
            <v>0</v>
          </cell>
          <cell r="Q158">
            <v>2004</v>
          </cell>
          <cell r="R158" t="str">
            <v>DEARBORN PLANT BUILD</v>
          </cell>
          <cell r="S158" t="str">
            <v>P221/P397</v>
          </cell>
          <cell r="T158" t="str">
            <v>TRANSMISSION LEAKS</v>
          </cell>
          <cell r="U158" t="str">
            <v>Ext.Housing seal</v>
          </cell>
          <cell r="V158" t="str">
            <v>ALL</v>
          </cell>
          <cell r="W158">
            <v>2</v>
          </cell>
          <cell r="AE158">
            <v>2</v>
          </cell>
        </row>
        <row r="159">
          <cell r="A159">
            <v>0</v>
          </cell>
          <cell r="B159" t="str">
            <v>ALL VRTS</v>
          </cell>
          <cell r="D159">
            <v>44</v>
          </cell>
          <cell r="I159" t="str">
            <v>L72</v>
          </cell>
          <cell r="L159" t="str">
            <v>V44</v>
          </cell>
          <cell r="N159">
            <v>0</v>
          </cell>
          <cell r="O159">
            <v>-1</v>
          </cell>
          <cell r="P159">
            <v>0</v>
          </cell>
          <cell r="Q159">
            <v>2004</v>
          </cell>
          <cell r="R159" t="str">
            <v>DEARBORN PLANT BUILD</v>
          </cell>
          <cell r="S159" t="str">
            <v>P221/P397</v>
          </cell>
          <cell r="T159" t="str">
            <v>TRANSMISSION LEAKS</v>
          </cell>
          <cell r="U159" t="str">
            <v>Overhauled Transmission</v>
          </cell>
          <cell r="V159" t="str">
            <v>ALL</v>
          </cell>
          <cell r="W159">
            <v>2</v>
          </cell>
          <cell r="AD159">
            <v>1</v>
          </cell>
          <cell r="AE159">
            <v>1</v>
          </cell>
        </row>
        <row r="160">
          <cell r="A160">
            <v>0</v>
          </cell>
          <cell r="B160" t="str">
            <v>ALL VRTS</v>
          </cell>
          <cell r="D160">
            <v>44</v>
          </cell>
          <cell r="E160" t="str">
            <v>6490</v>
          </cell>
          <cell r="G160" t="str">
            <v>C4E25L</v>
          </cell>
          <cell r="I160" t="str">
            <v>L72</v>
          </cell>
          <cell r="L160" t="str">
            <v>V44</v>
          </cell>
          <cell r="N160">
            <v>0</v>
          </cell>
          <cell r="O160">
            <v>-1</v>
          </cell>
          <cell r="P160">
            <v>0</v>
          </cell>
          <cell r="Q160">
            <v>2004</v>
          </cell>
          <cell r="R160" t="str">
            <v>DEARBORN PLANT BUILD</v>
          </cell>
          <cell r="S160" t="str">
            <v>P221/P397</v>
          </cell>
          <cell r="T160" t="str">
            <v>TRANSMISSION LEAKS</v>
          </cell>
          <cell r="U160" t="str">
            <v>replaced transmission</v>
          </cell>
          <cell r="V160" t="str">
            <v>ALL</v>
          </cell>
          <cell r="W160">
            <v>2</v>
          </cell>
          <cell r="AD160">
            <v>1</v>
          </cell>
          <cell r="AE160">
            <v>1</v>
          </cell>
        </row>
        <row r="161">
          <cell r="A161">
            <v>0</v>
          </cell>
          <cell r="B161" t="str">
            <v>ALL VRTS</v>
          </cell>
          <cell r="D161">
            <v>44</v>
          </cell>
          <cell r="I161" t="str">
            <v>L72</v>
          </cell>
          <cell r="L161" t="str">
            <v>V44</v>
          </cell>
          <cell r="N161">
            <v>0</v>
          </cell>
          <cell r="O161">
            <v>-1</v>
          </cell>
          <cell r="P161">
            <v>0</v>
          </cell>
          <cell r="Q161">
            <v>2004</v>
          </cell>
          <cell r="R161" t="str">
            <v>DEARBORN PLANT BUILD</v>
          </cell>
          <cell r="S161" t="str">
            <v>P221/P397</v>
          </cell>
          <cell r="T161" t="str">
            <v>TRANSMISSION LEAKS</v>
          </cell>
          <cell r="U161" t="str">
            <v>Dip-stick tube defective</v>
          </cell>
          <cell r="V161" t="str">
            <v>ALL</v>
          </cell>
          <cell r="W161">
            <v>1</v>
          </cell>
          <cell r="AD161">
            <v>1</v>
          </cell>
        </row>
        <row r="162">
          <cell r="A162">
            <v>0</v>
          </cell>
          <cell r="B162" t="str">
            <v>ALL VRTS</v>
          </cell>
          <cell r="D162">
            <v>44</v>
          </cell>
          <cell r="I162" t="str">
            <v>L72</v>
          </cell>
          <cell r="L162" t="str">
            <v>V44</v>
          </cell>
          <cell r="N162">
            <v>0</v>
          </cell>
          <cell r="O162">
            <v>-1</v>
          </cell>
          <cell r="P162">
            <v>0</v>
          </cell>
          <cell r="Q162">
            <v>2004</v>
          </cell>
          <cell r="R162" t="str">
            <v>DEARBORN PLANT BUILD</v>
          </cell>
          <cell r="S162" t="str">
            <v>P221/P397</v>
          </cell>
          <cell r="T162" t="str">
            <v>TRANSMISSION LEAKS</v>
          </cell>
          <cell r="U162" t="str">
            <v>Front Pump Seal Defective</v>
          </cell>
          <cell r="V162" t="str">
            <v>ALL</v>
          </cell>
          <cell r="W162">
            <v>1</v>
          </cell>
          <cell r="AD162">
            <v>1</v>
          </cell>
        </row>
        <row r="163">
          <cell r="A163">
            <v>0</v>
          </cell>
          <cell r="B163" t="str">
            <v>ALL VRTS</v>
          </cell>
          <cell r="D163">
            <v>44</v>
          </cell>
          <cell r="I163" t="str">
            <v>L72</v>
          </cell>
          <cell r="L163" t="str">
            <v>V44</v>
          </cell>
          <cell r="N163">
            <v>0</v>
          </cell>
          <cell r="O163">
            <v>-1</v>
          </cell>
          <cell r="P163">
            <v>0</v>
          </cell>
          <cell r="Q163">
            <v>2004</v>
          </cell>
          <cell r="R163" t="str">
            <v>DEARBORN PLANT BUILD</v>
          </cell>
          <cell r="S163" t="str">
            <v>P221/P397</v>
          </cell>
          <cell r="T163" t="str">
            <v>TRANSMISSION LEAKS</v>
          </cell>
          <cell r="U163" t="str">
            <v>npf</v>
          </cell>
          <cell r="V163" t="str">
            <v>ALL</v>
          </cell>
          <cell r="W163">
            <v>1</v>
          </cell>
          <cell r="AC163">
            <v>1</v>
          </cell>
        </row>
        <row r="164">
          <cell r="A164">
            <v>0</v>
          </cell>
          <cell r="B164" t="str">
            <v>ALL VRTS</v>
          </cell>
          <cell r="D164">
            <v>44</v>
          </cell>
          <cell r="I164" t="str">
            <v>L72</v>
          </cell>
          <cell r="L164" t="str">
            <v>V44</v>
          </cell>
          <cell r="N164">
            <v>0</v>
          </cell>
          <cell r="O164">
            <v>-1</v>
          </cell>
          <cell r="P164">
            <v>0</v>
          </cell>
          <cell r="Q164">
            <v>2004</v>
          </cell>
          <cell r="R164" t="str">
            <v>DEARBORN PLANT BUILD</v>
          </cell>
          <cell r="S164" t="str">
            <v>P221/P397</v>
          </cell>
          <cell r="T164" t="str">
            <v>TRANSMISSION LEAKS</v>
          </cell>
          <cell r="U164" t="str">
            <v>replaced tail shaft housing</v>
          </cell>
          <cell r="V164" t="str">
            <v>ALL</v>
          </cell>
          <cell r="W164">
            <v>1</v>
          </cell>
          <cell r="AB164">
            <v>1</v>
          </cell>
        </row>
        <row r="165">
          <cell r="A165">
            <v>0</v>
          </cell>
          <cell r="B165" t="str">
            <v>ALL VRTS</v>
          </cell>
          <cell r="D165">
            <v>44</v>
          </cell>
          <cell r="I165" t="str">
            <v>L72</v>
          </cell>
          <cell r="L165" t="str">
            <v>V44</v>
          </cell>
          <cell r="N165">
            <v>0</v>
          </cell>
          <cell r="O165">
            <v>-1</v>
          </cell>
          <cell r="P165">
            <v>0</v>
          </cell>
          <cell r="Q165">
            <v>2004</v>
          </cell>
          <cell r="R165" t="str">
            <v>DEARBORN PLANT BUILD</v>
          </cell>
          <cell r="S165" t="str">
            <v>P221/P397</v>
          </cell>
          <cell r="T165" t="str">
            <v>TRANSMISSION LEAKS</v>
          </cell>
          <cell r="U165" t="str">
            <v>Torque Converter Seal Damaged</v>
          </cell>
          <cell r="V165" t="str">
            <v>ALL</v>
          </cell>
          <cell r="W165">
            <v>1</v>
          </cell>
          <cell r="AD165">
            <v>1</v>
          </cell>
        </row>
        <row r="166">
          <cell r="A166">
            <v>0</v>
          </cell>
          <cell r="B166" t="str">
            <v>ALL VRTS</v>
          </cell>
          <cell r="D166">
            <v>44</v>
          </cell>
          <cell r="I166" t="str">
            <v>L72</v>
          </cell>
          <cell r="L166" t="str">
            <v>V44</v>
          </cell>
          <cell r="N166">
            <v>0</v>
          </cell>
          <cell r="O166">
            <v>-1</v>
          </cell>
          <cell r="P166">
            <v>0</v>
          </cell>
          <cell r="Q166">
            <v>2004</v>
          </cell>
          <cell r="R166" t="str">
            <v>DEARBORN PLANT BUILD</v>
          </cell>
          <cell r="S166" t="str">
            <v>P221/P397</v>
          </cell>
          <cell r="T166" t="str">
            <v>TRANSMISSION LEAKS</v>
          </cell>
          <cell r="U166" t="str">
            <v>Trans Pan bolts loose</v>
          </cell>
          <cell r="V166" t="str">
            <v>ALL</v>
          </cell>
          <cell r="W166">
            <v>1</v>
          </cell>
          <cell r="AD166">
            <v>1</v>
          </cell>
        </row>
        <row r="167">
          <cell r="A167">
            <v>0</v>
          </cell>
          <cell r="B167" t="str">
            <v>ALL VRTS</v>
          </cell>
          <cell r="D167">
            <v>44</v>
          </cell>
          <cell r="I167" t="str">
            <v>L72</v>
          </cell>
          <cell r="L167" t="str">
            <v>V44</v>
          </cell>
          <cell r="N167">
            <v>0</v>
          </cell>
          <cell r="O167">
            <v>-1</v>
          </cell>
          <cell r="P167">
            <v>0</v>
          </cell>
          <cell r="Q167">
            <v>2004</v>
          </cell>
          <cell r="R167" t="str">
            <v>DEARBORN PLANT BUILD</v>
          </cell>
          <cell r="S167" t="str">
            <v>P221/P397</v>
          </cell>
          <cell r="T167" t="str">
            <v>TRANSMISSION LEAKS</v>
          </cell>
          <cell r="U167" t="str">
            <v>Trans retaining clip</v>
          </cell>
          <cell r="V167" t="str">
            <v>ALL</v>
          </cell>
          <cell r="W167">
            <v>1</v>
          </cell>
          <cell r="AC167">
            <v>1</v>
          </cell>
        </row>
        <row r="168">
          <cell r="A168">
            <v>0</v>
          </cell>
          <cell r="B168" t="str">
            <v>ALL VRTS</v>
          </cell>
          <cell r="D168">
            <v>43</v>
          </cell>
          <cell r="E168" t="str">
            <v>6570</v>
          </cell>
          <cell r="G168" t="str">
            <v>C7W01</v>
          </cell>
          <cell r="I168" t="str">
            <v>P51</v>
          </cell>
          <cell r="L168" t="str">
            <v>V48</v>
          </cell>
          <cell r="N168">
            <v>0</v>
          </cell>
          <cell r="O168">
            <v>0</v>
          </cell>
          <cell r="P168">
            <v>-1</v>
          </cell>
          <cell r="Q168">
            <v>2004</v>
          </cell>
          <cell r="R168" t="str">
            <v>DEARBORN PLANT BUILD</v>
          </cell>
          <cell r="S168" t="str">
            <v>P221/P397</v>
          </cell>
          <cell r="T168" t="str">
            <v>DIFFICULT TO OPERATE SHIFT</v>
          </cell>
          <cell r="U168" t="str">
            <v xml:space="preserve"> adjusted shifter</v>
          </cell>
          <cell r="V168" t="str">
            <v>ALL</v>
          </cell>
          <cell r="W168">
            <v>15</v>
          </cell>
          <cell r="Z168">
            <v>4</v>
          </cell>
          <cell r="AA168">
            <v>3</v>
          </cell>
          <cell r="AB168">
            <v>1</v>
          </cell>
          <cell r="AC168">
            <v>1</v>
          </cell>
          <cell r="AD168">
            <v>5</v>
          </cell>
          <cell r="AE168">
            <v>1</v>
          </cell>
        </row>
        <row r="169">
          <cell r="A169">
            <v>0</v>
          </cell>
          <cell r="B169" t="str">
            <v>ALL VRTS</v>
          </cell>
          <cell r="D169">
            <v>43</v>
          </cell>
          <cell r="I169" t="str">
            <v>P51</v>
          </cell>
          <cell r="L169" t="str">
            <v>V48</v>
          </cell>
          <cell r="N169">
            <v>-1</v>
          </cell>
          <cell r="O169">
            <v>-1</v>
          </cell>
          <cell r="P169">
            <v>0</v>
          </cell>
          <cell r="Q169">
            <v>2004</v>
          </cell>
          <cell r="R169" t="str">
            <v>DEARBORN PLANT BUILD</v>
          </cell>
          <cell r="S169" t="str">
            <v>P221/P397</v>
          </cell>
          <cell r="T169" t="str">
            <v>DIFFICULT TO OPERATE SHIFT</v>
          </cell>
          <cell r="U169" t="str">
            <v>Lever gear shift defective</v>
          </cell>
          <cell r="V169" t="str">
            <v>ALL</v>
          </cell>
          <cell r="W169">
            <v>6</v>
          </cell>
          <cell r="AC169">
            <v>1</v>
          </cell>
          <cell r="AD169">
            <v>3</v>
          </cell>
          <cell r="AE169">
            <v>2</v>
          </cell>
        </row>
        <row r="170">
          <cell r="A170">
            <v>0</v>
          </cell>
          <cell r="B170" t="str">
            <v>ALL VRTS</v>
          </cell>
          <cell r="D170">
            <v>43</v>
          </cell>
          <cell r="E170" t="str">
            <v>6570</v>
          </cell>
          <cell r="G170" t="str">
            <v>C7W01</v>
          </cell>
          <cell r="I170" t="str">
            <v>P51</v>
          </cell>
          <cell r="L170" t="str">
            <v>V48</v>
          </cell>
          <cell r="N170">
            <v>0</v>
          </cell>
          <cell r="O170">
            <v>0</v>
          </cell>
          <cell r="P170">
            <v>-1</v>
          </cell>
          <cell r="Q170">
            <v>2004</v>
          </cell>
          <cell r="R170" t="str">
            <v>DEARBORN PLANT BUILD</v>
          </cell>
          <cell r="S170" t="str">
            <v>P221/P397</v>
          </cell>
          <cell r="T170" t="str">
            <v>DIFFICULT TO OPERATE SHIFT</v>
          </cell>
          <cell r="U170" t="str">
            <v>Shift cable not clipped in bracket</v>
          </cell>
          <cell r="V170" t="str">
            <v>ALL</v>
          </cell>
          <cell r="W170">
            <v>6</v>
          </cell>
          <cell r="AC170">
            <v>2</v>
          </cell>
          <cell r="AD170">
            <v>4</v>
          </cell>
        </row>
        <row r="171">
          <cell r="A171">
            <v>0</v>
          </cell>
          <cell r="B171" t="str">
            <v>ALL VRTS</v>
          </cell>
          <cell r="D171">
            <v>43</v>
          </cell>
          <cell r="E171" t="str">
            <v>5560</v>
          </cell>
          <cell r="G171" t="str">
            <v>T-IPA</v>
          </cell>
          <cell r="I171" t="str">
            <v>P51</v>
          </cell>
          <cell r="J171" t="str">
            <v>P59</v>
          </cell>
          <cell r="L171" t="str">
            <v>V48</v>
          </cell>
          <cell r="N171">
            <v>0</v>
          </cell>
          <cell r="O171">
            <v>0</v>
          </cell>
          <cell r="P171">
            <v>-1</v>
          </cell>
          <cell r="Q171">
            <v>2004</v>
          </cell>
          <cell r="R171" t="str">
            <v>DEARBORN PLANT BUILD</v>
          </cell>
          <cell r="S171" t="str">
            <v>P221/P397</v>
          </cell>
          <cell r="T171" t="str">
            <v>DIFFICULT TO OPERATE SHIFT</v>
          </cell>
          <cell r="U171" t="str">
            <v>PRNDL Alignment</v>
          </cell>
          <cell r="V171" t="str">
            <v>ALL</v>
          </cell>
          <cell r="W171">
            <v>5</v>
          </cell>
          <cell r="AC171">
            <v>3</v>
          </cell>
          <cell r="AD171">
            <v>1</v>
          </cell>
          <cell r="AE171">
            <v>1</v>
          </cell>
        </row>
        <row r="172">
          <cell r="A172">
            <v>0</v>
          </cell>
          <cell r="B172" t="str">
            <v>ALL VRTS</v>
          </cell>
          <cell r="D172">
            <v>43</v>
          </cell>
          <cell r="I172" t="str">
            <v>P51</v>
          </cell>
          <cell r="L172" t="str">
            <v>V48</v>
          </cell>
          <cell r="N172">
            <v>-1</v>
          </cell>
          <cell r="O172">
            <v>-1</v>
          </cell>
          <cell r="P172">
            <v>0</v>
          </cell>
          <cell r="Q172">
            <v>2004</v>
          </cell>
          <cell r="R172" t="str">
            <v>DEARBORN PLANT BUILD</v>
          </cell>
          <cell r="S172" t="str">
            <v>P221/P397</v>
          </cell>
          <cell r="T172" t="str">
            <v>DIFFICULT TO OPERATE SHIFT</v>
          </cell>
          <cell r="U172" t="str">
            <v>Replace Console shifter asy</v>
          </cell>
          <cell r="V172" t="str">
            <v>ALL</v>
          </cell>
          <cell r="W172">
            <v>2</v>
          </cell>
          <cell r="AD172">
            <v>1</v>
          </cell>
          <cell r="AE172">
            <v>1</v>
          </cell>
        </row>
        <row r="173">
          <cell r="A173">
            <v>0</v>
          </cell>
          <cell r="B173" t="str">
            <v>ALL VRTS</v>
          </cell>
          <cell r="D173">
            <v>43</v>
          </cell>
          <cell r="I173" t="str">
            <v>P51</v>
          </cell>
          <cell r="L173" t="str">
            <v>V48</v>
          </cell>
          <cell r="N173">
            <v>0</v>
          </cell>
          <cell r="O173">
            <v>-1</v>
          </cell>
          <cell r="P173">
            <v>0</v>
          </cell>
          <cell r="Q173">
            <v>2004</v>
          </cell>
          <cell r="R173" t="str">
            <v>DEARBORN PLANT BUILD</v>
          </cell>
          <cell r="S173" t="str">
            <v>P221/P397</v>
          </cell>
          <cell r="T173" t="str">
            <v>DIFFICULT TO OPERATE SHIFT</v>
          </cell>
          <cell r="U173" t="str">
            <v>Replaced Main Control Asy</v>
          </cell>
          <cell r="V173" t="str">
            <v>ALL</v>
          </cell>
          <cell r="W173">
            <v>2</v>
          </cell>
          <cell r="AD173">
            <v>2</v>
          </cell>
        </row>
        <row r="174">
          <cell r="A174">
            <v>0</v>
          </cell>
          <cell r="B174" t="str">
            <v>ALL VRTS</v>
          </cell>
          <cell r="D174">
            <v>43</v>
          </cell>
          <cell r="E174" t="str">
            <v>6570</v>
          </cell>
          <cell r="G174" t="str">
            <v>C7W01</v>
          </cell>
          <cell r="I174" t="str">
            <v>P51</v>
          </cell>
          <cell r="L174" t="str">
            <v>V48</v>
          </cell>
          <cell r="N174">
            <v>-1</v>
          </cell>
          <cell r="O174">
            <v>-1</v>
          </cell>
          <cell r="P174">
            <v>-1</v>
          </cell>
          <cell r="Q174">
            <v>2004</v>
          </cell>
          <cell r="R174" t="str">
            <v>DEARBORN PLANT BUILD</v>
          </cell>
          <cell r="S174" t="str">
            <v>P221/P397</v>
          </cell>
          <cell r="T174" t="str">
            <v>DIFFICULT TO OPERATE SHIFT</v>
          </cell>
          <cell r="U174" t="str">
            <v>Shift cable defective</v>
          </cell>
          <cell r="V174" t="str">
            <v>ALL</v>
          </cell>
          <cell r="W174">
            <v>2</v>
          </cell>
          <cell r="Z174">
            <v>1</v>
          </cell>
          <cell r="AD174">
            <v>1</v>
          </cell>
        </row>
        <row r="175">
          <cell r="A175">
            <v>0</v>
          </cell>
          <cell r="B175" t="str">
            <v>ALL VRTS</v>
          </cell>
          <cell r="D175">
            <v>43</v>
          </cell>
          <cell r="E175" t="str">
            <v>6570</v>
          </cell>
          <cell r="G175" t="str">
            <v>C7W01</v>
          </cell>
          <cell r="I175" t="str">
            <v>P51</v>
          </cell>
          <cell r="L175" t="str">
            <v>V48</v>
          </cell>
          <cell r="N175">
            <v>0</v>
          </cell>
          <cell r="O175">
            <v>0</v>
          </cell>
          <cell r="P175">
            <v>-1</v>
          </cell>
          <cell r="Q175">
            <v>2004</v>
          </cell>
          <cell r="R175" t="str">
            <v>DEARBORN PLANT BUILD</v>
          </cell>
          <cell r="S175" t="str">
            <v>P221/P397</v>
          </cell>
          <cell r="T175" t="str">
            <v>DIFFICULT TO OPERATE SHIFT</v>
          </cell>
          <cell r="U175" t="str">
            <v>Shift cable loose</v>
          </cell>
          <cell r="V175" t="str">
            <v>ALL</v>
          </cell>
          <cell r="W175">
            <v>2</v>
          </cell>
          <cell r="AD175">
            <v>2</v>
          </cell>
        </row>
        <row r="176">
          <cell r="A176">
            <v>0</v>
          </cell>
          <cell r="B176" t="str">
            <v>ALL VRTS</v>
          </cell>
          <cell r="D176">
            <v>43</v>
          </cell>
          <cell r="I176" t="str">
            <v>P51</v>
          </cell>
          <cell r="L176" t="str">
            <v>V48</v>
          </cell>
          <cell r="N176">
            <v>-1</v>
          </cell>
          <cell r="O176">
            <v>-1</v>
          </cell>
          <cell r="P176">
            <v>0</v>
          </cell>
          <cell r="Q176">
            <v>2004</v>
          </cell>
          <cell r="R176" t="str">
            <v>DEARBORN PLANT BUILD</v>
          </cell>
          <cell r="S176" t="str">
            <v>P221/P397</v>
          </cell>
          <cell r="T176" t="str">
            <v>DIFFICULT TO OPERATE SHIFT</v>
          </cell>
          <cell r="U176" t="str">
            <v>Lever gear shift loose</v>
          </cell>
          <cell r="V176" t="str">
            <v>ALL</v>
          </cell>
          <cell r="W176">
            <v>1</v>
          </cell>
          <cell r="AC176">
            <v>1</v>
          </cell>
        </row>
        <row r="177">
          <cell r="A177">
            <v>0</v>
          </cell>
          <cell r="B177" t="str">
            <v>ALL VRTS</v>
          </cell>
          <cell r="D177">
            <v>43</v>
          </cell>
          <cell r="E177" t="str">
            <v>6570</v>
          </cell>
          <cell r="G177" t="str">
            <v>C7W01</v>
          </cell>
          <cell r="I177" t="str">
            <v>P51</v>
          </cell>
          <cell r="L177" t="str">
            <v>V48</v>
          </cell>
          <cell r="N177">
            <v>0</v>
          </cell>
          <cell r="O177">
            <v>0</v>
          </cell>
          <cell r="P177">
            <v>-1</v>
          </cell>
          <cell r="Q177">
            <v>2004</v>
          </cell>
          <cell r="R177" t="str">
            <v>DEARBORN PLANT BUILD</v>
          </cell>
          <cell r="S177" t="str">
            <v>P221/P397</v>
          </cell>
          <cell r="T177" t="str">
            <v>DIFFICULT TO OPERATE SHIFT</v>
          </cell>
          <cell r="U177" t="str">
            <v>Shift solenoid binding</v>
          </cell>
          <cell r="V177" t="str">
            <v>ALL</v>
          </cell>
          <cell r="W177">
            <v>1</v>
          </cell>
          <cell r="AD177">
            <v>1</v>
          </cell>
        </row>
        <row r="178">
          <cell r="A178">
            <v>0</v>
          </cell>
          <cell r="B178" t="str">
            <v>ALL VRTS</v>
          </cell>
          <cell r="D178">
            <v>43</v>
          </cell>
          <cell r="I178" t="str">
            <v>P51</v>
          </cell>
          <cell r="L178" t="str">
            <v>V48</v>
          </cell>
          <cell r="N178">
            <v>-1</v>
          </cell>
          <cell r="O178">
            <v>-1</v>
          </cell>
          <cell r="P178">
            <v>0</v>
          </cell>
          <cell r="Q178">
            <v>2004</v>
          </cell>
          <cell r="R178" t="str">
            <v>DEARBORN PLANT BUILD</v>
          </cell>
          <cell r="S178" t="str">
            <v>P221/P397</v>
          </cell>
          <cell r="T178" t="str">
            <v>DIFFICULT TO OPERATE SHIFT</v>
          </cell>
          <cell r="U178" t="str">
            <v>Transfer Case rods disconnected</v>
          </cell>
          <cell r="V178" t="str">
            <v>ALL</v>
          </cell>
          <cell r="W178">
            <v>1</v>
          </cell>
          <cell r="AD178">
            <v>1</v>
          </cell>
        </row>
        <row r="179">
          <cell r="A179">
            <v>0</v>
          </cell>
          <cell r="B179" t="str">
            <v>ALL VRTS</v>
          </cell>
          <cell r="D179">
            <v>42</v>
          </cell>
          <cell r="E179" t="str">
            <v>5340</v>
          </cell>
          <cell r="F179" t="str">
            <v>5330</v>
          </cell>
          <cell r="G179" t="str">
            <v>TDE27-L</v>
          </cell>
          <cell r="H179" t="str">
            <v>TDE23-L</v>
          </cell>
          <cell r="I179" t="str">
            <v>G05</v>
          </cell>
          <cell r="J179" t="str">
            <v>G07</v>
          </cell>
          <cell r="K179" t="str">
            <v>L07</v>
          </cell>
          <cell r="L179" t="str">
            <v>V09</v>
          </cell>
          <cell r="N179">
            <v>0</v>
          </cell>
          <cell r="O179">
            <v>0</v>
          </cell>
          <cell r="P179">
            <v>-1</v>
          </cell>
          <cell r="Q179">
            <v>2004</v>
          </cell>
          <cell r="R179" t="str">
            <v>DEARBORN PLANT BUILD</v>
          </cell>
          <cell r="S179" t="str">
            <v>P221/P397</v>
          </cell>
          <cell r="T179" t="str">
            <v>WINDOW FUNCTION</v>
          </cell>
          <cell r="U179" t="str">
            <v>ATTACH WINDOW CHANNEL</v>
          </cell>
          <cell r="V179" t="str">
            <v>ALL</v>
          </cell>
          <cell r="W179">
            <v>11</v>
          </cell>
          <cell r="Z179">
            <v>2</v>
          </cell>
          <cell r="AB179">
            <v>1</v>
          </cell>
          <cell r="AC179">
            <v>1</v>
          </cell>
          <cell r="AD179">
            <v>6</v>
          </cell>
          <cell r="AE179">
            <v>1</v>
          </cell>
        </row>
        <row r="180">
          <cell r="A180">
            <v>0</v>
          </cell>
          <cell r="B180" t="str">
            <v>ALL VRTS</v>
          </cell>
          <cell r="D180">
            <v>42</v>
          </cell>
          <cell r="E180" t="str">
            <v>5340</v>
          </cell>
          <cell r="G180" t="str">
            <v>TDE27-L</v>
          </cell>
          <cell r="H180" t="str">
            <v>TDE29-L</v>
          </cell>
          <cell r="I180" t="str">
            <v>G07</v>
          </cell>
          <cell r="J180" t="str">
            <v>G05</v>
          </cell>
          <cell r="L180" t="str">
            <v>V09</v>
          </cell>
          <cell r="M180" t="str">
            <v>V07</v>
          </cell>
          <cell r="N180">
            <v>0</v>
          </cell>
          <cell r="O180">
            <v>0</v>
          </cell>
          <cell r="P180">
            <v>-1</v>
          </cell>
          <cell r="Q180">
            <v>2004</v>
          </cell>
          <cell r="R180" t="str">
            <v>DEARBORN PLANT BUILD</v>
          </cell>
          <cell r="S180" t="str">
            <v>P221/P397</v>
          </cell>
          <cell r="T180" t="str">
            <v>WINDOW FUNCTION</v>
          </cell>
          <cell r="U180" t="str">
            <v>GLASS NOT INSTALLED TO REGULATOR</v>
          </cell>
          <cell r="V180" t="str">
            <v>ALL</v>
          </cell>
          <cell r="W180">
            <v>11</v>
          </cell>
          <cell r="Y180">
            <v>1</v>
          </cell>
          <cell r="Z180">
            <v>1</v>
          </cell>
          <cell r="AA180">
            <v>2</v>
          </cell>
          <cell r="AB180">
            <v>1</v>
          </cell>
          <cell r="AC180">
            <v>1</v>
          </cell>
          <cell r="AD180">
            <v>3</v>
          </cell>
          <cell r="AE180">
            <v>2</v>
          </cell>
        </row>
        <row r="181">
          <cell r="A181">
            <v>0</v>
          </cell>
          <cell r="B181" t="str">
            <v>ALL VRTS</v>
          </cell>
          <cell r="D181">
            <v>42</v>
          </cell>
          <cell r="I181" t="str">
            <v>G07</v>
          </cell>
          <cell r="L181" t="str">
            <v>V09</v>
          </cell>
          <cell r="N181">
            <v>0</v>
          </cell>
          <cell r="O181">
            <v>-1</v>
          </cell>
          <cell r="P181">
            <v>0</v>
          </cell>
          <cell r="Q181">
            <v>2004</v>
          </cell>
          <cell r="R181" t="str">
            <v>DEARBORN PLANT BUILD</v>
          </cell>
          <cell r="S181" t="str">
            <v>P221/P397</v>
          </cell>
          <cell r="T181" t="str">
            <v>WINDOW FUNCTION</v>
          </cell>
          <cell r="U181" t="str">
            <v>LUBE REGULATOR</v>
          </cell>
          <cell r="V181" t="str">
            <v>ALL</v>
          </cell>
          <cell r="W181">
            <v>5</v>
          </cell>
          <cell r="AA181">
            <v>1</v>
          </cell>
          <cell r="AC181">
            <v>1</v>
          </cell>
          <cell r="AD181">
            <v>2</v>
          </cell>
          <cell r="AE181">
            <v>1</v>
          </cell>
        </row>
        <row r="182">
          <cell r="A182">
            <v>0</v>
          </cell>
          <cell r="B182" t="str">
            <v>ALL VRTS</v>
          </cell>
          <cell r="D182">
            <v>42</v>
          </cell>
          <cell r="I182" t="str">
            <v>G07</v>
          </cell>
          <cell r="J182" t="str">
            <v>G05</v>
          </cell>
          <cell r="L182" t="str">
            <v>V09</v>
          </cell>
          <cell r="N182">
            <v>0</v>
          </cell>
          <cell r="O182">
            <v>-1</v>
          </cell>
          <cell r="P182">
            <v>0</v>
          </cell>
          <cell r="Q182">
            <v>2004</v>
          </cell>
          <cell r="R182" t="str">
            <v>DEARBORN PLANT BUILD</v>
          </cell>
          <cell r="S182" t="str">
            <v>P221/P397</v>
          </cell>
          <cell r="T182" t="str">
            <v>WINDOW FUNCTION</v>
          </cell>
          <cell r="U182" t="str">
            <v>INSTALL NEW REGULATOR</v>
          </cell>
          <cell r="V182" t="str">
            <v>ALL</v>
          </cell>
          <cell r="W182">
            <v>3</v>
          </cell>
          <cell r="AD182">
            <v>1</v>
          </cell>
          <cell r="AE182">
            <v>2</v>
          </cell>
        </row>
        <row r="183">
          <cell r="A183">
            <v>0</v>
          </cell>
          <cell r="B183" t="str">
            <v>ALL VRTS</v>
          </cell>
          <cell r="D183">
            <v>42</v>
          </cell>
          <cell r="I183" t="str">
            <v>G07</v>
          </cell>
          <cell r="L183" t="str">
            <v>V09</v>
          </cell>
          <cell r="N183">
            <v>0</v>
          </cell>
          <cell r="O183">
            <v>-1</v>
          </cell>
          <cell r="P183">
            <v>0</v>
          </cell>
          <cell r="Q183">
            <v>2004</v>
          </cell>
          <cell r="R183" t="str">
            <v>DEARBORN PLANT BUILD</v>
          </cell>
          <cell r="S183" t="str">
            <v>P221/P397</v>
          </cell>
          <cell r="T183" t="str">
            <v>WINDOW FUNCTION</v>
          </cell>
          <cell r="U183" t="str">
            <v>REPLACE WINDOW CHANNEL</v>
          </cell>
          <cell r="V183" t="str">
            <v>ALL</v>
          </cell>
          <cell r="W183">
            <v>2</v>
          </cell>
          <cell r="AE183">
            <v>2</v>
          </cell>
        </row>
        <row r="184">
          <cell r="A184">
            <v>0</v>
          </cell>
          <cell r="B184" t="str">
            <v>ALL VRTS</v>
          </cell>
          <cell r="D184">
            <v>42</v>
          </cell>
          <cell r="E184" t="str">
            <v>5340</v>
          </cell>
          <cell r="G184" t="str">
            <v>TDE27-L</v>
          </cell>
          <cell r="I184" t="str">
            <v>G07</v>
          </cell>
          <cell r="L184" t="str">
            <v>V09</v>
          </cell>
          <cell r="N184">
            <v>0</v>
          </cell>
          <cell r="O184">
            <v>0</v>
          </cell>
          <cell r="P184">
            <v>-1</v>
          </cell>
          <cell r="Q184">
            <v>2004</v>
          </cell>
          <cell r="R184" t="str">
            <v>DEARBORN PLANT BUILD</v>
          </cell>
          <cell r="S184" t="str">
            <v>P221/P397</v>
          </cell>
          <cell r="T184" t="str">
            <v>WINDOW FUNCTION</v>
          </cell>
          <cell r="U184" t="str">
            <v>WIRIMG HARNESS BRACKET LOOSE TRIM PANEL FRONT DOOR</v>
          </cell>
          <cell r="V184" t="str">
            <v>ALL</v>
          </cell>
          <cell r="W184">
            <v>2</v>
          </cell>
          <cell r="Z184">
            <v>1</v>
          </cell>
          <cell r="AD184">
            <v>1</v>
          </cell>
        </row>
        <row r="185">
          <cell r="A185">
            <v>0</v>
          </cell>
          <cell r="B185" t="str">
            <v>ALL VRTS</v>
          </cell>
          <cell r="D185">
            <v>42</v>
          </cell>
          <cell r="E185" t="str">
            <v>5340</v>
          </cell>
          <cell r="G185" t="str">
            <v>TDW30-R</v>
          </cell>
          <cell r="I185" t="str">
            <v>G05</v>
          </cell>
          <cell r="L185" t="str">
            <v>V07</v>
          </cell>
          <cell r="N185">
            <v>0</v>
          </cell>
          <cell r="O185">
            <v>0</v>
          </cell>
          <cell r="P185">
            <v>-1</v>
          </cell>
          <cell r="Q185">
            <v>2004</v>
          </cell>
          <cell r="R185" t="str">
            <v>DEARBORN PLANT BUILD</v>
          </cell>
          <cell r="S185" t="str">
            <v>P221/P397</v>
          </cell>
          <cell r="T185" t="str">
            <v>WINDOW FUNCTION</v>
          </cell>
          <cell r="U185" t="str">
            <v>GUIDE BRACKET LOOSE</v>
          </cell>
          <cell r="V185" t="str">
            <v>ALL</v>
          </cell>
          <cell r="W185">
            <v>1</v>
          </cell>
          <cell r="Z185">
            <v>1</v>
          </cell>
        </row>
        <row r="186">
          <cell r="A186">
            <v>0</v>
          </cell>
          <cell r="B186" t="str">
            <v>ALL VRTS</v>
          </cell>
          <cell r="D186">
            <v>42</v>
          </cell>
          <cell r="I186" t="str">
            <v>G07</v>
          </cell>
          <cell r="L186" t="str">
            <v>V09</v>
          </cell>
          <cell r="N186">
            <v>0</v>
          </cell>
          <cell r="O186">
            <v>-1</v>
          </cell>
          <cell r="P186">
            <v>0</v>
          </cell>
          <cell r="Q186">
            <v>2004</v>
          </cell>
          <cell r="R186" t="str">
            <v>DEARBORN PLANT BUILD</v>
          </cell>
          <cell r="S186" t="str">
            <v>P221/P397</v>
          </cell>
          <cell r="T186" t="str">
            <v>WINDOW FUNCTION</v>
          </cell>
          <cell r="U186" t="str">
            <v>INSTALL NEW WINDOW</v>
          </cell>
          <cell r="V186" t="str">
            <v>ALL</v>
          </cell>
          <cell r="W186">
            <v>1</v>
          </cell>
          <cell r="AD186">
            <v>1</v>
          </cell>
        </row>
        <row r="187">
          <cell r="A187">
            <v>0</v>
          </cell>
          <cell r="B187" t="str">
            <v>ALL VRTS</v>
          </cell>
          <cell r="D187">
            <v>42</v>
          </cell>
          <cell r="E187" t="str">
            <v>5340</v>
          </cell>
          <cell r="G187" t="str">
            <v>TDE27-L</v>
          </cell>
          <cell r="I187" t="str">
            <v>G07</v>
          </cell>
          <cell r="L187" t="str">
            <v>V09</v>
          </cell>
          <cell r="N187">
            <v>0</v>
          </cell>
          <cell r="O187">
            <v>0</v>
          </cell>
          <cell r="P187">
            <v>-1</v>
          </cell>
          <cell r="Q187">
            <v>2004</v>
          </cell>
          <cell r="R187" t="str">
            <v>DEARBORN PLANT BUILD</v>
          </cell>
          <cell r="S187" t="str">
            <v>P221/P397</v>
          </cell>
          <cell r="T187" t="str">
            <v>WINDOW FUNCTION</v>
          </cell>
          <cell r="U187" t="str">
            <v>REATTACH CHANNEL WEATHERSTRIP</v>
          </cell>
          <cell r="V187" t="str">
            <v>ALL</v>
          </cell>
          <cell r="W187">
            <v>1</v>
          </cell>
          <cell r="Z187">
            <v>1</v>
          </cell>
        </row>
        <row r="188">
          <cell r="A188">
            <v>0</v>
          </cell>
          <cell r="B188" t="str">
            <v>ALL VRTS</v>
          </cell>
          <cell r="D188">
            <v>42</v>
          </cell>
          <cell r="I188" t="str">
            <v>G07</v>
          </cell>
          <cell r="L188" t="str">
            <v>V09</v>
          </cell>
          <cell r="N188">
            <v>0</v>
          </cell>
          <cell r="O188">
            <v>-1</v>
          </cell>
          <cell r="P188">
            <v>0</v>
          </cell>
          <cell r="Q188">
            <v>2004</v>
          </cell>
          <cell r="R188" t="str">
            <v>DEARBORN PLANT BUILD</v>
          </cell>
          <cell r="S188" t="str">
            <v>P221/P397</v>
          </cell>
          <cell r="T188" t="str">
            <v>WINDOW FUNCTION</v>
          </cell>
          <cell r="U188" t="str">
            <v>REGULATOR CABLE BROKEN</v>
          </cell>
          <cell r="V188" t="str">
            <v>ALL</v>
          </cell>
          <cell r="W188">
            <v>1</v>
          </cell>
          <cell r="AC188">
            <v>1</v>
          </cell>
        </row>
        <row r="189">
          <cell r="A189">
            <v>0</v>
          </cell>
          <cell r="B189" t="str">
            <v>ALL VRTS</v>
          </cell>
          <cell r="D189">
            <v>42</v>
          </cell>
          <cell r="E189" t="str">
            <v>5330</v>
          </cell>
          <cell r="G189" t="str">
            <v>TDE21-L</v>
          </cell>
          <cell r="I189" t="str">
            <v>G05</v>
          </cell>
          <cell r="L189" t="str">
            <v>V09</v>
          </cell>
          <cell r="N189">
            <v>0</v>
          </cell>
          <cell r="O189">
            <v>0</v>
          </cell>
          <cell r="P189">
            <v>-1</v>
          </cell>
          <cell r="Q189">
            <v>2004</v>
          </cell>
          <cell r="R189" t="str">
            <v>DEARBORN PLANT BUILD</v>
          </cell>
          <cell r="S189" t="str">
            <v>P221/P397</v>
          </cell>
          <cell r="T189" t="str">
            <v>WINDOW FUNCTION</v>
          </cell>
          <cell r="U189" t="str">
            <v>REMOVE EXCESS SEALER</v>
          </cell>
          <cell r="V189" t="str">
            <v>ALL</v>
          </cell>
          <cell r="W189">
            <v>1</v>
          </cell>
          <cell r="AD189">
            <v>1</v>
          </cell>
        </row>
        <row r="190">
          <cell r="A190">
            <v>0</v>
          </cell>
          <cell r="B190" t="str">
            <v>ALL VRTS</v>
          </cell>
          <cell r="D190">
            <v>42</v>
          </cell>
          <cell r="I190" t="str">
            <v>G07</v>
          </cell>
          <cell r="L190" t="str">
            <v>V09</v>
          </cell>
          <cell r="N190">
            <v>0</v>
          </cell>
          <cell r="O190">
            <v>-1</v>
          </cell>
          <cell r="P190">
            <v>0</v>
          </cell>
          <cell r="Q190">
            <v>2004</v>
          </cell>
          <cell r="R190" t="str">
            <v>DEARBORN PLANT BUILD</v>
          </cell>
          <cell r="S190" t="str">
            <v>P221/P397</v>
          </cell>
          <cell r="T190" t="str">
            <v>WINDOW FUNCTION</v>
          </cell>
          <cell r="U190" t="str">
            <v>REPLACE POWER WINDOW SWITCH</v>
          </cell>
          <cell r="V190" t="str">
            <v>ALL</v>
          </cell>
          <cell r="W190">
            <v>1</v>
          </cell>
          <cell r="AD190">
            <v>1</v>
          </cell>
        </row>
        <row r="191">
          <cell r="A191">
            <v>0</v>
          </cell>
          <cell r="B191" t="str">
            <v>ALL VRTS</v>
          </cell>
          <cell r="D191">
            <v>42</v>
          </cell>
          <cell r="I191" t="str">
            <v>G05</v>
          </cell>
          <cell r="L191" t="str">
            <v>V09</v>
          </cell>
          <cell r="N191">
            <v>0</v>
          </cell>
          <cell r="O191">
            <v>-1</v>
          </cell>
          <cell r="P191">
            <v>0</v>
          </cell>
          <cell r="Q191">
            <v>2004</v>
          </cell>
          <cell r="R191" t="str">
            <v>DEARBORN PLANT BUILD</v>
          </cell>
          <cell r="S191" t="str">
            <v>P221/P397</v>
          </cell>
          <cell r="T191" t="str">
            <v>WINDOW FUNCTION</v>
          </cell>
          <cell r="U191" t="str">
            <v>REPOSITION WINDOW CRANK</v>
          </cell>
          <cell r="V191" t="str">
            <v>ALL</v>
          </cell>
          <cell r="W191">
            <v>1</v>
          </cell>
          <cell r="AE191">
            <v>1</v>
          </cell>
        </row>
        <row r="192">
          <cell r="A192">
            <v>0</v>
          </cell>
          <cell r="B192" t="str">
            <v>ALL VRTS</v>
          </cell>
          <cell r="D192">
            <v>42</v>
          </cell>
          <cell r="E192" t="str">
            <v>5340</v>
          </cell>
          <cell r="G192" t="str">
            <v>TDE27-L</v>
          </cell>
          <cell r="I192" t="str">
            <v>G05</v>
          </cell>
          <cell r="L192" t="str">
            <v>V09</v>
          </cell>
          <cell r="N192">
            <v>0</v>
          </cell>
          <cell r="O192">
            <v>0</v>
          </cell>
          <cell r="P192">
            <v>-1</v>
          </cell>
          <cell r="Q192">
            <v>2004</v>
          </cell>
          <cell r="R192" t="str">
            <v>DEARBORN PLANT BUILD</v>
          </cell>
          <cell r="S192" t="str">
            <v>P221/P397</v>
          </cell>
          <cell r="T192" t="str">
            <v>WINDOW FUNCTION</v>
          </cell>
          <cell r="U192" t="str">
            <v>WRONG RETAINER</v>
          </cell>
          <cell r="V192" t="str">
            <v>ALL</v>
          </cell>
          <cell r="W192">
            <v>1</v>
          </cell>
          <cell r="AC192">
            <v>1</v>
          </cell>
        </row>
        <row r="193">
          <cell r="A193">
            <v>0</v>
          </cell>
          <cell r="B193" t="str">
            <v>ALL VRTS</v>
          </cell>
          <cell r="D193">
            <v>41</v>
          </cell>
          <cell r="I193" t="str">
            <v>K03</v>
          </cell>
          <cell r="L193" t="str">
            <v>V44</v>
          </cell>
          <cell r="N193">
            <v>0</v>
          </cell>
          <cell r="O193">
            <v>-1</v>
          </cell>
          <cell r="P193">
            <v>0</v>
          </cell>
          <cell r="Q193">
            <v>2004</v>
          </cell>
          <cell r="R193" t="str">
            <v>DEARBORN PLANT BUILD</v>
          </cell>
          <cell r="S193" t="str">
            <v>P221/P397</v>
          </cell>
          <cell r="T193" t="str">
            <v xml:space="preserve"> DRIVESHAFT NOISE</v>
          </cell>
          <cell r="U193" t="str">
            <v>Driveshaft replaced</v>
          </cell>
          <cell r="V193" t="str">
            <v>ALL</v>
          </cell>
          <cell r="W193">
            <v>18</v>
          </cell>
          <cell r="AA193">
            <v>1</v>
          </cell>
          <cell r="AB193">
            <v>3</v>
          </cell>
          <cell r="AC193">
            <v>4</v>
          </cell>
          <cell r="AD193">
            <v>8</v>
          </cell>
          <cell r="AE193">
            <v>2</v>
          </cell>
        </row>
        <row r="194">
          <cell r="A194">
            <v>0</v>
          </cell>
          <cell r="B194" t="str">
            <v>ALL VRTS</v>
          </cell>
          <cell r="D194">
            <v>41</v>
          </cell>
          <cell r="I194" t="str">
            <v>K03</v>
          </cell>
          <cell r="J194" t="str">
            <v>K02</v>
          </cell>
          <cell r="L194" t="str">
            <v>V44</v>
          </cell>
          <cell r="N194">
            <v>0</v>
          </cell>
          <cell r="O194">
            <v>-1</v>
          </cell>
          <cell r="P194">
            <v>0</v>
          </cell>
          <cell r="Q194">
            <v>2004</v>
          </cell>
          <cell r="R194" t="str">
            <v>DEARBORN PLANT BUILD</v>
          </cell>
          <cell r="S194" t="str">
            <v>P221/P397</v>
          </cell>
          <cell r="T194" t="str">
            <v xml:space="preserve"> DRIVESHAFT NOISE</v>
          </cell>
          <cell r="U194" t="str">
            <v>removed drive shaft and lubed slipyoke</v>
          </cell>
          <cell r="V194" t="str">
            <v>ALL</v>
          </cell>
          <cell r="W194">
            <v>14</v>
          </cell>
          <cell r="Z194">
            <v>1</v>
          </cell>
          <cell r="AA194">
            <v>1</v>
          </cell>
          <cell r="AB194">
            <v>2</v>
          </cell>
          <cell r="AC194">
            <v>3</v>
          </cell>
          <cell r="AD194">
            <v>4</v>
          </cell>
          <cell r="AE194">
            <v>3</v>
          </cell>
        </row>
        <row r="195">
          <cell r="A195">
            <v>0</v>
          </cell>
          <cell r="B195" t="str">
            <v>ALL VRTS</v>
          </cell>
          <cell r="D195">
            <v>41</v>
          </cell>
          <cell r="I195" t="str">
            <v>K03</v>
          </cell>
          <cell r="L195" t="str">
            <v>V44</v>
          </cell>
          <cell r="N195">
            <v>-1</v>
          </cell>
          <cell r="O195">
            <v>-1</v>
          </cell>
          <cell r="P195">
            <v>0</v>
          </cell>
          <cell r="Q195">
            <v>2004</v>
          </cell>
          <cell r="R195" t="str">
            <v>DEARBORN PLANT BUILD</v>
          </cell>
          <cell r="S195" t="str">
            <v>P221/P397</v>
          </cell>
          <cell r="T195" t="str">
            <v xml:space="preserve"> DRIVESHAFT NOISE</v>
          </cell>
          <cell r="U195" t="str">
            <v>Balanced Driveshaft</v>
          </cell>
          <cell r="V195" t="str">
            <v>ALL</v>
          </cell>
          <cell r="W195">
            <v>3</v>
          </cell>
          <cell r="AB195">
            <v>1</v>
          </cell>
          <cell r="AC195">
            <v>1</v>
          </cell>
          <cell r="AD195">
            <v>1</v>
          </cell>
        </row>
        <row r="196">
          <cell r="A196">
            <v>0</v>
          </cell>
          <cell r="B196" t="str">
            <v>ALL VRTS</v>
          </cell>
          <cell r="D196">
            <v>41</v>
          </cell>
          <cell r="I196" t="str">
            <v>K03</v>
          </cell>
          <cell r="L196" t="str">
            <v>V44</v>
          </cell>
          <cell r="N196">
            <v>-1</v>
          </cell>
          <cell r="O196">
            <v>-1</v>
          </cell>
          <cell r="P196">
            <v>0</v>
          </cell>
          <cell r="Q196">
            <v>2004</v>
          </cell>
          <cell r="R196" t="str">
            <v>DEARBORN PLANT BUILD</v>
          </cell>
          <cell r="S196" t="str">
            <v>P221/P397</v>
          </cell>
          <cell r="T196" t="str">
            <v xml:space="preserve"> DRIVESHAFT NOISE</v>
          </cell>
          <cell r="U196" t="str">
            <v>Driveshaft U-Joint</v>
          </cell>
          <cell r="V196" t="str">
            <v>ALL</v>
          </cell>
          <cell r="W196">
            <v>2</v>
          </cell>
          <cell r="AD196">
            <v>2</v>
          </cell>
        </row>
        <row r="197">
          <cell r="A197">
            <v>0</v>
          </cell>
          <cell r="B197" t="str">
            <v>ALL VRTS</v>
          </cell>
          <cell r="D197">
            <v>41</v>
          </cell>
          <cell r="I197" t="str">
            <v>K03</v>
          </cell>
          <cell r="L197" t="str">
            <v>V44</v>
          </cell>
          <cell r="N197">
            <v>-1</v>
          </cell>
          <cell r="O197">
            <v>-1</v>
          </cell>
          <cell r="P197">
            <v>0</v>
          </cell>
          <cell r="Q197">
            <v>2004</v>
          </cell>
          <cell r="R197" t="str">
            <v>DEARBORN PLANT BUILD</v>
          </cell>
          <cell r="S197" t="str">
            <v>P221/P397</v>
          </cell>
          <cell r="T197" t="str">
            <v xml:space="preserve"> DRIVESHAFT NOISE</v>
          </cell>
          <cell r="U197" t="str">
            <v>npf</v>
          </cell>
          <cell r="V197" t="str">
            <v>ALL</v>
          </cell>
          <cell r="W197">
            <v>2</v>
          </cell>
          <cell r="Z197">
            <v>1</v>
          </cell>
          <cell r="AB197">
            <v>1</v>
          </cell>
        </row>
        <row r="198">
          <cell r="A198">
            <v>0</v>
          </cell>
          <cell r="B198" t="str">
            <v>ALL VRTS</v>
          </cell>
          <cell r="D198">
            <v>41</v>
          </cell>
          <cell r="E198" t="str">
            <v>5420</v>
          </cell>
          <cell r="G198" t="str">
            <v>T518M</v>
          </cell>
          <cell r="I198" t="str">
            <v>K02</v>
          </cell>
          <cell r="L198" t="str">
            <v>V44</v>
          </cell>
          <cell r="N198">
            <v>0</v>
          </cell>
          <cell r="O198">
            <v>0</v>
          </cell>
          <cell r="P198">
            <v>-1</v>
          </cell>
          <cell r="Q198">
            <v>2004</v>
          </cell>
          <cell r="R198" t="str">
            <v>DEARBORN PLANT BUILD</v>
          </cell>
          <cell r="S198" t="str">
            <v>P221/P397</v>
          </cell>
          <cell r="T198" t="str">
            <v xml:space="preserve"> DRIVESHAFT NOISE</v>
          </cell>
          <cell r="U198" t="str">
            <v>Driveshaft guard/Loose</v>
          </cell>
          <cell r="V198" t="str">
            <v>ALL</v>
          </cell>
          <cell r="W198">
            <v>1</v>
          </cell>
          <cell r="AB198">
            <v>1</v>
          </cell>
        </row>
        <row r="199">
          <cell r="A199">
            <v>0</v>
          </cell>
          <cell r="B199" t="str">
            <v>ALL VRTS</v>
          </cell>
          <cell r="D199">
            <v>41</v>
          </cell>
          <cell r="I199" t="str">
            <v>K03</v>
          </cell>
          <cell r="L199" t="str">
            <v>V44</v>
          </cell>
          <cell r="N199">
            <v>-1</v>
          </cell>
          <cell r="O199">
            <v>-1</v>
          </cell>
          <cell r="P199">
            <v>0</v>
          </cell>
          <cell r="Q199">
            <v>2004</v>
          </cell>
          <cell r="R199" t="str">
            <v>DEARBORN PLANT BUILD</v>
          </cell>
          <cell r="S199" t="str">
            <v>P221/P397</v>
          </cell>
          <cell r="T199" t="str">
            <v xml:space="preserve"> DRIVESHAFT NOISE</v>
          </cell>
          <cell r="U199" t="str">
            <v>Preformed NVH Diag.Performed TSB verified repair</v>
          </cell>
          <cell r="V199" t="str">
            <v>ALL</v>
          </cell>
          <cell r="W199">
            <v>1</v>
          </cell>
          <cell r="Y199">
            <v>1</v>
          </cell>
        </row>
        <row r="200">
          <cell r="A200">
            <v>0</v>
          </cell>
          <cell r="B200" t="str">
            <v>ALL VRTS</v>
          </cell>
          <cell r="D200">
            <v>40</v>
          </cell>
          <cell r="E200" t="str">
            <v>Repair</v>
          </cell>
          <cell r="G200" t="str">
            <v>NA</v>
          </cell>
          <cell r="I200" t="str">
            <v>W05</v>
          </cell>
          <cell r="L200" t="str">
            <v>V16</v>
          </cell>
          <cell r="N200">
            <v>0</v>
          </cell>
          <cell r="O200">
            <v>0</v>
          </cell>
          <cell r="P200">
            <v>-1</v>
          </cell>
          <cell r="Q200">
            <v>2004</v>
          </cell>
          <cell r="R200" t="str">
            <v>DEARBORN PLANT BUILD</v>
          </cell>
          <cell r="S200" t="str">
            <v>P221/P397</v>
          </cell>
          <cell r="T200" t="str">
            <v>Wipers INOP</v>
          </cell>
          <cell r="U200" t="str">
            <v>Replaced Wiper Blades.</v>
          </cell>
          <cell r="V200" t="str">
            <v>ALL</v>
          </cell>
          <cell r="W200">
            <v>13</v>
          </cell>
          <cell r="Z200">
            <v>1</v>
          </cell>
          <cell r="AA200">
            <v>4</v>
          </cell>
          <cell r="AB200">
            <v>2</v>
          </cell>
          <cell r="AC200">
            <v>1</v>
          </cell>
          <cell r="AD200">
            <v>3</v>
          </cell>
          <cell r="AE200">
            <v>2</v>
          </cell>
        </row>
        <row r="201">
          <cell r="A201">
            <v>0</v>
          </cell>
          <cell r="B201" t="str">
            <v>ALL VRTS</v>
          </cell>
          <cell r="D201">
            <v>40</v>
          </cell>
          <cell r="E201" t="str">
            <v>Repair</v>
          </cell>
          <cell r="G201" t="str">
            <v>Repair</v>
          </cell>
          <cell r="I201" t="str">
            <v>W05</v>
          </cell>
          <cell r="L201" t="str">
            <v>V16</v>
          </cell>
          <cell r="N201">
            <v>0</v>
          </cell>
          <cell r="O201">
            <v>0</v>
          </cell>
          <cell r="P201">
            <v>-1</v>
          </cell>
          <cell r="Q201">
            <v>2004</v>
          </cell>
          <cell r="R201" t="str">
            <v>DEARBORN PLANT BUILD</v>
          </cell>
          <cell r="S201" t="str">
            <v>P221/P397</v>
          </cell>
          <cell r="T201" t="str">
            <v>Wipers INOP</v>
          </cell>
          <cell r="U201" t="str">
            <v>Circuit Connector Loose.</v>
          </cell>
          <cell r="V201" t="str">
            <v>ALL</v>
          </cell>
          <cell r="W201">
            <v>7</v>
          </cell>
          <cell r="AA201">
            <v>2</v>
          </cell>
          <cell r="AB201">
            <v>1</v>
          </cell>
          <cell r="AE201">
            <v>4</v>
          </cell>
        </row>
        <row r="202">
          <cell r="A202">
            <v>0</v>
          </cell>
          <cell r="B202" t="str">
            <v>ALL VRTS</v>
          </cell>
          <cell r="D202">
            <v>40</v>
          </cell>
          <cell r="I202" t="str">
            <v>W05</v>
          </cell>
          <cell r="L202" t="str">
            <v>V16</v>
          </cell>
          <cell r="N202">
            <v>0</v>
          </cell>
          <cell r="O202">
            <v>-1</v>
          </cell>
          <cell r="P202">
            <v>0</v>
          </cell>
          <cell r="Q202">
            <v>2004</v>
          </cell>
          <cell r="R202" t="str">
            <v>DEARBORN PLANT BUILD</v>
          </cell>
          <cell r="S202" t="str">
            <v>P221/P397</v>
          </cell>
          <cell r="T202" t="str">
            <v>Wipers INOP</v>
          </cell>
          <cell r="U202" t="str">
            <v>Replaced Wiper Motor</v>
          </cell>
          <cell r="V202" t="str">
            <v>ALL</v>
          </cell>
          <cell r="W202">
            <v>6</v>
          </cell>
          <cell r="Z202">
            <v>1</v>
          </cell>
          <cell r="AB202">
            <v>1</v>
          </cell>
          <cell r="AC202">
            <v>1</v>
          </cell>
          <cell r="AD202">
            <v>3</v>
          </cell>
        </row>
        <row r="203">
          <cell r="A203">
            <v>0</v>
          </cell>
          <cell r="B203" t="str">
            <v>ALL VRTS</v>
          </cell>
          <cell r="D203">
            <v>40</v>
          </cell>
          <cell r="I203" t="str">
            <v>W05</v>
          </cell>
          <cell r="L203" t="str">
            <v>V16</v>
          </cell>
          <cell r="N203">
            <v>0</v>
          </cell>
          <cell r="O203">
            <v>-1</v>
          </cell>
          <cell r="P203">
            <v>0</v>
          </cell>
          <cell r="Q203">
            <v>2004</v>
          </cell>
          <cell r="R203" t="str">
            <v>DEARBORN PLANT BUILD</v>
          </cell>
          <cell r="S203" t="str">
            <v>P221/P397</v>
          </cell>
          <cell r="T203" t="str">
            <v>Wipers INOP</v>
          </cell>
          <cell r="U203" t="str">
            <v>Lse Connector Multi-Function</v>
          </cell>
          <cell r="V203" t="str">
            <v>ALL</v>
          </cell>
          <cell r="W203">
            <v>3</v>
          </cell>
          <cell r="AB203">
            <v>1</v>
          </cell>
          <cell r="AE203">
            <v>2</v>
          </cell>
        </row>
        <row r="204">
          <cell r="A204">
            <v>0</v>
          </cell>
          <cell r="B204" t="str">
            <v>ALL VRTS</v>
          </cell>
          <cell r="D204">
            <v>40</v>
          </cell>
          <cell r="I204" t="str">
            <v>W05</v>
          </cell>
          <cell r="L204" t="str">
            <v>V16</v>
          </cell>
          <cell r="N204">
            <v>0</v>
          </cell>
          <cell r="O204">
            <v>0</v>
          </cell>
          <cell r="P204">
            <v>-1</v>
          </cell>
          <cell r="Q204">
            <v>2004</v>
          </cell>
          <cell r="R204" t="str">
            <v>DEARBORN PLANT BUILD</v>
          </cell>
          <cell r="S204" t="str">
            <v>P221/P397</v>
          </cell>
          <cell r="T204" t="str">
            <v>Wipers INOP</v>
          </cell>
          <cell r="U204" t="str">
            <v>Adjusted wiper arm</v>
          </cell>
          <cell r="V204" t="str">
            <v>ALL</v>
          </cell>
          <cell r="W204">
            <v>2</v>
          </cell>
          <cell r="AE204">
            <v>2</v>
          </cell>
        </row>
        <row r="205">
          <cell r="A205">
            <v>0</v>
          </cell>
          <cell r="B205" t="str">
            <v>ALL VRTS</v>
          </cell>
          <cell r="D205">
            <v>40</v>
          </cell>
          <cell r="I205" t="str">
            <v>W05</v>
          </cell>
          <cell r="L205" t="str">
            <v>V16</v>
          </cell>
          <cell r="N205">
            <v>0</v>
          </cell>
          <cell r="O205">
            <v>0</v>
          </cell>
          <cell r="P205">
            <v>-1</v>
          </cell>
          <cell r="Q205">
            <v>2004</v>
          </cell>
          <cell r="R205" t="str">
            <v>DEARBORN PLANT BUILD</v>
          </cell>
          <cell r="S205" t="str">
            <v>P221/P397</v>
          </cell>
          <cell r="T205" t="str">
            <v>Wipers INOP</v>
          </cell>
          <cell r="U205" t="str">
            <v>Washer Fuild nozzle Cleaned</v>
          </cell>
          <cell r="V205" t="str">
            <v>ALL</v>
          </cell>
          <cell r="W205">
            <v>2</v>
          </cell>
          <cell r="AB205">
            <v>1</v>
          </cell>
          <cell r="AE205">
            <v>1</v>
          </cell>
        </row>
        <row r="206">
          <cell r="A206">
            <v>0</v>
          </cell>
          <cell r="B206" t="str">
            <v>ALL VRTS</v>
          </cell>
          <cell r="D206">
            <v>40</v>
          </cell>
          <cell r="I206" t="str">
            <v>W05</v>
          </cell>
          <cell r="L206" t="str">
            <v>V16</v>
          </cell>
          <cell r="N206">
            <v>0</v>
          </cell>
          <cell r="O206">
            <v>-1</v>
          </cell>
          <cell r="P206">
            <v>0</v>
          </cell>
          <cell r="Q206">
            <v>2004</v>
          </cell>
          <cell r="R206" t="str">
            <v>DEARBORN PLANT BUILD</v>
          </cell>
          <cell r="S206" t="str">
            <v>P221/P397</v>
          </cell>
          <cell r="T206" t="str">
            <v>Wipers INOP</v>
          </cell>
          <cell r="U206" t="str">
            <v xml:space="preserve"> C220A   LOOSE, PIN 6 CKT #684, PK BK</v>
          </cell>
          <cell r="V206" t="str">
            <v>ALL</v>
          </cell>
          <cell r="W206">
            <v>1</v>
          </cell>
          <cell r="AC206">
            <v>1</v>
          </cell>
        </row>
        <row r="207">
          <cell r="A207">
            <v>0</v>
          </cell>
          <cell r="B207" t="str">
            <v>ALL VRTS</v>
          </cell>
          <cell r="D207">
            <v>40</v>
          </cell>
          <cell r="I207" t="str">
            <v>W05</v>
          </cell>
          <cell r="L207" t="str">
            <v>V16</v>
          </cell>
          <cell r="N207">
            <v>-1</v>
          </cell>
          <cell r="O207">
            <v>0</v>
          </cell>
          <cell r="P207">
            <v>0</v>
          </cell>
          <cell r="Q207">
            <v>2004</v>
          </cell>
          <cell r="R207" t="str">
            <v>DEARBORN PLANT BUILD</v>
          </cell>
          <cell r="S207" t="str">
            <v>P221/P397</v>
          </cell>
          <cell r="T207" t="str">
            <v>Wipers INOP</v>
          </cell>
          <cell r="U207" t="str">
            <v>Customer perception</v>
          </cell>
          <cell r="V207" t="str">
            <v>ALL</v>
          </cell>
          <cell r="W207">
            <v>1</v>
          </cell>
          <cell r="AD207">
            <v>1</v>
          </cell>
        </row>
        <row r="208">
          <cell r="A208">
            <v>0</v>
          </cell>
          <cell r="B208" t="str">
            <v>ALL VRTS</v>
          </cell>
          <cell r="D208">
            <v>40</v>
          </cell>
          <cell r="I208" t="str">
            <v>W05</v>
          </cell>
          <cell r="L208" t="str">
            <v>V16</v>
          </cell>
          <cell r="N208">
            <v>0</v>
          </cell>
          <cell r="O208">
            <v>0</v>
          </cell>
          <cell r="P208">
            <v>-1</v>
          </cell>
          <cell r="Q208">
            <v>2004</v>
          </cell>
          <cell r="R208" t="str">
            <v>DEARBORN PLANT BUILD</v>
          </cell>
          <cell r="S208" t="str">
            <v>P221/P397</v>
          </cell>
          <cell r="T208" t="str">
            <v>Wipers INOP</v>
          </cell>
          <cell r="U208" t="str">
            <v>Lse. Fuse</v>
          </cell>
          <cell r="V208" t="str">
            <v>ALL</v>
          </cell>
          <cell r="W208">
            <v>1</v>
          </cell>
          <cell r="AE208">
            <v>1</v>
          </cell>
        </row>
        <row r="209">
          <cell r="A209">
            <v>0</v>
          </cell>
          <cell r="B209" t="str">
            <v>ALL VRTS</v>
          </cell>
          <cell r="D209">
            <v>40</v>
          </cell>
          <cell r="I209" t="str">
            <v>W05</v>
          </cell>
          <cell r="L209" t="str">
            <v>V16</v>
          </cell>
          <cell r="N209">
            <v>0</v>
          </cell>
          <cell r="O209">
            <v>-1</v>
          </cell>
          <cell r="P209">
            <v>0</v>
          </cell>
          <cell r="Q209">
            <v>2004</v>
          </cell>
          <cell r="R209" t="str">
            <v>DEARBORN PLANT BUILD</v>
          </cell>
          <cell r="S209" t="str">
            <v>P221/P397</v>
          </cell>
          <cell r="T209" t="str">
            <v>Wipers INOP</v>
          </cell>
          <cell r="U209" t="str">
            <v>Pin Push out at motor</v>
          </cell>
          <cell r="V209" t="str">
            <v>ALL</v>
          </cell>
          <cell r="W209">
            <v>1</v>
          </cell>
          <cell r="AD209">
            <v>1</v>
          </cell>
        </row>
        <row r="210">
          <cell r="A210">
            <v>0</v>
          </cell>
          <cell r="B210" t="str">
            <v>ALL VRTS</v>
          </cell>
          <cell r="D210">
            <v>40</v>
          </cell>
          <cell r="I210" t="str">
            <v>W05</v>
          </cell>
          <cell r="L210" t="str">
            <v>V16</v>
          </cell>
          <cell r="N210">
            <v>0</v>
          </cell>
          <cell r="O210">
            <v>0</v>
          </cell>
          <cell r="P210">
            <v>-1</v>
          </cell>
          <cell r="Q210">
            <v>2004</v>
          </cell>
          <cell r="R210" t="str">
            <v>DEARBORN PLANT BUILD</v>
          </cell>
          <cell r="S210" t="str">
            <v>P221/P397</v>
          </cell>
          <cell r="T210" t="str">
            <v>Wipers INOP</v>
          </cell>
          <cell r="U210" t="str">
            <v>Pinched Hose, behind battery box.</v>
          </cell>
          <cell r="V210" t="str">
            <v>ALL</v>
          </cell>
          <cell r="W210">
            <v>1</v>
          </cell>
          <cell r="AD210">
            <v>1</v>
          </cell>
        </row>
        <row r="211">
          <cell r="A211">
            <v>0</v>
          </cell>
          <cell r="B211" t="str">
            <v>ALL VRTS</v>
          </cell>
          <cell r="D211">
            <v>40</v>
          </cell>
          <cell r="I211" t="str">
            <v>W05</v>
          </cell>
          <cell r="L211" t="str">
            <v>V16</v>
          </cell>
          <cell r="N211">
            <v>0</v>
          </cell>
          <cell r="O211">
            <v>0</v>
          </cell>
          <cell r="P211">
            <v>-1</v>
          </cell>
          <cell r="Q211">
            <v>2004</v>
          </cell>
          <cell r="R211" t="str">
            <v>DEARBORN PLANT BUILD</v>
          </cell>
          <cell r="S211" t="str">
            <v>P221/P397</v>
          </cell>
          <cell r="T211" t="str">
            <v>Wipers INOP</v>
          </cell>
          <cell r="U211" t="str">
            <v>Repaired, circuit 941 harness.</v>
          </cell>
          <cell r="V211" t="str">
            <v>ALL</v>
          </cell>
          <cell r="W211">
            <v>1</v>
          </cell>
          <cell r="AD211">
            <v>1</v>
          </cell>
        </row>
        <row r="212">
          <cell r="A212">
            <v>0</v>
          </cell>
          <cell r="B212" t="str">
            <v>ALL VRTS</v>
          </cell>
          <cell r="D212">
            <v>40</v>
          </cell>
          <cell r="I212" t="str">
            <v>W05</v>
          </cell>
          <cell r="L212" t="str">
            <v>V16</v>
          </cell>
          <cell r="N212">
            <v>0</v>
          </cell>
          <cell r="O212">
            <v>-1</v>
          </cell>
          <cell r="P212">
            <v>-1</v>
          </cell>
          <cell r="Q212">
            <v>2004</v>
          </cell>
          <cell r="R212" t="str">
            <v>DEARBORN PLANT BUILD</v>
          </cell>
          <cell r="S212" t="str">
            <v>P221/P397</v>
          </cell>
          <cell r="T212" t="str">
            <v>Wipers INOP</v>
          </cell>
          <cell r="U212" t="str">
            <v>Replace motor and Linkage Ass.</v>
          </cell>
          <cell r="V212" t="str">
            <v>ALL</v>
          </cell>
          <cell r="W212">
            <v>1</v>
          </cell>
          <cell r="AC212">
            <v>1</v>
          </cell>
        </row>
        <row r="213">
          <cell r="A213">
            <v>0</v>
          </cell>
          <cell r="B213" t="str">
            <v>ALL VRTS</v>
          </cell>
          <cell r="D213">
            <v>38</v>
          </cell>
          <cell r="I213" t="str">
            <v>P59</v>
          </cell>
          <cell r="J213" t="str">
            <v>P51</v>
          </cell>
          <cell r="K213" t="str">
            <v>P66</v>
          </cell>
          <cell r="L213" t="str">
            <v>V48</v>
          </cell>
          <cell r="N213">
            <v>0</v>
          </cell>
          <cell r="O213">
            <v>-1</v>
          </cell>
          <cell r="P213">
            <v>0</v>
          </cell>
          <cell r="Q213">
            <v>2004</v>
          </cell>
          <cell r="R213" t="str">
            <v>DEARBORN PLANT BUILD</v>
          </cell>
          <cell r="S213" t="str">
            <v>P221/P397</v>
          </cell>
          <cell r="T213" t="str">
            <v>OTHER AUTO.TRANS</v>
          </cell>
          <cell r="U213" t="str">
            <v xml:space="preserve"> replaced transmission</v>
          </cell>
          <cell r="V213" t="str">
            <v>ALL</v>
          </cell>
          <cell r="W213">
            <v>14</v>
          </cell>
          <cell r="Y213">
            <v>1</v>
          </cell>
          <cell r="Z213">
            <v>2</v>
          </cell>
          <cell r="AB213">
            <v>2</v>
          </cell>
          <cell r="AC213">
            <v>2</v>
          </cell>
          <cell r="AD213">
            <v>1</v>
          </cell>
          <cell r="AE213">
            <v>6</v>
          </cell>
        </row>
        <row r="214">
          <cell r="A214">
            <v>0</v>
          </cell>
          <cell r="B214" t="str">
            <v>ALL VRTS</v>
          </cell>
          <cell r="D214">
            <v>38</v>
          </cell>
          <cell r="I214" t="str">
            <v>P59</v>
          </cell>
          <cell r="J214" t="str">
            <v>P83</v>
          </cell>
          <cell r="L214" t="str">
            <v>V48</v>
          </cell>
          <cell r="N214">
            <v>0</v>
          </cell>
          <cell r="O214">
            <v>-1</v>
          </cell>
          <cell r="P214">
            <v>0</v>
          </cell>
          <cell r="Q214">
            <v>2004</v>
          </cell>
          <cell r="R214" t="str">
            <v>DEARBORN PLANT BUILD</v>
          </cell>
          <cell r="S214" t="str">
            <v>P221/P397</v>
          </cell>
          <cell r="T214" t="str">
            <v>OTHER AUTO.TRANS</v>
          </cell>
          <cell r="U214" t="str">
            <v>overhauled trans</v>
          </cell>
          <cell r="V214" t="str">
            <v>ALL</v>
          </cell>
          <cell r="W214">
            <v>12</v>
          </cell>
          <cell r="AA214">
            <v>1</v>
          </cell>
          <cell r="AB214">
            <v>2</v>
          </cell>
          <cell r="AC214">
            <v>3</v>
          </cell>
          <cell r="AD214">
            <v>5</v>
          </cell>
          <cell r="AE214">
            <v>1</v>
          </cell>
        </row>
        <row r="215">
          <cell r="A215">
            <v>0</v>
          </cell>
          <cell r="B215" t="str">
            <v>ALL VRTS</v>
          </cell>
          <cell r="D215">
            <v>38</v>
          </cell>
          <cell r="I215" t="str">
            <v>P59</v>
          </cell>
          <cell r="J215" t="str">
            <v>P66</v>
          </cell>
          <cell r="L215" t="str">
            <v>V48</v>
          </cell>
          <cell r="N215">
            <v>-1</v>
          </cell>
          <cell r="O215">
            <v>-1</v>
          </cell>
          <cell r="P215">
            <v>0</v>
          </cell>
          <cell r="Q215">
            <v>2004</v>
          </cell>
          <cell r="R215" t="str">
            <v>DEARBORN PLANT BUILD</v>
          </cell>
          <cell r="S215" t="str">
            <v>P221/P397</v>
          </cell>
          <cell r="T215" t="str">
            <v>OTHER AUTO.TRANS</v>
          </cell>
          <cell r="U215" t="str">
            <v>npf</v>
          </cell>
          <cell r="V215" t="str">
            <v>ALL</v>
          </cell>
          <cell r="W215">
            <v>3</v>
          </cell>
          <cell r="AC215">
            <v>3</v>
          </cell>
        </row>
        <row r="216">
          <cell r="A216">
            <v>0</v>
          </cell>
          <cell r="B216" t="str">
            <v>ALL VRTS</v>
          </cell>
          <cell r="D216">
            <v>38</v>
          </cell>
          <cell r="I216" t="str">
            <v>P59</v>
          </cell>
          <cell r="L216" t="str">
            <v>V48</v>
          </cell>
          <cell r="N216">
            <v>0</v>
          </cell>
          <cell r="O216">
            <v>-1</v>
          </cell>
          <cell r="P216">
            <v>0</v>
          </cell>
          <cell r="Q216">
            <v>2004</v>
          </cell>
          <cell r="R216" t="str">
            <v>DEARBORN PLANT BUILD</v>
          </cell>
          <cell r="S216" t="str">
            <v>P221/P397</v>
          </cell>
          <cell r="T216" t="str">
            <v>OTHER AUTO.TRANS</v>
          </cell>
          <cell r="U216" t="str">
            <v>Replaced Bulkhead asy</v>
          </cell>
          <cell r="V216" t="str">
            <v>ALL</v>
          </cell>
          <cell r="W216">
            <v>3</v>
          </cell>
          <cell r="AD216">
            <v>2</v>
          </cell>
          <cell r="AE216">
            <v>1</v>
          </cell>
        </row>
        <row r="217">
          <cell r="A217">
            <v>0</v>
          </cell>
          <cell r="B217" t="str">
            <v>ALL VRTS</v>
          </cell>
          <cell r="D217">
            <v>38</v>
          </cell>
          <cell r="I217" t="str">
            <v>P59</v>
          </cell>
          <cell r="L217" t="str">
            <v>V48</v>
          </cell>
          <cell r="N217">
            <v>-1</v>
          </cell>
          <cell r="O217">
            <v>-1</v>
          </cell>
          <cell r="P217">
            <v>0</v>
          </cell>
          <cell r="Q217">
            <v>2004</v>
          </cell>
          <cell r="R217" t="str">
            <v>DEARBORN PLANT BUILD</v>
          </cell>
          <cell r="S217" t="str">
            <v>P221/P397</v>
          </cell>
          <cell r="T217" t="str">
            <v>OTHER AUTO.TRANS</v>
          </cell>
          <cell r="U217" t="str">
            <v>PCM Defective</v>
          </cell>
          <cell r="V217" t="str">
            <v>ALL</v>
          </cell>
          <cell r="W217">
            <v>2</v>
          </cell>
          <cell r="AC217">
            <v>1</v>
          </cell>
          <cell r="AD217">
            <v>1</v>
          </cell>
        </row>
        <row r="218">
          <cell r="A218">
            <v>0</v>
          </cell>
          <cell r="B218" t="str">
            <v>ALL VRTS</v>
          </cell>
          <cell r="D218">
            <v>38</v>
          </cell>
          <cell r="I218" t="str">
            <v>P59</v>
          </cell>
          <cell r="L218" t="str">
            <v>V48</v>
          </cell>
          <cell r="N218">
            <v>-1</v>
          </cell>
          <cell r="O218">
            <v>-1</v>
          </cell>
          <cell r="P218">
            <v>0</v>
          </cell>
          <cell r="Q218">
            <v>2004</v>
          </cell>
          <cell r="R218" t="str">
            <v>DEARBORN PLANT BUILD</v>
          </cell>
          <cell r="S218" t="str">
            <v>P221/P397</v>
          </cell>
          <cell r="T218" t="str">
            <v>OTHER AUTO.TRANS</v>
          </cell>
          <cell r="U218" t="str">
            <v>trans slips</v>
          </cell>
          <cell r="V218" t="str">
            <v>ALL</v>
          </cell>
          <cell r="W218">
            <v>2</v>
          </cell>
          <cell r="Z218">
            <v>1</v>
          </cell>
          <cell r="AA218">
            <v>1</v>
          </cell>
        </row>
        <row r="219">
          <cell r="A219">
            <v>0</v>
          </cell>
          <cell r="B219" t="str">
            <v>ALL VRTS</v>
          </cell>
          <cell r="D219">
            <v>38</v>
          </cell>
          <cell r="I219" t="str">
            <v>P59</v>
          </cell>
          <cell r="L219" t="str">
            <v>V48</v>
          </cell>
          <cell r="N219">
            <v>0</v>
          </cell>
          <cell r="O219">
            <v>-1</v>
          </cell>
          <cell r="P219">
            <v>0</v>
          </cell>
          <cell r="Q219">
            <v>2004</v>
          </cell>
          <cell r="R219" t="str">
            <v>DEARBORN PLANT BUILD</v>
          </cell>
          <cell r="S219" t="str">
            <v>P221/P397</v>
          </cell>
          <cell r="T219" t="str">
            <v>OTHER AUTO.TRANS</v>
          </cell>
          <cell r="U219" t="str">
            <v xml:space="preserve"> one way clutch</v>
          </cell>
          <cell r="V219" t="str">
            <v>ALL</v>
          </cell>
          <cell r="W219">
            <v>1</v>
          </cell>
          <cell r="AA219">
            <v>1</v>
          </cell>
        </row>
        <row r="220">
          <cell r="A220">
            <v>0</v>
          </cell>
          <cell r="B220" t="str">
            <v>ALL VRTS</v>
          </cell>
          <cell r="D220">
            <v>38</v>
          </cell>
          <cell r="I220" t="str">
            <v>P59</v>
          </cell>
          <cell r="L220" t="str">
            <v>V48</v>
          </cell>
          <cell r="N220">
            <v>0</v>
          </cell>
          <cell r="O220">
            <v>-1</v>
          </cell>
          <cell r="P220">
            <v>0</v>
          </cell>
          <cell r="Q220">
            <v>2004</v>
          </cell>
          <cell r="R220" t="str">
            <v>DEARBORN PLANT BUILD</v>
          </cell>
          <cell r="S220" t="str">
            <v>P221/P397</v>
          </cell>
          <cell r="T220" t="str">
            <v>OTHER AUTO.TRANS</v>
          </cell>
          <cell r="U220" t="str">
            <v>Replaced Torque Converter</v>
          </cell>
          <cell r="V220" t="str">
            <v>ALL</v>
          </cell>
          <cell r="W220">
            <v>1</v>
          </cell>
          <cell r="AD220">
            <v>1</v>
          </cell>
        </row>
        <row r="221">
          <cell r="A221">
            <v>0</v>
          </cell>
          <cell r="B221" t="str">
            <v>ALL VRTS</v>
          </cell>
          <cell r="C221" t="str">
            <v>X</v>
          </cell>
          <cell r="D221">
            <v>37</v>
          </cell>
          <cell r="E221" t="str">
            <v>7330</v>
          </cell>
          <cell r="G221" t="str">
            <v>M12</v>
          </cell>
          <cell r="I221" t="str">
            <v>H26</v>
          </cell>
          <cell r="J221" t="str">
            <v>H62</v>
          </cell>
          <cell r="K221" t="str">
            <v>TB8</v>
          </cell>
          <cell r="L221" t="str">
            <v>V89</v>
          </cell>
          <cell r="N221">
            <v>0</v>
          </cell>
          <cell r="O221">
            <v>0</v>
          </cell>
          <cell r="P221">
            <v>-1</v>
          </cell>
          <cell r="Q221">
            <v>2004</v>
          </cell>
          <cell r="R221" t="str">
            <v>DEARBORN PLANT BUILD</v>
          </cell>
          <cell r="S221" t="str">
            <v>P221/P397</v>
          </cell>
          <cell r="T221" t="str">
            <v>ALIGNMENT, PULLS/DRIFTS</v>
          </cell>
          <cell r="U221" t="str">
            <v>ALIGNMENT- PULLS RIGHT</v>
          </cell>
          <cell r="V221" t="str">
            <v>ALL</v>
          </cell>
          <cell r="W221">
            <v>17</v>
          </cell>
          <cell r="Z221">
            <v>1</v>
          </cell>
          <cell r="AA221">
            <v>2</v>
          </cell>
          <cell r="AB221">
            <v>2</v>
          </cell>
          <cell r="AC221">
            <v>3</v>
          </cell>
          <cell r="AD221">
            <v>7</v>
          </cell>
          <cell r="AE221">
            <v>2</v>
          </cell>
        </row>
        <row r="222">
          <cell r="A222">
            <v>0</v>
          </cell>
          <cell r="B222" t="str">
            <v>ALL VRTS</v>
          </cell>
          <cell r="C222" t="str">
            <v>X</v>
          </cell>
          <cell r="D222">
            <v>37</v>
          </cell>
          <cell r="E222" t="str">
            <v>7330</v>
          </cell>
          <cell r="G222" t="str">
            <v>M12</v>
          </cell>
          <cell r="I222" t="str">
            <v>H25</v>
          </cell>
          <cell r="J222" t="str">
            <v>H26</v>
          </cell>
          <cell r="K222" t="str">
            <v>C50</v>
          </cell>
          <cell r="L222" t="str">
            <v>V89</v>
          </cell>
          <cell r="M222" t="str">
            <v>V21</v>
          </cell>
          <cell r="N222">
            <v>0</v>
          </cell>
          <cell r="O222">
            <v>0</v>
          </cell>
          <cell r="P222">
            <v>-1</v>
          </cell>
          <cell r="Q222">
            <v>2004</v>
          </cell>
          <cell r="R222" t="str">
            <v>DEARBORN PLANT BUILD</v>
          </cell>
          <cell r="S222" t="str">
            <v>P221/P397</v>
          </cell>
          <cell r="T222" t="str">
            <v>ALIGNMENT, PULLS/DRIFTS</v>
          </cell>
          <cell r="U222" t="str">
            <v>ALIGNMENT</v>
          </cell>
          <cell r="V222" t="str">
            <v>ALL</v>
          </cell>
          <cell r="W222">
            <v>15</v>
          </cell>
          <cell r="Z222">
            <v>1</v>
          </cell>
          <cell r="AD222">
            <v>11</v>
          </cell>
          <cell r="AE222">
            <v>3</v>
          </cell>
        </row>
        <row r="223">
          <cell r="A223">
            <v>0</v>
          </cell>
          <cell r="B223" t="str">
            <v>ALL VRTS</v>
          </cell>
          <cell r="C223" t="str">
            <v>X</v>
          </cell>
          <cell r="D223">
            <v>37</v>
          </cell>
          <cell r="I223" t="str">
            <v>N27</v>
          </cell>
          <cell r="L223" t="str">
            <v>V89</v>
          </cell>
          <cell r="N223">
            <v>-1</v>
          </cell>
          <cell r="O223">
            <v>-1</v>
          </cell>
          <cell r="P223">
            <v>0</v>
          </cell>
          <cell r="Q223">
            <v>2004</v>
          </cell>
          <cell r="R223" t="str">
            <v>DEARBORN PLANT BUILD</v>
          </cell>
          <cell r="S223" t="str">
            <v>P221/P397</v>
          </cell>
          <cell r="T223" t="str">
            <v>ALIGNMENT, PULLS/DRIFTS</v>
          </cell>
          <cell r="U223" t="str">
            <v>CAMBER ADJUSTMENT KIT-INSTALLED</v>
          </cell>
          <cell r="V223" t="str">
            <v>ALL</v>
          </cell>
          <cell r="W223">
            <v>1</v>
          </cell>
          <cell r="AD223">
            <v>1</v>
          </cell>
        </row>
        <row r="224">
          <cell r="A224">
            <v>0</v>
          </cell>
          <cell r="B224" t="str">
            <v>ALL VRTS</v>
          </cell>
          <cell r="C224" t="str">
            <v>X</v>
          </cell>
          <cell r="D224">
            <v>37</v>
          </cell>
          <cell r="I224" t="str">
            <v>N27</v>
          </cell>
          <cell r="L224" t="str">
            <v>V21</v>
          </cell>
          <cell r="N224">
            <v>0</v>
          </cell>
          <cell r="O224">
            <v>-1</v>
          </cell>
          <cell r="P224">
            <v>0</v>
          </cell>
          <cell r="Q224">
            <v>2004</v>
          </cell>
          <cell r="R224" t="str">
            <v>DEARBORN PLANT BUILD</v>
          </cell>
          <cell r="S224" t="str">
            <v>P221/P397</v>
          </cell>
          <cell r="T224" t="str">
            <v>ALIGNMENT, PULLS/DRIFTS</v>
          </cell>
          <cell r="U224" t="str">
            <v>ROTORS  OUT OF ROUND - TURNED</v>
          </cell>
          <cell r="V224" t="str">
            <v>ALL</v>
          </cell>
          <cell r="W224">
            <v>1</v>
          </cell>
          <cell r="AE224">
            <v>1</v>
          </cell>
        </row>
        <row r="225">
          <cell r="A225">
            <v>0</v>
          </cell>
          <cell r="B225" t="str">
            <v>ALL VRTS</v>
          </cell>
          <cell r="C225" t="str">
            <v>X</v>
          </cell>
          <cell r="D225">
            <v>37</v>
          </cell>
          <cell r="I225" t="str">
            <v>N25</v>
          </cell>
          <cell r="L225" t="str">
            <v>V89</v>
          </cell>
          <cell r="N225">
            <v>-1</v>
          </cell>
          <cell r="O225">
            <v>-1</v>
          </cell>
          <cell r="P225">
            <v>0</v>
          </cell>
          <cell r="Q225">
            <v>2004</v>
          </cell>
          <cell r="R225" t="str">
            <v>DEARBORN PLANT BUILD</v>
          </cell>
          <cell r="S225" t="str">
            <v>P221/P397</v>
          </cell>
          <cell r="T225" t="str">
            <v>ALIGNMENT, PULLS/DRIFTS</v>
          </cell>
          <cell r="U225" t="str">
            <v>TIRE / WHEEL INDEX</v>
          </cell>
          <cell r="V225" t="str">
            <v>ALL</v>
          </cell>
          <cell r="W225">
            <v>1</v>
          </cell>
          <cell r="AD225">
            <v>1</v>
          </cell>
        </row>
        <row r="226">
          <cell r="A226">
            <v>0</v>
          </cell>
          <cell r="B226" t="str">
            <v>ALL VRTS</v>
          </cell>
          <cell r="C226" t="str">
            <v>X</v>
          </cell>
          <cell r="D226">
            <v>37</v>
          </cell>
          <cell r="I226" t="str">
            <v>TB8</v>
          </cell>
          <cell r="L226" t="str">
            <v>V89</v>
          </cell>
          <cell r="N226">
            <v>0</v>
          </cell>
          <cell r="O226">
            <v>-1</v>
          </cell>
          <cell r="P226">
            <v>0</v>
          </cell>
          <cell r="Q226">
            <v>2004</v>
          </cell>
          <cell r="R226" t="str">
            <v>DEARBORN PLANT BUILD</v>
          </cell>
          <cell r="S226" t="str">
            <v>P221/P397</v>
          </cell>
          <cell r="T226" t="str">
            <v>ALIGNMENT, PULLS/DRIFTS</v>
          </cell>
          <cell r="U226" t="str">
            <v>TIRE ASSEMBLY BALANCE</v>
          </cell>
          <cell r="V226" t="str">
            <v>ALL</v>
          </cell>
          <cell r="W226">
            <v>1</v>
          </cell>
          <cell r="AA226">
            <v>1</v>
          </cell>
        </row>
        <row r="227">
          <cell r="A227">
            <v>0</v>
          </cell>
          <cell r="B227" t="str">
            <v>ALL VRTS</v>
          </cell>
          <cell r="C227" t="str">
            <v>X</v>
          </cell>
          <cell r="D227">
            <v>37</v>
          </cell>
          <cell r="E227" t="str">
            <v>6370</v>
          </cell>
          <cell r="G227" t="str">
            <v>C1E17F</v>
          </cell>
          <cell r="I227" t="str">
            <v>E35</v>
          </cell>
          <cell r="L227" t="str">
            <v>V89</v>
          </cell>
          <cell r="N227">
            <v>0</v>
          </cell>
          <cell r="O227">
            <v>0</v>
          </cell>
          <cell r="P227">
            <v>-1</v>
          </cell>
          <cell r="Q227">
            <v>2004</v>
          </cell>
          <cell r="R227" t="str">
            <v>DEARBORN PLANT BUILD</v>
          </cell>
          <cell r="S227" t="str">
            <v>P221/P397</v>
          </cell>
          <cell r="T227" t="str">
            <v>ALIGNMENT, PULLS/DRIFTS</v>
          </cell>
          <cell r="U227" t="str">
            <v>UPPER CTRL ARM CAME LOOSE - REPLACED</v>
          </cell>
          <cell r="V227" t="str">
            <v>ALL</v>
          </cell>
          <cell r="W227">
            <v>1</v>
          </cell>
          <cell r="AC227">
            <v>1</v>
          </cell>
        </row>
        <row r="228">
          <cell r="A228">
            <v>0</v>
          </cell>
          <cell r="B228" t="str">
            <v>ALL VRTS</v>
          </cell>
          <cell r="D228">
            <v>37</v>
          </cell>
          <cell r="I228" t="str">
            <v>C20</v>
          </cell>
          <cell r="J228" t="str">
            <v>C05</v>
          </cell>
          <cell r="L228" t="str">
            <v>V79</v>
          </cell>
          <cell r="N228">
            <v>0</v>
          </cell>
          <cell r="O228">
            <v>-1</v>
          </cell>
          <cell r="P228">
            <v>0</v>
          </cell>
          <cell r="Q228">
            <v>2004</v>
          </cell>
          <cell r="R228" t="str">
            <v>DEARBORN PLANT BUILD</v>
          </cell>
          <cell r="S228" t="str">
            <v>P221/P397</v>
          </cell>
          <cell r="T228" t="str">
            <v>Blower Inop</v>
          </cell>
          <cell r="U228" t="str">
            <v>Replaced Blower Motor</v>
          </cell>
          <cell r="V228" t="str">
            <v>ALL</v>
          </cell>
          <cell r="W228">
            <v>9</v>
          </cell>
          <cell r="AC228">
            <v>1</v>
          </cell>
          <cell r="AD228">
            <v>6</v>
          </cell>
          <cell r="AE228">
            <v>2</v>
          </cell>
        </row>
        <row r="229">
          <cell r="A229">
            <v>0</v>
          </cell>
          <cell r="B229" t="str">
            <v>ALL VRTS</v>
          </cell>
          <cell r="D229">
            <v>37</v>
          </cell>
          <cell r="I229" t="str">
            <v>C09</v>
          </cell>
          <cell r="J229" t="str">
            <v>C20</v>
          </cell>
          <cell r="L229" t="str">
            <v>V79</v>
          </cell>
          <cell r="N229">
            <v>0</v>
          </cell>
          <cell r="O229">
            <v>-1</v>
          </cell>
          <cell r="P229">
            <v>0</v>
          </cell>
          <cell r="Q229">
            <v>2004</v>
          </cell>
          <cell r="R229" t="str">
            <v>DEARBORN PLANT BUILD</v>
          </cell>
          <cell r="S229" t="str">
            <v>P221/P397</v>
          </cell>
          <cell r="T229" t="str">
            <v>Blower Inop</v>
          </cell>
          <cell r="U229" t="str">
            <v>Damage Cage</v>
          </cell>
          <cell r="V229" t="str">
            <v>ALL</v>
          </cell>
          <cell r="W229">
            <v>5</v>
          </cell>
          <cell r="AB229">
            <v>4</v>
          </cell>
          <cell r="AC229">
            <v>1</v>
          </cell>
        </row>
        <row r="230">
          <cell r="A230">
            <v>0</v>
          </cell>
          <cell r="B230" t="str">
            <v>ALL VRTS</v>
          </cell>
          <cell r="D230">
            <v>37</v>
          </cell>
          <cell r="E230" t="str">
            <v>Repair</v>
          </cell>
          <cell r="G230" t="str">
            <v>NA</v>
          </cell>
          <cell r="I230" t="str">
            <v>C20</v>
          </cell>
          <cell r="J230" t="str">
            <v>C07</v>
          </cell>
          <cell r="K230" t="str">
            <v>C09</v>
          </cell>
          <cell r="L230" t="str">
            <v>V79</v>
          </cell>
          <cell r="N230">
            <v>0</v>
          </cell>
          <cell r="O230">
            <v>-1</v>
          </cell>
          <cell r="P230">
            <v>0</v>
          </cell>
          <cell r="Q230">
            <v>2004</v>
          </cell>
          <cell r="R230" t="str">
            <v>DEARBORN PLANT BUILD</v>
          </cell>
          <cell r="S230" t="str">
            <v>P221/P397</v>
          </cell>
          <cell r="T230" t="str">
            <v>Blower Inop</v>
          </cell>
          <cell r="U230" t="str">
            <v>Heater Blower Motor Replaced.</v>
          </cell>
          <cell r="V230" t="str">
            <v>ALL</v>
          </cell>
          <cell r="W230">
            <v>4</v>
          </cell>
          <cell r="Z230">
            <v>1</v>
          </cell>
          <cell r="AB230">
            <v>2</v>
          </cell>
          <cell r="AC230">
            <v>1</v>
          </cell>
        </row>
        <row r="231">
          <cell r="A231">
            <v>0</v>
          </cell>
          <cell r="B231" t="str">
            <v>ALL VRTS</v>
          </cell>
          <cell r="D231">
            <v>37</v>
          </cell>
          <cell r="I231" t="str">
            <v>C05</v>
          </cell>
          <cell r="J231" t="str">
            <v>C07</v>
          </cell>
          <cell r="L231" t="str">
            <v>V79</v>
          </cell>
          <cell r="N231">
            <v>0</v>
          </cell>
          <cell r="O231">
            <v>-1</v>
          </cell>
          <cell r="P231">
            <v>0</v>
          </cell>
          <cell r="Q231">
            <v>2004</v>
          </cell>
          <cell r="R231" t="str">
            <v>DEARBORN PLANT BUILD</v>
          </cell>
          <cell r="S231" t="str">
            <v>P221/P397</v>
          </cell>
          <cell r="T231" t="str">
            <v>Blower Inop</v>
          </cell>
          <cell r="U231" t="str">
            <v>BLOWER Connecter on evap (visteon) poor connection</v>
          </cell>
          <cell r="V231" t="str">
            <v>ALL</v>
          </cell>
          <cell r="W231">
            <v>3</v>
          </cell>
          <cell r="Z231">
            <v>1</v>
          </cell>
          <cell r="AB231">
            <v>1</v>
          </cell>
          <cell r="AC231">
            <v>1</v>
          </cell>
        </row>
        <row r="232">
          <cell r="A232">
            <v>0</v>
          </cell>
          <cell r="B232" t="str">
            <v>ALL VRTS</v>
          </cell>
          <cell r="D232">
            <v>37</v>
          </cell>
          <cell r="I232" t="str">
            <v>C20</v>
          </cell>
          <cell r="J232" t="str">
            <v>C05</v>
          </cell>
          <cell r="L232" t="str">
            <v>V79</v>
          </cell>
          <cell r="N232">
            <v>0</v>
          </cell>
          <cell r="O232">
            <v>-1</v>
          </cell>
          <cell r="P232">
            <v>0</v>
          </cell>
          <cell r="Q232">
            <v>2004</v>
          </cell>
          <cell r="R232" t="str">
            <v>DEARBORN PLANT BUILD</v>
          </cell>
          <cell r="S232" t="str">
            <v>P221/P397</v>
          </cell>
          <cell r="T232" t="str">
            <v>Blower Inop</v>
          </cell>
          <cell r="U232" t="str">
            <v>Replaced Control</v>
          </cell>
          <cell r="V232" t="str">
            <v>ALL</v>
          </cell>
          <cell r="W232">
            <v>3</v>
          </cell>
          <cell r="AD232">
            <v>3</v>
          </cell>
        </row>
        <row r="233">
          <cell r="A233">
            <v>0</v>
          </cell>
          <cell r="B233" t="str">
            <v>ALL VRTS</v>
          </cell>
          <cell r="D233">
            <v>37</v>
          </cell>
          <cell r="I233" t="str">
            <v>C02</v>
          </cell>
          <cell r="J233" t="str">
            <v>C20</v>
          </cell>
          <cell r="L233" t="str">
            <v>V79</v>
          </cell>
          <cell r="N233">
            <v>0</v>
          </cell>
          <cell r="O233">
            <v>0</v>
          </cell>
          <cell r="P233">
            <v>-1</v>
          </cell>
          <cell r="Q233">
            <v>2004</v>
          </cell>
          <cell r="R233" t="str">
            <v>DEARBORN PLANT BUILD</v>
          </cell>
          <cell r="S233" t="str">
            <v>P221/P397</v>
          </cell>
          <cell r="T233" t="str">
            <v>Blower Inop</v>
          </cell>
          <cell r="U233" t="str">
            <v>Connecter C270 not seated Lse. Repaired.</v>
          </cell>
          <cell r="V233" t="str">
            <v>ALL</v>
          </cell>
          <cell r="W233">
            <v>2</v>
          </cell>
          <cell r="AA233">
            <v>1</v>
          </cell>
          <cell r="AE233">
            <v>1</v>
          </cell>
        </row>
        <row r="234">
          <cell r="A234">
            <v>0</v>
          </cell>
          <cell r="B234" t="str">
            <v>ALL VRTS</v>
          </cell>
          <cell r="D234">
            <v>37</v>
          </cell>
          <cell r="I234" t="str">
            <v>C20</v>
          </cell>
          <cell r="L234" t="str">
            <v>V79</v>
          </cell>
          <cell r="N234">
            <v>0</v>
          </cell>
          <cell r="O234">
            <v>-1</v>
          </cell>
          <cell r="P234">
            <v>0</v>
          </cell>
          <cell r="Q234">
            <v>2004</v>
          </cell>
          <cell r="R234" t="str">
            <v>DEARBORN PLANT BUILD</v>
          </cell>
          <cell r="S234" t="str">
            <v>P221/P397</v>
          </cell>
          <cell r="T234" t="str">
            <v>Blower Inop</v>
          </cell>
          <cell r="U234" t="str">
            <v>Fan Cracked, replaced.</v>
          </cell>
          <cell r="V234" t="str">
            <v>ALL</v>
          </cell>
          <cell r="W234">
            <v>1</v>
          </cell>
          <cell r="AB234">
            <v>1</v>
          </cell>
        </row>
        <row r="235">
          <cell r="A235">
            <v>0</v>
          </cell>
          <cell r="B235" t="str">
            <v>ALL VRTS</v>
          </cell>
          <cell r="D235">
            <v>37</v>
          </cell>
          <cell r="I235" t="str">
            <v>C09</v>
          </cell>
          <cell r="L235" t="str">
            <v>V79</v>
          </cell>
          <cell r="N235">
            <v>0</v>
          </cell>
          <cell r="O235">
            <v>-1</v>
          </cell>
          <cell r="P235">
            <v>0</v>
          </cell>
          <cell r="Q235">
            <v>2004</v>
          </cell>
          <cell r="R235" t="str">
            <v>DEARBORN PLANT BUILD</v>
          </cell>
          <cell r="S235" t="str">
            <v>P221/P397</v>
          </cell>
          <cell r="T235" t="str">
            <v>Blower Inop</v>
          </cell>
          <cell r="U235" t="str">
            <v>Heater Plenum Box replaced</v>
          </cell>
          <cell r="V235" t="str">
            <v>ALL</v>
          </cell>
          <cell r="W235">
            <v>1</v>
          </cell>
          <cell r="AB235">
            <v>1</v>
          </cell>
        </row>
        <row r="236">
          <cell r="A236">
            <v>0</v>
          </cell>
          <cell r="B236" t="str">
            <v>ALL VRTS</v>
          </cell>
          <cell r="D236">
            <v>37</v>
          </cell>
          <cell r="I236" t="str">
            <v>C20</v>
          </cell>
          <cell r="L236" t="str">
            <v>V79</v>
          </cell>
          <cell r="N236">
            <v>0</v>
          </cell>
          <cell r="O236">
            <v>0</v>
          </cell>
          <cell r="P236">
            <v>-1</v>
          </cell>
          <cell r="Q236">
            <v>2004</v>
          </cell>
          <cell r="R236" t="str">
            <v>DEARBORN PLANT BUILD</v>
          </cell>
          <cell r="S236" t="str">
            <v>P221/P397</v>
          </cell>
          <cell r="T236" t="str">
            <v>Blower Inop</v>
          </cell>
          <cell r="U236" t="str">
            <v>Improper Hose routing.</v>
          </cell>
          <cell r="V236" t="str">
            <v>ALL</v>
          </cell>
          <cell r="W236">
            <v>1</v>
          </cell>
          <cell r="Z236">
            <v>1</v>
          </cell>
        </row>
        <row r="237">
          <cell r="A237">
            <v>0</v>
          </cell>
          <cell r="B237" t="str">
            <v>ALL VRTS</v>
          </cell>
          <cell r="D237">
            <v>37</v>
          </cell>
          <cell r="I237" t="str">
            <v>C20</v>
          </cell>
          <cell r="L237" t="str">
            <v>V79</v>
          </cell>
          <cell r="N237">
            <v>0</v>
          </cell>
          <cell r="O237">
            <v>-1</v>
          </cell>
          <cell r="P237">
            <v>0</v>
          </cell>
          <cell r="Q237">
            <v>2004</v>
          </cell>
          <cell r="R237" t="str">
            <v>DEARBORN PLANT BUILD</v>
          </cell>
          <cell r="S237" t="str">
            <v>P221/P397</v>
          </cell>
          <cell r="T237" t="str">
            <v>Blower Inop</v>
          </cell>
          <cell r="U237" t="str">
            <v>Loose Screw in blower motor.</v>
          </cell>
          <cell r="V237" t="str">
            <v>ALL</v>
          </cell>
          <cell r="W237">
            <v>1</v>
          </cell>
          <cell r="AC237">
            <v>1</v>
          </cell>
        </row>
        <row r="238">
          <cell r="A238">
            <v>0</v>
          </cell>
          <cell r="B238" t="str">
            <v>ALL VRTS</v>
          </cell>
          <cell r="D238">
            <v>37</v>
          </cell>
          <cell r="E238" t="str">
            <v>Trim 3 Team 4</v>
          </cell>
          <cell r="G238" t="str">
            <v>T3E24R</v>
          </cell>
          <cell r="I238" t="str">
            <v>C05</v>
          </cell>
          <cell r="L238" t="str">
            <v>V79</v>
          </cell>
          <cell r="N238">
            <v>0</v>
          </cell>
          <cell r="O238">
            <v>0</v>
          </cell>
          <cell r="P238">
            <v>-1</v>
          </cell>
          <cell r="Q238">
            <v>2004</v>
          </cell>
          <cell r="R238" t="str">
            <v>DEARBORN PLANT BUILD</v>
          </cell>
          <cell r="S238" t="str">
            <v>P221/P397</v>
          </cell>
          <cell r="T238" t="str">
            <v>Blower Inop</v>
          </cell>
          <cell r="U238" t="str">
            <v>Lse. Blk. Plug in 14401 Loom C889 in dash</v>
          </cell>
          <cell r="V238" t="str">
            <v>ALL</v>
          </cell>
          <cell r="W238">
            <v>1</v>
          </cell>
          <cell r="Y238">
            <v>1</v>
          </cell>
        </row>
        <row r="239">
          <cell r="A239">
            <v>0</v>
          </cell>
          <cell r="B239" t="str">
            <v>ALL VRTS</v>
          </cell>
          <cell r="D239">
            <v>37</v>
          </cell>
          <cell r="I239" t="str">
            <v>C20</v>
          </cell>
          <cell r="L239" t="str">
            <v>V79</v>
          </cell>
          <cell r="N239">
            <v>0</v>
          </cell>
          <cell r="O239">
            <v>0</v>
          </cell>
          <cell r="P239">
            <v>-1</v>
          </cell>
          <cell r="Q239">
            <v>2004</v>
          </cell>
          <cell r="R239" t="str">
            <v>DEARBORN PLANT BUILD</v>
          </cell>
          <cell r="S239" t="str">
            <v>P221/P397</v>
          </cell>
          <cell r="T239" t="str">
            <v>Blower Inop</v>
          </cell>
          <cell r="U239" t="str">
            <v>NPF.</v>
          </cell>
          <cell r="V239" t="str">
            <v>ALL</v>
          </cell>
          <cell r="W239">
            <v>1</v>
          </cell>
          <cell r="AE239">
            <v>1</v>
          </cell>
        </row>
        <row r="240">
          <cell r="A240">
            <v>0</v>
          </cell>
          <cell r="B240" t="str">
            <v>ALL VRTS</v>
          </cell>
          <cell r="D240">
            <v>37</v>
          </cell>
          <cell r="I240" t="str">
            <v>C20</v>
          </cell>
          <cell r="L240" t="str">
            <v>V79</v>
          </cell>
          <cell r="N240">
            <v>0</v>
          </cell>
          <cell r="O240">
            <v>0</v>
          </cell>
          <cell r="P240">
            <v>-1</v>
          </cell>
          <cell r="Q240">
            <v>2004</v>
          </cell>
          <cell r="R240" t="str">
            <v>DEARBORN PLANT BUILD</v>
          </cell>
          <cell r="S240" t="str">
            <v>P221/P397</v>
          </cell>
          <cell r="T240" t="str">
            <v>Blower Inop</v>
          </cell>
          <cell r="U240" t="str">
            <v>Regulator, not hooked-up</v>
          </cell>
          <cell r="V240" t="str">
            <v>ALL</v>
          </cell>
          <cell r="W240">
            <v>1</v>
          </cell>
          <cell r="AC240">
            <v>1</v>
          </cell>
        </row>
        <row r="241">
          <cell r="A241">
            <v>0</v>
          </cell>
          <cell r="B241" t="str">
            <v>ALL VRTS</v>
          </cell>
          <cell r="D241">
            <v>37</v>
          </cell>
          <cell r="I241" t="str">
            <v>C19</v>
          </cell>
          <cell r="L241" t="str">
            <v>V79</v>
          </cell>
          <cell r="N241">
            <v>0</v>
          </cell>
          <cell r="O241">
            <v>-1</v>
          </cell>
          <cell r="P241">
            <v>-1</v>
          </cell>
          <cell r="Q241">
            <v>2004</v>
          </cell>
          <cell r="R241" t="str">
            <v>DEARBORN PLANT BUILD</v>
          </cell>
          <cell r="S241" t="str">
            <v>P221/P397</v>
          </cell>
          <cell r="T241" t="str">
            <v>Blower Inop</v>
          </cell>
          <cell r="U241" t="str">
            <v>Repaired Defrost vents circult wire #1989.</v>
          </cell>
          <cell r="V241" t="str">
            <v>ALL</v>
          </cell>
          <cell r="W241">
            <v>1</v>
          </cell>
          <cell r="Z241">
            <v>1</v>
          </cell>
        </row>
        <row r="242">
          <cell r="A242">
            <v>0</v>
          </cell>
          <cell r="B242" t="str">
            <v>ALL VRTS</v>
          </cell>
          <cell r="D242">
            <v>37</v>
          </cell>
          <cell r="I242" t="str">
            <v>C20</v>
          </cell>
          <cell r="L242" t="str">
            <v>V79</v>
          </cell>
          <cell r="N242">
            <v>0</v>
          </cell>
          <cell r="O242">
            <v>0</v>
          </cell>
          <cell r="P242">
            <v>-1</v>
          </cell>
          <cell r="Q242">
            <v>2004</v>
          </cell>
          <cell r="R242" t="str">
            <v>DEARBORN PLANT BUILD</v>
          </cell>
          <cell r="S242" t="str">
            <v>P221/P397</v>
          </cell>
          <cell r="T242" t="str">
            <v>Blower Inop</v>
          </cell>
          <cell r="U242" t="str">
            <v>Replaced Actuator</v>
          </cell>
          <cell r="V242" t="str">
            <v>ALL</v>
          </cell>
          <cell r="W242">
            <v>1</v>
          </cell>
          <cell r="AE242">
            <v>1</v>
          </cell>
        </row>
        <row r="243">
          <cell r="A243">
            <v>0</v>
          </cell>
          <cell r="B243" t="str">
            <v>ALL VRTS</v>
          </cell>
          <cell r="D243">
            <v>37</v>
          </cell>
          <cell r="I243" t="str">
            <v>C20</v>
          </cell>
          <cell r="L243" t="str">
            <v>V79</v>
          </cell>
          <cell r="N243">
            <v>0</v>
          </cell>
          <cell r="O243">
            <v>0</v>
          </cell>
          <cell r="P243">
            <v>-1</v>
          </cell>
          <cell r="Q243">
            <v>2004</v>
          </cell>
          <cell r="R243" t="str">
            <v>DEARBORN PLANT BUILD</v>
          </cell>
          <cell r="S243" t="str">
            <v>P221/P397</v>
          </cell>
          <cell r="T243" t="str">
            <v>Blower Inop</v>
          </cell>
          <cell r="U243" t="str">
            <v>Resister no connect.</v>
          </cell>
          <cell r="V243" t="str">
            <v>ALL</v>
          </cell>
          <cell r="W243">
            <v>1</v>
          </cell>
          <cell r="AA243">
            <v>1</v>
          </cell>
        </row>
        <row r="244">
          <cell r="A244">
            <v>0</v>
          </cell>
          <cell r="B244" t="str">
            <v>ALL VRTS</v>
          </cell>
          <cell r="D244">
            <v>37</v>
          </cell>
          <cell r="I244" t="str">
            <v>C09</v>
          </cell>
          <cell r="L244" t="str">
            <v>V79</v>
          </cell>
          <cell r="N244">
            <v>0</v>
          </cell>
          <cell r="O244">
            <v>0</v>
          </cell>
          <cell r="P244">
            <v>-1</v>
          </cell>
          <cell r="Q244">
            <v>2004</v>
          </cell>
          <cell r="R244" t="str">
            <v>DEARBORN PLANT BUILD</v>
          </cell>
          <cell r="S244" t="str">
            <v>P221/P397</v>
          </cell>
          <cell r="T244" t="str">
            <v>Blower Inop</v>
          </cell>
          <cell r="U244" t="str">
            <v>Water Cowl Behind EVAC</v>
          </cell>
          <cell r="V244" t="str">
            <v>ALL</v>
          </cell>
          <cell r="W244">
            <v>1</v>
          </cell>
          <cell r="AE244">
            <v>1</v>
          </cell>
        </row>
        <row r="245">
          <cell r="A245">
            <v>0</v>
          </cell>
          <cell r="B245" t="str">
            <v>ALL VRTS</v>
          </cell>
          <cell r="C245" t="str">
            <v>X</v>
          </cell>
          <cell r="D245">
            <v>33</v>
          </cell>
          <cell r="I245" t="str">
            <v>N27</v>
          </cell>
          <cell r="J245" t="str">
            <v>N17</v>
          </cell>
          <cell r="K245" t="str">
            <v>H20</v>
          </cell>
          <cell r="L245" t="str">
            <v>V21</v>
          </cell>
          <cell r="N245">
            <v>-1</v>
          </cell>
          <cell r="O245">
            <v>-1</v>
          </cell>
          <cell r="P245">
            <v>0</v>
          </cell>
          <cell r="Q245">
            <v>2004</v>
          </cell>
          <cell r="R245" t="str">
            <v>DEARBORN PLANT BUILD</v>
          </cell>
          <cell r="S245" t="str">
            <v>P221/P397</v>
          </cell>
          <cell r="T245" t="str">
            <v>BRAKES, NOISY</v>
          </cell>
          <cell r="U245" t="str">
            <v>ROTORS  OUT OF ROUND - TURNED</v>
          </cell>
          <cell r="V245" t="str">
            <v>ALL</v>
          </cell>
          <cell r="W245">
            <v>8</v>
          </cell>
          <cell r="AC245">
            <v>1</v>
          </cell>
          <cell r="AD245">
            <v>3</v>
          </cell>
          <cell r="AE245">
            <v>4</v>
          </cell>
        </row>
        <row r="246">
          <cell r="A246">
            <v>0</v>
          </cell>
          <cell r="B246" t="str">
            <v>ALL VRTS</v>
          </cell>
          <cell r="C246" t="str">
            <v>X</v>
          </cell>
          <cell r="D246">
            <v>33</v>
          </cell>
          <cell r="I246" t="str">
            <v>N17</v>
          </cell>
          <cell r="L246" t="str">
            <v>V21</v>
          </cell>
          <cell r="N246">
            <v>-1</v>
          </cell>
          <cell r="O246">
            <v>-1</v>
          </cell>
          <cell r="P246">
            <v>0</v>
          </cell>
          <cell r="Q246">
            <v>2004</v>
          </cell>
          <cell r="R246" t="str">
            <v>DEARBORN PLANT BUILD</v>
          </cell>
          <cell r="S246" t="str">
            <v>P221/P397</v>
          </cell>
          <cell r="T246" t="str">
            <v>BRAKES, NOISY</v>
          </cell>
          <cell r="U246" t="str">
            <v>npf</v>
          </cell>
          <cell r="V246" t="str">
            <v>ALL</v>
          </cell>
          <cell r="W246">
            <v>6</v>
          </cell>
          <cell r="Z246">
            <v>1</v>
          </cell>
          <cell r="AB246">
            <v>1</v>
          </cell>
          <cell r="AD246">
            <v>4</v>
          </cell>
        </row>
        <row r="247">
          <cell r="A247">
            <v>0</v>
          </cell>
          <cell r="B247" t="str">
            <v>ALL VRTS</v>
          </cell>
          <cell r="C247" t="str">
            <v>X</v>
          </cell>
          <cell r="D247">
            <v>33</v>
          </cell>
          <cell r="I247" t="str">
            <v>N27</v>
          </cell>
          <cell r="J247" t="str">
            <v>H20</v>
          </cell>
          <cell r="K247" t="str">
            <v>N17</v>
          </cell>
          <cell r="L247" t="str">
            <v>V21</v>
          </cell>
          <cell r="N247">
            <v>-1</v>
          </cell>
          <cell r="O247">
            <v>-1</v>
          </cell>
          <cell r="P247">
            <v>0</v>
          </cell>
          <cell r="Q247">
            <v>2004</v>
          </cell>
          <cell r="R247" t="str">
            <v>DEARBORN PLANT BUILD</v>
          </cell>
          <cell r="S247" t="str">
            <v>P221/P397</v>
          </cell>
          <cell r="T247" t="str">
            <v>BRAKES, NOISY</v>
          </cell>
          <cell r="U247" t="str">
            <v>ROTORS - REPLACED</v>
          </cell>
          <cell r="V247" t="str">
            <v>ALL</v>
          </cell>
          <cell r="W247">
            <v>4</v>
          </cell>
          <cell r="AD247">
            <v>3</v>
          </cell>
          <cell r="AE247">
            <v>1</v>
          </cell>
        </row>
        <row r="248">
          <cell r="A248">
            <v>0</v>
          </cell>
          <cell r="B248" t="str">
            <v>ALL VRTS</v>
          </cell>
          <cell r="C248" t="str">
            <v>X</v>
          </cell>
          <cell r="D248">
            <v>33</v>
          </cell>
          <cell r="I248" t="str">
            <v>N17</v>
          </cell>
          <cell r="J248" t="str">
            <v>H20</v>
          </cell>
          <cell r="L248" t="str">
            <v>V21</v>
          </cell>
          <cell r="N248">
            <v>0</v>
          </cell>
          <cell r="O248">
            <v>-1</v>
          </cell>
          <cell r="P248">
            <v>0</v>
          </cell>
          <cell r="Q248">
            <v>2004</v>
          </cell>
          <cell r="R248" t="str">
            <v>DEARBORN PLANT BUILD</v>
          </cell>
          <cell r="S248" t="str">
            <v>P221/P397</v>
          </cell>
          <cell r="T248" t="str">
            <v>BRAKES, NOISY</v>
          </cell>
          <cell r="U248" t="str">
            <v>DUST SHIELD  LOOSE - TIGHTENED</v>
          </cell>
          <cell r="V248" t="str">
            <v>ALL</v>
          </cell>
          <cell r="W248">
            <v>3</v>
          </cell>
          <cell r="Z248">
            <v>1</v>
          </cell>
          <cell r="AD248">
            <v>2</v>
          </cell>
        </row>
        <row r="249">
          <cell r="A249">
            <v>0</v>
          </cell>
          <cell r="B249" t="str">
            <v>ALL VRTS</v>
          </cell>
          <cell r="C249" t="str">
            <v>X</v>
          </cell>
          <cell r="D249">
            <v>33</v>
          </cell>
          <cell r="I249" t="str">
            <v>N17</v>
          </cell>
          <cell r="L249" t="str">
            <v>V21</v>
          </cell>
          <cell r="N249">
            <v>-1</v>
          </cell>
          <cell r="O249">
            <v>-1</v>
          </cell>
          <cell r="P249">
            <v>0</v>
          </cell>
          <cell r="Q249">
            <v>2004</v>
          </cell>
          <cell r="R249" t="str">
            <v>DEARBORN PLANT BUILD</v>
          </cell>
          <cell r="S249" t="str">
            <v>P221/P397</v>
          </cell>
          <cell r="T249" t="str">
            <v>BRAKES, NOISY</v>
          </cell>
          <cell r="U249" t="str">
            <v>FRONT BRAKE PADS - REPLACED</v>
          </cell>
          <cell r="V249" t="str">
            <v>ALL</v>
          </cell>
          <cell r="W249">
            <v>2</v>
          </cell>
          <cell r="AD249">
            <v>1</v>
          </cell>
          <cell r="AE249">
            <v>1</v>
          </cell>
        </row>
        <row r="250">
          <cell r="A250">
            <v>0</v>
          </cell>
          <cell r="B250" t="str">
            <v>ALL VRTS</v>
          </cell>
          <cell r="C250" t="str">
            <v>X</v>
          </cell>
          <cell r="D250">
            <v>33</v>
          </cell>
          <cell r="I250" t="str">
            <v>N27</v>
          </cell>
          <cell r="L250" t="str">
            <v>V21</v>
          </cell>
          <cell r="N250">
            <v>-1</v>
          </cell>
          <cell r="O250">
            <v>-1</v>
          </cell>
          <cell r="P250">
            <v>0</v>
          </cell>
          <cell r="Q250">
            <v>2004</v>
          </cell>
          <cell r="R250" t="str">
            <v>DEARBORN PLANT BUILD</v>
          </cell>
          <cell r="S250" t="str">
            <v>P221/P397</v>
          </cell>
          <cell r="T250" t="str">
            <v>BRAKES, NOISY</v>
          </cell>
          <cell r="U250" t="str">
            <v>BRAKES, EXCESSIVE DUST</v>
          </cell>
          <cell r="V250" t="str">
            <v>ALL</v>
          </cell>
          <cell r="W250">
            <v>1</v>
          </cell>
          <cell r="AE250">
            <v>1</v>
          </cell>
        </row>
        <row r="251">
          <cell r="A251">
            <v>0</v>
          </cell>
          <cell r="B251" t="str">
            <v>ALL VRTS</v>
          </cell>
          <cell r="C251" t="str">
            <v>X</v>
          </cell>
          <cell r="D251">
            <v>33</v>
          </cell>
          <cell r="I251" t="str">
            <v>N17</v>
          </cell>
          <cell r="L251" t="str">
            <v>V21</v>
          </cell>
          <cell r="N251">
            <v>0</v>
          </cell>
          <cell r="O251">
            <v>-1</v>
          </cell>
          <cell r="P251">
            <v>0</v>
          </cell>
          <cell r="Q251">
            <v>2004</v>
          </cell>
          <cell r="R251" t="str">
            <v>DEARBORN PLANT BUILD</v>
          </cell>
          <cell r="S251" t="str">
            <v>P221/P397</v>
          </cell>
          <cell r="T251" t="str">
            <v>BRAKES, NOISY</v>
          </cell>
          <cell r="U251" t="str">
            <v>CALIPER BOLT LOOSE - TIGHTENED</v>
          </cell>
          <cell r="V251" t="str">
            <v>ALL</v>
          </cell>
          <cell r="W251">
            <v>1</v>
          </cell>
          <cell r="AC251">
            <v>1</v>
          </cell>
        </row>
        <row r="252">
          <cell r="A252">
            <v>0</v>
          </cell>
          <cell r="B252" t="str">
            <v>ALL VRTS</v>
          </cell>
          <cell r="C252" t="str">
            <v>X</v>
          </cell>
          <cell r="D252">
            <v>33</v>
          </cell>
          <cell r="I252" t="str">
            <v>N17</v>
          </cell>
          <cell r="L252" t="str">
            <v>V21</v>
          </cell>
          <cell r="N252">
            <v>0</v>
          </cell>
          <cell r="O252">
            <v>-1</v>
          </cell>
          <cell r="P252">
            <v>0</v>
          </cell>
          <cell r="Q252">
            <v>2004</v>
          </cell>
          <cell r="R252" t="str">
            <v>DEARBORN PLANT BUILD</v>
          </cell>
          <cell r="S252" t="str">
            <v>P221/P397</v>
          </cell>
          <cell r="T252" t="str">
            <v>BRAKES, NOISY</v>
          </cell>
          <cell r="U252" t="str">
            <v>DUST SHIELD OFF LOC. - ALIGNED</v>
          </cell>
          <cell r="V252" t="str">
            <v>ALL</v>
          </cell>
          <cell r="W252">
            <v>1</v>
          </cell>
          <cell r="AC252">
            <v>1</v>
          </cell>
        </row>
        <row r="253">
          <cell r="A253">
            <v>0</v>
          </cell>
          <cell r="B253" t="str">
            <v>ALL VRTS</v>
          </cell>
          <cell r="C253" t="str">
            <v>X</v>
          </cell>
          <cell r="D253">
            <v>33</v>
          </cell>
          <cell r="I253" t="str">
            <v>N17</v>
          </cell>
          <cell r="L253" t="str">
            <v>V21</v>
          </cell>
          <cell r="N253">
            <v>0</v>
          </cell>
          <cell r="O253">
            <v>-1</v>
          </cell>
          <cell r="P253">
            <v>0</v>
          </cell>
          <cell r="Q253">
            <v>2004</v>
          </cell>
          <cell r="R253" t="str">
            <v>DEARBORN PLANT BUILD</v>
          </cell>
          <cell r="S253" t="str">
            <v>P221/P397</v>
          </cell>
          <cell r="T253" t="str">
            <v>BRAKES, NOISY</v>
          </cell>
          <cell r="U253" t="str">
            <v>E BRAKE SHOES CAME LOOSE - FIXED OR REPLACED PARTS</v>
          </cell>
          <cell r="V253" t="str">
            <v>ALL</v>
          </cell>
          <cell r="W253">
            <v>1</v>
          </cell>
          <cell r="AD253">
            <v>1</v>
          </cell>
        </row>
        <row r="254">
          <cell r="A254">
            <v>0</v>
          </cell>
          <cell r="B254" t="str">
            <v>ALL VRTS</v>
          </cell>
          <cell r="C254" t="str">
            <v>X</v>
          </cell>
          <cell r="D254">
            <v>33</v>
          </cell>
          <cell r="E254" t="str">
            <v>6380</v>
          </cell>
          <cell r="G254" t="str">
            <v>C1E41F</v>
          </cell>
          <cell r="I254" t="str">
            <v>N17</v>
          </cell>
          <cell r="L254" t="str">
            <v>V21</v>
          </cell>
          <cell r="N254">
            <v>0</v>
          </cell>
          <cell r="O254">
            <v>0</v>
          </cell>
          <cell r="P254">
            <v>-1</v>
          </cell>
          <cell r="Q254">
            <v>2004</v>
          </cell>
          <cell r="R254" t="str">
            <v>DEARBORN PLANT BUILD</v>
          </cell>
          <cell r="S254" t="str">
            <v>P221/P397</v>
          </cell>
          <cell r="T254" t="str">
            <v>BRAKES, NOISY</v>
          </cell>
          <cell r="U254" t="str">
            <v>HUB BOLTS LOOSE - REPLACED</v>
          </cell>
          <cell r="V254" t="str">
            <v>ALL</v>
          </cell>
          <cell r="W254">
            <v>1</v>
          </cell>
          <cell r="AD254">
            <v>1</v>
          </cell>
        </row>
        <row r="255">
          <cell r="A255">
            <v>0</v>
          </cell>
          <cell r="B255" t="str">
            <v>ALL VRTS</v>
          </cell>
          <cell r="C255" t="str">
            <v>X</v>
          </cell>
          <cell r="D255">
            <v>33</v>
          </cell>
          <cell r="I255" t="str">
            <v>N17</v>
          </cell>
          <cell r="L255" t="str">
            <v>V21</v>
          </cell>
          <cell r="N255">
            <v>-1</v>
          </cell>
          <cell r="O255">
            <v>-1</v>
          </cell>
          <cell r="P255">
            <v>0</v>
          </cell>
          <cell r="Q255">
            <v>2004</v>
          </cell>
          <cell r="R255" t="str">
            <v>DEARBORN PLANT BUILD</v>
          </cell>
          <cell r="S255" t="str">
            <v>P221/P397</v>
          </cell>
          <cell r="T255" t="str">
            <v>BRAKES, NOISY</v>
          </cell>
          <cell r="U255" t="str">
            <v>OBJECT REMOVED FROM BRAKE PADS</v>
          </cell>
          <cell r="V255" t="str">
            <v>ALL</v>
          </cell>
          <cell r="W255">
            <v>1</v>
          </cell>
          <cell r="AE255">
            <v>1</v>
          </cell>
        </row>
        <row r="256">
          <cell r="A256">
            <v>0</v>
          </cell>
          <cell r="B256" t="str">
            <v>ALL VRTS</v>
          </cell>
          <cell r="C256" t="str">
            <v>X</v>
          </cell>
          <cell r="D256">
            <v>33</v>
          </cell>
          <cell r="I256" t="str">
            <v>N17</v>
          </cell>
          <cell r="L256" t="str">
            <v>V21</v>
          </cell>
          <cell r="N256">
            <v>0</v>
          </cell>
          <cell r="O256">
            <v>-1</v>
          </cell>
          <cell r="P256">
            <v>0</v>
          </cell>
          <cell r="Q256">
            <v>2004</v>
          </cell>
          <cell r="R256" t="str">
            <v>DEARBORN PLANT BUILD</v>
          </cell>
          <cell r="S256" t="str">
            <v>P221/P397</v>
          </cell>
          <cell r="T256" t="str">
            <v>BRAKES, NOISY</v>
          </cell>
          <cell r="U256" t="str">
            <v>REAR BRAKE PADS - REPLACED</v>
          </cell>
          <cell r="V256" t="str">
            <v>ALL</v>
          </cell>
          <cell r="W256">
            <v>1</v>
          </cell>
          <cell r="AA256">
            <v>1</v>
          </cell>
        </row>
        <row r="257">
          <cell r="A257">
            <v>0</v>
          </cell>
          <cell r="B257" t="str">
            <v>ALL VRTS</v>
          </cell>
          <cell r="C257" t="str">
            <v>X</v>
          </cell>
          <cell r="D257">
            <v>33</v>
          </cell>
          <cell r="I257" t="str">
            <v>N17</v>
          </cell>
          <cell r="L257" t="str">
            <v>V21</v>
          </cell>
          <cell r="N257">
            <v>-1</v>
          </cell>
          <cell r="O257">
            <v>0</v>
          </cell>
          <cell r="P257">
            <v>0</v>
          </cell>
          <cell r="Q257">
            <v>2004</v>
          </cell>
          <cell r="R257" t="str">
            <v>DEARBORN PLANT BUILD</v>
          </cell>
          <cell r="S257" t="str">
            <v>P221/P397</v>
          </cell>
          <cell r="T257" t="str">
            <v>BRAKES, NOISY</v>
          </cell>
          <cell r="U257" t="str">
            <v>ROCK ON REAR BRAKE PADS - REMOVED</v>
          </cell>
          <cell r="V257" t="str">
            <v>ALL</v>
          </cell>
          <cell r="W257">
            <v>1</v>
          </cell>
          <cell r="AD257">
            <v>1</v>
          </cell>
        </row>
        <row r="258">
          <cell r="A258">
            <v>0</v>
          </cell>
          <cell r="B258" t="str">
            <v>ALL VRTS</v>
          </cell>
          <cell r="C258" t="str">
            <v>X</v>
          </cell>
          <cell r="D258">
            <v>33</v>
          </cell>
          <cell r="I258" t="str">
            <v>H20</v>
          </cell>
          <cell r="L258" t="str">
            <v>V21</v>
          </cell>
          <cell r="N258">
            <v>-1</v>
          </cell>
          <cell r="O258">
            <v>0</v>
          </cell>
          <cell r="P258">
            <v>0</v>
          </cell>
          <cell r="Q258">
            <v>2004</v>
          </cell>
          <cell r="R258" t="str">
            <v>DEARBORN PLANT BUILD</v>
          </cell>
          <cell r="S258" t="str">
            <v>P221/P397</v>
          </cell>
          <cell r="T258" t="str">
            <v>BRAKES, NOISY</v>
          </cell>
          <cell r="U258" t="str">
            <v>SCUFFED ROTOR</v>
          </cell>
          <cell r="V258" t="str">
            <v>ALL</v>
          </cell>
          <cell r="W258">
            <v>1</v>
          </cell>
          <cell r="AC258">
            <v>1</v>
          </cell>
        </row>
        <row r="259">
          <cell r="A259">
            <v>0</v>
          </cell>
          <cell r="B259" t="str">
            <v>ALL VRTS</v>
          </cell>
          <cell r="C259" t="str">
            <v>X</v>
          </cell>
          <cell r="D259">
            <v>33</v>
          </cell>
          <cell r="I259" t="str">
            <v>H19</v>
          </cell>
          <cell r="L259" t="str">
            <v>V21</v>
          </cell>
          <cell r="N259">
            <v>0</v>
          </cell>
          <cell r="O259">
            <v>-1</v>
          </cell>
          <cell r="P259">
            <v>0</v>
          </cell>
          <cell r="Q259">
            <v>2004</v>
          </cell>
          <cell r="R259" t="str">
            <v>DEARBORN PLANT BUILD</v>
          </cell>
          <cell r="S259" t="str">
            <v>P221/P397</v>
          </cell>
          <cell r="T259" t="str">
            <v>BRAKES, NOISY</v>
          </cell>
          <cell r="U259" t="str">
            <v>WHEEL SPEED SENSOR -REPLACED</v>
          </cell>
          <cell r="V259" t="str">
            <v>ALL</v>
          </cell>
          <cell r="W259">
            <v>1</v>
          </cell>
          <cell r="AD259">
            <v>1</v>
          </cell>
        </row>
        <row r="260">
          <cell r="A260">
            <v>0</v>
          </cell>
          <cell r="B260" t="str">
            <v>ALL VRTS</v>
          </cell>
          <cell r="D260">
            <v>32</v>
          </cell>
          <cell r="I260" t="str">
            <v>G02</v>
          </cell>
          <cell r="L260" t="str">
            <v>V09</v>
          </cell>
          <cell r="N260">
            <v>0</v>
          </cell>
          <cell r="O260">
            <v>-1</v>
          </cell>
          <cell r="P260">
            <v>0</v>
          </cell>
          <cell r="Q260">
            <v>2004</v>
          </cell>
          <cell r="R260" t="str">
            <v>DEARBORN PLANT BUILD</v>
          </cell>
          <cell r="S260" t="str">
            <v>P221/P397</v>
          </cell>
          <cell r="T260" t="str">
            <v>WINDSHIELD DEFECTIVE</v>
          </cell>
          <cell r="U260" t="str">
            <v>DISTORTION</v>
          </cell>
          <cell r="V260" t="str">
            <v>ALL</v>
          </cell>
          <cell r="W260">
            <v>13</v>
          </cell>
          <cell r="Y260">
            <v>1</v>
          </cell>
          <cell r="AA260">
            <v>1</v>
          </cell>
          <cell r="AC260">
            <v>4</v>
          </cell>
          <cell r="AD260">
            <v>4</v>
          </cell>
          <cell r="AE260">
            <v>3</v>
          </cell>
        </row>
        <row r="261">
          <cell r="A261">
            <v>0</v>
          </cell>
          <cell r="B261" t="str">
            <v>ALL VRTS</v>
          </cell>
          <cell r="D261">
            <v>32</v>
          </cell>
          <cell r="E261" t="str">
            <v>Trim 4 5580-2-G</v>
          </cell>
          <cell r="G261" t="str">
            <v>T4W01-09L</v>
          </cell>
          <cell r="I261" t="str">
            <v>G02</v>
          </cell>
          <cell r="L261" t="str">
            <v>V09</v>
          </cell>
          <cell r="N261">
            <v>0</v>
          </cell>
          <cell r="O261">
            <v>-1</v>
          </cell>
          <cell r="P261">
            <v>0</v>
          </cell>
          <cell r="Q261">
            <v>2004</v>
          </cell>
          <cell r="R261" t="str">
            <v>DEARBORN PLANT BUILD</v>
          </cell>
          <cell r="S261" t="str">
            <v>P221/P397</v>
          </cell>
          <cell r="T261" t="str">
            <v>WINDSHIELD DEFECTIVE</v>
          </cell>
          <cell r="U261" t="str">
            <v>STRESS CRACK</v>
          </cell>
          <cell r="V261" t="str">
            <v>ALL</v>
          </cell>
          <cell r="W261">
            <v>11</v>
          </cell>
          <cell r="X261">
            <v>1</v>
          </cell>
          <cell r="Y261">
            <v>1</v>
          </cell>
          <cell r="AA261">
            <v>2</v>
          </cell>
          <cell r="AB261">
            <v>2</v>
          </cell>
          <cell r="AD261">
            <v>5</v>
          </cell>
        </row>
        <row r="262">
          <cell r="A262">
            <v>0</v>
          </cell>
          <cell r="B262" t="str">
            <v>ALL VRTS</v>
          </cell>
          <cell r="D262">
            <v>32</v>
          </cell>
          <cell r="I262" t="str">
            <v>G02</v>
          </cell>
          <cell r="L262" t="str">
            <v>V09</v>
          </cell>
          <cell r="N262">
            <v>0</v>
          </cell>
          <cell r="O262">
            <v>-1</v>
          </cell>
          <cell r="P262">
            <v>0</v>
          </cell>
          <cell r="Q262">
            <v>2004</v>
          </cell>
          <cell r="R262" t="str">
            <v>DEARBORN PLANT BUILD</v>
          </cell>
          <cell r="S262" t="str">
            <v>P221/P397</v>
          </cell>
          <cell r="T262" t="str">
            <v>WINDSHIELD DEFECTIVE</v>
          </cell>
          <cell r="U262" t="str">
            <v>WINDSHIELD SCRATCH</v>
          </cell>
          <cell r="V262" t="str">
            <v>ALL</v>
          </cell>
          <cell r="W262">
            <v>4</v>
          </cell>
          <cell r="AC262">
            <v>1</v>
          </cell>
          <cell r="AD262">
            <v>3</v>
          </cell>
        </row>
        <row r="263">
          <cell r="A263">
            <v>0</v>
          </cell>
          <cell r="B263" t="str">
            <v>ALL VRTS</v>
          </cell>
          <cell r="D263">
            <v>32</v>
          </cell>
          <cell r="I263" t="str">
            <v>G02</v>
          </cell>
          <cell r="L263" t="str">
            <v>V09</v>
          </cell>
          <cell r="N263">
            <v>0</v>
          </cell>
          <cell r="O263">
            <v>-1</v>
          </cell>
          <cell r="P263">
            <v>0</v>
          </cell>
          <cell r="Q263">
            <v>2004</v>
          </cell>
          <cell r="R263" t="str">
            <v>DEARBORN PLANT BUILD</v>
          </cell>
          <cell r="S263" t="str">
            <v>P221/P397</v>
          </cell>
          <cell r="T263" t="str">
            <v>WINDSHIELD DEFECTIVE</v>
          </cell>
          <cell r="U263" t="str">
            <v>SPOT ON WINDSHIELD</v>
          </cell>
          <cell r="V263" t="str">
            <v>ALL</v>
          </cell>
          <cell r="W263">
            <v>3</v>
          </cell>
          <cell r="Z263">
            <v>1</v>
          </cell>
          <cell r="AB263">
            <v>1</v>
          </cell>
          <cell r="AD263">
            <v>1</v>
          </cell>
        </row>
        <row r="264">
          <cell r="A264">
            <v>0</v>
          </cell>
          <cell r="B264" t="str">
            <v>ALL VRTS</v>
          </cell>
          <cell r="D264">
            <v>32</v>
          </cell>
          <cell r="I264" t="str">
            <v>G02</v>
          </cell>
          <cell r="L264" t="str">
            <v>V09</v>
          </cell>
          <cell r="N264">
            <v>0</v>
          </cell>
          <cell r="O264">
            <v>-1</v>
          </cell>
          <cell r="P264">
            <v>0</v>
          </cell>
          <cell r="Q264">
            <v>2004</v>
          </cell>
          <cell r="R264" t="str">
            <v>DEARBORN PLANT BUILD</v>
          </cell>
          <cell r="S264" t="str">
            <v>P221/P397</v>
          </cell>
          <cell r="T264" t="str">
            <v>WINDSHIELD DEFECTIVE</v>
          </cell>
          <cell r="U264" t="str">
            <v>WINDSHIELD CLOUDY</v>
          </cell>
          <cell r="V264" t="str">
            <v>ALL</v>
          </cell>
          <cell r="W264">
            <v>1</v>
          </cell>
          <cell r="Z264">
            <v>1</v>
          </cell>
        </row>
        <row r="265">
          <cell r="A265">
            <v>0</v>
          </cell>
          <cell r="B265" t="str">
            <v>ALL VRTS</v>
          </cell>
          <cell r="D265">
            <v>31</v>
          </cell>
          <cell r="I265" t="str">
            <v>C25</v>
          </cell>
          <cell r="J265" t="str">
            <v>C27</v>
          </cell>
          <cell r="K265" t="str">
            <v>A85</v>
          </cell>
          <cell r="L265" t="str">
            <v>V19</v>
          </cell>
          <cell r="N265">
            <v>0</v>
          </cell>
          <cell r="O265">
            <v>0</v>
          </cell>
          <cell r="P265">
            <v>-1</v>
          </cell>
          <cell r="Q265">
            <v>2004</v>
          </cell>
          <cell r="R265" t="str">
            <v>DEARBORN PLANT BUILD</v>
          </cell>
          <cell r="S265" t="str">
            <v>P221/P397</v>
          </cell>
          <cell r="T265" t="str">
            <v>Battery Dead</v>
          </cell>
          <cell r="U265" t="str">
            <v>Re-placed bad Battery</v>
          </cell>
          <cell r="V265" t="str">
            <v>ALL</v>
          </cell>
          <cell r="W265">
            <v>19</v>
          </cell>
          <cell r="Z265">
            <v>4</v>
          </cell>
          <cell r="AB265">
            <v>1</v>
          </cell>
          <cell r="AC265">
            <v>4</v>
          </cell>
          <cell r="AD265">
            <v>9</v>
          </cell>
          <cell r="AE265">
            <v>1</v>
          </cell>
        </row>
        <row r="266">
          <cell r="A266">
            <v>0</v>
          </cell>
          <cell r="B266" t="str">
            <v>ALL VRTS</v>
          </cell>
          <cell r="D266">
            <v>31</v>
          </cell>
          <cell r="I266" t="str">
            <v>C25</v>
          </cell>
          <cell r="J266" t="str">
            <v>C27</v>
          </cell>
          <cell r="K266" t="str">
            <v>C26</v>
          </cell>
          <cell r="L266" t="str">
            <v>V19</v>
          </cell>
          <cell r="N266">
            <v>0</v>
          </cell>
          <cell r="O266">
            <v>-1</v>
          </cell>
          <cell r="P266">
            <v>0</v>
          </cell>
          <cell r="Q266">
            <v>2004</v>
          </cell>
          <cell r="R266" t="str">
            <v>DEARBORN PLANT BUILD</v>
          </cell>
          <cell r="S266" t="str">
            <v>P221/P397</v>
          </cell>
          <cell r="T266" t="str">
            <v>Battery Dead</v>
          </cell>
          <cell r="U266" t="str">
            <v>Alternator Replaced.</v>
          </cell>
          <cell r="V266" t="str">
            <v>ALL</v>
          </cell>
          <cell r="W266">
            <v>5</v>
          </cell>
          <cell r="Y266">
            <v>1</v>
          </cell>
          <cell r="AA266">
            <v>1</v>
          </cell>
          <cell r="AD266">
            <v>3</v>
          </cell>
        </row>
        <row r="267">
          <cell r="A267">
            <v>0</v>
          </cell>
          <cell r="B267" t="str">
            <v>ALL VRTS</v>
          </cell>
          <cell r="D267">
            <v>31</v>
          </cell>
          <cell r="I267" t="str">
            <v>C25</v>
          </cell>
          <cell r="L267" t="str">
            <v>V19</v>
          </cell>
          <cell r="N267">
            <v>0</v>
          </cell>
          <cell r="O267">
            <v>0</v>
          </cell>
          <cell r="P267">
            <v>-1</v>
          </cell>
          <cell r="Q267">
            <v>2004</v>
          </cell>
          <cell r="R267" t="str">
            <v>DEARBORN PLANT BUILD</v>
          </cell>
          <cell r="S267" t="str">
            <v>P221/P397</v>
          </cell>
          <cell r="T267" t="str">
            <v>Battery Dead</v>
          </cell>
          <cell r="U267" t="str">
            <v>Alternator no connect..</v>
          </cell>
          <cell r="V267" t="str">
            <v>ALL</v>
          </cell>
          <cell r="W267">
            <v>1</v>
          </cell>
          <cell r="AC267">
            <v>1</v>
          </cell>
        </row>
        <row r="268">
          <cell r="A268">
            <v>0</v>
          </cell>
          <cell r="B268" t="str">
            <v>ALL VRTS</v>
          </cell>
          <cell r="D268">
            <v>31</v>
          </cell>
          <cell r="I268" t="str">
            <v>C25</v>
          </cell>
          <cell r="L268" t="str">
            <v>V19</v>
          </cell>
          <cell r="N268">
            <v>0</v>
          </cell>
          <cell r="O268">
            <v>0</v>
          </cell>
          <cell r="P268">
            <v>-1</v>
          </cell>
          <cell r="Q268">
            <v>2004</v>
          </cell>
          <cell r="R268" t="str">
            <v>DEARBORN PLANT BUILD</v>
          </cell>
          <cell r="S268" t="str">
            <v>P221/P397</v>
          </cell>
          <cell r="T268" t="str">
            <v>Battery Dead</v>
          </cell>
          <cell r="U268" t="str">
            <v>Battery Cable Bolt replaced.</v>
          </cell>
          <cell r="V268" t="str">
            <v>ALL</v>
          </cell>
          <cell r="W268">
            <v>1</v>
          </cell>
          <cell r="AD268">
            <v>1</v>
          </cell>
        </row>
        <row r="269">
          <cell r="A269">
            <v>0</v>
          </cell>
          <cell r="B269" t="str">
            <v>ALL VRTS</v>
          </cell>
          <cell r="D269">
            <v>31</v>
          </cell>
          <cell r="I269" t="str">
            <v>C25</v>
          </cell>
          <cell r="L269" t="str">
            <v>V19</v>
          </cell>
          <cell r="N269">
            <v>0</v>
          </cell>
          <cell r="O269">
            <v>0</v>
          </cell>
          <cell r="P269">
            <v>-1</v>
          </cell>
          <cell r="Q269">
            <v>2004</v>
          </cell>
          <cell r="R269" t="str">
            <v>DEARBORN PLANT BUILD</v>
          </cell>
          <cell r="S269" t="str">
            <v>P221/P397</v>
          </cell>
          <cell r="T269" t="str">
            <v>Battery Dead</v>
          </cell>
          <cell r="U269" t="str">
            <v>Charged.</v>
          </cell>
          <cell r="V269" t="str">
            <v>ALL</v>
          </cell>
          <cell r="W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D270">
            <v>31</v>
          </cell>
          <cell r="I270" t="str">
            <v>C27</v>
          </cell>
          <cell r="L270" t="str">
            <v>V19</v>
          </cell>
          <cell r="N270">
            <v>0</v>
          </cell>
          <cell r="O270">
            <v>0</v>
          </cell>
          <cell r="P270">
            <v>-1</v>
          </cell>
          <cell r="Q270">
            <v>2004</v>
          </cell>
          <cell r="R270" t="str">
            <v>DEARBORN PLANT BUILD</v>
          </cell>
          <cell r="S270" t="str">
            <v>P221/P397</v>
          </cell>
          <cell r="T270" t="str">
            <v>Battery Dead</v>
          </cell>
          <cell r="U270" t="str">
            <v>Low Battery.</v>
          </cell>
          <cell r="V270" t="str">
            <v>ALL</v>
          </cell>
          <cell r="W270">
            <v>1</v>
          </cell>
          <cell r="Z270">
            <v>1</v>
          </cell>
        </row>
        <row r="271">
          <cell r="A271">
            <v>0</v>
          </cell>
          <cell r="B271" t="str">
            <v>ALL VRTS</v>
          </cell>
          <cell r="D271">
            <v>31</v>
          </cell>
          <cell r="I271" t="str">
            <v>C25</v>
          </cell>
          <cell r="L271" t="str">
            <v>V19</v>
          </cell>
          <cell r="N271">
            <v>0</v>
          </cell>
          <cell r="O271">
            <v>0</v>
          </cell>
          <cell r="P271">
            <v>-1</v>
          </cell>
          <cell r="Q271">
            <v>2004</v>
          </cell>
          <cell r="R271" t="str">
            <v>DEARBORN PLANT BUILD</v>
          </cell>
          <cell r="S271" t="str">
            <v>P221/P397</v>
          </cell>
          <cell r="T271" t="str">
            <v>Battery Dead</v>
          </cell>
          <cell r="U271" t="str">
            <v>npf</v>
          </cell>
          <cell r="V271" t="str">
            <v>ALL</v>
          </cell>
          <cell r="W271">
            <v>1</v>
          </cell>
          <cell r="AE271">
            <v>1</v>
          </cell>
        </row>
        <row r="272">
          <cell r="A272">
            <v>0</v>
          </cell>
          <cell r="B272" t="str">
            <v>ALL VRTS</v>
          </cell>
          <cell r="D272">
            <v>31</v>
          </cell>
          <cell r="I272" t="str">
            <v>A88</v>
          </cell>
          <cell r="L272" t="str">
            <v>V19</v>
          </cell>
          <cell r="N272">
            <v>-1</v>
          </cell>
          <cell r="O272">
            <v>0</v>
          </cell>
          <cell r="P272">
            <v>-1</v>
          </cell>
          <cell r="Q272">
            <v>2004</v>
          </cell>
          <cell r="R272" t="str">
            <v>DEARBORN PLANT BUILD</v>
          </cell>
          <cell r="S272" t="str">
            <v>P221/P397</v>
          </cell>
          <cell r="T272" t="str">
            <v>Battery Dead</v>
          </cell>
          <cell r="U272" t="str">
            <v>Repair comment needs defining</v>
          </cell>
          <cell r="V272" t="str">
            <v>ALL</v>
          </cell>
          <cell r="W272">
            <v>1</v>
          </cell>
          <cell r="AC272">
            <v>1</v>
          </cell>
        </row>
        <row r="273">
          <cell r="A273">
            <v>0</v>
          </cell>
          <cell r="B273" t="str">
            <v>ALL VRTS</v>
          </cell>
          <cell r="D273">
            <v>31</v>
          </cell>
          <cell r="I273" t="str">
            <v>A85</v>
          </cell>
          <cell r="L273" t="str">
            <v>V19</v>
          </cell>
          <cell r="N273">
            <v>0</v>
          </cell>
          <cell r="O273">
            <v>-1</v>
          </cell>
          <cell r="P273">
            <v>-1</v>
          </cell>
          <cell r="Q273">
            <v>2004</v>
          </cell>
          <cell r="R273" t="str">
            <v>DEARBORN PLANT BUILD</v>
          </cell>
          <cell r="S273" t="str">
            <v>P221/P397</v>
          </cell>
          <cell r="T273" t="str">
            <v>Battery Dead</v>
          </cell>
          <cell r="U273" t="str">
            <v>Replaced PCM APP code</v>
          </cell>
          <cell r="V273" t="str">
            <v>ALL</v>
          </cell>
          <cell r="W273">
            <v>1</v>
          </cell>
          <cell r="AD273">
            <v>1</v>
          </cell>
        </row>
        <row r="274">
          <cell r="A274">
            <v>0</v>
          </cell>
          <cell r="B274" t="str">
            <v>ALL VRTS</v>
          </cell>
          <cell r="D274">
            <v>31</v>
          </cell>
          <cell r="I274" t="str">
            <v>A85</v>
          </cell>
          <cell r="J274" t="str">
            <v>G32</v>
          </cell>
          <cell r="K274" t="str">
            <v>A37</v>
          </cell>
          <cell r="L274" t="str">
            <v>V83</v>
          </cell>
          <cell r="N274">
            <v>0</v>
          </cell>
          <cell r="O274">
            <v>-1</v>
          </cell>
          <cell r="P274">
            <v>0</v>
          </cell>
          <cell r="Q274">
            <v>2004</v>
          </cell>
          <cell r="R274" t="str">
            <v>DEARBORN PLANT BUILD</v>
          </cell>
          <cell r="S274" t="str">
            <v>P221/P397</v>
          </cell>
          <cell r="T274" t="str">
            <v>Cluster INOP</v>
          </cell>
          <cell r="U274" t="str">
            <v>Cluster replaced and reprogramed.</v>
          </cell>
          <cell r="V274" t="str">
            <v>ALL</v>
          </cell>
          <cell r="W274">
            <v>9</v>
          </cell>
          <cell r="AA274">
            <v>1</v>
          </cell>
          <cell r="AB274">
            <v>3</v>
          </cell>
          <cell r="AC274">
            <v>3</v>
          </cell>
          <cell r="AD274">
            <v>2</v>
          </cell>
        </row>
        <row r="275">
          <cell r="A275">
            <v>0</v>
          </cell>
          <cell r="B275" t="str">
            <v>ALL VRTS</v>
          </cell>
          <cell r="D275">
            <v>31</v>
          </cell>
          <cell r="I275" t="str">
            <v>A85</v>
          </cell>
          <cell r="L275" t="str">
            <v>V17</v>
          </cell>
          <cell r="N275">
            <v>0</v>
          </cell>
          <cell r="O275">
            <v>-1</v>
          </cell>
          <cell r="P275">
            <v>-1</v>
          </cell>
          <cell r="Q275">
            <v>2004</v>
          </cell>
          <cell r="R275" t="str">
            <v>DEARBORN PLANT BUILD</v>
          </cell>
          <cell r="S275" t="str">
            <v>P221/P397</v>
          </cell>
          <cell r="T275" t="str">
            <v>Cluster INOP</v>
          </cell>
          <cell r="U275" t="str">
            <v>Open Circuit in cluster.</v>
          </cell>
          <cell r="V275" t="str">
            <v>ALL</v>
          </cell>
          <cell r="W275">
            <v>2</v>
          </cell>
          <cell r="AA275">
            <v>1</v>
          </cell>
          <cell r="AE275">
            <v>1</v>
          </cell>
        </row>
        <row r="276">
          <cell r="A276">
            <v>0</v>
          </cell>
          <cell r="B276" t="str">
            <v>ALL VRTS</v>
          </cell>
          <cell r="D276">
            <v>31</v>
          </cell>
          <cell r="I276" t="str">
            <v>A85</v>
          </cell>
          <cell r="L276" t="str">
            <v>V83</v>
          </cell>
          <cell r="N276">
            <v>0</v>
          </cell>
          <cell r="O276">
            <v>-1</v>
          </cell>
          <cell r="P276">
            <v>0</v>
          </cell>
          <cell r="Q276">
            <v>2004</v>
          </cell>
          <cell r="R276" t="str">
            <v>DEARBORN PLANT BUILD</v>
          </cell>
          <cell r="S276" t="str">
            <v>P221/P397</v>
          </cell>
          <cell r="T276" t="str">
            <v>Cluster INOP</v>
          </cell>
          <cell r="U276" t="str">
            <v>Replaced Bad Switch</v>
          </cell>
          <cell r="V276" t="str">
            <v>ALL</v>
          </cell>
          <cell r="W276">
            <v>2</v>
          </cell>
          <cell r="AC276">
            <v>2</v>
          </cell>
        </row>
        <row r="277">
          <cell r="A277">
            <v>0</v>
          </cell>
          <cell r="B277" t="str">
            <v>ALL VRTS</v>
          </cell>
          <cell r="D277">
            <v>31</v>
          </cell>
          <cell r="I277" t="str">
            <v>G30</v>
          </cell>
          <cell r="J277" t="str">
            <v>G32</v>
          </cell>
          <cell r="L277" t="str">
            <v>V83</v>
          </cell>
          <cell r="N277">
            <v>0</v>
          </cell>
          <cell r="O277">
            <v>-1</v>
          </cell>
          <cell r="P277">
            <v>0</v>
          </cell>
          <cell r="Q277">
            <v>2004</v>
          </cell>
          <cell r="R277" t="str">
            <v>DEARBORN PLANT BUILD</v>
          </cell>
          <cell r="S277" t="str">
            <v>P221/P397</v>
          </cell>
          <cell r="T277" t="str">
            <v>Cluster INOP</v>
          </cell>
          <cell r="U277" t="str">
            <v>Replaced Cluster.</v>
          </cell>
          <cell r="V277" t="str">
            <v>ALL</v>
          </cell>
          <cell r="W277">
            <v>2</v>
          </cell>
          <cell r="AD277">
            <v>2</v>
          </cell>
        </row>
        <row r="278">
          <cell r="A278">
            <v>0</v>
          </cell>
          <cell r="B278" t="str">
            <v>ALL VRTS</v>
          </cell>
          <cell r="D278">
            <v>31</v>
          </cell>
          <cell r="I278" t="str">
            <v>G32</v>
          </cell>
          <cell r="L278" t="str">
            <v>V83</v>
          </cell>
          <cell r="N278">
            <v>0</v>
          </cell>
          <cell r="O278">
            <v>0</v>
          </cell>
          <cell r="P278">
            <v>-1</v>
          </cell>
          <cell r="Q278">
            <v>2004</v>
          </cell>
          <cell r="R278" t="str">
            <v>DEARBORN PLANT BUILD</v>
          </cell>
          <cell r="S278" t="str">
            <v>P221/P397</v>
          </cell>
          <cell r="T278" t="str">
            <v>Cluster INOP</v>
          </cell>
          <cell r="U278" t="str">
            <v>Code cleared</v>
          </cell>
          <cell r="V278" t="str">
            <v>ALL</v>
          </cell>
          <cell r="W278">
            <v>1</v>
          </cell>
          <cell r="AD278">
            <v>1</v>
          </cell>
        </row>
        <row r="279">
          <cell r="A279">
            <v>0</v>
          </cell>
          <cell r="B279" t="str">
            <v>ALL VRTS</v>
          </cell>
          <cell r="D279">
            <v>31</v>
          </cell>
          <cell r="I279" t="str">
            <v>A85</v>
          </cell>
          <cell r="L279" t="str">
            <v>V17</v>
          </cell>
          <cell r="N279">
            <v>0</v>
          </cell>
          <cell r="O279">
            <v>0</v>
          </cell>
          <cell r="P279">
            <v>-1</v>
          </cell>
          <cell r="Q279">
            <v>2004</v>
          </cell>
          <cell r="R279" t="str">
            <v>DEARBORN PLANT BUILD</v>
          </cell>
          <cell r="S279" t="str">
            <v>P221/P397</v>
          </cell>
          <cell r="T279" t="str">
            <v>Cluster INOP</v>
          </cell>
          <cell r="U279" t="str">
            <v>CONNECTORS C220B, WAS NOT SEATED @PDJB</v>
          </cell>
          <cell r="V279" t="str">
            <v>ALL</v>
          </cell>
          <cell r="W279">
            <v>1</v>
          </cell>
          <cell r="AC279">
            <v>1</v>
          </cell>
        </row>
        <row r="280">
          <cell r="A280">
            <v>0</v>
          </cell>
          <cell r="B280" t="str">
            <v>ALL VRTS</v>
          </cell>
          <cell r="D280">
            <v>31</v>
          </cell>
          <cell r="I280" t="str">
            <v>A85</v>
          </cell>
          <cell r="L280" t="str">
            <v>V17</v>
          </cell>
          <cell r="N280">
            <v>0</v>
          </cell>
          <cell r="O280">
            <v>0</v>
          </cell>
          <cell r="P280">
            <v>-1</v>
          </cell>
          <cell r="Q280">
            <v>2004</v>
          </cell>
          <cell r="R280" t="str">
            <v>DEARBORN PLANT BUILD</v>
          </cell>
          <cell r="S280" t="str">
            <v>P221/P397</v>
          </cell>
          <cell r="T280" t="str">
            <v>Cluster INOP</v>
          </cell>
          <cell r="U280" t="str">
            <v>Fuel Gauge , repaired.</v>
          </cell>
          <cell r="V280" t="str">
            <v>ALL</v>
          </cell>
          <cell r="W280">
            <v>1</v>
          </cell>
          <cell r="AB280">
            <v>1</v>
          </cell>
        </row>
        <row r="281">
          <cell r="A281">
            <v>0</v>
          </cell>
          <cell r="B281" t="str">
            <v>ALL VRTS</v>
          </cell>
          <cell r="D281">
            <v>31</v>
          </cell>
          <cell r="I281" t="str">
            <v>A85</v>
          </cell>
          <cell r="L281" t="str">
            <v>V83</v>
          </cell>
          <cell r="N281">
            <v>0</v>
          </cell>
          <cell r="O281">
            <v>0</v>
          </cell>
          <cell r="P281">
            <v>-1</v>
          </cell>
          <cell r="Q281">
            <v>2004</v>
          </cell>
          <cell r="R281" t="str">
            <v>DEARBORN PLANT BUILD</v>
          </cell>
          <cell r="S281" t="str">
            <v>P221/P397</v>
          </cell>
          <cell r="T281" t="str">
            <v>Cluster INOP</v>
          </cell>
          <cell r="U281" t="str">
            <v>Fuel Gauge, Repaired</v>
          </cell>
          <cell r="V281" t="str">
            <v>ALL</v>
          </cell>
          <cell r="W281">
            <v>1</v>
          </cell>
          <cell r="AE281">
            <v>1</v>
          </cell>
        </row>
        <row r="282">
          <cell r="A282">
            <v>0</v>
          </cell>
          <cell r="B282" t="str">
            <v>ALL VRTS</v>
          </cell>
          <cell r="D282">
            <v>31</v>
          </cell>
          <cell r="I282" t="str">
            <v>L29</v>
          </cell>
          <cell r="L282" t="str">
            <v>V83</v>
          </cell>
          <cell r="N282">
            <v>0</v>
          </cell>
          <cell r="O282">
            <v>-1</v>
          </cell>
          <cell r="P282">
            <v>0</v>
          </cell>
          <cell r="Q282">
            <v>2004</v>
          </cell>
          <cell r="R282" t="str">
            <v>DEARBORN PLANT BUILD</v>
          </cell>
          <cell r="S282" t="str">
            <v>P221/P397</v>
          </cell>
          <cell r="T282" t="str">
            <v>Cluster INOP</v>
          </cell>
          <cell r="U282" t="str">
            <v>Fuse blown</v>
          </cell>
          <cell r="V282" t="str">
            <v>ALL</v>
          </cell>
          <cell r="W282">
            <v>1</v>
          </cell>
          <cell r="AC282">
            <v>1</v>
          </cell>
        </row>
        <row r="283">
          <cell r="A283">
            <v>0</v>
          </cell>
          <cell r="B283" t="str">
            <v>ALL VRTS</v>
          </cell>
          <cell r="D283">
            <v>31</v>
          </cell>
          <cell r="I283" t="str">
            <v>A85</v>
          </cell>
          <cell r="L283" t="str">
            <v>V17</v>
          </cell>
          <cell r="N283">
            <v>0</v>
          </cell>
          <cell r="O283">
            <v>-1</v>
          </cell>
          <cell r="P283">
            <v>0</v>
          </cell>
          <cell r="Q283">
            <v>2004</v>
          </cell>
          <cell r="R283" t="str">
            <v>DEARBORN PLANT BUILD</v>
          </cell>
          <cell r="S283" t="str">
            <v>P221/P397</v>
          </cell>
          <cell r="T283" t="str">
            <v>Cluster INOP</v>
          </cell>
          <cell r="U283" t="str">
            <v>FX4 Emblem in PRNDL open in cluster</v>
          </cell>
          <cell r="V283" t="str">
            <v>ALL</v>
          </cell>
          <cell r="W283">
            <v>1</v>
          </cell>
          <cell r="AC283">
            <v>1</v>
          </cell>
        </row>
        <row r="284">
          <cell r="A284">
            <v>0</v>
          </cell>
          <cell r="B284" t="str">
            <v>ALL VRTS</v>
          </cell>
          <cell r="D284">
            <v>31</v>
          </cell>
          <cell r="I284" t="str">
            <v>G29</v>
          </cell>
          <cell r="L284" t="str">
            <v>V83</v>
          </cell>
          <cell r="N284">
            <v>0</v>
          </cell>
          <cell r="O284">
            <v>0</v>
          </cell>
          <cell r="P284">
            <v>-1</v>
          </cell>
          <cell r="Q284">
            <v>2004</v>
          </cell>
          <cell r="R284" t="str">
            <v>DEARBORN PLANT BUILD</v>
          </cell>
          <cell r="S284" t="str">
            <v>P221/P397</v>
          </cell>
          <cell r="T284" t="str">
            <v>Cluster INOP</v>
          </cell>
          <cell r="U284" t="str">
            <v>Loose Connector</v>
          </cell>
          <cell r="V284" t="str">
            <v>ALL</v>
          </cell>
          <cell r="W284">
            <v>1</v>
          </cell>
          <cell r="AD284">
            <v>1</v>
          </cell>
        </row>
        <row r="285">
          <cell r="A285">
            <v>0</v>
          </cell>
          <cell r="B285" t="str">
            <v>ALL VRTS</v>
          </cell>
          <cell r="D285">
            <v>31</v>
          </cell>
          <cell r="I285" t="str">
            <v>A85</v>
          </cell>
          <cell r="L285" t="str">
            <v>V17</v>
          </cell>
          <cell r="N285">
            <v>0</v>
          </cell>
          <cell r="O285">
            <v>-1</v>
          </cell>
          <cell r="P285">
            <v>0</v>
          </cell>
          <cell r="Q285">
            <v>2004</v>
          </cell>
          <cell r="R285" t="str">
            <v>DEARBORN PLANT BUILD</v>
          </cell>
          <cell r="S285" t="str">
            <v>P221/P397</v>
          </cell>
          <cell r="T285" t="str">
            <v>Cluster INOP</v>
          </cell>
          <cell r="U285" t="str">
            <v>No Connect at Module</v>
          </cell>
          <cell r="V285" t="str">
            <v>ALL</v>
          </cell>
          <cell r="W285">
            <v>1</v>
          </cell>
          <cell r="AA285">
            <v>1</v>
          </cell>
        </row>
        <row r="286">
          <cell r="A286">
            <v>0</v>
          </cell>
          <cell r="B286" t="str">
            <v>ALL VRTS</v>
          </cell>
          <cell r="D286">
            <v>31</v>
          </cell>
          <cell r="I286" t="str">
            <v>A85</v>
          </cell>
          <cell r="L286" t="str">
            <v>V83</v>
          </cell>
          <cell r="N286">
            <v>0</v>
          </cell>
          <cell r="O286">
            <v>0</v>
          </cell>
          <cell r="P286">
            <v>-1</v>
          </cell>
          <cell r="Q286">
            <v>2004</v>
          </cell>
          <cell r="R286" t="str">
            <v>DEARBORN PLANT BUILD</v>
          </cell>
          <cell r="S286" t="str">
            <v>P221/P397</v>
          </cell>
          <cell r="T286" t="str">
            <v>Cluster INOP</v>
          </cell>
          <cell r="U286" t="str">
            <v>npf</v>
          </cell>
          <cell r="V286" t="str">
            <v>ALL</v>
          </cell>
          <cell r="W286">
            <v>1</v>
          </cell>
          <cell r="AD286">
            <v>1</v>
          </cell>
        </row>
        <row r="287">
          <cell r="A287">
            <v>0</v>
          </cell>
          <cell r="B287" t="str">
            <v>ALL VRTS</v>
          </cell>
          <cell r="D287">
            <v>31</v>
          </cell>
          <cell r="I287" t="str">
            <v>G32</v>
          </cell>
          <cell r="L287" t="str">
            <v>V83</v>
          </cell>
          <cell r="N287">
            <v>0</v>
          </cell>
          <cell r="O287">
            <v>-1</v>
          </cell>
          <cell r="P287">
            <v>0</v>
          </cell>
          <cell r="Q287">
            <v>2004</v>
          </cell>
          <cell r="R287" t="str">
            <v>DEARBORN PLANT BUILD</v>
          </cell>
          <cell r="S287" t="str">
            <v>P221/P397</v>
          </cell>
          <cell r="T287" t="str">
            <v>Cluster INOP</v>
          </cell>
          <cell r="U287" t="str">
            <v>Re-Crimped Wire.</v>
          </cell>
          <cell r="V287" t="str">
            <v>ALL</v>
          </cell>
          <cell r="W287">
            <v>1</v>
          </cell>
          <cell r="AB287">
            <v>1</v>
          </cell>
        </row>
        <row r="288">
          <cell r="A288">
            <v>0</v>
          </cell>
          <cell r="B288" t="str">
            <v>ALL VRTS</v>
          </cell>
          <cell r="D288">
            <v>31</v>
          </cell>
          <cell r="I288" t="str">
            <v>A85</v>
          </cell>
          <cell r="L288" t="str">
            <v>V19</v>
          </cell>
          <cell r="N288">
            <v>0</v>
          </cell>
          <cell r="O288">
            <v>-1</v>
          </cell>
          <cell r="P288">
            <v>0</v>
          </cell>
          <cell r="Q288">
            <v>2004</v>
          </cell>
          <cell r="R288" t="str">
            <v>DEARBORN PLANT BUILD</v>
          </cell>
          <cell r="S288" t="str">
            <v>P221/P397</v>
          </cell>
          <cell r="T288" t="str">
            <v>Cluster INOP</v>
          </cell>
          <cell r="U288" t="str">
            <v>Replaced Body Control Module</v>
          </cell>
          <cell r="V288" t="str">
            <v>ALL</v>
          </cell>
          <cell r="W288">
            <v>1</v>
          </cell>
          <cell r="AD288">
            <v>1</v>
          </cell>
        </row>
        <row r="289">
          <cell r="A289">
            <v>0</v>
          </cell>
          <cell r="B289" t="str">
            <v>ALL VRTS</v>
          </cell>
          <cell r="D289">
            <v>31</v>
          </cell>
          <cell r="I289" t="str">
            <v>A85</v>
          </cell>
          <cell r="L289" t="str">
            <v>V19</v>
          </cell>
          <cell r="N289">
            <v>0</v>
          </cell>
          <cell r="O289">
            <v>-1</v>
          </cell>
          <cell r="P289">
            <v>0</v>
          </cell>
          <cell r="Q289">
            <v>2004</v>
          </cell>
          <cell r="R289" t="str">
            <v>DEARBORN PLANT BUILD</v>
          </cell>
          <cell r="S289" t="str">
            <v>P221/P397</v>
          </cell>
          <cell r="T289" t="str">
            <v>Cluster INOP</v>
          </cell>
          <cell r="U289" t="str">
            <v>Replaced PCM APP code</v>
          </cell>
          <cell r="V289" t="str">
            <v>ALL</v>
          </cell>
          <cell r="W289">
            <v>1</v>
          </cell>
          <cell r="AD289">
            <v>1</v>
          </cell>
        </row>
        <row r="290">
          <cell r="A290">
            <v>0</v>
          </cell>
          <cell r="B290" t="str">
            <v>ALL VRTS</v>
          </cell>
          <cell r="D290">
            <v>31</v>
          </cell>
          <cell r="I290" t="str">
            <v>G32</v>
          </cell>
          <cell r="L290" t="str">
            <v>V83</v>
          </cell>
          <cell r="N290">
            <v>-1</v>
          </cell>
          <cell r="O290">
            <v>-1</v>
          </cell>
          <cell r="P290">
            <v>0</v>
          </cell>
          <cell r="Q290">
            <v>2004</v>
          </cell>
          <cell r="R290" t="str">
            <v>DEARBORN PLANT BUILD</v>
          </cell>
          <cell r="S290" t="str">
            <v>P221/P397</v>
          </cell>
          <cell r="T290" t="str">
            <v>Cluster INOP</v>
          </cell>
          <cell r="U290" t="str">
            <v>Shift Indicator installed.</v>
          </cell>
          <cell r="V290" t="str">
            <v>ALL</v>
          </cell>
          <cell r="W290">
            <v>1</v>
          </cell>
          <cell r="AB290">
            <v>1</v>
          </cell>
        </row>
        <row r="291">
          <cell r="A291">
            <v>0</v>
          </cell>
          <cell r="B291" t="str">
            <v>ALL VRTS</v>
          </cell>
          <cell r="D291">
            <v>31</v>
          </cell>
          <cell r="I291" t="str">
            <v>A37</v>
          </cell>
          <cell r="L291" t="str">
            <v>V83</v>
          </cell>
          <cell r="N291">
            <v>0</v>
          </cell>
          <cell r="O291">
            <v>-1</v>
          </cell>
          <cell r="P291">
            <v>0</v>
          </cell>
          <cell r="Q291">
            <v>2004</v>
          </cell>
          <cell r="R291" t="str">
            <v>DEARBORN PLANT BUILD</v>
          </cell>
          <cell r="S291" t="str">
            <v>P221/P397</v>
          </cell>
          <cell r="T291" t="str">
            <v>Cluster INOP</v>
          </cell>
          <cell r="U291" t="str">
            <v>Speedo , in cluster assembly repaired</v>
          </cell>
          <cell r="V291" t="str">
            <v>ALL</v>
          </cell>
          <cell r="W291">
            <v>1</v>
          </cell>
          <cell r="AC291">
            <v>1</v>
          </cell>
        </row>
        <row r="292">
          <cell r="A292">
            <v>0</v>
          </cell>
          <cell r="B292" t="str">
            <v>ALL VRTS</v>
          </cell>
          <cell r="D292">
            <v>31</v>
          </cell>
          <cell r="I292" t="str">
            <v>G32</v>
          </cell>
          <cell r="L292" t="str">
            <v>V83</v>
          </cell>
          <cell r="N292">
            <v>0</v>
          </cell>
          <cell r="O292">
            <v>0</v>
          </cell>
          <cell r="P292">
            <v>-1</v>
          </cell>
          <cell r="Q292">
            <v>2004</v>
          </cell>
          <cell r="R292" t="str">
            <v>DEARBORN PLANT BUILD</v>
          </cell>
          <cell r="S292" t="str">
            <v>P221/P397</v>
          </cell>
          <cell r="T292" t="str">
            <v>Cluster INOP</v>
          </cell>
          <cell r="U292" t="str">
            <v>System over charged.</v>
          </cell>
          <cell r="V292" t="str">
            <v>ALL</v>
          </cell>
          <cell r="W292">
            <v>1</v>
          </cell>
          <cell r="AD292">
            <v>1</v>
          </cell>
        </row>
        <row r="293">
          <cell r="A293">
            <v>0</v>
          </cell>
          <cell r="B293" t="str">
            <v>ALL VRTS</v>
          </cell>
          <cell r="D293">
            <v>31</v>
          </cell>
          <cell r="I293" t="str">
            <v>G32</v>
          </cell>
          <cell r="L293" t="str">
            <v>V83</v>
          </cell>
          <cell r="N293">
            <v>0</v>
          </cell>
          <cell r="O293">
            <v>-1</v>
          </cell>
          <cell r="P293">
            <v>0</v>
          </cell>
          <cell r="Q293">
            <v>2004</v>
          </cell>
          <cell r="R293" t="str">
            <v>DEARBORN PLANT BUILD</v>
          </cell>
          <cell r="S293" t="str">
            <v>P221/P397</v>
          </cell>
          <cell r="T293" t="str">
            <v>Cluster INOP</v>
          </cell>
          <cell r="U293" t="str">
            <v>Trip Meter , Repaired button</v>
          </cell>
          <cell r="V293" t="str">
            <v>ALL</v>
          </cell>
          <cell r="W293">
            <v>1</v>
          </cell>
          <cell r="AD293">
            <v>1</v>
          </cell>
        </row>
        <row r="294">
          <cell r="A294">
            <v>0</v>
          </cell>
          <cell r="B294" t="str">
            <v>ALL VRTS</v>
          </cell>
          <cell r="D294">
            <v>31</v>
          </cell>
          <cell r="I294" t="str">
            <v>N51</v>
          </cell>
          <cell r="J294" t="str">
            <v>N50</v>
          </cell>
          <cell r="K294" t="str">
            <v>N40</v>
          </cell>
          <cell r="L294" t="str">
            <v>V39</v>
          </cell>
          <cell r="N294">
            <v>0</v>
          </cell>
          <cell r="O294">
            <v>0</v>
          </cell>
          <cell r="P294">
            <v>-1</v>
          </cell>
          <cell r="Q294">
            <v>2004</v>
          </cell>
          <cell r="R294" t="str">
            <v>DEARBORN PLANT BUILD</v>
          </cell>
          <cell r="S294" t="str">
            <v>P221/P397</v>
          </cell>
          <cell r="T294" t="str">
            <v>Squeak/Rattle Vehicle Exterior Rear</v>
          </cell>
          <cell r="U294" t="str">
            <v>Rear Shock Loose</v>
          </cell>
          <cell r="V294" t="str">
            <v>ALL</v>
          </cell>
          <cell r="W294">
            <v>9</v>
          </cell>
          <cell r="AB294">
            <v>1</v>
          </cell>
          <cell r="AC294">
            <v>3</v>
          </cell>
          <cell r="AD294">
            <v>3</v>
          </cell>
          <cell r="AE294">
            <v>2</v>
          </cell>
        </row>
        <row r="295">
          <cell r="A295">
            <v>0</v>
          </cell>
          <cell r="B295" t="str">
            <v>ALL VRTS</v>
          </cell>
          <cell r="D295">
            <v>31</v>
          </cell>
          <cell r="I295" t="str">
            <v>N51</v>
          </cell>
          <cell r="J295" t="str">
            <v>N42</v>
          </cell>
          <cell r="L295" t="str">
            <v>V39</v>
          </cell>
          <cell r="N295">
            <v>0</v>
          </cell>
          <cell r="O295">
            <v>0</v>
          </cell>
          <cell r="P295">
            <v>-1</v>
          </cell>
          <cell r="Q295">
            <v>2004</v>
          </cell>
          <cell r="R295" t="str">
            <v>DEARBORN PLANT BUILD</v>
          </cell>
          <cell r="S295" t="str">
            <v>P221/P397</v>
          </cell>
          <cell r="T295" t="str">
            <v>Squeak/Rattle Vehicle Exterior Rear</v>
          </cell>
          <cell r="U295" t="str">
            <v>Box Bolt Loose</v>
          </cell>
          <cell r="V295" t="str">
            <v>ALL</v>
          </cell>
          <cell r="W295">
            <v>6</v>
          </cell>
          <cell r="AC295">
            <v>2</v>
          </cell>
          <cell r="AD295">
            <v>3</v>
          </cell>
          <cell r="AE295">
            <v>1</v>
          </cell>
        </row>
        <row r="296">
          <cell r="A296">
            <v>0</v>
          </cell>
          <cell r="B296" t="str">
            <v>ALL VRTS</v>
          </cell>
          <cell r="D296">
            <v>31</v>
          </cell>
          <cell r="E296" t="str">
            <v>unsure</v>
          </cell>
          <cell r="G296" t="str">
            <v>C2W28B</v>
          </cell>
          <cell r="I296" t="str">
            <v>N51</v>
          </cell>
          <cell r="J296" t="str">
            <v>B09</v>
          </cell>
          <cell r="L296" t="str">
            <v>V39</v>
          </cell>
          <cell r="N296">
            <v>0</v>
          </cell>
          <cell r="O296">
            <v>0</v>
          </cell>
          <cell r="P296">
            <v>-1</v>
          </cell>
          <cell r="Q296">
            <v>2004</v>
          </cell>
          <cell r="R296" t="str">
            <v>DEARBORN PLANT BUILD</v>
          </cell>
          <cell r="S296" t="str">
            <v>P221/P397</v>
          </cell>
          <cell r="T296" t="str">
            <v>Squeak/Rattle Vehicle Exterior Rear</v>
          </cell>
          <cell r="U296" t="str">
            <v>Exhaust Heat Shield not secure</v>
          </cell>
          <cell r="V296" t="str">
            <v>ALL</v>
          </cell>
          <cell r="W296">
            <v>3</v>
          </cell>
          <cell r="Z296">
            <v>1</v>
          </cell>
          <cell r="AD296">
            <v>2</v>
          </cell>
        </row>
        <row r="297">
          <cell r="A297">
            <v>0</v>
          </cell>
          <cell r="B297" t="str">
            <v>ALL VRTS</v>
          </cell>
          <cell r="D297">
            <v>31</v>
          </cell>
          <cell r="I297" t="str">
            <v>N51</v>
          </cell>
          <cell r="L297" t="str">
            <v>V39</v>
          </cell>
          <cell r="N297">
            <v>0</v>
          </cell>
          <cell r="O297">
            <v>-1</v>
          </cell>
          <cell r="P297">
            <v>0</v>
          </cell>
          <cell r="Q297">
            <v>2004</v>
          </cell>
          <cell r="R297" t="str">
            <v>DEARBORN PLANT BUILD</v>
          </cell>
          <cell r="S297" t="str">
            <v>P221/P397</v>
          </cell>
          <cell r="T297" t="str">
            <v>Squeak/Rattle Vehicle Exterior Rear</v>
          </cell>
          <cell r="U297" t="str">
            <v>Spring Muffler - Lubed</v>
          </cell>
          <cell r="V297" t="str">
            <v>ALL</v>
          </cell>
          <cell r="W297">
            <v>2</v>
          </cell>
          <cell r="AC297">
            <v>1</v>
          </cell>
          <cell r="AD297">
            <v>1</v>
          </cell>
        </row>
        <row r="298">
          <cell r="A298">
            <v>0</v>
          </cell>
          <cell r="B298" t="str">
            <v>ALL VRTS</v>
          </cell>
          <cell r="D298">
            <v>31</v>
          </cell>
          <cell r="I298" t="str">
            <v>N51</v>
          </cell>
          <cell r="L298" t="str">
            <v>V39</v>
          </cell>
          <cell r="N298">
            <v>0</v>
          </cell>
          <cell r="O298">
            <v>0</v>
          </cell>
          <cell r="P298">
            <v>-1</v>
          </cell>
          <cell r="Q298">
            <v>2004</v>
          </cell>
          <cell r="R298" t="str">
            <v>DEARBORN PLANT BUILD</v>
          </cell>
          <cell r="S298" t="str">
            <v>P221/P397</v>
          </cell>
          <cell r="T298" t="str">
            <v>Squeak/Rattle Vehicle Exterior Rear</v>
          </cell>
          <cell r="U298" t="str">
            <v>U-Spring Bolts loose to Axle</v>
          </cell>
          <cell r="V298" t="str">
            <v>ALL</v>
          </cell>
          <cell r="W298">
            <v>2</v>
          </cell>
          <cell r="AC298">
            <v>1</v>
          </cell>
          <cell r="AD298">
            <v>1</v>
          </cell>
        </row>
        <row r="299">
          <cell r="A299">
            <v>0</v>
          </cell>
          <cell r="B299" t="str">
            <v>ALL VRTS</v>
          </cell>
          <cell r="D299">
            <v>31</v>
          </cell>
          <cell r="I299" t="str">
            <v>N51</v>
          </cell>
          <cell r="L299" t="str">
            <v>V39</v>
          </cell>
          <cell r="N299">
            <v>0</v>
          </cell>
          <cell r="O299">
            <v>-1</v>
          </cell>
          <cell r="P299">
            <v>0</v>
          </cell>
          <cell r="Q299">
            <v>2004</v>
          </cell>
          <cell r="R299" t="str">
            <v>DEARBORN PLANT BUILD</v>
          </cell>
          <cell r="S299" t="str">
            <v>P221/P397</v>
          </cell>
          <cell r="T299" t="str">
            <v>Squeak/Rattle Vehicle Exterior Rear</v>
          </cell>
          <cell r="U299" t="str">
            <v>Brake Backing Plate Bent</v>
          </cell>
          <cell r="V299" t="str">
            <v>ALL</v>
          </cell>
          <cell r="W299">
            <v>1</v>
          </cell>
          <cell r="AE299">
            <v>1</v>
          </cell>
        </row>
        <row r="300">
          <cell r="A300">
            <v>0</v>
          </cell>
          <cell r="B300" t="str">
            <v>ALL VRTS</v>
          </cell>
          <cell r="D300">
            <v>31</v>
          </cell>
          <cell r="I300" t="str">
            <v>N51</v>
          </cell>
          <cell r="L300" t="str">
            <v>V39</v>
          </cell>
          <cell r="N300">
            <v>0</v>
          </cell>
          <cell r="O300">
            <v>0</v>
          </cell>
          <cell r="P300">
            <v>-1</v>
          </cell>
          <cell r="Q300">
            <v>2004</v>
          </cell>
          <cell r="R300" t="str">
            <v>DEARBORN PLANT BUILD</v>
          </cell>
          <cell r="S300" t="str">
            <v>P221/P397</v>
          </cell>
          <cell r="T300" t="str">
            <v>Squeak/Rattle Vehicle Exterior Rear</v>
          </cell>
          <cell r="U300" t="str">
            <v>Brake Cable rubbing brkt misaligned</v>
          </cell>
          <cell r="V300" t="str">
            <v>ALL</v>
          </cell>
          <cell r="W300">
            <v>1</v>
          </cell>
          <cell r="AE300">
            <v>1</v>
          </cell>
        </row>
        <row r="301">
          <cell r="A301">
            <v>0</v>
          </cell>
          <cell r="B301" t="str">
            <v>ALL VRTS</v>
          </cell>
          <cell r="D301">
            <v>31</v>
          </cell>
          <cell r="I301" t="str">
            <v>N51</v>
          </cell>
          <cell r="L301" t="str">
            <v>V39</v>
          </cell>
          <cell r="N301">
            <v>0</v>
          </cell>
          <cell r="O301">
            <v>0</v>
          </cell>
          <cell r="P301">
            <v>-1</v>
          </cell>
          <cell r="Q301">
            <v>2004</v>
          </cell>
          <cell r="R301" t="str">
            <v>DEARBORN PLANT BUILD</v>
          </cell>
          <cell r="S301" t="str">
            <v>P221/P397</v>
          </cell>
          <cell r="T301" t="str">
            <v>Squeak/Rattle Vehicle Exterior Rear</v>
          </cell>
          <cell r="U301" t="str">
            <v>Cab mounting bolts lse</v>
          </cell>
          <cell r="V301" t="str">
            <v>ALL</v>
          </cell>
          <cell r="W301">
            <v>1</v>
          </cell>
          <cell r="AD301">
            <v>1</v>
          </cell>
        </row>
        <row r="302">
          <cell r="A302">
            <v>0</v>
          </cell>
          <cell r="B302" t="str">
            <v>ALL VRTS</v>
          </cell>
          <cell r="D302">
            <v>31</v>
          </cell>
          <cell r="I302" t="str">
            <v>N51</v>
          </cell>
          <cell r="L302" t="str">
            <v>V39</v>
          </cell>
          <cell r="N302">
            <v>0</v>
          </cell>
          <cell r="O302">
            <v>0</v>
          </cell>
          <cell r="P302">
            <v>-1</v>
          </cell>
          <cell r="Q302">
            <v>2004</v>
          </cell>
          <cell r="R302" t="str">
            <v>DEARBORN PLANT BUILD</v>
          </cell>
          <cell r="S302" t="str">
            <v>P221/P397</v>
          </cell>
          <cell r="T302" t="str">
            <v>Squeak/Rattle Vehicle Exterior Rear</v>
          </cell>
          <cell r="U302" t="str">
            <v>Exhaust Loose to Rear Band Clamp</v>
          </cell>
          <cell r="V302" t="str">
            <v>ALL</v>
          </cell>
          <cell r="W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D303">
            <v>31</v>
          </cell>
          <cell r="I303" t="str">
            <v>N59</v>
          </cell>
          <cell r="L303" t="str">
            <v>V39</v>
          </cell>
          <cell r="N303">
            <v>0</v>
          </cell>
          <cell r="O303">
            <v>0</v>
          </cell>
          <cell r="P303">
            <v>-1</v>
          </cell>
          <cell r="Q303">
            <v>2004</v>
          </cell>
          <cell r="R303" t="str">
            <v>DEARBORN PLANT BUILD</v>
          </cell>
          <cell r="S303" t="str">
            <v>P221/P397</v>
          </cell>
          <cell r="T303" t="str">
            <v>Squeak/Rattle Vehicle Exterior Rear</v>
          </cell>
          <cell r="U303" t="str">
            <v>Exhaust Misalign</v>
          </cell>
          <cell r="V303" t="str">
            <v>ALL</v>
          </cell>
          <cell r="W303">
            <v>1</v>
          </cell>
          <cell r="AD303">
            <v>1</v>
          </cell>
        </row>
        <row r="304">
          <cell r="A304">
            <v>0</v>
          </cell>
          <cell r="B304" t="str">
            <v>ALL VRTS</v>
          </cell>
          <cell r="D304">
            <v>31</v>
          </cell>
          <cell r="I304" t="str">
            <v>N50</v>
          </cell>
          <cell r="L304" t="str">
            <v>V39</v>
          </cell>
          <cell r="N304">
            <v>0</v>
          </cell>
          <cell r="O304">
            <v>0</v>
          </cell>
          <cell r="P304">
            <v>-1</v>
          </cell>
          <cell r="Q304">
            <v>2004</v>
          </cell>
          <cell r="R304" t="str">
            <v>DEARBORN PLANT BUILD</v>
          </cell>
          <cell r="S304" t="str">
            <v>P221/P397</v>
          </cell>
          <cell r="T304" t="str">
            <v>Squeak/Rattle Vehicle Exterior Rear</v>
          </cell>
          <cell r="U304" t="str">
            <v>Hub Acu. Not installed correctly</v>
          </cell>
          <cell r="V304" t="str">
            <v>ALL</v>
          </cell>
          <cell r="W304">
            <v>1</v>
          </cell>
          <cell r="AC304">
            <v>1</v>
          </cell>
        </row>
        <row r="305">
          <cell r="A305">
            <v>0</v>
          </cell>
          <cell r="B305" t="str">
            <v>ALL VRTS</v>
          </cell>
          <cell r="D305">
            <v>31</v>
          </cell>
          <cell r="I305" t="str">
            <v>N51</v>
          </cell>
          <cell r="L305" t="str">
            <v>V39</v>
          </cell>
          <cell r="N305">
            <v>0</v>
          </cell>
          <cell r="O305">
            <v>0</v>
          </cell>
          <cell r="P305">
            <v>-1</v>
          </cell>
          <cell r="Q305">
            <v>2004</v>
          </cell>
          <cell r="R305" t="str">
            <v>DEARBORN PLANT BUILD</v>
          </cell>
          <cell r="S305" t="str">
            <v>P221/P397</v>
          </cell>
          <cell r="T305" t="str">
            <v>Squeak/Rattle Vehicle Exterior Rear</v>
          </cell>
          <cell r="U305" t="str">
            <v>npf</v>
          </cell>
          <cell r="V305" t="str">
            <v>ALL</v>
          </cell>
          <cell r="W305">
            <v>1</v>
          </cell>
          <cell r="AD305">
            <v>1</v>
          </cell>
        </row>
        <row r="306">
          <cell r="A306">
            <v>0</v>
          </cell>
          <cell r="B306" t="str">
            <v>ALL VRTS</v>
          </cell>
          <cell r="D306">
            <v>31</v>
          </cell>
          <cell r="I306" t="str">
            <v>G09</v>
          </cell>
          <cell r="L306" t="str">
            <v>V39</v>
          </cell>
          <cell r="N306">
            <v>0</v>
          </cell>
          <cell r="O306">
            <v>-1</v>
          </cell>
          <cell r="P306">
            <v>0</v>
          </cell>
          <cell r="Q306">
            <v>2004</v>
          </cell>
          <cell r="R306" t="str">
            <v>DEARBORN PLANT BUILD</v>
          </cell>
          <cell r="S306" t="str">
            <v>P221/P397</v>
          </cell>
          <cell r="T306" t="str">
            <v>Squeak/Rattle Vehicle Exterior Rear</v>
          </cell>
          <cell r="U306" t="str">
            <v>Tailgate Rattle</v>
          </cell>
          <cell r="V306" t="str">
            <v>ALL</v>
          </cell>
          <cell r="W306">
            <v>1</v>
          </cell>
          <cell r="AD306">
            <v>1</v>
          </cell>
        </row>
        <row r="307">
          <cell r="A307">
            <v>0</v>
          </cell>
          <cell r="B307" t="str">
            <v>ALL VRTS</v>
          </cell>
          <cell r="D307">
            <v>31</v>
          </cell>
          <cell r="I307" t="str">
            <v>N59</v>
          </cell>
          <cell r="L307" t="str">
            <v>V39</v>
          </cell>
          <cell r="N307">
            <v>0</v>
          </cell>
          <cell r="O307">
            <v>0</v>
          </cell>
          <cell r="P307">
            <v>-1</v>
          </cell>
          <cell r="Q307">
            <v>2004</v>
          </cell>
          <cell r="R307" t="str">
            <v>DEARBORN PLANT BUILD</v>
          </cell>
          <cell r="S307" t="str">
            <v>P221/P397</v>
          </cell>
          <cell r="T307" t="str">
            <v>Squeak/Rattle Vehicle Exterior Rear</v>
          </cell>
          <cell r="U307" t="str">
            <v>Transfer Case Skid Plate Lse</v>
          </cell>
          <cell r="V307" t="str">
            <v>ALL</v>
          </cell>
          <cell r="W307">
            <v>1</v>
          </cell>
          <cell r="AD307">
            <v>1</v>
          </cell>
        </row>
        <row r="308">
          <cell r="A308">
            <v>0</v>
          </cell>
          <cell r="B308" t="str">
            <v>ALL VRTS</v>
          </cell>
          <cell r="D308">
            <v>31</v>
          </cell>
          <cell r="I308" t="str">
            <v>L26</v>
          </cell>
          <cell r="J308" t="str">
            <v>L30</v>
          </cell>
          <cell r="L308" t="str">
            <v>V77</v>
          </cell>
          <cell r="N308">
            <v>0</v>
          </cell>
          <cell r="O308">
            <v>-1</v>
          </cell>
          <cell r="P308">
            <v>0</v>
          </cell>
          <cell r="Q308">
            <v>2004</v>
          </cell>
          <cell r="R308" t="str">
            <v>DEARBORN PLANT BUILD</v>
          </cell>
          <cell r="S308" t="str">
            <v>P221/P397</v>
          </cell>
          <cell r="T308" t="str">
            <v>Tail Lights INOP</v>
          </cell>
          <cell r="U308" t="str">
            <v>Replace bulb</v>
          </cell>
          <cell r="V308" t="str">
            <v>ALL</v>
          </cell>
          <cell r="W308">
            <v>5</v>
          </cell>
          <cell r="AC308">
            <v>1</v>
          </cell>
          <cell r="AD308">
            <v>3</v>
          </cell>
          <cell r="AE308">
            <v>1</v>
          </cell>
        </row>
        <row r="309">
          <cell r="A309">
            <v>0</v>
          </cell>
          <cell r="B309" t="str">
            <v>ALL VRTS</v>
          </cell>
          <cell r="D309">
            <v>31</v>
          </cell>
          <cell r="I309" t="str">
            <v>L26</v>
          </cell>
          <cell r="J309" t="str">
            <v>L30</v>
          </cell>
          <cell r="L309" t="str">
            <v>V77</v>
          </cell>
          <cell r="N309">
            <v>0</v>
          </cell>
          <cell r="O309">
            <v>-1</v>
          </cell>
          <cell r="P309">
            <v>0</v>
          </cell>
          <cell r="Q309">
            <v>2004</v>
          </cell>
          <cell r="R309" t="str">
            <v>DEARBORN PLANT BUILD</v>
          </cell>
          <cell r="S309" t="str">
            <v>P221/P397</v>
          </cell>
          <cell r="T309" t="str">
            <v>Tail Lights INOP</v>
          </cell>
          <cell r="U309" t="str">
            <v>Fuse blown</v>
          </cell>
          <cell r="V309" t="str">
            <v>ALL</v>
          </cell>
          <cell r="W309">
            <v>4</v>
          </cell>
          <cell r="AA309">
            <v>1</v>
          </cell>
          <cell r="AC309">
            <v>1</v>
          </cell>
          <cell r="AD309">
            <v>2</v>
          </cell>
        </row>
        <row r="310">
          <cell r="A310">
            <v>0</v>
          </cell>
          <cell r="B310" t="str">
            <v>ALL VRTS</v>
          </cell>
          <cell r="D310">
            <v>31</v>
          </cell>
          <cell r="E310" t="str">
            <v>Chassis 7 Team 1</v>
          </cell>
          <cell r="G310" t="str">
            <v>C7E06R</v>
          </cell>
          <cell r="I310" t="str">
            <v>L26</v>
          </cell>
          <cell r="J310" t="str">
            <v>L29</v>
          </cell>
          <cell r="L310" t="str">
            <v>V77</v>
          </cell>
          <cell r="N310">
            <v>0</v>
          </cell>
          <cell r="O310">
            <v>0</v>
          </cell>
          <cell r="P310">
            <v>-1</v>
          </cell>
          <cell r="Q310">
            <v>2004</v>
          </cell>
          <cell r="R310" t="str">
            <v>DEARBORN PLANT BUILD</v>
          </cell>
          <cell r="S310" t="str">
            <v>P221/P397</v>
          </cell>
          <cell r="T310" t="str">
            <v>Tail Lights INOP</v>
          </cell>
          <cell r="U310" t="str">
            <v>Connector #405 poor connection</v>
          </cell>
          <cell r="V310" t="str">
            <v>ALL</v>
          </cell>
          <cell r="W310">
            <v>3</v>
          </cell>
          <cell r="Y310">
            <v>1</v>
          </cell>
          <cell r="AD310">
            <v>2</v>
          </cell>
        </row>
        <row r="311">
          <cell r="A311">
            <v>0</v>
          </cell>
          <cell r="B311" t="str">
            <v>ALL VRTS</v>
          </cell>
          <cell r="D311">
            <v>31</v>
          </cell>
          <cell r="I311" t="str">
            <v>L26</v>
          </cell>
          <cell r="L311" t="str">
            <v>V77</v>
          </cell>
          <cell r="N311">
            <v>0</v>
          </cell>
          <cell r="O311">
            <v>0</v>
          </cell>
          <cell r="P311">
            <v>-1</v>
          </cell>
          <cell r="Q311">
            <v>2004</v>
          </cell>
          <cell r="R311" t="str">
            <v>DEARBORN PLANT BUILD</v>
          </cell>
          <cell r="S311" t="str">
            <v>P221/P397</v>
          </cell>
          <cell r="T311" t="str">
            <v>Tail Lights INOP</v>
          </cell>
          <cell r="U311" t="str">
            <v>Loose connection at switch.</v>
          </cell>
          <cell r="V311" t="str">
            <v>ALL</v>
          </cell>
          <cell r="W311">
            <v>2</v>
          </cell>
          <cell r="AC311">
            <v>1</v>
          </cell>
          <cell r="AD311">
            <v>1</v>
          </cell>
        </row>
        <row r="312">
          <cell r="A312">
            <v>0</v>
          </cell>
          <cell r="B312" t="str">
            <v>ALL VRTS</v>
          </cell>
          <cell r="D312">
            <v>31</v>
          </cell>
          <cell r="I312" t="str">
            <v>L26</v>
          </cell>
          <cell r="L312" t="str">
            <v>V77</v>
          </cell>
          <cell r="N312">
            <v>0</v>
          </cell>
          <cell r="O312">
            <v>-1</v>
          </cell>
          <cell r="P312">
            <v>0</v>
          </cell>
          <cell r="Q312">
            <v>2004</v>
          </cell>
          <cell r="R312" t="str">
            <v>DEARBORN PLANT BUILD</v>
          </cell>
          <cell r="S312" t="str">
            <v>P221/P397</v>
          </cell>
          <cell r="T312" t="str">
            <v>Tail Lights INOP</v>
          </cell>
          <cell r="U312" t="str">
            <v>Brake Switch replaced.</v>
          </cell>
          <cell r="V312" t="str">
            <v>ALL</v>
          </cell>
          <cell r="W312">
            <v>1</v>
          </cell>
          <cell r="Z312">
            <v>1</v>
          </cell>
        </row>
        <row r="313">
          <cell r="A313">
            <v>0</v>
          </cell>
          <cell r="B313" t="str">
            <v>ALL VRTS</v>
          </cell>
          <cell r="D313">
            <v>31</v>
          </cell>
          <cell r="I313" t="str">
            <v>L26</v>
          </cell>
          <cell r="L313" t="str">
            <v>V77</v>
          </cell>
          <cell r="N313">
            <v>0</v>
          </cell>
          <cell r="O313">
            <v>-1</v>
          </cell>
          <cell r="P313">
            <v>0</v>
          </cell>
          <cell r="Q313">
            <v>2004</v>
          </cell>
          <cell r="R313" t="str">
            <v>DEARBORN PLANT BUILD</v>
          </cell>
          <cell r="S313" t="str">
            <v>P221/P397</v>
          </cell>
          <cell r="T313" t="str">
            <v>Tail Lights INOP</v>
          </cell>
          <cell r="U313" t="str">
            <v>C3137PIN#3 Terminal pushout</v>
          </cell>
          <cell r="V313" t="str">
            <v>ALL</v>
          </cell>
          <cell r="W313">
            <v>1</v>
          </cell>
          <cell r="AD313">
            <v>1</v>
          </cell>
        </row>
        <row r="314">
          <cell r="A314">
            <v>0</v>
          </cell>
          <cell r="B314" t="str">
            <v>ALL VRTS</v>
          </cell>
          <cell r="D314">
            <v>31</v>
          </cell>
          <cell r="I314" t="str">
            <v>L26</v>
          </cell>
          <cell r="L314" t="str">
            <v>V77</v>
          </cell>
          <cell r="N314">
            <v>0</v>
          </cell>
          <cell r="O314">
            <v>0</v>
          </cell>
          <cell r="P314">
            <v>-1</v>
          </cell>
          <cell r="Q314">
            <v>2004</v>
          </cell>
          <cell r="R314" t="str">
            <v>DEARBORN PLANT BUILD</v>
          </cell>
          <cell r="S314" t="str">
            <v>P221/P397</v>
          </cell>
          <cell r="T314" t="str">
            <v>Tail Lights INOP</v>
          </cell>
          <cell r="U314" t="str">
            <v>Circuit C411 open repaired.</v>
          </cell>
          <cell r="V314" t="str">
            <v>ALL</v>
          </cell>
          <cell r="W314">
            <v>1</v>
          </cell>
          <cell r="AA314">
            <v>1</v>
          </cell>
        </row>
        <row r="315">
          <cell r="A315">
            <v>0</v>
          </cell>
          <cell r="B315" t="str">
            <v>ALL VRTS</v>
          </cell>
          <cell r="D315">
            <v>31</v>
          </cell>
          <cell r="I315" t="str">
            <v>L26</v>
          </cell>
          <cell r="L315" t="str">
            <v>V77</v>
          </cell>
          <cell r="N315">
            <v>0</v>
          </cell>
          <cell r="O315">
            <v>0</v>
          </cell>
          <cell r="P315">
            <v>-1</v>
          </cell>
          <cell r="Q315">
            <v>2004</v>
          </cell>
          <cell r="R315" t="str">
            <v>DEARBORN PLANT BUILD</v>
          </cell>
          <cell r="S315" t="str">
            <v>P221/P397</v>
          </cell>
          <cell r="T315" t="str">
            <v>Tail Lights INOP</v>
          </cell>
          <cell r="U315" t="str">
            <v>Connector #270 Loose</v>
          </cell>
          <cell r="V315" t="str">
            <v>ALL</v>
          </cell>
          <cell r="W315">
            <v>1</v>
          </cell>
          <cell r="AE315">
            <v>1</v>
          </cell>
        </row>
        <row r="316">
          <cell r="A316">
            <v>0</v>
          </cell>
          <cell r="B316" t="str">
            <v>ALL VRTS</v>
          </cell>
          <cell r="D316">
            <v>31</v>
          </cell>
          <cell r="I316" t="str">
            <v>L26</v>
          </cell>
          <cell r="L316" t="str">
            <v>V77</v>
          </cell>
          <cell r="N316">
            <v>0</v>
          </cell>
          <cell r="O316">
            <v>0</v>
          </cell>
          <cell r="P316">
            <v>-1</v>
          </cell>
          <cell r="Q316">
            <v>2004</v>
          </cell>
          <cell r="R316" t="str">
            <v>DEARBORN PLANT BUILD</v>
          </cell>
          <cell r="S316" t="str">
            <v>P221/P397</v>
          </cell>
          <cell r="T316" t="str">
            <v>Tail Lights INOP</v>
          </cell>
          <cell r="U316" t="str">
            <v>Connector in Lense lse. Repaired.</v>
          </cell>
          <cell r="V316" t="str">
            <v>ALL</v>
          </cell>
          <cell r="W316">
            <v>1</v>
          </cell>
          <cell r="Z316">
            <v>1</v>
          </cell>
        </row>
        <row r="317">
          <cell r="A317">
            <v>0</v>
          </cell>
          <cell r="B317" t="str">
            <v>ALL VRTS</v>
          </cell>
          <cell r="D317">
            <v>31</v>
          </cell>
          <cell r="I317" t="str">
            <v>L30</v>
          </cell>
          <cell r="L317" t="str">
            <v>V77</v>
          </cell>
          <cell r="N317">
            <v>-1</v>
          </cell>
          <cell r="O317">
            <v>-1</v>
          </cell>
          <cell r="P317">
            <v>-1</v>
          </cell>
          <cell r="Q317">
            <v>2004</v>
          </cell>
          <cell r="R317" t="str">
            <v>DEARBORN PLANT BUILD</v>
          </cell>
          <cell r="S317" t="str">
            <v>P221/P397</v>
          </cell>
          <cell r="T317" t="str">
            <v>Tail Lights INOP</v>
          </cell>
          <cell r="U317" t="str">
            <v>Customer misuse</v>
          </cell>
          <cell r="V317" t="str">
            <v>ALL</v>
          </cell>
          <cell r="W317">
            <v>1</v>
          </cell>
          <cell r="AD317">
            <v>1</v>
          </cell>
        </row>
        <row r="318">
          <cell r="A318">
            <v>0</v>
          </cell>
          <cell r="B318" t="str">
            <v>ALL VRTS</v>
          </cell>
          <cell r="D318">
            <v>31</v>
          </cell>
          <cell r="I318" t="str">
            <v>L26</v>
          </cell>
          <cell r="L318" t="str">
            <v>V77</v>
          </cell>
          <cell r="N318">
            <v>0</v>
          </cell>
          <cell r="O318">
            <v>0</v>
          </cell>
          <cell r="P318">
            <v>-1</v>
          </cell>
          <cell r="Q318">
            <v>2004</v>
          </cell>
          <cell r="R318" t="str">
            <v>DEARBORN PLANT BUILD</v>
          </cell>
          <cell r="S318" t="str">
            <v>P221/P397</v>
          </cell>
          <cell r="T318" t="str">
            <v>Tail Lights INOP</v>
          </cell>
          <cell r="U318" t="str">
            <v>Loose Connector</v>
          </cell>
          <cell r="V318" t="str">
            <v>ALL</v>
          </cell>
          <cell r="W318">
            <v>1</v>
          </cell>
          <cell r="AE318">
            <v>1</v>
          </cell>
        </row>
        <row r="319">
          <cell r="A319">
            <v>0</v>
          </cell>
          <cell r="B319" t="str">
            <v>ALL VRTS</v>
          </cell>
          <cell r="D319">
            <v>31</v>
          </cell>
          <cell r="I319" t="str">
            <v>L29</v>
          </cell>
          <cell r="L319" t="str">
            <v>V77</v>
          </cell>
          <cell r="N319">
            <v>0</v>
          </cell>
          <cell r="O319">
            <v>0</v>
          </cell>
          <cell r="P319">
            <v>-1</v>
          </cell>
          <cell r="Q319">
            <v>2004</v>
          </cell>
          <cell r="R319" t="str">
            <v>DEARBORN PLANT BUILD</v>
          </cell>
          <cell r="S319" t="str">
            <v>P221/P397</v>
          </cell>
          <cell r="T319" t="str">
            <v>Tail Lights INOP</v>
          </cell>
          <cell r="U319" t="str">
            <v>Loose Wire</v>
          </cell>
          <cell r="V319" t="str">
            <v>ALL</v>
          </cell>
          <cell r="W319">
            <v>1</v>
          </cell>
          <cell r="AE319">
            <v>1</v>
          </cell>
        </row>
        <row r="320">
          <cell r="A320">
            <v>0</v>
          </cell>
          <cell r="B320" t="str">
            <v>ALL VRTS</v>
          </cell>
          <cell r="D320">
            <v>31</v>
          </cell>
          <cell r="I320" t="str">
            <v>L29</v>
          </cell>
          <cell r="L320" t="str">
            <v>V77</v>
          </cell>
          <cell r="N320">
            <v>0</v>
          </cell>
          <cell r="O320">
            <v>-1</v>
          </cell>
          <cell r="P320">
            <v>0</v>
          </cell>
          <cell r="Q320">
            <v>2004</v>
          </cell>
          <cell r="R320" t="str">
            <v>DEARBORN PLANT BUILD</v>
          </cell>
          <cell r="S320" t="str">
            <v>P221/P397</v>
          </cell>
          <cell r="T320" t="str">
            <v>Tail Lights INOP</v>
          </cell>
          <cell r="U320" t="str">
            <v>Moisture in tail light replace assy. And reck.</v>
          </cell>
          <cell r="V320" t="str">
            <v>ALL</v>
          </cell>
          <cell r="W320">
            <v>1</v>
          </cell>
          <cell r="AD320">
            <v>1</v>
          </cell>
        </row>
        <row r="321">
          <cell r="A321">
            <v>0</v>
          </cell>
          <cell r="B321" t="str">
            <v>ALL VRTS</v>
          </cell>
          <cell r="D321">
            <v>31</v>
          </cell>
          <cell r="I321" t="str">
            <v>L25</v>
          </cell>
          <cell r="L321" t="str">
            <v>V77</v>
          </cell>
          <cell r="N321">
            <v>0</v>
          </cell>
          <cell r="O321">
            <v>0</v>
          </cell>
          <cell r="P321">
            <v>-1</v>
          </cell>
          <cell r="Q321">
            <v>2004</v>
          </cell>
          <cell r="R321" t="str">
            <v>DEARBORN PLANT BUILD</v>
          </cell>
          <cell r="S321" t="str">
            <v>P221/P397</v>
          </cell>
          <cell r="T321" t="str">
            <v>Tail Lights INOP</v>
          </cell>
          <cell r="U321" t="str">
            <v>Repair Connector #C4035</v>
          </cell>
          <cell r="V321" t="str">
            <v>ALL</v>
          </cell>
          <cell r="W321">
            <v>1</v>
          </cell>
          <cell r="AD321">
            <v>1</v>
          </cell>
        </row>
        <row r="322">
          <cell r="A322">
            <v>0</v>
          </cell>
          <cell r="B322" t="str">
            <v>ALL VRTS</v>
          </cell>
          <cell r="D322">
            <v>31</v>
          </cell>
          <cell r="E322" t="str">
            <v>Chassis 4 Team 1</v>
          </cell>
          <cell r="G322" t="str">
            <v>C4E07L</v>
          </cell>
          <cell r="I322" t="str">
            <v>L26</v>
          </cell>
          <cell r="L322" t="str">
            <v>V77</v>
          </cell>
          <cell r="N322">
            <v>0</v>
          </cell>
          <cell r="O322">
            <v>-1</v>
          </cell>
          <cell r="P322">
            <v>-1</v>
          </cell>
          <cell r="Q322">
            <v>2004</v>
          </cell>
          <cell r="R322" t="str">
            <v>DEARBORN PLANT BUILD</v>
          </cell>
          <cell r="S322" t="str">
            <v>P221/P397</v>
          </cell>
          <cell r="T322" t="str">
            <v>Tail Lights INOP</v>
          </cell>
          <cell r="U322" t="str">
            <v>Repaired Broken wire at connector 3137.</v>
          </cell>
          <cell r="V322" t="str">
            <v>ALL</v>
          </cell>
          <cell r="W322">
            <v>1</v>
          </cell>
          <cell r="Z322">
            <v>1</v>
          </cell>
        </row>
        <row r="323">
          <cell r="A323">
            <v>0</v>
          </cell>
          <cell r="B323" t="str">
            <v>ALL VRTS</v>
          </cell>
          <cell r="D323">
            <v>31</v>
          </cell>
          <cell r="I323" t="str">
            <v>L26</v>
          </cell>
          <cell r="L323" t="str">
            <v>V77</v>
          </cell>
          <cell r="N323">
            <v>0</v>
          </cell>
          <cell r="O323">
            <v>0</v>
          </cell>
          <cell r="P323">
            <v>-1</v>
          </cell>
          <cell r="Q323">
            <v>2004</v>
          </cell>
          <cell r="R323" t="str">
            <v>DEARBORN PLANT BUILD</v>
          </cell>
          <cell r="S323" t="str">
            <v>P221/P397</v>
          </cell>
          <cell r="T323" t="str">
            <v>Tail Lights INOP</v>
          </cell>
          <cell r="U323" t="str">
            <v>Repaired wiring.</v>
          </cell>
          <cell r="V323" t="str">
            <v>ALL</v>
          </cell>
          <cell r="W323">
            <v>1</v>
          </cell>
          <cell r="AB323">
            <v>1</v>
          </cell>
        </row>
        <row r="324">
          <cell r="A324">
            <v>0</v>
          </cell>
          <cell r="B324" t="str">
            <v>ALL VRTS</v>
          </cell>
          <cell r="D324">
            <v>31</v>
          </cell>
          <cell r="I324" t="str">
            <v>L26</v>
          </cell>
          <cell r="L324" t="str">
            <v>V77</v>
          </cell>
          <cell r="N324">
            <v>0</v>
          </cell>
          <cell r="O324">
            <v>0</v>
          </cell>
          <cell r="P324">
            <v>-1</v>
          </cell>
          <cell r="Q324">
            <v>2004</v>
          </cell>
          <cell r="R324" t="str">
            <v>DEARBORN PLANT BUILD</v>
          </cell>
          <cell r="S324" t="str">
            <v>P221/P397</v>
          </cell>
          <cell r="T324" t="str">
            <v>Tail Lights INOP</v>
          </cell>
          <cell r="U324" t="str">
            <v>Replace fuse.</v>
          </cell>
          <cell r="V324" t="str">
            <v>ALL</v>
          </cell>
          <cell r="W324">
            <v>1</v>
          </cell>
          <cell r="AB324">
            <v>1</v>
          </cell>
        </row>
        <row r="325">
          <cell r="A325">
            <v>0</v>
          </cell>
          <cell r="B325" t="str">
            <v>ALL VRTS</v>
          </cell>
          <cell r="D325">
            <v>31</v>
          </cell>
          <cell r="I325" t="str">
            <v>L26</v>
          </cell>
          <cell r="L325" t="str">
            <v>V77</v>
          </cell>
          <cell r="N325">
            <v>0</v>
          </cell>
          <cell r="O325">
            <v>-1</v>
          </cell>
          <cell r="P325">
            <v>0</v>
          </cell>
          <cell r="Q325">
            <v>2004</v>
          </cell>
          <cell r="R325" t="str">
            <v>DEARBORN PLANT BUILD</v>
          </cell>
          <cell r="S325" t="str">
            <v>P221/P397</v>
          </cell>
          <cell r="T325" t="str">
            <v>Tail Lights INOP</v>
          </cell>
          <cell r="U325" t="str">
            <v>Replaced Bulb.</v>
          </cell>
          <cell r="V325" t="str">
            <v>ALL</v>
          </cell>
          <cell r="W325">
            <v>1</v>
          </cell>
          <cell r="AD325">
            <v>1</v>
          </cell>
        </row>
        <row r="326">
          <cell r="A326">
            <v>0</v>
          </cell>
          <cell r="B326" t="str">
            <v>ALL VRTS</v>
          </cell>
          <cell r="D326">
            <v>31</v>
          </cell>
          <cell r="I326" t="str">
            <v>L26</v>
          </cell>
          <cell r="L326" t="str">
            <v>V77</v>
          </cell>
          <cell r="N326">
            <v>0</v>
          </cell>
          <cell r="O326">
            <v>0</v>
          </cell>
          <cell r="P326">
            <v>-1</v>
          </cell>
          <cell r="Q326">
            <v>2004</v>
          </cell>
          <cell r="R326" t="str">
            <v>DEARBORN PLANT BUILD</v>
          </cell>
          <cell r="S326" t="str">
            <v>P221/P397</v>
          </cell>
          <cell r="T326" t="str">
            <v>Tail Lights INOP</v>
          </cell>
          <cell r="U326" t="str">
            <v>Senor unplugged, Broken connector.</v>
          </cell>
          <cell r="V326" t="str">
            <v>ALL</v>
          </cell>
          <cell r="W326">
            <v>1</v>
          </cell>
          <cell r="AD326">
            <v>1</v>
          </cell>
        </row>
        <row r="327">
          <cell r="A327">
            <v>0</v>
          </cell>
          <cell r="B327" t="str">
            <v>ALL VRTS</v>
          </cell>
          <cell r="D327">
            <v>31</v>
          </cell>
          <cell r="I327" t="str">
            <v>L26</v>
          </cell>
          <cell r="L327" t="str">
            <v>V77</v>
          </cell>
          <cell r="N327">
            <v>0</v>
          </cell>
          <cell r="O327">
            <v>-1</v>
          </cell>
          <cell r="P327">
            <v>0</v>
          </cell>
          <cell r="Q327">
            <v>2004</v>
          </cell>
          <cell r="R327" t="str">
            <v>DEARBORN PLANT BUILD</v>
          </cell>
          <cell r="S327" t="str">
            <v>P221/P397</v>
          </cell>
          <cell r="T327" t="str">
            <v>Tail Lights INOP</v>
          </cell>
          <cell r="U327" t="str">
            <v>Short in Circuit 14 Connector, Repaired</v>
          </cell>
          <cell r="V327" t="str">
            <v>ALL</v>
          </cell>
          <cell r="W327">
            <v>1</v>
          </cell>
          <cell r="AD327">
            <v>1</v>
          </cell>
        </row>
        <row r="328">
          <cell r="A328">
            <v>0</v>
          </cell>
          <cell r="B328" t="str">
            <v>ALL VRTS</v>
          </cell>
          <cell r="D328">
            <v>31</v>
          </cell>
          <cell r="I328" t="str">
            <v>L26</v>
          </cell>
          <cell r="L328" t="str">
            <v>V77</v>
          </cell>
          <cell r="N328">
            <v>0</v>
          </cell>
          <cell r="O328">
            <v>0</v>
          </cell>
          <cell r="P328">
            <v>-1</v>
          </cell>
          <cell r="Q328">
            <v>2004</v>
          </cell>
          <cell r="R328" t="str">
            <v>DEARBORN PLANT BUILD</v>
          </cell>
          <cell r="S328" t="str">
            <v>P221/P397</v>
          </cell>
          <cell r="T328" t="str">
            <v>Tail Lights INOP</v>
          </cell>
          <cell r="U328" t="str">
            <v>Short in Circult, Connector #4032</v>
          </cell>
          <cell r="V328" t="str">
            <v>ALL</v>
          </cell>
          <cell r="W328">
            <v>1</v>
          </cell>
          <cell r="AD328">
            <v>1</v>
          </cell>
        </row>
        <row r="329">
          <cell r="A329">
            <v>0</v>
          </cell>
          <cell r="B329" t="str">
            <v>ALL VRTS</v>
          </cell>
          <cell r="D329">
            <v>29</v>
          </cell>
          <cell r="E329" t="str">
            <v>unsure</v>
          </cell>
          <cell r="G329" t="str">
            <v>T3E22R</v>
          </cell>
          <cell r="I329" t="str">
            <v>N33</v>
          </cell>
          <cell r="J329" t="str">
            <v>N50</v>
          </cell>
          <cell r="L329" t="str">
            <v>V39</v>
          </cell>
          <cell r="N329">
            <v>0</v>
          </cell>
          <cell r="O329">
            <v>0</v>
          </cell>
          <cell r="P329">
            <v>-1</v>
          </cell>
          <cell r="Q329">
            <v>2004</v>
          </cell>
          <cell r="R329" t="str">
            <v>DEARBORN PLANT BUILD</v>
          </cell>
          <cell r="S329" t="str">
            <v>P221/P397</v>
          </cell>
          <cell r="T329" t="str">
            <v>Instrument Panel/Dashboard Squeak/Rattle</v>
          </cell>
          <cell r="U329" t="str">
            <v>Defroster Vent Not Seated</v>
          </cell>
          <cell r="V329" t="str">
            <v>ALL</v>
          </cell>
          <cell r="W329">
            <v>5</v>
          </cell>
          <cell r="Z329">
            <v>1</v>
          </cell>
          <cell r="AB329">
            <v>1</v>
          </cell>
          <cell r="AC329">
            <v>1</v>
          </cell>
          <cell r="AD329">
            <v>1</v>
          </cell>
          <cell r="AE329">
            <v>1</v>
          </cell>
        </row>
        <row r="330">
          <cell r="A330">
            <v>0</v>
          </cell>
          <cell r="B330" t="str">
            <v>ALL VRTS</v>
          </cell>
          <cell r="D330">
            <v>29</v>
          </cell>
          <cell r="E330" t="str">
            <v>unsure</v>
          </cell>
          <cell r="G330" t="str">
            <v>T3E26R</v>
          </cell>
          <cell r="H330" t="str">
            <v>T3E22R</v>
          </cell>
          <cell r="I330" t="str">
            <v>N33</v>
          </cell>
          <cell r="J330" t="str">
            <v>N40</v>
          </cell>
          <cell r="L330" t="str">
            <v>V39</v>
          </cell>
          <cell r="N330">
            <v>0</v>
          </cell>
          <cell r="O330">
            <v>0</v>
          </cell>
          <cell r="P330">
            <v>-1</v>
          </cell>
          <cell r="Q330">
            <v>2004</v>
          </cell>
          <cell r="R330" t="str">
            <v>DEARBORN PLANT BUILD</v>
          </cell>
          <cell r="S330" t="str">
            <v>P221/P397</v>
          </cell>
          <cell r="T330" t="str">
            <v>Instrument Panel/Dashboard Squeak/Rattle</v>
          </cell>
          <cell r="U330" t="str">
            <v>A-Pillar Trim Lse</v>
          </cell>
          <cell r="V330" t="str">
            <v>ALL</v>
          </cell>
          <cell r="W330">
            <v>3</v>
          </cell>
          <cell r="AD330">
            <v>2</v>
          </cell>
          <cell r="AE330">
            <v>1</v>
          </cell>
        </row>
        <row r="331">
          <cell r="A331">
            <v>0</v>
          </cell>
          <cell r="B331" t="str">
            <v>ALL VRTS</v>
          </cell>
          <cell r="D331">
            <v>29</v>
          </cell>
          <cell r="E331" t="str">
            <v>unsure</v>
          </cell>
          <cell r="G331" t="str">
            <v>T3E26R</v>
          </cell>
          <cell r="I331" t="str">
            <v>N33</v>
          </cell>
          <cell r="L331" t="str">
            <v>V39</v>
          </cell>
          <cell r="N331">
            <v>0</v>
          </cell>
          <cell r="O331">
            <v>0</v>
          </cell>
          <cell r="P331">
            <v>-1</v>
          </cell>
          <cell r="Q331">
            <v>2004</v>
          </cell>
          <cell r="R331" t="str">
            <v>DEARBORN PLANT BUILD</v>
          </cell>
          <cell r="S331" t="str">
            <v>P221/P397</v>
          </cell>
          <cell r="T331" t="str">
            <v>Instrument Panel/Dashboard Squeak/Rattle</v>
          </cell>
          <cell r="U331" t="str">
            <v>A-Pillar Trim rubbing on Windshield</v>
          </cell>
          <cell r="V331" t="str">
            <v>ALL</v>
          </cell>
          <cell r="W331">
            <v>3</v>
          </cell>
          <cell r="Z331">
            <v>1</v>
          </cell>
          <cell r="AD331">
            <v>1</v>
          </cell>
          <cell r="AE331">
            <v>1</v>
          </cell>
        </row>
        <row r="332">
          <cell r="A332">
            <v>0</v>
          </cell>
          <cell r="B332" t="str">
            <v>ALL VRTS</v>
          </cell>
          <cell r="D332">
            <v>29</v>
          </cell>
          <cell r="E332" t="str">
            <v>unsure</v>
          </cell>
          <cell r="G332" t="str">
            <v>T3E22R</v>
          </cell>
          <cell r="I332" t="str">
            <v>N33</v>
          </cell>
          <cell r="J332" t="str">
            <v>N50</v>
          </cell>
          <cell r="L332" t="str">
            <v>V39</v>
          </cell>
          <cell r="N332">
            <v>0</v>
          </cell>
          <cell r="O332">
            <v>0</v>
          </cell>
          <cell r="P332">
            <v>-1</v>
          </cell>
          <cell r="Q332">
            <v>2004</v>
          </cell>
          <cell r="R332" t="str">
            <v>DEARBORN PLANT BUILD</v>
          </cell>
          <cell r="S332" t="str">
            <v>P221/P397</v>
          </cell>
          <cell r="T332" t="str">
            <v>Instrument Panel/Dashboard Squeak/Rattle</v>
          </cell>
          <cell r="U332" t="str">
            <v>IP Bolt Loose - RT</v>
          </cell>
          <cell r="V332" t="str">
            <v>ALL</v>
          </cell>
          <cell r="W332">
            <v>3</v>
          </cell>
          <cell r="AD332">
            <v>1</v>
          </cell>
          <cell r="AE332">
            <v>2</v>
          </cell>
        </row>
        <row r="333">
          <cell r="A333">
            <v>0</v>
          </cell>
          <cell r="B333" t="str">
            <v>ALL VRTS</v>
          </cell>
          <cell r="D333">
            <v>29</v>
          </cell>
          <cell r="E333" t="str">
            <v>unsure</v>
          </cell>
          <cell r="G333" t="str">
            <v>T3W23L</v>
          </cell>
          <cell r="I333" t="str">
            <v>N33</v>
          </cell>
          <cell r="L333" t="str">
            <v>V39</v>
          </cell>
          <cell r="N333">
            <v>0</v>
          </cell>
          <cell r="O333">
            <v>0</v>
          </cell>
          <cell r="P333">
            <v>-1</v>
          </cell>
          <cell r="Q333">
            <v>2004</v>
          </cell>
          <cell r="R333" t="str">
            <v>DEARBORN PLANT BUILD</v>
          </cell>
          <cell r="S333" t="str">
            <v>P221/P397</v>
          </cell>
          <cell r="T333" t="str">
            <v>Instrument Panel/Dashboard Squeak/Rattle</v>
          </cell>
          <cell r="U333" t="str">
            <v>Knee Bolster not secure</v>
          </cell>
          <cell r="V333" t="str">
            <v>ALL</v>
          </cell>
          <cell r="W333">
            <v>2</v>
          </cell>
          <cell r="Z333">
            <v>1</v>
          </cell>
          <cell r="AD333">
            <v>1</v>
          </cell>
        </row>
        <row r="334">
          <cell r="A334">
            <v>0</v>
          </cell>
          <cell r="B334" t="str">
            <v>ALL VRTS</v>
          </cell>
          <cell r="D334">
            <v>29</v>
          </cell>
          <cell r="I334" t="str">
            <v>N33</v>
          </cell>
          <cell r="L334" t="str">
            <v>V39</v>
          </cell>
          <cell r="N334">
            <v>0</v>
          </cell>
          <cell r="O334">
            <v>-1</v>
          </cell>
          <cell r="P334">
            <v>0</v>
          </cell>
          <cell r="Q334">
            <v>2004</v>
          </cell>
          <cell r="R334" t="str">
            <v>DEARBORN PLANT BUILD</v>
          </cell>
          <cell r="S334" t="str">
            <v>P221/P397</v>
          </cell>
          <cell r="T334" t="str">
            <v>Instrument Panel/Dashboard Squeak/Rattle</v>
          </cell>
          <cell r="U334" t="str">
            <v>Passenger Air Bag Squeak/Rattle</v>
          </cell>
          <cell r="V334" t="str">
            <v>ALL</v>
          </cell>
          <cell r="W334">
            <v>2</v>
          </cell>
          <cell r="AD334">
            <v>1</v>
          </cell>
          <cell r="AE334">
            <v>1</v>
          </cell>
        </row>
        <row r="335">
          <cell r="A335">
            <v>0</v>
          </cell>
          <cell r="B335" t="str">
            <v>ALL VRTS</v>
          </cell>
          <cell r="D335">
            <v>29</v>
          </cell>
          <cell r="E335" t="str">
            <v>…</v>
          </cell>
          <cell r="G335" t="str">
            <v>Dealer</v>
          </cell>
          <cell r="I335" t="str">
            <v>N33</v>
          </cell>
          <cell r="L335" t="str">
            <v>V39</v>
          </cell>
          <cell r="N335">
            <v>0</v>
          </cell>
          <cell r="O335">
            <v>0</v>
          </cell>
          <cell r="P335">
            <v>-1</v>
          </cell>
          <cell r="Q335">
            <v>2004</v>
          </cell>
          <cell r="R335" t="str">
            <v>DEARBORN PLANT BUILD</v>
          </cell>
          <cell r="S335" t="str">
            <v>P221/P397</v>
          </cell>
          <cell r="T335" t="str">
            <v>Instrument Panel/Dashboard Squeak/Rattle</v>
          </cell>
          <cell r="U335" t="str">
            <v>Ant. N/Sercured - Rattling</v>
          </cell>
          <cell r="V335" t="str">
            <v>ALL</v>
          </cell>
          <cell r="W335">
            <v>1</v>
          </cell>
          <cell r="AE335">
            <v>1</v>
          </cell>
        </row>
        <row r="336">
          <cell r="A336">
            <v>0</v>
          </cell>
          <cell r="B336" t="str">
            <v>ALL VRTS</v>
          </cell>
          <cell r="D336">
            <v>29</v>
          </cell>
          <cell r="I336" t="str">
            <v>N31</v>
          </cell>
          <cell r="L336" t="str">
            <v>V39</v>
          </cell>
          <cell r="N336">
            <v>0</v>
          </cell>
          <cell r="O336">
            <v>-1</v>
          </cell>
          <cell r="P336">
            <v>0</v>
          </cell>
          <cell r="Q336">
            <v>2004</v>
          </cell>
          <cell r="R336" t="str">
            <v>DEARBORN PLANT BUILD</v>
          </cell>
          <cell r="S336" t="str">
            <v>P221/P397</v>
          </cell>
          <cell r="T336" t="str">
            <v>Instrument Panel/Dashboard Squeak/Rattle</v>
          </cell>
          <cell r="U336" t="str">
            <v>Ash Tray Rattle</v>
          </cell>
          <cell r="V336" t="str">
            <v>ALL</v>
          </cell>
          <cell r="W336">
            <v>1</v>
          </cell>
          <cell r="AD336">
            <v>1</v>
          </cell>
        </row>
        <row r="337">
          <cell r="A337">
            <v>0</v>
          </cell>
          <cell r="B337" t="str">
            <v>ALL VRTS</v>
          </cell>
          <cell r="D337">
            <v>29</v>
          </cell>
          <cell r="I337" t="str">
            <v>N33</v>
          </cell>
          <cell r="L337" t="str">
            <v>V39</v>
          </cell>
          <cell r="N337">
            <v>0</v>
          </cell>
          <cell r="O337">
            <v>-1</v>
          </cell>
          <cell r="P337">
            <v>0</v>
          </cell>
          <cell r="Q337">
            <v>2004</v>
          </cell>
          <cell r="R337" t="str">
            <v>DEARBORN PLANT BUILD</v>
          </cell>
          <cell r="S337" t="str">
            <v>P221/P397</v>
          </cell>
          <cell r="T337" t="str">
            <v>Instrument Panel/Dashboard Squeak/Rattle</v>
          </cell>
          <cell r="U337" t="str">
            <v>Blower Motor noisy</v>
          </cell>
          <cell r="V337" t="str">
            <v>ALL</v>
          </cell>
          <cell r="W337">
            <v>1</v>
          </cell>
          <cell r="AD337">
            <v>1</v>
          </cell>
        </row>
        <row r="338">
          <cell r="A338">
            <v>0</v>
          </cell>
          <cell r="B338" t="str">
            <v>ALL VRTS</v>
          </cell>
          <cell r="D338">
            <v>29</v>
          </cell>
          <cell r="I338" t="str">
            <v>N33</v>
          </cell>
          <cell r="L338" t="str">
            <v>V39</v>
          </cell>
          <cell r="N338">
            <v>0</v>
          </cell>
          <cell r="O338">
            <v>-1</v>
          </cell>
          <cell r="P338">
            <v>0</v>
          </cell>
          <cell r="Q338">
            <v>2004</v>
          </cell>
          <cell r="R338" t="str">
            <v>DEARBORN PLANT BUILD</v>
          </cell>
          <cell r="S338" t="str">
            <v>P221/P397</v>
          </cell>
          <cell r="T338" t="str">
            <v>Instrument Panel/Dashboard Squeak/Rattle</v>
          </cell>
          <cell r="U338" t="str">
            <v>Center Dash Panel Rattle to IP</v>
          </cell>
          <cell r="V338" t="str">
            <v>ALL</v>
          </cell>
          <cell r="W338">
            <v>1</v>
          </cell>
          <cell r="AD338">
            <v>1</v>
          </cell>
        </row>
        <row r="339">
          <cell r="A339">
            <v>0</v>
          </cell>
          <cell r="B339" t="str">
            <v>ALL VRTS</v>
          </cell>
          <cell r="D339">
            <v>29</v>
          </cell>
          <cell r="I339" t="str">
            <v>N33</v>
          </cell>
          <cell r="L339" t="str">
            <v>V39</v>
          </cell>
          <cell r="N339">
            <v>0</v>
          </cell>
          <cell r="O339">
            <v>-1</v>
          </cell>
          <cell r="P339">
            <v>0</v>
          </cell>
          <cell r="Q339">
            <v>2004</v>
          </cell>
          <cell r="R339" t="str">
            <v>DEARBORN PLANT BUILD</v>
          </cell>
          <cell r="S339" t="str">
            <v>P221/P397</v>
          </cell>
          <cell r="T339" t="str">
            <v>Instrument Panel/Dashboard Squeak/Rattle</v>
          </cell>
          <cell r="U339" t="str">
            <v>Internal Rattle</v>
          </cell>
          <cell r="V339" t="str">
            <v>ALL</v>
          </cell>
          <cell r="W339">
            <v>1</v>
          </cell>
          <cell r="AD339">
            <v>1</v>
          </cell>
        </row>
        <row r="340">
          <cell r="A340">
            <v>0</v>
          </cell>
          <cell r="B340" t="str">
            <v>ALL VRTS</v>
          </cell>
          <cell r="D340">
            <v>29</v>
          </cell>
          <cell r="I340" t="str">
            <v>N50</v>
          </cell>
          <cell r="L340" t="str">
            <v>V39</v>
          </cell>
          <cell r="N340">
            <v>0</v>
          </cell>
          <cell r="O340">
            <v>0</v>
          </cell>
          <cell r="P340">
            <v>-1</v>
          </cell>
          <cell r="Q340">
            <v>2004</v>
          </cell>
          <cell r="R340" t="str">
            <v>DEARBORN PLANT BUILD</v>
          </cell>
          <cell r="S340" t="str">
            <v>P221/P397</v>
          </cell>
          <cell r="T340" t="str">
            <v>Instrument Panel/Dashboard Squeak/Rattle</v>
          </cell>
          <cell r="U340" t="str">
            <v>Leaf Screen Loose</v>
          </cell>
          <cell r="V340" t="str">
            <v>ALL</v>
          </cell>
          <cell r="W340">
            <v>1</v>
          </cell>
          <cell r="AD340">
            <v>1</v>
          </cell>
        </row>
        <row r="341">
          <cell r="A341">
            <v>0</v>
          </cell>
          <cell r="B341" t="str">
            <v>ALL VRTS</v>
          </cell>
          <cell r="D341">
            <v>29</v>
          </cell>
          <cell r="I341" t="str">
            <v>N33</v>
          </cell>
          <cell r="L341" t="str">
            <v>V39</v>
          </cell>
          <cell r="N341">
            <v>0</v>
          </cell>
          <cell r="O341">
            <v>-1</v>
          </cell>
          <cell r="P341">
            <v>0</v>
          </cell>
          <cell r="Q341">
            <v>2004</v>
          </cell>
          <cell r="R341" t="str">
            <v>DEARBORN PLANT BUILD</v>
          </cell>
          <cell r="S341" t="str">
            <v>P221/P397</v>
          </cell>
          <cell r="T341" t="str">
            <v>Instrument Panel/Dashboard Squeak/Rattle</v>
          </cell>
          <cell r="U341" t="str">
            <v>Lighter Loose</v>
          </cell>
          <cell r="V341" t="str">
            <v>ALL</v>
          </cell>
          <cell r="W341">
            <v>1</v>
          </cell>
          <cell r="AC341">
            <v>1</v>
          </cell>
        </row>
        <row r="342">
          <cell r="A342">
            <v>0</v>
          </cell>
          <cell r="B342" t="str">
            <v>ALL VRTS</v>
          </cell>
          <cell r="D342">
            <v>29</v>
          </cell>
          <cell r="E342" t="str">
            <v>unsure</v>
          </cell>
          <cell r="G342" t="str">
            <v>T3E22R</v>
          </cell>
          <cell r="I342" t="str">
            <v>N33</v>
          </cell>
          <cell r="L342" t="str">
            <v>V39</v>
          </cell>
          <cell r="N342">
            <v>0</v>
          </cell>
          <cell r="O342">
            <v>0</v>
          </cell>
          <cell r="P342">
            <v>-1</v>
          </cell>
          <cell r="Q342">
            <v>2004</v>
          </cell>
          <cell r="R342" t="str">
            <v>DEARBORN PLANT BUILD</v>
          </cell>
          <cell r="S342" t="str">
            <v>P221/P397</v>
          </cell>
          <cell r="T342" t="str">
            <v>Instrument Panel/Dashboard Squeak/Rattle</v>
          </cell>
          <cell r="U342" t="str">
            <v>Lock Stock  - IP secure Bolt</v>
          </cell>
          <cell r="V342" t="str">
            <v>ALL</v>
          </cell>
          <cell r="W342">
            <v>1</v>
          </cell>
          <cell r="AC342">
            <v>1</v>
          </cell>
        </row>
        <row r="343">
          <cell r="A343">
            <v>0</v>
          </cell>
          <cell r="B343" t="str">
            <v>ALL VRTS</v>
          </cell>
          <cell r="D343">
            <v>29</v>
          </cell>
          <cell r="I343" t="str">
            <v>N33</v>
          </cell>
          <cell r="L343" t="str">
            <v>V39</v>
          </cell>
          <cell r="N343">
            <v>0</v>
          </cell>
          <cell r="O343">
            <v>-1</v>
          </cell>
          <cell r="P343">
            <v>0</v>
          </cell>
          <cell r="Q343">
            <v>2004</v>
          </cell>
          <cell r="R343" t="str">
            <v>DEARBORN PLANT BUILD</v>
          </cell>
          <cell r="S343" t="str">
            <v>P221/P397</v>
          </cell>
          <cell r="T343" t="str">
            <v>Instrument Panel/Dashboard Squeak/Rattle</v>
          </cell>
          <cell r="U343" t="str">
            <v>Radio Garnish squeaks to radio face</v>
          </cell>
          <cell r="V343" t="str">
            <v>ALL</v>
          </cell>
          <cell r="W343">
            <v>1</v>
          </cell>
          <cell r="Y343">
            <v>1</v>
          </cell>
        </row>
        <row r="344">
          <cell r="A344">
            <v>0</v>
          </cell>
          <cell r="B344" t="str">
            <v>ALL VRTS</v>
          </cell>
          <cell r="D344">
            <v>29</v>
          </cell>
          <cell r="I344" t="str">
            <v>N33</v>
          </cell>
          <cell r="L344" t="str">
            <v>V39</v>
          </cell>
          <cell r="N344">
            <v>0</v>
          </cell>
          <cell r="O344">
            <v>-1</v>
          </cell>
          <cell r="P344">
            <v>0</v>
          </cell>
          <cell r="Q344">
            <v>2004</v>
          </cell>
          <cell r="R344" t="str">
            <v>DEARBORN PLANT BUILD</v>
          </cell>
          <cell r="S344" t="str">
            <v>P221/P397</v>
          </cell>
          <cell r="T344" t="str">
            <v>Instrument Panel/Dashboard Squeak/Rattle</v>
          </cell>
          <cell r="U344" t="str">
            <v>Retainer Clips Squeak</v>
          </cell>
          <cell r="V344" t="str">
            <v>ALL</v>
          </cell>
          <cell r="W344">
            <v>1</v>
          </cell>
          <cell r="AE344">
            <v>1</v>
          </cell>
        </row>
        <row r="345">
          <cell r="A345">
            <v>0</v>
          </cell>
          <cell r="B345" t="str">
            <v>ALL VRTS</v>
          </cell>
          <cell r="D345">
            <v>29</v>
          </cell>
          <cell r="I345" t="str">
            <v>N33</v>
          </cell>
          <cell r="L345" t="str">
            <v>V39</v>
          </cell>
          <cell r="N345">
            <v>0</v>
          </cell>
          <cell r="O345">
            <v>0</v>
          </cell>
          <cell r="P345">
            <v>-1</v>
          </cell>
          <cell r="Q345">
            <v>2004</v>
          </cell>
          <cell r="R345" t="str">
            <v>DEARBORN PLANT BUILD</v>
          </cell>
          <cell r="S345" t="str">
            <v>P221/P397</v>
          </cell>
          <cell r="T345" t="str">
            <v>Instrument Panel/Dashboard Squeak/Rattle</v>
          </cell>
          <cell r="U345" t="str">
            <v>Wire Loom - Main rubbing Dash</v>
          </cell>
          <cell r="V345" t="str">
            <v>ALL</v>
          </cell>
          <cell r="W345">
            <v>1</v>
          </cell>
          <cell r="AD345">
            <v>1</v>
          </cell>
        </row>
        <row r="346">
          <cell r="A346">
            <v>0</v>
          </cell>
          <cell r="B346" t="str">
            <v>ALL VRTS</v>
          </cell>
          <cell r="C346" t="str">
            <v>X</v>
          </cell>
          <cell r="D346">
            <v>28</v>
          </cell>
          <cell r="I346" t="str">
            <v>H19</v>
          </cell>
          <cell r="J346" t="str">
            <v>H20</v>
          </cell>
          <cell r="L346" t="str">
            <v>V21</v>
          </cell>
          <cell r="N346">
            <v>0</v>
          </cell>
          <cell r="O346">
            <v>-1</v>
          </cell>
          <cell r="P346">
            <v>0</v>
          </cell>
          <cell r="Q346">
            <v>2004</v>
          </cell>
          <cell r="R346" t="str">
            <v>DEARBORN PLANT BUILD</v>
          </cell>
          <cell r="S346" t="str">
            <v>P221/P397</v>
          </cell>
          <cell r="T346" t="str">
            <v>Brakes ABS Light On</v>
          </cell>
          <cell r="U346" t="str">
            <v>WHEEL SPEED SENSOR -REPLACED</v>
          </cell>
          <cell r="V346" t="str">
            <v>ALL</v>
          </cell>
          <cell r="W346">
            <v>9</v>
          </cell>
          <cell r="Z346">
            <v>1</v>
          </cell>
          <cell r="AB346">
            <v>2</v>
          </cell>
          <cell r="AC346">
            <v>2</v>
          </cell>
          <cell r="AD346">
            <v>4</v>
          </cell>
        </row>
        <row r="347">
          <cell r="A347">
            <v>0</v>
          </cell>
          <cell r="B347" t="str">
            <v>ALL VRTS</v>
          </cell>
          <cell r="C347" t="str">
            <v>X</v>
          </cell>
          <cell r="D347">
            <v>28</v>
          </cell>
          <cell r="I347" t="str">
            <v>H19</v>
          </cell>
          <cell r="L347" t="str">
            <v>V21</v>
          </cell>
          <cell r="N347">
            <v>0</v>
          </cell>
          <cell r="O347">
            <v>-1</v>
          </cell>
          <cell r="P347">
            <v>0</v>
          </cell>
          <cell r="Q347">
            <v>2004</v>
          </cell>
          <cell r="R347" t="str">
            <v>DEARBORN PLANT BUILD</v>
          </cell>
          <cell r="S347" t="str">
            <v>P221/P397</v>
          </cell>
          <cell r="T347" t="str">
            <v>Brakes ABS Light On</v>
          </cell>
          <cell r="U347" t="str">
            <v>BRAKE ANTI - LOCK SENSOR - REPLACED</v>
          </cell>
          <cell r="V347" t="str">
            <v>ALL</v>
          </cell>
          <cell r="W347">
            <v>7</v>
          </cell>
          <cell r="AC347">
            <v>3</v>
          </cell>
          <cell r="AD347">
            <v>3</v>
          </cell>
          <cell r="AE347">
            <v>1</v>
          </cell>
        </row>
        <row r="348">
          <cell r="A348">
            <v>0</v>
          </cell>
          <cell r="B348" t="str">
            <v>ALL VRTS</v>
          </cell>
          <cell r="C348" t="str">
            <v>X</v>
          </cell>
          <cell r="D348">
            <v>28</v>
          </cell>
          <cell r="E348" t="str">
            <v>6410</v>
          </cell>
          <cell r="G348" t="str">
            <v>C2E15FL</v>
          </cell>
          <cell r="I348" t="str">
            <v>H19</v>
          </cell>
          <cell r="J348" t="str">
            <v>H20</v>
          </cell>
          <cell r="L348" t="str">
            <v>V21</v>
          </cell>
          <cell r="N348">
            <v>0</v>
          </cell>
          <cell r="O348">
            <v>-1</v>
          </cell>
          <cell r="P348">
            <v>0</v>
          </cell>
          <cell r="Q348">
            <v>2004</v>
          </cell>
          <cell r="R348" t="str">
            <v>DEARBORN PLANT BUILD</v>
          </cell>
          <cell r="S348" t="str">
            <v>P221/P397</v>
          </cell>
          <cell r="T348" t="str">
            <v>Brakes ABS Light On</v>
          </cell>
          <cell r="U348" t="str">
            <v>ABS AIR BRAKE VALVE-DEFECTIVE</v>
          </cell>
          <cell r="V348" t="str">
            <v>ALL</v>
          </cell>
          <cell r="W348">
            <v>3</v>
          </cell>
          <cell r="AD348">
            <v>1</v>
          </cell>
          <cell r="AE348">
            <v>2</v>
          </cell>
        </row>
        <row r="349">
          <cell r="A349">
            <v>0</v>
          </cell>
          <cell r="B349" t="str">
            <v>ALL VRTS</v>
          </cell>
          <cell r="C349" t="str">
            <v>X</v>
          </cell>
          <cell r="D349">
            <v>28</v>
          </cell>
          <cell r="I349" t="str">
            <v>E35</v>
          </cell>
          <cell r="J349" t="str">
            <v>H19</v>
          </cell>
          <cell r="L349" t="str">
            <v>V21</v>
          </cell>
          <cell r="N349">
            <v>0</v>
          </cell>
          <cell r="O349">
            <v>-1</v>
          </cell>
          <cell r="P349">
            <v>0</v>
          </cell>
          <cell r="Q349">
            <v>2004</v>
          </cell>
          <cell r="R349" t="str">
            <v>DEARBORN PLANT BUILD</v>
          </cell>
          <cell r="S349" t="str">
            <v>P221/P397</v>
          </cell>
          <cell r="T349" t="str">
            <v>Brakes ABS Light On</v>
          </cell>
          <cell r="U349" t="str">
            <v>HCU REPLACED</v>
          </cell>
          <cell r="V349" t="str">
            <v>ALL</v>
          </cell>
          <cell r="W349">
            <v>2</v>
          </cell>
          <cell r="AA349">
            <v>1</v>
          </cell>
          <cell r="AD349">
            <v>1</v>
          </cell>
        </row>
        <row r="350">
          <cell r="A350">
            <v>0</v>
          </cell>
          <cell r="B350" t="str">
            <v>ALL VRTS</v>
          </cell>
          <cell r="C350" t="str">
            <v>X</v>
          </cell>
          <cell r="D350">
            <v>28</v>
          </cell>
          <cell r="E350" t="str">
            <v>6480</v>
          </cell>
          <cell r="G350" t="str">
            <v>C4W02R</v>
          </cell>
          <cell r="H350" t="str">
            <v>IC4E01L</v>
          </cell>
          <cell r="I350" t="str">
            <v>H19</v>
          </cell>
          <cell r="L350" t="str">
            <v>V21</v>
          </cell>
          <cell r="N350">
            <v>0</v>
          </cell>
          <cell r="O350">
            <v>0</v>
          </cell>
          <cell r="P350">
            <v>-1</v>
          </cell>
          <cell r="Q350">
            <v>2004</v>
          </cell>
          <cell r="R350" t="str">
            <v>DEARBORN PLANT BUILD</v>
          </cell>
          <cell r="S350" t="str">
            <v>P221/P397</v>
          </cell>
          <cell r="T350" t="str">
            <v>Brakes ABS Light On</v>
          </cell>
          <cell r="U350" t="str">
            <v>WHEEL SPEED SENSOR NOT CONNECTED - CONNECTED</v>
          </cell>
          <cell r="V350" t="str">
            <v>ALL</v>
          </cell>
          <cell r="W350">
            <v>2</v>
          </cell>
          <cell r="AD350">
            <v>1</v>
          </cell>
          <cell r="AE350">
            <v>1</v>
          </cell>
        </row>
        <row r="351">
          <cell r="A351">
            <v>0</v>
          </cell>
          <cell r="B351" t="str">
            <v>ALL VRTS</v>
          </cell>
          <cell r="C351" t="str">
            <v>X</v>
          </cell>
          <cell r="D351">
            <v>28</v>
          </cell>
          <cell r="E351" t="str">
            <v>6450</v>
          </cell>
          <cell r="G351" t="str">
            <v>C2E47F</v>
          </cell>
          <cell r="I351" t="str">
            <v>H19</v>
          </cell>
          <cell r="L351" t="str">
            <v>V21</v>
          </cell>
          <cell r="N351">
            <v>0</v>
          </cell>
          <cell r="O351">
            <v>0</v>
          </cell>
          <cell r="P351">
            <v>-1</v>
          </cell>
          <cell r="Q351">
            <v>2004</v>
          </cell>
          <cell r="R351" t="str">
            <v>DEARBORN PLANT BUILD</v>
          </cell>
          <cell r="S351" t="str">
            <v>P221/P397</v>
          </cell>
          <cell r="T351" t="str">
            <v>Brakes ABS Light On</v>
          </cell>
          <cell r="U351" t="str">
            <v>AIR IN CALIPER- BLEED SYSTEM</v>
          </cell>
          <cell r="V351" t="str">
            <v>ALL</v>
          </cell>
          <cell r="W351">
            <v>1</v>
          </cell>
          <cell r="AE351">
            <v>1</v>
          </cell>
        </row>
        <row r="352">
          <cell r="A352">
            <v>0</v>
          </cell>
          <cell r="B352" t="str">
            <v>ALL VRTS</v>
          </cell>
          <cell r="C352" t="str">
            <v>X</v>
          </cell>
          <cell r="D352">
            <v>28</v>
          </cell>
          <cell r="I352" t="str">
            <v>H19</v>
          </cell>
          <cell r="L352" t="str">
            <v>V21</v>
          </cell>
          <cell r="N352">
            <v>0</v>
          </cell>
          <cell r="O352">
            <v>-1</v>
          </cell>
          <cell r="P352">
            <v>0</v>
          </cell>
          <cell r="Q352">
            <v>2004</v>
          </cell>
          <cell r="R352" t="str">
            <v>DEARBORN PLANT BUILD</v>
          </cell>
          <cell r="S352" t="str">
            <v>P221/P397</v>
          </cell>
          <cell r="T352" t="str">
            <v>Brakes ABS Light On</v>
          </cell>
          <cell r="U352" t="str">
            <v>CALIPER-REPLACED</v>
          </cell>
          <cell r="V352" t="str">
            <v>ALL</v>
          </cell>
          <cell r="W352">
            <v>1</v>
          </cell>
          <cell r="AD352">
            <v>1</v>
          </cell>
        </row>
        <row r="353">
          <cell r="A353">
            <v>0</v>
          </cell>
          <cell r="B353" t="str">
            <v>ALL VRTS</v>
          </cell>
          <cell r="C353" t="str">
            <v>X</v>
          </cell>
          <cell r="D353">
            <v>28</v>
          </cell>
          <cell r="E353" t="str">
            <v>6480</v>
          </cell>
          <cell r="G353" t="str">
            <v>IC4E01L</v>
          </cell>
          <cell r="I353" t="str">
            <v>H19</v>
          </cell>
          <cell r="L353" t="str">
            <v>V21</v>
          </cell>
          <cell r="N353">
            <v>0</v>
          </cell>
          <cell r="O353">
            <v>0</v>
          </cell>
          <cell r="P353">
            <v>-1</v>
          </cell>
          <cell r="Q353">
            <v>2004</v>
          </cell>
          <cell r="R353" t="str">
            <v>DEARBORN PLANT BUILD</v>
          </cell>
          <cell r="S353" t="str">
            <v>P221/P397</v>
          </cell>
          <cell r="T353" t="str">
            <v>Brakes ABS Light On</v>
          </cell>
          <cell r="U353" t="str">
            <v>MASTERCYLINDER PLUG NOT CONNECTED - CONNECTED</v>
          </cell>
          <cell r="V353" t="str">
            <v>ALL</v>
          </cell>
          <cell r="W353">
            <v>1</v>
          </cell>
          <cell r="AC353">
            <v>1</v>
          </cell>
        </row>
        <row r="354">
          <cell r="A354">
            <v>0</v>
          </cell>
          <cell r="B354" t="str">
            <v>ALL VRTS</v>
          </cell>
          <cell r="C354" t="str">
            <v>X</v>
          </cell>
          <cell r="D354">
            <v>28</v>
          </cell>
          <cell r="I354" t="str">
            <v>H19</v>
          </cell>
          <cell r="L354" t="str">
            <v>V21</v>
          </cell>
          <cell r="N354">
            <v>-1</v>
          </cell>
          <cell r="O354">
            <v>-1</v>
          </cell>
          <cell r="P354">
            <v>0</v>
          </cell>
          <cell r="Q354">
            <v>2004</v>
          </cell>
          <cell r="R354" t="str">
            <v>DEARBORN PLANT BUILD</v>
          </cell>
          <cell r="S354" t="str">
            <v>P221/P397</v>
          </cell>
          <cell r="T354" t="str">
            <v>Brakes ABS Light On</v>
          </cell>
          <cell r="U354" t="str">
            <v>npf</v>
          </cell>
          <cell r="V354" t="str">
            <v>ALL</v>
          </cell>
          <cell r="W354">
            <v>1</v>
          </cell>
          <cell r="AE354">
            <v>1</v>
          </cell>
        </row>
        <row r="355">
          <cell r="A355">
            <v>0</v>
          </cell>
          <cell r="B355" t="str">
            <v>ALL VRTS</v>
          </cell>
          <cell r="C355" t="str">
            <v>X</v>
          </cell>
          <cell r="D355">
            <v>28</v>
          </cell>
          <cell r="I355" t="str">
            <v>H19</v>
          </cell>
          <cell r="L355" t="str">
            <v>V21</v>
          </cell>
          <cell r="N355">
            <v>-1</v>
          </cell>
          <cell r="O355">
            <v>-1</v>
          </cell>
          <cell r="P355">
            <v>0</v>
          </cell>
          <cell r="Q355">
            <v>2004</v>
          </cell>
          <cell r="R355" t="str">
            <v>DEARBORN PLANT BUILD</v>
          </cell>
          <cell r="S355" t="str">
            <v>P221/P397</v>
          </cell>
          <cell r="T355" t="str">
            <v>Brakes ABS Light On</v>
          </cell>
          <cell r="U355" t="str">
            <v>PURGED BRAKE RESEVOUR-REFILL</v>
          </cell>
          <cell r="V355" t="str">
            <v>ALL</v>
          </cell>
          <cell r="W355">
            <v>1</v>
          </cell>
          <cell r="AE355">
            <v>1</v>
          </cell>
        </row>
        <row r="356">
          <cell r="A356">
            <v>0</v>
          </cell>
          <cell r="B356" t="str">
            <v>ALL VRTS</v>
          </cell>
          <cell r="D356">
            <v>28</v>
          </cell>
          <cell r="I356" t="str">
            <v>L26</v>
          </cell>
          <cell r="J356" t="str">
            <v>L29</v>
          </cell>
          <cell r="L356" t="str">
            <v>V77</v>
          </cell>
          <cell r="N356">
            <v>0</v>
          </cell>
          <cell r="O356">
            <v>-1</v>
          </cell>
          <cell r="P356">
            <v>0</v>
          </cell>
          <cell r="Q356">
            <v>2004</v>
          </cell>
          <cell r="R356" t="str">
            <v>DEARBORN PLANT BUILD</v>
          </cell>
          <cell r="S356" t="str">
            <v>P221/P397</v>
          </cell>
          <cell r="T356" t="str">
            <v>Headlamps INOP</v>
          </cell>
          <cell r="U356" t="str">
            <v>Replace bulb</v>
          </cell>
          <cell r="V356" t="str">
            <v>ALL</v>
          </cell>
          <cell r="W356">
            <v>7</v>
          </cell>
          <cell r="AC356">
            <v>2</v>
          </cell>
          <cell r="AD356">
            <v>4</v>
          </cell>
          <cell r="AE356">
            <v>1</v>
          </cell>
        </row>
        <row r="357">
          <cell r="A357">
            <v>0</v>
          </cell>
          <cell r="B357" t="str">
            <v>ALL VRTS</v>
          </cell>
          <cell r="D357">
            <v>28</v>
          </cell>
          <cell r="I357" t="str">
            <v>L26</v>
          </cell>
          <cell r="J357" t="str">
            <v>L29</v>
          </cell>
          <cell r="L357" t="str">
            <v>V77</v>
          </cell>
          <cell r="N357">
            <v>0</v>
          </cell>
          <cell r="O357">
            <v>-1</v>
          </cell>
          <cell r="P357">
            <v>0</v>
          </cell>
          <cell r="Q357">
            <v>2004</v>
          </cell>
          <cell r="R357" t="str">
            <v>DEARBORN PLANT BUILD</v>
          </cell>
          <cell r="S357" t="str">
            <v>P221/P397</v>
          </cell>
          <cell r="T357" t="str">
            <v>Headlamps INOP</v>
          </cell>
          <cell r="U357" t="str">
            <v>Replaced Bulb.</v>
          </cell>
          <cell r="V357" t="str">
            <v>ALL</v>
          </cell>
          <cell r="W357">
            <v>3</v>
          </cell>
          <cell r="AB357">
            <v>1</v>
          </cell>
          <cell r="AD357">
            <v>2</v>
          </cell>
        </row>
        <row r="358">
          <cell r="A358">
            <v>0</v>
          </cell>
          <cell r="B358" t="str">
            <v>ALL VRTS</v>
          </cell>
          <cell r="D358">
            <v>28</v>
          </cell>
          <cell r="I358" t="str">
            <v>L26</v>
          </cell>
          <cell r="J358" t="str">
            <v>L29</v>
          </cell>
          <cell r="L358" t="str">
            <v>V77</v>
          </cell>
          <cell r="N358">
            <v>0</v>
          </cell>
          <cell r="O358">
            <v>-1</v>
          </cell>
          <cell r="P358">
            <v>-1</v>
          </cell>
          <cell r="Q358">
            <v>2004</v>
          </cell>
          <cell r="R358" t="str">
            <v>DEARBORN PLANT BUILD</v>
          </cell>
          <cell r="S358" t="str">
            <v>P221/P397</v>
          </cell>
          <cell r="T358" t="str">
            <v>Headlamps INOP</v>
          </cell>
          <cell r="U358" t="str">
            <v>Fuse blown</v>
          </cell>
          <cell r="V358" t="str">
            <v>ALL</v>
          </cell>
          <cell r="W358">
            <v>2</v>
          </cell>
          <cell r="AD358">
            <v>2</v>
          </cell>
        </row>
        <row r="359">
          <cell r="A359">
            <v>0</v>
          </cell>
          <cell r="B359" t="str">
            <v>ALL VRTS</v>
          </cell>
          <cell r="D359">
            <v>28</v>
          </cell>
          <cell r="I359" t="str">
            <v>L22</v>
          </cell>
          <cell r="J359" t="str">
            <v>L29</v>
          </cell>
          <cell r="L359" t="str">
            <v>V77</v>
          </cell>
          <cell r="N359">
            <v>0</v>
          </cell>
          <cell r="O359">
            <v>0</v>
          </cell>
          <cell r="P359">
            <v>-1</v>
          </cell>
          <cell r="Q359">
            <v>2004</v>
          </cell>
          <cell r="R359" t="str">
            <v>DEARBORN PLANT BUILD</v>
          </cell>
          <cell r="S359" t="str">
            <v>P221/P397</v>
          </cell>
          <cell r="T359" t="str">
            <v>Headlamps INOP</v>
          </cell>
          <cell r="U359" t="str">
            <v>Misalignment</v>
          </cell>
          <cell r="V359" t="str">
            <v>ALL</v>
          </cell>
          <cell r="W359">
            <v>2</v>
          </cell>
          <cell r="AD359">
            <v>1</v>
          </cell>
          <cell r="AE359">
            <v>1</v>
          </cell>
        </row>
        <row r="360">
          <cell r="A360">
            <v>0</v>
          </cell>
          <cell r="B360" t="str">
            <v>ALL VRTS</v>
          </cell>
          <cell r="D360">
            <v>28</v>
          </cell>
          <cell r="I360" t="str">
            <v>L29</v>
          </cell>
          <cell r="J360" t="str">
            <v>L26</v>
          </cell>
          <cell r="L360" t="str">
            <v>V77</v>
          </cell>
          <cell r="N360">
            <v>0</v>
          </cell>
          <cell r="O360">
            <v>-1</v>
          </cell>
          <cell r="P360">
            <v>0</v>
          </cell>
          <cell r="Q360">
            <v>2004</v>
          </cell>
          <cell r="R360" t="str">
            <v>DEARBORN PLANT BUILD</v>
          </cell>
          <cell r="S360" t="str">
            <v>P221/P397</v>
          </cell>
          <cell r="T360" t="str">
            <v>Headlamps INOP</v>
          </cell>
          <cell r="U360" t="str">
            <v>Replaced Headlamp Swith.</v>
          </cell>
          <cell r="V360" t="str">
            <v>ALL</v>
          </cell>
          <cell r="W360">
            <v>2</v>
          </cell>
          <cell r="AC360">
            <v>1</v>
          </cell>
          <cell r="AE360">
            <v>1</v>
          </cell>
        </row>
        <row r="361">
          <cell r="A361">
            <v>0</v>
          </cell>
          <cell r="B361" t="str">
            <v>ALL VRTS</v>
          </cell>
          <cell r="D361">
            <v>28</v>
          </cell>
          <cell r="I361" t="str">
            <v>L26</v>
          </cell>
          <cell r="L361" t="str">
            <v>V77</v>
          </cell>
          <cell r="N361">
            <v>0</v>
          </cell>
          <cell r="O361">
            <v>0</v>
          </cell>
          <cell r="P361">
            <v>-1</v>
          </cell>
          <cell r="Q361">
            <v>2004</v>
          </cell>
          <cell r="R361" t="str">
            <v>DEARBORN PLANT BUILD</v>
          </cell>
          <cell r="S361" t="str">
            <v>P221/P397</v>
          </cell>
          <cell r="T361" t="str">
            <v>Headlamps INOP</v>
          </cell>
          <cell r="U361" t="str">
            <v>Connector #270 Loose</v>
          </cell>
          <cell r="V361" t="str">
            <v>ALL</v>
          </cell>
          <cell r="W361">
            <v>1</v>
          </cell>
          <cell r="AD361">
            <v>1</v>
          </cell>
        </row>
        <row r="362">
          <cell r="A362">
            <v>0</v>
          </cell>
          <cell r="B362" t="str">
            <v>ALL VRTS</v>
          </cell>
          <cell r="D362">
            <v>28</v>
          </cell>
          <cell r="I362" t="str">
            <v>L25</v>
          </cell>
          <cell r="L362" t="str">
            <v>V77</v>
          </cell>
          <cell r="N362">
            <v>0</v>
          </cell>
          <cell r="O362">
            <v>0</v>
          </cell>
          <cell r="P362">
            <v>-1</v>
          </cell>
          <cell r="Q362">
            <v>2004</v>
          </cell>
          <cell r="R362" t="str">
            <v>DEARBORN PLANT BUILD</v>
          </cell>
          <cell r="S362" t="str">
            <v>P221/P397</v>
          </cell>
          <cell r="T362" t="str">
            <v>Headlamps INOP</v>
          </cell>
          <cell r="U362" t="str">
            <v>Connector #270 Pin Lock Broken.</v>
          </cell>
          <cell r="V362" t="str">
            <v>ALL</v>
          </cell>
          <cell r="W362">
            <v>1</v>
          </cell>
          <cell r="AA362">
            <v>1</v>
          </cell>
        </row>
        <row r="363">
          <cell r="A363">
            <v>0</v>
          </cell>
          <cell r="B363" t="str">
            <v>ALL VRTS</v>
          </cell>
          <cell r="D363">
            <v>28</v>
          </cell>
          <cell r="I363" t="str">
            <v>L29</v>
          </cell>
          <cell r="L363" t="str">
            <v>V77</v>
          </cell>
          <cell r="N363">
            <v>0</v>
          </cell>
          <cell r="O363">
            <v>-1</v>
          </cell>
          <cell r="P363">
            <v>0</v>
          </cell>
          <cell r="Q363">
            <v>2004</v>
          </cell>
          <cell r="R363" t="str">
            <v>DEARBORN PLANT BUILD</v>
          </cell>
          <cell r="S363" t="str">
            <v>P221/P397</v>
          </cell>
          <cell r="T363" t="str">
            <v>Headlamps INOP</v>
          </cell>
          <cell r="U363" t="str">
            <v>Found sealer missing at top corner missing.</v>
          </cell>
          <cell r="V363" t="str">
            <v>ALL</v>
          </cell>
          <cell r="W363">
            <v>1</v>
          </cell>
          <cell r="Z363">
            <v>1</v>
          </cell>
        </row>
        <row r="364">
          <cell r="A364">
            <v>0</v>
          </cell>
          <cell r="B364" t="str">
            <v>ALL VRTS</v>
          </cell>
          <cell r="D364">
            <v>28</v>
          </cell>
          <cell r="I364" t="str">
            <v>L29</v>
          </cell>
          <cell r="L364" t="str">
            <v>V77</v>
          </cell>
          <cell r="N364">
            <v>0</v>
          </cell>
          <cell r="O364">
            <v>-1</v>
          </cell>
          <cell r="P364">
            <v>0</v>
          </cell>
          <cell r="Q364">
            <v>2004</v>
          </cell>
          <cell r="R364" t="str">
            <v>DEARBORN PLANT BUILD</v>
          </cell>
          <cell r="S364" t="str">
            <v>P221/P397</v>
          </cell>
          <cell r="T364" t="str">
            <v>Headlamps INOP</v>
          </cell>
          <cell r="U364" t="str">
            <v>Headlamp replaced</v>
          </cell>
          <cell r="V364" t="str">
            <v>ALL</v>
          </cell>
          <cell r="W364">
            <v>1</v>
          </cell>
          <cell r="AC364">
            <v>1</v>
          </cell>
        </row>
        <row r="365">
          <cell r="A365">
            <v>0</v>
          </cell>
          <cell r="B365" t="str">
            <v>ALL VRTS</v>
          </cell>
          <cell r="D365">
            <v>28</v>
          </cell>
          <cell r="I365" t="str">
            <v>L29</v>
          </cell>
          <cell r="L365" t="str">
            <v>V77</v>
          </cell>
          <cell r="N365">
            <v>0</v>
          </cell>
          <cell r="O365">
            <v>-1</v>
          </cell>
          <cell r="P365">
            <v>0</v>
          </cell>
          <cell r="Q365">
            <v>2004</v>
          </cell>
          <cell r="R365" t="str">
            <v>DEARBORN PLANT BUILD</v>
          </cell>
          <cell r="S365" t="str">
            <v>P221/P397</v>
          </cell>
          <cell r="T365" t="str">
            <v>Headlamps INOP</v>
          </cell>
          <cell r="U365" t="str">
            <v>Headlamps replaced</v>
          </cell>
          <cell r="V365" t="str">
            <v>ALL</v>
          </cell>
          <cell r="W365">
            <v>1</v>
          </cell>
          <cell r="AB365">
            <v>1</v>
          </cell>
        </row>
        <row r="366">
          <cell r="A366">
            <v>0</v>
          </cell>
          <cell r="B366" t="str">
            <v>ALL VRTS</v>
          </cell>
          <cell r="D366">
            <v>28</v>
          </cell>
          <cell r="I366" t="str">
            <v>L25</v>
          </cell>
          <cell r="L366" t="str">
            <v>V77</v>
          </cell>
          <cell r="N366">
            <v>0</v>
          </cell>
          <cell r="O366">
            <v>-1</v>
          </cell>
          <cell r="P366">
            <v>0</v>
          </cell>
          <cell r="Q366">
            <v>2004</v>
          </cell>
          <cell r="R366" t="str">
            <v>DEARBORN PLANT BUILD</v>
          </cell>
          <cell r="S366" t="str">
            <v>P221/P397</v>
          </cell>
          <cell r="T366" t="str">
            <v>Headlamps INOP</v>
          </cell>
          <cell r="U366" t="str">
            <v>Loose connection at switch.</v>
          </cell>
          <cell r="V366" t="str">
            <v>ALL</v>
          </cell>
          <cell r="W366">
            <v>1</v>
          </cell>
          <cell r="Z366">
            <v>1</v>
          </cell>
        </row>
        <row r="367">
          <cell r="A367">
            <v>0</v>
          </cell>
          <cell r="B367" t="str">
            <v>ALL VRTS</v>
          </cell>
          <cell r="D367">
            <v>28</v>
          </cell>
          <cell r="I367" t="str">
            <v>L22</v>
          </cell>
          <cell r="L367" t="str">
            <v>V77</v>
          </cell>
          <cell r="N367">
            <v>0</v>
          </cell>
          <cell r="O367">
            <v>-1</v>
          </cell>
          <cell r="P367">
            <v>0</v>
          </cell>
          <cell r="Q367">
            <v>2004</v>
          </cell>
          <cell r="R367" t="str">
            <v>DEARBORN PLANT BUILD</v>
          </cell>
          <cell r="S367" t="str">
            <v>P221/P397</v>
          </cell>
          <cell r="T367" t="str">
            <v>Headlamps INOP</v>
          </cell>
          <cell r="U367" t="str">
            <v>N/C C263  401/320</v>
          </cell>
          <cell r="V367" t="str">
            <v>ALL</v>
          </cell>
          <cell r="W367">
            <v>1</v>
          </cell>
          <cell r="AC367">
            <v>1</v>
          </cell>
        </row>
        <row r="368">
          <cell r="A368">
            <v>0</v>
          </cell>
          <cell r="B368" t="str">
            <v>ALL VRTS</v>
          </cell>
          <cell r="D368">
            <v>28</v>
          </cell>
          <cell r="I368" t="str">
            <v>L25</v>
          </cell>
          <cell r="L368" t="str">
            <v>V77</v>
          </cell>
          <cell r="N368">
            <v>0</v>
          </cell>
          <cell r="O368">
            <v>-1</v>
          </cell>
          <cell r="P368">
            <v>0</v>
          </cell>
          <cell r="Q368">
            <v>2004</v>
          </cell>
          <cell r="R368" t="str">
            <v>DEARBORN PLANT BUILD</v>
          </cell>
          <cell r="S368" t="str">
            <v>P221/P397</v>
          </cell>
          <cell r="T368" t="str">
            <v>Headlamps INOP</v>
          </cell>
          <cell r="U368" t="str">
            <v>Repaired circult 13 Red &amp; Black in 14401.</v>
          </cell>
          <cell r="V368" t="str">
            <v>ALL</v>
          </cell>
          <cell r="W368">
            <v>1</v>
          </cell>
          <cell r="Y368">
            <v>1</v>
          </cell>
        </row>
        <row r="369">
          <cell r="A369">
            <v>0</v>
          </cell>
          <cell r="B369" t="str">
            <v>ALL VRTS</v>
          </cell>
          <cell r="D369">
            <v>28</v>
          </cell>
          <cell r="I369" t="str">
            <v>L26</v>
          </cell>
          <cell r="L369" t="str">
            <v>V77</v>
          </cell>
          <cell r="N369">
            <v>0</v>
          </cell>
          <cell r="O369">
            <v>-1</v>
          </cell>
          <cell r="P369">
            <v>0</v>
          </cell>
          <cell r="Q369">
            <v>2004</v>
          </cell>
          <cell r="R369" t="str">
            <v>DEARBORN PLANT BUILD</v>
          </cell>
          <cell r="S369" t="str">
            <v>P221/P397</v>
          </cell>
          <cell r="T369" t="str">
            <v>Headlamps INOP</v>
          </cell>
          <cell r="U369" t="str">
            <v>Repaired connector 205a</v>
          </cell>
          <cell r="V369" t="str">
            <v>ALL</v>
          </cell>
          <cell r="W369">
            <v>1</v>
          </cell>
          <cell r="AD369">
            <v>1</v>
          </cell>
        </row>
        <row r="370">
          <cell r="A370">
            <v>0</v>
          </cell>
          <cell r="B370" t="str">
            <v>ALL VRTS</v>
          </cell>
          <cell r="D370">
            <v>28</v>
          </cell>
          <cell r="I370" t="str">
            <v>L26</v>
          </cell>
          <cell r="L370" t="str">
            <v>V77</v>
          </cell>
          <cell r="N370">
            <v>0</v>
          </cell>
          <cell r="O370">
            <v>-1</v>
          </cell>
          <cell r="P370">
            <v>0</v>
          </cell>
          <cell r="Q370">
            <v>2004</v>
          </cell>
          <cell r="R370" t="str">
            <v>DEARBORN PLANT BUILD</v>
          </cell>
          <cell r="S370" t="str">
            <v>P221/P397</v>
          </cell>
          <cell r="T370" t="str">
            <v>Headlamps INOP</v>
          </cell>
          <cell r="U370" t="str">
            <v>Replaced PDJB.</v>
          </cell>
          <cell r="V370" t="str">
            <v>ALL</v>
          </cell>
          <cell r="W370">
            <v>1</v>
          </cell>
          <cell r="AA370">
            <v>1</v>
          </cell>
        </row>
        <row r="371">
          <cell r="A371">
            <v>0</v>
          </cell>
          <cell r="B371" t="str">
            <v>ALL VRTS</v>
          </cell>
          <cell r="D371">
            <v>28</v>
          </cell>
          <cell r="I371" t="str">
            <v>L26</v>
          </cell>
          <cell r="L371" t="str">
            <v>V77</v>
          </cell>
          <cell r="N371">
            <v>0</v>
          </cell>
          <cell r="O371">
            <v>-1</v>
          </cell>
          <cell r="P371">
            <v>0</v>
          </cell>
          <cell r="Q371">
            <v>2004</v>
          </cell>
          <cell r="R371" t="str">
            <v>DEARBORN PLANT BUILD</v>
          </cell>
          <cell r="S371" t="str">
            <v>P221/P397</v>
          </cell>
          <cell r="T371" t="str">
            <v>Headlamps INOP</v>
          </cell>
          <cell r="U371" t="str">
            <v>Wire Connections at fuse panel repaired</v>
          </cell>
          <cell r="V371" t="str">
            <v>ALL</v>
          </cell>
          <cell r="W371">
            <v>1</v>
          </cell>
          <cell r="Z371">
            <v>1</v>
          </cell>
        </row>
        <row r="372">
          <cell r="A372">
            <v>0</v>
          </cell>
          <cell r="B372" t="str">
            <v>ALL VRTS</v>
          </cell>
          <cell r="D372">
            <v>28</v>
          </cell>
          <cell r="I372" t="str">
            <v>L26</v>
          </cell>
          <cell r="L372" t="str">
            <v>V77</v>
          </cell>
          <cell r="N372">
            <v>-1</v>
          </cell>
          <cell r="O372">
            <v>0</v>
          </cell>
          <cell r="P372">
            <v>-1</v>
          </cell>
          <cell r="Q372">
            <v>2004</v>
          </cell>
          <cell r="R372" t="str">
            <v>DEARBORN PLANT BUILD</v>
          </cell>
          <cell r="S372" t="str">
            <v>P221/P397</v>
          </cell>
          <cell r="T372" t="str">
            <v>Headlamps INOP</v>
          </cell>
          <cell r="U372" t="str">
            <v>Wire trapped behind park brake</v>
          </cell>
          <cell r="V372" t="str">
            <v>ALL</v>
          </cell>
          <cell r="W372">
            <v>1</v>
          </cell>
          <cell r="X372">
            <v>1</v>
          </cell>
        </row>
        <row r="373">
          <cell r="A373">
            <v>0</v>
          </cell>
          <cell r="B373" t="str">
            <v>ALL VRTS</v>
          </cell>
          <cell r="D373">
            <v>28</v>
          </cell>
          <cell r="I373" t="str">
            <v>F99</v>
          </cell>
          <cell r="L373" t="str">
            <v>V99</v>
          </cell>
          <cell r="N373">
            <v>0</v>
          </cell>
          <cell r="O373">
            <v>0</v>
          </cell>
          <cell r="P373">
            <v>-1</v>
          </cell>
          <cell r="Q373">
            <v>2004</v>
          </cell>
          <cell r="R373" t="str">
            <v>DEARBORN PLANT BUILD</v>
          </cell>
          <cell r="S373" t="str">
            <v>P221/P397</v>
          </cell>
          <cell r="T373" t="str">
            <v>Washer Bottle fluid insufficient</v>
          </cell>
          <cell r="U373" t="str">
            <v>Washer fluid added</v>
          </cell>
          <cell r="V373" t="str">
            <v>ALL</v>
          </cell>
          <cell r="W373">
            <v>28</v>
          </cell>
          <cell r="Z373">
            <v>1</v>
          </cell>
          <cell r="AB373">
            <v>6</v>
          </cell>
          <cell r="AC373">
            <v>2</v>
          </cell>
          <cell r="AD373">
            <v>5</v>
          </cell>
          <cell r="AE373">
            <v>14</v>
          </cell>
        </row>
        <row r="374">
          <cell r="A374">
            <v>0</v>
          </cell>
          <cell r="B374" t="str">
            <v>ALL VRTS</v>
          </cell>
          <cell r="C374" t="str">
            <v>X</v>
          </cell>
          <cell r="D374">
            <v>25</v>
          </cell>
          <cell r="E374" t="str">
            <v>6440</v>
          </cell>
          <cell r="G374" t="str">
            <v>C2E45F</v>
          </cell>
          <cell r="I374" t="str">
            <v>H15</v>
          </cell>
          <cell r="J374" t="str">
            <v>H20</v>
          </cell>
          <cell r="K374" t="str">
            <v>H19</v>
          </cell>
          <cell r="L374" t="str">
            <v>V21</v>
          </cell>
          <cell r="N374">
            <v>-1</v>
          </cell>
          <cell r="O374">
            <v>-1</v>
          </cell>
          <cell r="P374">
            <v>0</v>
          </cell>
          <cell r="Q374">
            <v>2004</v>
          </cell>
          <cell r="R374" t="str">
            <v>DEARBORN PLANT BUILD</v>
          </cell>
          <cell r="S374" t="str">
            <v>P221/P397</v>
          </cell>
          <cell r="T374" t="str">
            <v>BRAKES, SOFT PEDAL</v>
          </cell>
          <cell r="U374" t="str">
            <v>npf</v>
          </cell>
          <cell r="V374" t="str">
            <v>ALL</v>
          </cell>
          <cell r="W374">
            <v>6</v>
          </cell>
          <cell r="Z374">
            <v>1</v>
          </cell>
          <cell r="AB374">
            <v>1</v>
          </cell>
          <cell r="AD374">
            <v>3</v>
          </cell>
          <cell r="AE374">
            <v>1</v>
          </cell>
        </row>
        <row r="375">
          <cell r="A375">
            <v>0</v>
          </cell>
          <cell r="B375" t="str">
            <v>ALL VRTS</v>
          </cell>
          <cell r="C375" t="str">
            <v>X</v>
          </cell>
          <cell r="D375">
            <v>25</v>
          </cell>
          <cell r="E375" t="str">
            <v>6410</v>
          </cell>
          <cell r="F375" t="str">
            <v>6440</v>
          </cell>
          <cell r="G375" t="str">
            <v>C2E45F</v>
          </cell>
          <cell r="H375" t="str">
            <v>C2E11F</v>
          </cell>
          <cell r="I375" t="str">
            <v>L63</v>
          </cell>
          <cell r="J375" t="str">
            <v>H05</v>
          </cell>
          <cell r="L375" t="str">
            <v>V21</v>
          </cell>
          <cell r="N375">
            <v>0</v>
          </cell>
          <cell r="O375">
            <v>-1</v>
          </cell>
          <cell r="P375">
            <v>0</v>
          </cell>
          <cell r="Q375">
            <v>2004</v>
          </cell>
          <cell r="R375" t="str">
            <v>DEARBORN PLANT BUILD</v>
          </cell>
          <cell r="S375" t="str">
            <v>P221/P397</v>
          </cell>
          <cell r="T375" t="str">
            <v>BRAKES, SOFT PEDAL</v>
          </cell>
          <cell r="U375" t="str">
            <v>BRAKE LINE REPLACED</v>
          </cell>
          <cell r="V375" t="str">
            <v>ALL</v>
          </cell>
          <cell r="W375">
            <v>5</v>
          </cell>
          <cell r="AB375">
            <v>2</v>
          </cell>
          <cell r="AD375">
            <v>1</v>
          </cell>
          <cell r="AE375">
            <v>2</v>
          </cell>
        </row>
        <row r="376">
          <cell r="A376">
            <v>0</v>
          </cell>
          <cell r="B376" t="str">
            <v>ALL VRTS</v>
          </cell>
          <cell r="C376" t="str">
            <v>X</v>
          </cell>
          <cell r="D376">
            <v>25</v>
          </cell>
          <cell r="I376" t="str">
            <v>H20</v>
          </cell>
          <cell r="J376" t="str">
            <v>H15</v>
          </cell>
          <cell r="L376" t="str">
            <v>V21</v>
          </cell>
          <cell r="N376">
            <v>0</v>
          </cell>
          <cell r="O376">
            <v>-1</v>
          </cell>
          <cell r="P376">
            <v>0</v>
          </cell>
          <cell r="Q376">
            <v>2004</v>
          </cell>
          <cell r="R376" t="str">
            <v>DEARBORN PLANT BUILD</v>
          </cell>
          <cell r="S376" t="str">
            <v>P221/P397</v>
          </cell>
          <cell r="T376" t="str">
            <v>BRAKES, SOFT PEDAL</v>
          </cell>
          <cell r="U376" t="str">
            <v>MASTER CYLINDER REPLACED</v>
          </cell>
          <cell r="V376" t="str">
            <v>ALL</v>
          </cell>
          <cell r="W376">
            <v>5</v>
          </cell>
          <cell r="AB376">
            <v>2</v>
          </cell>
          <cell r="AC376">
            <v>2</v>
          </cell>
          <cell r="AD376">
            <v>1</v>
          </cell>
        </row>
        <row r="377">
          <cell r="A377">
            <v>0</v>
          </cell>
          <cell r="B377" t="str">
            <v>ALL VRTS</v>
          </cell>
          <cell r="C377" t="str">
            <v>X</v>
          </cell>
          <cell r="D377">
            <v>25</v>
          </cell>
          <cell r="E377" t="str">
            <v>6450</v>
          </cell>
          <cell r="F377" t="str">
            <v>6440</v>
          </cell>
          <cell r="G377" t="str">
            <v>C2E47F</v>
          </cell>
          <cell r="H377" t="str">
            <v>C2E45F</v>
          </cell>
          <cell r="I377" t="str">
            <v>H15</v>
          </cell>
          <cell r="J377" t="str">
            <v>N17</v>
          </cell>
          <cell r="L377" t="str">
            <v>V21</v>
          </cell>
          <cell r="N377">
            <v>0</v>
          </cell>
          <cell r="O377">
            <v>0</v>
          </cell>
          <cell r="P377">
            <v>-1</v>
          </cell>
          <cell r="Q377">
            <v>2004</v>
          </cell>
          <cell r="R377" t="str">
            <v>DEARBORN PLANT BUILD</v>
          </cell>
          <cell r="S377" t="str">
            <v>P221/P397</v>
          </cell>
          <cell r="T377" t="str">
            <v>BRAKES, SOFT PEDAL</v>
          </cell>
          <cell r="U377" t="str">
            <v>AIR IN CALIPER- BLEED SYSTEM</v>
          </cell>
          <cell r="V377" t="str">
            <v>ALL</v>
          </cell>
          <cell r="W377">
            <v>4</v>
          </cell>
          <cell r="AD377">
            <v>3</v>
          </cell>
          <cell r="AE377">
            <v>1</v>
          </cell>
        </row>
        <row r="378">
          <cell r="A378">
            <v>0</v>
          </cell>
          <cell r="B378" t="str">
            <v>ALL VRTS</v>
          </cell>
          <cell r="C378" t="str">
            <v>X</v>
          </cell>
          <cell r="D378">
            <v>25</v>
          </cell>
          <cell r="I378" t="str">
            <v>H15</v>
          </cell>
          <cell r="J378" t="str">
            <v>H20</v>
          </cell>
          <cell r="L378" t="str">
            <v>V21</v>
          </cell>
          <cell r="N378">
            <v>0</v>
          </cell>
          <cell r="O378">
            <v>-1</v>
          </cell>
          <cell r="P378">
            <v>0</v>
          </cell>
          <cell r="Q378">
            <v>2004</v>
          </cell>
          <cell r="R378" t="str">
            <v>DEARBORN PLANT BUILD</v>
          </cell>
          <cell r="S378" t="str">
            <v>P221/P397</v>
          </cell>
          <cell r="T378" t="str">
            <v>BRAKES, SOFT PEDAL</v>
          </cell>
          <cell r="U378" t="str">
            <v>HCU REPLACED</v>
          </cell>
          <cell r="V378" t="str">
            <v>ALL</v>
          </cell>
          <cell r="W378">
            <v>2</v>
          </cell>
          <cell r="AC378">
            <v>1</v>
          </cell>
          <cell r="AD378">
            <v>1</v>
          </cell>
        </row>
        <row r="379">
          <cell r="A379">
            <v>0</v>
          </cell>
          <cell r="B379" t="str">
            <v>ALL VRTS</v>
          </cell>
          <cell r="C379" t="str">
            <v>X</v>
          </cell>
          <cell r="D379">
            <v>25</v>
          </cell>
          <cell r="E379" t="str">
            <v>6430</v>
          </cell>
          <cell r="G379" t="str">
            <v>C2E21F</v>
          </cell>
          <cell r="I379" t="str">
            <v>H15</v>
          </cell>
          <cell r="L379" t="str">
            <v>V21</v>
          </cell>
          <cell r="N379">
            <v>0</v>
          </cell>
          <cell r="O379">
            <v>0</v>
          </cell>
          <cell r="P379">
            <v>-1</v>
          </cell>
          <cell r="Q379">
            <v>2004</v>
          </cell>
          <cell r="R379" t="str">
            <v>DEARBORN PLANT BUILD</v>
          </cell>
          <cell r="S379" t="str">
            <v>P221/P397</v>
          </cell>
          <cell r="T379" t="str">
            <v>BRAKES, SOFT PEDAL</v>
          </cell>
          <cell r="U379" t="str">
            <v>BRAKE LINE LOOSE - TIGHTENED</v>
          </cell>
          <cell r="V379" t="str">
            <v>ALL</v>
          </cell>
          <cell r="W379">
            <v>1</v>
          </cell>
          <cell r="AE379">
            <v>1</v>
          </cell>
        </row>
        <row r="380">
          <cell r="A380">
            <v>0</v>
          </cell>
          <cell r="B380" t="str">
            <v>ALL VRTS</v>
          </cell>
          <cell r="C380" t="str">
            <v>X</v>
          </cell>
          <cell r="D380">
            <v>25</v>
          </cell>
          <cell r="E380" t="str">
            <v>6450</v>
          </cell>
          <cell r="G380" t="str">
            <v>C2E45F</v>
          </cell>
          <cell r="I380" t="str">
            <v>H20</v>
          </cell>
          <cell r="L380" t="str">
            <v>V21</v>
          </cell>
          <cell r="N380">
            <v>0</v>
          </cell>
          <cell r="O380">
            <v>0</v>
          </cell>
          <cell r="P380">
            <v>-1</v>
          </cell>
          <cell r="Q380">
            <v>2004</v>
          </cell>
          <cell r="R380" t="str">
            <v>DEARBORN PLANT BUILD</v>
          </cell>
          <cell r="S380" t="str">
            <v>P221/P397</v>
          </cell>
          <cell r="T380" t="str">
            <v>BRAKES, SOFT PEDAL</v>
          </cell>
          <cell r="U380" t="str">
            <v>BRAKE SYSTEM HAS AIR - BLEED CALIPERS AND REFILLED SYSTEM</v>
          </cell>
          <cell r="V380" t="str">
            <v>ALL</v>
          </cell>
          <cell r="W380">
            <v>1</v>
          </cell>
          <cell r="AB380">
            <v>1</v>
          </cell>
        </row>
        <row r="381">
          <cell r="A381">
            <v>0</v>
          </cell>
          <cell r="B381" t="str">
            <v>ALL VRTS</v>
          </cell>
          <cell r="C381" t="str">
            <v>X</v>
          </cell>
          <cell r="D381">
            <v>25</v>
          </cell>
          <cell r="I381" t="str">
            <v>N27</v>
          </cell>
          <cell r="L381" t="str">
            <v>V21</v>
          </cell>
          <cell r="N381">
            <v>0</v>
          </cell>
          <cell r="O381">
            <v>-1</v>
          </cell>
          <cell r="P381">
            <v>0</v>
          </cell>
          <cell r="Q381">
            <v>2004</v>
          </cell>
          <cell r="R381" t="str">
            <v>DEARBORN PLANT BUILD</v>
          </cell>
          <cell r="S381" t="str">
            <v>P221/P397</v>
          </cell>
          <cell r="T381" t="str">
            <v>BRAKES, SOFT PEDAL</v>
          </cell>
          <cell r="U381" t="str">
            <v>ROTORS  OUT OF ROUND - TURNED</v>
          </cell>
          <cell r="V381" t="str">
            <v>ALL</v>
          </cell>
          <cell r="W381">
            <v>1</v>
          </cell>
          <cell r="AE381">
            <v>1</v>
          </cell>
        </row>
        <row r="382">
          <cell r="A382">
            <v>0</v>
          </cell>
          <cell r="B382" t="str">
            <v>ALL VRTS</v>
          </cell>
          <cell r="D382">
            <v>25</v>
          </cell>
          <cell r="I382" t="str">
            <v>N11</v>
          </cell>
          <cell r="J382" t="str">
            <v>N12</v>
          </cell>
          <cell r="L382" t="str">
            <v>V49</v>
          </cell>
          <cell r="N382">
            <v>0</v>
          </cell>
          <cell r="O382">
            <v>-1</v>
          </cell>
          <cell r="P382">
            <v>0</v>
          </cell>
          <cell r="Q382">
            <v>2004</v>
          </cell>
          <cell r="R382" t="str">
            <v>DEARBORN PLANT BUILD</v>
          </cell>
          <cell r="S382" t="str">
            <v>P221/P397</v>
          </cell>
          <cell r="T382" t="str">
            <v>ENGINE NOISE</v>
          </cell>
          <cell r="U382" t="str">
            <v>Camshaft Phaser Defective</v>
          </cell>
          <cell r="V382" t="str">
            <v>ALL</v>
          </cell>
          <cell r="W382">
            <v>5</v>
          </cell>
          <cell r="AD382">
            <v>4</v>
          </cell>
          <cell r="AE382">
            <v>1</v>
          </cell>
        </row>
        <row r="383">
          <cell r="A383">
            <v>0</v>
          </cell>
          <cell r="B383" t="str">
            <v>ALL VRTS</v>
          </cell>
          <cell r="D383">
            <v>25</v>
          </cell>
          <cell r="I383" t="str">
            <v>N11</v>
          </cell>
          <cell r="J383" t="str">
            <v>N12</v>
          </cell>
          <cell r="L383" t="str">
            <v>V49</v>
          </cell>
          <cell r="N383">
            <v>-1</v>
          </cell>
          <cell r="O383">
            <v>-1</v>
          </cell>
          <cell r="P383">
            <v>0</v>
          </cell>
          <cell r="Q383">
            <v>2004</v>
          </cell>
          <cell r="R383" t="str">
            <v>DEARBORN PLANT BUILD</v>
          </cell>
          <cell r="S383" t="str">
            <v>P221/P397</v>
          </cell>
          <cell r="T383" t="str">
            <v>ENGINE NOISE</v>
          </cell>
          <cell r="U383" t="str">
            <v>npf</v>
          </cell>
          <cell r="V383" t="str">
            <v>ALL</v>
          </cell>
          <cell r="W383">
            <v>5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E383">
            <v>1</v>
          </cell>
        </row>
        <row r="384">
          <cell r="A384">
            <v>0</v>
          </cell>
          <cell r="B384" t="str">
            <v>ALL VRTS</v>
          </cell>
          <cell r="D384">
            <v>25</v>
          </cell>
          <cell r="I384" t="str">
            <v>N12</v>
          </cell>
          <cell r="L384" t="str">
            <v>V49</v>
          </cell>
          <cell r="N384">
            <v>-1</v>
          </cell>
          <cell r="O384">
            <v>-1</v>
          </cell>
          <cell r="P384">
            <v>0</v>
          </cell>
          <cell r="Q384">
            <v>2004</v>
          </cell>
          <cell r="R384" t="str">
            <v>DEARBORN PLANT BUILD</v>
          </cell>
          <cell r="S384" t="str">
            <v>P221/P397</v>
          </cell>
          <cell r="T384" t="str">
            <v>ENGINE NOISE</v>
          </cell>
          <cell r="U384" t="str">
            <v>replaced starter</v>
          </cell>
          <cell r="V384" t="str">
            <v>ALL</v>
          </cell>
          <cell r="W384">
            <v>2</v>
          </cell>
          <cell r="AC384">
            <v>1</v>
          </cell>
          <cell r="AD384">
            <v>1</v>
          </cell>
        </row>
        <row r="385">
          <cell r="A385">
            <v>0</v>
          </cell>
          <cell r="B385" t="str">
            <v>ALL VRTS</v>
          </cell>
          <cell r="D385">
            <v>25</v>
          </cell>
          <cell r="E385" t="str">
            <v>6340</v>
          </cell>
          <cell r="G385" t="str">
            <v>CEW30R</v>
          </cell>
          <cell r="I385" t="str">
            <v>N11</v>
          </cell>
          <cell r="L385" t="str">
            <v>V49</v>
          </cell>
          <cell r="N385">
            <v>0</v>
          </cell>
          <cell r="O385">
            <v>0</v>
          </cell>
          <cell r="P385">
            <v>-1</v>
          </cell>
          <cell r="Q385">
            <v>2004</v>
          </cell>
          <cell r="R385" t="str">
            <v>DEARBORN PLANT BUILD</v>
          </cell>
          <cell r="S385" t="str">
            <v>P221/P397</v>
          </cell>
          <cell r="T385" t="str">
            <v>ENGINE NOISE</v>
          </cell>
          <cell r="U385" t="str">
            <v xml:space="preserve"> alt.wiring harness mis-routed</v>
          </cell>
          <cell r="V385" t="str">
            <v>ALL</v>
          </cell>
          <cell r="W385">
            <v>1</v>
          </cell>
          <cell r="Z385">
            <v>1</v>
          </cell>
        </row>
        <row r="386">
          <cell r="A386">
            <v>0</v>
          </cell>
          <cell r="B386" t="str">
            <v>ALL VRTS</v>
          </cell>
          <cell r="D386">
            <v>25</v>
          </cell>
          <cell r="E386" t="str">
            <v>6340</v>
          </cell>
          <cell r="G386" t="str">
            <v>CEE23L</v>
          </cell>
          <cell r="I386" t="str">
            <v>N11</v>
          </cell>
          <cell r="L386" t="str">
            <v>V49</v>
          </cell>
          <cell r="N386">
            <v>0</v>
          </cell>
          <cell r="O386">
            <v>0</v>
          </cell>
          <cell r="P386">
            <v>-1</v>
          </cell>
          <cell r="Q386">
            <v>2004</v>
          </cell>
          <cell r="R386" t="str">
            <v>DEARBORN PLANT BUILD</v>
          </cell>
          <cell r="S386" t="str">
            <v>P221/P397</v>
          </cell>
          <cell r="T386" t="str">
            <v>ENGINE NOISE</v>
          </cell>
          <cell r="U386" t="str">
            <v xml:space="preserve"> reroute throttle cable</v>
          </cell>
          <cell r="V386" t="str">
            <v>ALL</v>
          </cell>
          <cell r="W386">
            <v>1</v>
          </cell>
          <cell r="Y386">
            <v>1</v>
          </cell>
        </row>
        <row r="387">
          <cell r="A387">
            <v>0</v>
          </cell>
          <cell r="B387" t="str">
            <v>ALL VRTS</v>
          </cell>
          <cell r="D387">
            <v>25</v>
          </cell>
          <cell r="E387" t="str">
            <v>6540</v>
          </cell>
          <cell r="G387" t="str">
            <v>C5E23L</v>
          </cell>
          <cell r="I387" t="str">
            <v>N12</v>
          </cell>
          <cell r="L387" t="str">
            <v>V49</v>
          </cell>
          <cell r="N387">
            <v>0</v>
          </cell>
          <cell r="O387">
            <v>0</v>
          </cell>
          <cell r="P387">
            <v>-1</v>
          </cell>
          <cell r="Q387">
            <v>2004</v>
          </cell>
          <cell r="R387" t="str">
            <v>DEARBORN PLANT BUILD</v>
          </cell>
          <cell r="S387" t="str">
            <v>P221/P397</v>
          </cell>
          <cell r="T387" t="str">
            <v>ENGINE NOISE</v>
          </cell>
          <cell r="U387" t="str">
            <v>Air Cleaner/Rubber Grommet</v>
          </cell>
          <cell r="V387" t="str">
            <v>ALL</v>
          </cell>
          <cell r="W387">
            <v>1</v>
          </cell>
          <cell r="AD387">
            <v>1</v>
          </cell>
        </row>
        <row r="388">
          <cell r="A388">
            <v>0</v>
          </cell>
          <cell r="B388" t="str">
            <v>ALL VRTS</v>
          </cell>
          <cell r="D388">
            <v>25</v>
          </cell>
          <cell r="I388" t="str">
            <v>N12</v>
          </cell>
          <cell r="L388" t="str">
            <v>V49</v>
          </cell>
          <cell r="N388">
            <v>-1</v>
          </cell>
          <cell r="O388">
            <v>-1</v>
          </cell>
          <cell r="P388">
            <v>0</v>
          </cell>
          <cell r="Q388">
            <v>2004</v>
          </cell>
          <cell r="R388" t="str">
            <v>DEARBORN PLANT BUILD</v>
          </cell>
          <cell r="S388" t="str">
            <v>P221/P397</v>
          </cell>
          <cell r="T388" t="str">
            <v>ENGINE NOISE</v>
          </cell>
          <cell r="U388" t="str">
            <v>Alternator defective</v>
          </cell>
          <cell r="V388" t="str">
            <v>ALL</v>
          </cell>
          <cell r="W388">
            <v>1</v>
          </cell>
          <cell r="AC388">
            <v>1</v>
          </cell>
        </row>
        <row r="389">
          <cell r="A389">
            <v>0</v>
          </cell>
          <cell r="B389" t="str">
            <v>ALL VRTS</v>
          </cell>
          <cell r="D389">
            <v>25</v>
          </cell>
          <cell r="I389" t="str">
            <v>N12</v>
          </cell>
          <cell r="L389" t="str">
            <v>V49</v>
          </cell>
          <cell r="N389">
            <v>0</v>
          </cell>
          <cell r="O389">
            <v>-1</v>
          </cell>
          <cell r="P389">
            <v>0</v>
          </cell>
          <cell r="Q389">
            <v>2004</v>
          </cell>
          <cell r="R389" t="str">
            <v>DEARBORN PLANT BUILD</v>
          </cell>
          <cell r="S389" t="str">
            <v>P221/P397</v>
          </cell>
          <cell r="T389" t="str">
            <v>ENGINE NOISE</v>
          </cell>
          <cell r="U389" t="str">
            <v>Fead Belt Defective</v>
          </cell>
          <cell r="V389" t="str">
            <v>ALL</v>
          </cell>
          <cell r="W389">
            <v>1</v>
          </cell>
          <cell r="AE389">
            <v>1</v>
          </cell>
        </row>
        <row r="390">
          <cell r="A390">
            <v>0</v>
          </cell>
          <cell r="B390" t="str">
            <v>ALL VRTS</v>
          </cell>
          <cell r="D390">
            <v>25</v>
          </cell>
          <cell r="I390" t="str">
            <v>N12</v>
          </cell>
          <cell r="L390" t="str">
            <v>V49</v>
          </cell>
          <cell r="N390">
            <v>-1</v>
          </cell>
          <cell r="O390">
            <v>-1</v>
          </cell>
          <cell r="P390">
            <v>0</v>
          </cell>
          <cell r="Q390">
            <v>2004</v>
          </cell>
          <cell r="R390" t="str">
            <v>DEARBORN PLANT BUILD</v>
          </cell>
          <cell r="S390" t="str">
            <v>P221/P397</v>
          </cell>
          <cell r="T390" t="str">
            <v>ENGINE NOISE</v>
          </cell>
          <cell r="U390" t="str">
            <v>Flexplate damage</v>
          </cell>
          <cell r="V390" t="str">
            <v>ALL</v>
          </cell>
          <cell r="W390">
            <v>1</v>
          </cell>
          <cell r="AD390">
            <v>1</v>
          </cell>
        </row>
        <row r="391">
          <cell r="A391">
            <v>0</v>
          </cell>
          <cell r="B391" t="str">
            <v>ALL VRTS</v>
          </cell>
          <cell r="D391">
            <v>25</v>
          </cell>
          <cell r="E391" t="str">
            <v>6360</v>
          </cell>
          <cell r="G391" t="str">
            <v>CEW46R</v>
          </cell>
          <cell r="I391" t="str">
            <v>N11</v>
          </cell>
          <cell r="L391" t="str">
            <v>V49</v>
          </cell>
          <cell r="N391">
            <v>0</v>
          </cell>
          <cell r="O391">
            <v>0</v>
          </cell>
          <cell r="P391">
            <v>-1</v>
          </cell>
          <cell r="Q391">
            <v>2004</v>
          </cell>
          <cell r="R391" t="str">
            <v>DEARBORN PLANT BUILD</v>
          </cell>
          <cell r="S391" t="str">
            <v>P221/P397</v>
          </cell>
          <cell r="T391" t="str">
            <v>ENGINE NOISE</v>
          </cell>
          <cell r="U391" t="str">
            <v>Idler pulley/Loose</v>
          </cell>
          <cell r="V391" t="str">
            <v>ALL</v>
          </cell>
          <cell r="W391">
            <v>1</v>
          </cell>
          <cell r="AE391">
            <v>1</v>
          </cell>
        </row>
        <row r="392">
          <cell r="A392">
            <v>0</v>
          </cell>
          <cell r="B392" t="str">
            <v>ALL VRTS</v>
          </cell>
          <cell r="D392">
            <v>25</v>
          </cell>
          <cell r="I392" t="str">
            <v>N12</v>
          </cell>
          <cell r="L392" t="str">
            <v>V49</v>
          </cell>
          <cell r="N392">
            <v>-1</v>
          </cell>
          <cell r="O392">
            <v>-1</v>
          </cell>
          <cell r="P392">
            <v>0</v>
          </cell>
          <cell r="Q392">
            <v>2004</v>
          </cell>
          <cell r="R392" t="str">
            <v>DEARBORN PLANT BUILD</v>
          </cell>
          <cell r="S392" t="str">
            <v>P221/P397</v>
          </cell>
          <cell r="T392" t="str">
            <v>ENGINE NOISE</v>
          </cell>
          <cell r="U392" t="str">
            <v>Powersteering pulley defective</v>
          </cell>
          <cell r="V392" t="str">
            <v>ALL</v>
          </cell>
          <cell r="W392">
            <v>1</v>
          </cell>
          <cell r="AD392">
            <v>1</v>
          </cell>
        </row>
        <row r="393">
          <cell r="A393">
            <v>0</v>
          </cell>
          <cell r="B393" t="str">
            <v>ALL VRTS</v>
          </cell>
          <cell r="D393">
            <v>25</v>
          </cell>
          <cell r="E393" t="str">
            <v>6360</v>
          </cell>
          <cell r="G393" t="str">
            <v>CEW34R</v>
          </cell>
          <cell r="I393" t="str">
            <v>N11</v>
          </cell>
          <cell r="L393" t="str">
            <v>V49</v>
          </cell>
          <cell r="N393">
            <v>-1</v>
          </cell>
          <cell r="O393">
            <v>-1</v>
          </cell>
          <cell r="P393">
            <v>-1</v>
          </cell>
          <cell r="Q393">
            <v>2004</v>
          </cell>
          <cell r="R393" t="str">
            <v>DEARBORN PLANT BUILD</v>
          </cell>
          <cell r="S393" t="str">
            <v>P221/P397</v>
          </cell>
          <cell r="T393" t="str">
            <v>ENGINE NOISE</v>
          </cell>
          <cell r="U393" t="str">
            <v>replaced pulley tensioner</v>
          </cell>
          <cell r="V393" t="str">
            <v>ALL</v>
          </cell>
          <cell r="W393">
            <v>1</v>
          </cell>
          <cell r="AC393">
            <v>1</v>
          </cell>
        </row>
        <row r="394">
          <cell r="A394">
            <v>0</v>
          </cell>
          <cell r="B394" t="str">
            <v>ALL VRTS</v>
          </cell>
          <cell r="D394">
            <v>25</v>
          </cell>
          <cell r="I394" t="str">
            <v>N12</v>
          </cell>
          <cell r="L394" t="str">
            <v>V49</v>
          </cell>
          <cell r="N394">
            <v>-1</v>
          </cell>
          <cell r="O394">
            <v>-1</v>
          </cell>
          <cell r="P394">
            <v>0</v>
          </cell>
          <cell r="Q394">
            <v>2004</v>
          </cell>
          <cell r="R394" t="str">
            <v>DEARBORN PLANT BUILD</v>
          </cell>
          <cell r="S394" t="str">
            <v>P221/P397</v>
          </cell>
          <cell r="T394" t="str">
            <v>ENGINE NOISE</v>
          </cell>
          <cell r="U394" t="str">
            <v>steering rack replaced</v>
          </cell>
          <cell r="V394" t="str">
            <v>ALL</v>
          </cell>
          <cell r="W394">
            <v>1</v>
          </cell>
          <cell r="AA394">
            <v>1</v>
          </cell>
        </row>
        <row r="395">
          <cell r="A395">
            <v>0</v>
          </cell>
          <cell r="B395" t="str">
            <v>ALL VRTS</v>
          </cell>
          <cell r="D395">
            <v>25</v>
          </cell>
          <cell r="I395" t="str">
            <v>N12</v>
          </cell>
          <cell r="L395" t="str">
            <v>V49</v>
          </cell>
          <cell r="N395">
            <v>0</v>
          </cell>
          <cell r="O395">
            <v>-1</v>
          </cell>
          <cell r="P395">
            <v>0</v>
          </cell>
          <cell r="Q395">
            <v>2004</v>
          </cell>
          <cell r="R395" t="str">
            <v>DEARBORN PLANT BUILD</v>
          </cell>
          <cell r="S395" t="str">
            <v>P221/P397</v>
          </cell>
          <cell r="T395" t="str">
            <v>ENGINE NOISE</v>
          </cell>
          <cell r="U395" t="str">
            <v>Transfer Case Defective</v>
          </cell>
          <cell r="V395" t="str">
            <v>ALL</v>
          </cell>
          <cell r="W395">
            <v>1</v>
          </cell>
          <cell r="AD395">
            <v>1</v>
          </cell>
        </row>
        <row r="396">
          <cell r="A396">
            <v>0</v>
          </cell>
          <cell r="B396" t="str">
            <v>ALL VRTS</v>
          </cell>
          <cell r="D396">
            <v>25</v>
          </cell>
          <cell r="E396" t="str">
            <v>6500</v>
          </cell>
          <cell r="G396" t="str">
            <v>C4W22R</v>
          </cell>
          <cell r="I396" t="str">
            <v>N12</v>
          </cell>
          <cell r="L396" t="str">
            <v>V49</v>
          </cell>
          <cell r="N396">
            <v>-1</v>
          </cell>
          <cell r="O396">
            <v>0</v>
          </cell>
          <cell r="P396">
            <v>-1</v>
          </cell>
          <cell r="Q396">
            <v>2004</v>
          </cell>
          <cell r="R396" t="str">
            <v>DEARBORN PLANT BUILD</v>
          </cell>
          <cell r="S396" t="str">
            <v>P221/P397</v>
          </cell>
          <cell r="T396" t="str">
            <v>ENGINE NOISE</v>
          </cell>
          <cell r="U396" t="str">
            <v>vacuum leak</v>
          </cell>
          <cell r="V396" t="str">
            <v>ALL</v>
          </cell>
          <cell r="W396">
            <v>1</v>
          </cell>
          <cell r="AC396">
            <v>1</v>
          </cell>
        </row>
        <row r="397">
          <cell r="A397">
            <v>0</v>
          </cell>
          <cell r="B397" t="str">
            <v>ALL VRTS</v>
          </cell>
          <cell r="D397">
            <v>25</v>
          </cell>
          <cell r="E397" t="str">
            <v>6500</v>
          </cell>
          <cell r="G397" t="str">
            <v>C4W22R</v>
          </cell>
          <cell r="I397" t="str">
            <v>N12</v>
          </cell>
          <cell r="L397" t="str">
            <v>V49</v>
          </cell>
          <cell r="N397">
            <v>0</v>
          </cell>
          <cell r="O397">
            <v>0</v>
          </cell>
          <cell r="P397">
            <v>-1</v>
          </cell>
          <cell r="Q397">
            <v>2004</v>
          </cell>
          <cell r="R397" t="str">
            <v>DEARBORN PLANT BUILD</v>
          </cell>
          <cell r="S397" t="str">
            <v>P221/P397</v>
          </cell>
          <cell r="T397" t="str">
            <v>ENGINE NOISE</v>
          </cell>
          <cell r="U397" t="str">
            <v>vacuum line disconnected</v>
          </cell>
          <cell r="V397" t="str">
            <v>ALL</v>
          </cell>
          <cell r="W397">
            <v>1</v>
          </cell>
          <cell r="AC397">
            <v>1</v>
          </cell>
        </row>
        <row r="398">
          <cell r="A398">
            <v>0</v>
          </cell>
          <cell r="B398" t="str">
            <v>ALL VRTS</v>
          </cell>
          <cell r="D398">
            <v>25</v>
          </cell>
          <cell r="I398" t="str">
            <v>B95</v>
          </cell>
          <cell r="J398" t="str">
            <v>T52</v>
          </cell>
          <cell r="L398" t="str">
            <v>V71</v>
          </cell>
          <cell r="N398">
            <v>0</v>
          </cell>
          <cell r="O398">
            <v>-1</v>
          </cell>
          <cell r="P398">
            <v>0</v>
          </cell>
          <cell r="Q398">
            <v>2004</v>
          </cell>
          <cell r="R398" t="str">
            <v>DEARBORN PLANT BUILD</v>
          </cell>
          <cell r="S398" t="str">
            <v>P221/P397</v>
          </cell>
          <cell r="T398" t="str">
            <v>I/P  TROUBLES</v>
          </cell>
          <cell r="U398" t="str">
            <v>ASHTRAY</v>
          </cell>
          <cell r="V398" t="str">
            <v>ALL</v>
          </cell>
          <cell r="W398">
            <v>5</v>
          </cell>
          <cell r="AD398">
            <v>4</v>
          </cell>
          <cell r="AE398">
            <v>1</v>
          </cell>
        </row>
        <row r="399">
          <cell r="A399">
            <v>0</v>
          </cell>
          <cell r="B399" t="str">
            <v>ALL VRTS</v>
          </cell>
          <cell r="D399">
            <v>25</v>
          </cell>
          <cell r="E399" t="str">
            <v>5540</v>
          </cell>
          <cell r="F399" t="str">
            <v>5550</v>
          </cell>
          <cell r="G399" t="str">
            <v>T3E15L</v>
          </cell>
          <cell r="H399" t="str">
            <v>T3E22R</v>
          </cell>
          <cell r="I399" t="str">
            <v>B53</v>
          </cell>
          <cell r="J399" t="str">
            <v>B95</v>
          </cell>
          <cell r="L399" t="str">
            <v>V71</v>
          </cell>
          <cell r="N399">
            <v>0</v>
          </cell>
          <cell r="O399">
            <v>-1</v>
          </cell>
          <cell r="P399">
            <v>-1</v>
          </cell>
          <cell r="Q399">
            <v>2004</v>
          </cell>
          <cell r="R399" t="str">
            <v>DEARBORN PLANT BUILD</v>
          </cell>
          <cell r="S399" t="str">
            <v>P221/P397</v>
          </cell>
          <cell r="T399" t="str">
            <v>I/P  TROUBLES</v>
          </cell>
          <cell r="U399" t="str">
            <v>TRIM LOOSE</v>
          </cell>
          <cell r="V399" t="str">
            <v>ALL</v>
          </cell>
          <cell r="W399">
            <v>4</v>
          </cell>
          <cell r="AD399">
            <v>3</v>
          </cell>
          <cell r="AE399">
            <v>1</v>
          </cell>
        </row>
        <row r="400">
          <cell r="A400">
            <v>0</v>
          </cell>
          <cell r="B400" t="str">
            <v>ALL VRTS</v>
          </cell>
          <cell r="D400">
            <v>25</v>
          </cell>
          <cell r="I400" t="str">
            <v>B82</v>
          </cell>
          <cell r="J400" t="str">
            <v>B84</v>
          </cell>
          <cell r="L400" t="str">
            <v>V71</v>
          </cell>
          <cell r="N400">
            <v>0</v>
          </cell>
          <cell r="O400">
            <v>-1</v>
          </cell>
          <cell r="P400">
            <v>0</v>
          </cell>
          <cell r="Q400">
            <v>2004</v>
          </cell>
          <cell r="R400" t="str">
            <v>DEARBORN PLANT BUILD</v>
          </cell>
          <cell r="S400" t="str">
            <v>P221/P397</v>
          </cell>
          <cell r="T400" t="str">
            <v>I/P  TROUBLES</v>
          </cell>
          <cell r="U400" t="str">
            <v>DISCOLORED</v>
          </cell>
          <cell r="V400" t="str">
            <v>ALL</v>
          </cell>
          <cell r="W400">
            <v>2</v>
          </cell>
          <cell r="Z400">
            <v>1</v>
          </cell>
          <cell r="AD400">
            <v>1</v>
          </cell>
        </row>
        <row r="401">
          <cell r="A401">
            <v>0</v>
          </cell>
          <cell r="B401" t="str">
            <v>ALL VRTS</v>
          </cell>
          <cell r="D401">
            <v>25</v>
          </cell>
          <cell r="I401" t="str">
            <v>B53</v>
          </cell>
          <cell r="L401" t="str">
            <v>V71</v>
          </cell>
          <cell r="N401">
            <v>0</v>
          </cell>
          <cell r="O401">
            <v>-1</v>
          </cell>
          <cell r="P401">
            <v>0</v>
          </cell>
          <cell r="Q401">
            <v>2004</v>
          </cell>
          <cell r="R401" t="str">
            <v>DEARBORN PLANT BUILD</v>
          </cell>
          <cell r="S401" t="str">
            <v>P221/P397</v>
          </cell>
          <cell r="T401" t="str">
            <v>I/P  TROUBLES</v>
          </cell>
          <cell r="U401" t="str">
            <v>SHIFT INDICATOR</v>
          </cell>
          <cell r="V401" t="str">
            <v>ALL</v>
          </cell>
          <cell r="W401">
            <v>2</v>
          </cell>
          <cell r="AB401">
            <v>1</v>
          </cell>
          <cell r="AD401">
            <v>1</v>
          </cell>
        </row>
        <row r="402">
          <cell r="A402">
            <v>0</v>
          </cell>
          <cell r="B402" t="str">
            <v>ALL VRTS</v>
          </cell>
          <cell r="D402">
            <v>25</v>
          </cell>
          <cell r="I402" t="str">
            <v>B81</v>
          </cell>
          <cell r="L402" t="str">
            <v>V71</v>
          </cell>
          <cell r="N402">
            <v>0</v>
          </cell>
          <cell r="O402">
            <v>-1</v>
          </cell>
          <cell r="P402">
            <v>0</v>
          </cell>
          <cell r="Q402">
            <v>2004</v>
          </cell>
          <cell r="R402" t="str">
            <v>DEARBORN PLANT BUILD</v>
          </cell>
          <cell r="S402" t="str">
            <v>P221/P397</v>
          </cell>
          <cell r="T402" t="str">
            <v>I/P  TROUBLES</v>
          </cell>
          <cell r="U402" t="str">
            <v>A/C KNOB/BEZEL DAMAGED</v>
          </cell>
          <cell r="V402" t="str">
            <v>ALL</v>
          </cell>
          <cell r="W402">
            <v>1</v>
          </cell>
          <cell r="Z402">
            <v>1</v>
          </cell>
        </row>
        <row r="403">
          <cell r="A403">
            <v>0</v>
          </cell>
          <cell r="B403" t="str">
            <v>ALL VRTS</v>
          </cell>
          <cell r="D403">
            <v>25</v>
          </cell>
          <cell r="I403" t="str">
            <v>B95</v>
          </cell>
          <cell r="L403" t="str">
            <v>V71</v>
          </cell>
          <cell r="N403">
            <v>0</v>
          </cell>
          <cell r="O403">
            <v>-1</v>
          </cell>
          <cell r="P403">
            <v>0</v>
          </cell>
          <cell r="Q403">
            <v>2004</v>
          </cell>
          <cell r="R403" t="str">
            <v>DEARBORN PLANT BUILD</v>
          </cell>
          <cell r="S403" t="str">
            <v>P221/P397</v>
          </cell>
          <cell r="T403" t="str">
            <v>I/P  TROUBLES</v>
          </cell>
          <cell r="U403" t="str">
            <v>AIR BAG WIRING</v>
          </cell>
          <cell r="V403" t="str">
            <v>ALL</v>
          </cell>
          <cell r="W403">
            <v>1</v>
          </cell>
          <cell r="AC403">
            <v>1</v>
          </cell>
        </row>
        <row r="404">
          <cell r="A404">
            <v>0</v>
          </cell>
          <cell r="B404" t="str">
            <v>ALL VRTS</v>
          </cell>
          <cell r="D404">
            <v>25</v>
          </cell>
          <cell r="I404" t="str">
            <v>B95</v>
          </cell>
          <cell r="L404" t="str">
            <v>V71</v>
          </cell>
          <cell r="N404">
            <v>0</v>
          </cell>
          <cell r="O404">
            <v>-1</v>
          </cell>
          <cell r="P404">
            <v>0</v>
          </cell>
          <cell r="Q404">
            <v>2004</v>
          </cell>
          <cell r="R404" t="str">
            <v>DEARBORN PLANT BUILD</v>
          </cell>
          <cell r="S404" t="str">
            <v>P221/P397</v>
          </cell>
          <cell r="T404" t="str">
            <v>I/P  TROUBLES</v>
          </cell>
          <cell r="U404" t="str">
            <v>CONNECTOR C2287 BAD</v>
          </cell>
          <cell r="V404" t="str">
            <v>ALL</v>
          </cell>
          <cell r="W404">
            <v>1</v>
          </cell>
          <cell r="AD404">
            <v>1</v>
          </cell>
        </row>
        <row r="405">
          <cell r="A405">
            <v>0</v>
          </cell>
          <cell r="B405" t="str">
            <v>ALL VRTS</v>
          </cell>
          <cell r="D405">
            <v>25</v>
          </cell>
          <cell r="I405" t="str">
            <v>T50</v>
          </cell>
          <cell r="L405" t="str">
            <v>V71</v>
          </cell>
          <cell r="N405">
            <v>0</v>
          </cell>
          <cell r="O405">
            <v>-1</v>
          </cell>
          <cell r="P405">
            <v>0</v>
          </cell>
          <cell r="Q405">
            <v>2004</v>
          </cell>
          <cell r="R405" t="str">
            <v>DEARBORN PLANT BUILD</v>
          </cell>
          <cell r="S405" t="str">
            <v>P221/P397</v>
          </cell>
          <cell r="T405" t="str">
            <v>I/P  TROUBLES</v>
          </cell>
          <cell r="U405" t="str">
            <v>CUPHOLDER BROKEN</v>
          </cell>
          <cell r="V405" t="str">
            <v>ALL</v>
          </cell>
          <cell r="W405">
            <v>1</v>
          </cell>
          <cell r="AE405">
            <v>1</v>
          </cell>
        </row>
        <row r="406">
          <cell r="A406">
            <v>0</v>
          </cell>
          <cell r="B406" t="str">
            <v>ALL VRTS</v>
          </cell>
          <cell r="D406">
            <v>25</v>
          </cell>
          <cell r="I406" t="str">
            <v>B95</v>
          </cell>
          <cell r="L406" t="str">
            <v>V71</v>
          </cell>
          <cell r="N406">
            <v>0</v>
          </cell>
          <cell r="O406">
            <v>-1</v>
          </cell>
          <cell r="P406">
            <v>0</v>
          </cell>
          <cell r="Q406">
            <v>2004</v>
          </cell>
          <cell r="R406" t="str">
            <v>DEARBORN PLANT BUILD</v>
          </cell>
          <cell r="S406" t="str">
            <v>P221/P397</v>
          </cell>
          <cell r="T406" t="str">
            <v>I/P  TROUBLES</v>
          </cell>
          <cell r="U406" t="str">
            <v>INSTR. CLUSTER DAMAGE</v>
          </cell>
          <cell r="V406" t="str">
            <v>ALL</v>
          </cell>
          <cell r="W406">
            <v>1</v>
          </cell>
          <cell r="AE406">
            <v>1</v>
          </cell>
        </row>
        <row r="407">
          <cell r="A407">
            <v>0</v>
          </cell>
          <cell r="B407" t="str">
            <v>ALL VRTS</v>
          </cell>
          <cell r="D407">
            <v>25</v>
          </cell>
          <cell r="E407" t="str">
            <v>5560</v>
          </cell>
          <cell r="G407" t="str">
            <v>T3W21L</v>
          </cell>
          <cell r="I407" t="str">
            <v>B53</v>
          </cell>
          <cell r="L407" t="str">
            <v>V71</v>
          </cell>
          <cell r="N407">
            <v>0</v>
          </cell>
          <cell r="O407">
            <v>0</v>
          </cell>
          <cell r="P407">
            <v>-1</v>
          </cell>
          <cell r="Q407">
            <v>2004</v>
          </cell>
          <cell r="R407" t="str">
            <v>DEARBORN PLANT BUILD</v>
          </cell>
          <cell r="S407" t="str">
            <v>P221/P397</v>
          </cell>
          <cell r="T407" t="str">
            <v>I/P  TROUBLES</v>
          </cell>
          <cell r="U407" t="str">
            <v>LOOSE BOLT-LEFT</v>
          </cell>
          <cell r="V407" t="str">
            <v>ALL</v>
          </cell>
          <cell r="W407">
            <v>1</v>
          </cell>
          <cell r="Z407">
            <v>1</v>
          </cell>
        </row>
        <row r="408">
          <cell r="A408">
            <v>0</v>
          </cell>
          <cell r="B408" t="str">
            <v>ALL VRTS</v>
          </cell>
          <cell r="D408">
            <v>25</v>
          </cell>
          <cell r="I408" t="str">
            <v>T50</v>
          </cell>
          <cell r="L408" t="str">
            <v>V71</v>
          </cell>
          <cell r="N408">
            <v>0</v>
          </cell>
          <cell r="O408">
            <v>-1</v>
          </cell>
          <cell r="P408">
            <v>0</v>
          </cell>
          <cell r="Q408">
            <v>2004</v>
          </cell>
          <cell r="R408" t="str">
            <v>DEARBORN PLANT BUILD</v>
          </cell>
          <cell r="S408" t="str">
            <v>P221/P397</v>
          </cell>
          <cell r="T408" t="str">
            <v>I/P  TROUBLES</v>
          </cell>
          <cell r="U408" t="str">
            <v>REPLACE CUPHOLDER</v>
          </cell>
          <cell r="V408" t="str">
            <v>ALL</v>
          </cell>
          <cell r="W408">
            <v>1</v>
          </cell>
          <cell r="Z408">
            <v>1</v>
          </cell>
        </row>
        <row r="409">
          <cell r="A409">
            <v>0</v>
          </cell>
          <cell r="B409" t="str">
            <v>ALL VRTS</v>
          </cell>
          <cell r="D409">
            <v>25</v>
          </cell>
          <cell r="I409" t="str">
            <v>B53</v>
          </cell>
          <cell r="L409" t="str">
            <v>V71</v>
          </cell>
          <cell r="N409">
            <v>-1</v>
          </cell>
          <cell r="O409">
            <v>0</v>
          </cell>
          <cell r="P409">
            <v>0</v>
          </cell>
          <cell r="Q409">
            <v>2004</v>
          </cell>
          <cell r="R409" t="str">
            <v>DEARBORN PLANT BUILD</v>
          </cell>
          <cell r="S409" t="str">
            <v>P221/P397</v>
          </cell>
          <cell r="T409" t="str">
            <v>I/P  TROUBLES</v>
          </cell>
          <cell r="U409" t="str">
            <v>SQUEAKS</v>
          </cell>
          <cell r="V409" t="str">
            <v>ALL</v>
          </cell>
          <cell r="W409">
            <v>1</v>
          </cell>
          <cell r="AD409">
            <v>1</v>
          </cell>
        </row>
        <row r="410">
          <cell r="A410">
            <v>0</v>
          </cell>
          <cell r="B410" t="str">
            <v>ALL VRTS</v>
          </cell>
          <cell r="D410">
            <v>25</v>
          </cell>
          <cell r="I410" t="str">
            <v>B95</v>
          </cell>
          <cell r="L410" t="str">
            <v>V71</v>
          </cell>
          <cell r="N410">
            <v>0</v>
          </cell>
          <cell r="O410">
            <v>-1</v>
          </cell>
          <cell r="P410">
            <v>0</v>
          </cell>
          <cell r="Q410">
            <v>2004</v>
          </cell>
          <cell r="R410" t="str">
            <v>DEARBORN PLANT BUILD</v>
          </cell>
          <cell r="S410" t="str">
            <v>P221/P397</v>
          </cell>
          <cell r="T410" t="str">
            <v>I/P  TROUBLES</v>
          </cell>
          <cell r="U410" t="str">
            <v>TILT LEVER LOOSE</v>
          </cell>
          <cell r="V410" t="str">
            <v>ALL</v>
          </cell>
          <cell r="W410">
            <v>1</v>
          </cell>
          <cell r="AD410">
            <v>1</v>
          </cell>
        </row>
        <row r="411">
          <cell r="A411">
            <v>0</v>
          </cell>
          <cell r="B411" t="str">
            <v>ALL VRTS</v>
          </cell>
          <cell r="D411">
            <v>25</v>
          </cell>
          <cell r="E411" t="str">
            <v>5550</v>
          </cell>
          <cell r="G411" t="str">
            <v>T3W23L</v>
          </cell>
          <cell r="I411" t="str">
            <v>B53</v>
          </cell>
          <cell r="L411" t="str">
            <v>V71</v>
          </cell>
          <cell r="N411">
            <v>0</v>
          </cell>
          <cell r="O411">
            <v>0</v>
          </cell>
          <cell r="P411">
            <v>-1</v>
          </cell>
          <cell r="Q411">
            <v>2004</v>
          </cell>
          <cell r="R411" t="str">
            <v>DEARBORN PLANT BUILD</v>
          </cell>
          <cell r="S411" t="str">
            <v>P221/P397</v>
          </cell>
          <cell r="T411" t="str">
            <v>I/P  TROUBLES</v>
          </cell>
          <cell r="U411" t="str">
            <v>TRIM BROKEN</v>
          </cell>
          <cell r="V411" t="str">
            <v>ALL</v>
          </cell>
          <cell r="W411">
            <v>1</v>
          </cell>
          <cell r="AD411">
            <v>1</v>
          </cell>
        </row>
        <row r="412">
          <cell r="A412">
            <v>0</v>
          </cell>
          <cell r="B412" t="str">
            <v>ALL VRTS</v>
          </cell>
          <cell r="D412">
            <v>25</v>
          </cell>
          <cell r="E412" t="str">
            <v>5540</v>
          </cell>
          <cell r="G412" t="str">
            <v>T3E15L</v>
          </cell>
          <cell r="I412" t="str">
            <v>B81</v>
          </cell>
          <cell r="L412" t="str">
            <v>V71</v>
          </cell>
          <cell r="N412">
            <v>0</v>
          </cell>
          <cell r="O412">
            <v>-1</v>
          </cell>
          <cell r="P412">
            <v>-1</v>
          </cell>
          <cell r="Q412">
            <v>2004</v>
          </cell>
          <cell r="R412" t="str">
            <v>DEARBORN PLANT BUILD</v>
          </cell>
          <cell r="S412" t="str">
            <v>P221/P397</v>
          </cell>
          <cell r="T412" t="str">
            <v>I/P  TROUBLES</v>
          </cell>
          <cell r="U412" t="str">
            <v>VENT BROKEN</v>
          </cell>
          <cell r="V412" t="str">
            <v>ALL</v>
          </cell>
          <cell r="W412">
            <v>1</v>
          </cell>
          <cell r="Z412">
            <v>1</v>
          </cell>
        </row>
        <row r="413">
          <cell r="A413">
            <v>0</v>
          </cell>
          <cell r="B413" t="str">
            <v>ALL VRTS</v>
          </cell>
          <cell r="D413">
            <v>25</v>
          </cell>
          <cell r="E413" t="str">
            <v>5540</v>
          </cell>
          <cell r="G413" t="str">
            <v>T3E15L</v>
          </cell>
          <cell r="I413" t="str">
            <v>B95</v>
          </cell>
          <cell r="L413" t="str">
            <v>V71</v>
          </cell>
          <cell r="N413">
            <v>0</v>
          </cell>
          <cell r="O413">
            <v>-1</v>
          </cell>
          <cell r="P413">
            <v>-1</v>
          </cell>
          <cell r="Q413">
            <v>2004</v>
          </cell>
          <cell r="R413" t="str">
            <v>DEARBORN PLANT BUILD</v>
          </cell>
          <cell r="S413" t="str">
            <v>P221/P397</v>
          </cell>
          <cell r="T413" t="str">
            <v>I/P  TROUBLES</v>
          </cell>
          <cell r="U413" t="str">
            <v>VENT,SCRATCH</v>
          </cell>
          <cell r="V413" t="str">
            <v>ALL</v>
          </cell>
          <cell r="W413">
            <v>1</v>
          </cell>
          <cell r="AC413">
            <v>1</v>
          </cell>
        </row>
        <row r="414">
          <cell r="A414">
            <v>0</v>
          </cell>
          <cell r="B414" t="str">
            <v>ALL VRTS</v>
          </cell>
          <cell r="D414">
            <v>24</v>
          </cell>
          <cell r="E414" t="str">
            <v>5340</v>
          </cell>
          <cell r="F414" t="str">
            <v>53502A</v>
          </cell>
          <cell r="G414" t="str">
            <v>TDE31-l</v>
          </cell>
          <cell r="H414" t="str">
            <v>TDE27-L</v>
          </cell>
          <cell r="I414" t="str">
            <v>L07</v>
          </cell>
          <cell r="J414" t="str">
            <v>L06</v>
          </cell>
          <cell r="K414" t="str">
            <v>L17</v>
          </cell>
          <cell r="L414" t="str">
            <v>V07</v>
          </cell>
          <cell r="N414">
            <v>-1</v>
          </cell>
          <cell r="O414">
            <v>0</v>
          </cell>
          <cell r="P414">
            <v>-1</v>
          </cell>
          <cell r="Q414">
            <v>2004</v>
          </cell>
          <cell r="R414" t="str">
            <v>DEARBORN PLANT BUILD</v>
          </cell>
          <cell r="S414" t="str">
            <v>P221/P397</v>
          </cell>
          <cell r="T414" t="str">
            <v>DOOR LOCK INOP WITH KEY</v>
          </cell>
          <cell r="U414" t="str">
            <v>LOCK CYLINDER DAMAGE</v>
          </cell>
          <cell r="V414" t="str">
            <v>ALL</v>
          </cell>
          <cell r="W414">
            <v>19</v>
          </cell>
          <cell r="Y414">
            <v>3</v>
          </cell>
          <cell r="Z414">
            <v>4</v>
          </cell>
          <cell r="AA414">
            <v>3</v>
          </cell>
          <cell r="AB414">
            <v>4</v>
          </cell>
          <cell r="AC414">
            <v>2</v>
          </cell>
          <cell r="AD414">
            <v>2</v>
          </cell>
          <cell r="AE414">
            <v>1</v>
          </cell>
        </row>
        <row r="415">
          <cell r="A415">
            <v>0</v>
          </cell>
          <cell r="B415" t="str">
            <v>ALL VRTS</v>
          </cell>
          <cell r="D415">
            <v>24</v>
          </cell>
          <cell r="E415" t="str">
            <v>5340</v>
          </cell>
          <cell r="G415" t="str">
            <v>TDE31-l</v>
          </cell>
          <cell r="H415" t="str">
            <v>TDW30R</v>
          </cell>
          <cell r="I415" t="str">
            <v>L23</v>
          </cell>
          <cell r="J415" t="str">
            <v>L06</v>
          </cell>
          <cell r="K415" t="str">
            <v>L17</v>
          </cell>
          <cell r="L415" t="str">
            <v>V07</v>
          </cell>
          <cell r="N415">
            <v>0</v>
          </cell>
          <cell r="O415">
            <v>0</v>
          </cell>
          <cell r="P415">
            <v>-1</v>
          </cell>
          <cell r="Q415">
            <v>2004</v>
          </cell>
          <cell r="R415" t="str">
            <v>DEARBORN PLANT BUILD</v>
          </cell>
          <cell r="S415" t="str">
            <v>P221/P397</v>
          </cell>
          <cell r="T415" t="str">
            <v>DOOR LOCK INOP WITH KEY</v>
          </cell>
          <cell r="U415" t="str">
            <v>LOCK ROD ASSEMBLY LOOSE</v>
          </cell>
          <cell r="V415" t="str">
            <v>ALL</v>
          </cell>
          <cell r="W415">
            <v>5</v>
          </cell>
          <cell r="AB415">
            <v>1</v>
          </cell>
          <cell r="AC415">
            <v>1</v>
          </cell>
          <cell r="AD415">
            <v>1</v>
          </cell>
          <cell r="AE415">
            <v>2</v>
          </cell>
        </row>
        <row r="416">
          <cell r="A416">
            <v>0</v>
          </cell>
          <cell r="B416" t="str">
            <v>ALL VRTS</v>
          </cell>
          <cell r="D416">
            <v>23</v>
          </cell>
          <cell r="I416" t="str">
            <v>S06</v>
          </cell>
          <cell r="J416" t="str">
            <v>S56</v>
          </cell>
          <cell r="L416" t="str">
            <v>V03</v>
          </cell>
          <cell r="N416">
            <v>0</v>
          </cell>
          <cell r="O416">
            <v>-1</v>
          </cell>
          <cell r="P416">
            <v>0</v>
          </cell>
          <cell r="Q416">
            <v>2004</v>
          </cell>
          <cell r="R416" t="str">
            <v>DEARBORN PLANT BUILD</v>
          </cell>
          <cell r="S416" t="str">
            <v>P221/P397</v>
          </cell>
          <cell r="T416" t="str">
            <v>SEATS</v>
          </cell>
          <cell r="U416" t="str">
            <v>ELECTRICAL</v>
          </cell>
          <cell r="V416" t="str">
            <v>ALL</v>
          </cell>
          <cell r="W416">
            <v>3</v>
          </cell>
          <cell r="AC416">
            <v>1</v>
          </cell>
          <cell r="AD416">
            <v>2</v>
          </cell>
        </row>
        <row r="417">
          <cell r="A417">
            <v>0</v>
          </cell>
          <cell r="B417" t="str">
            <v>ALL VRTS</v>
          </cell>
          <cell r="D417">
            <v>23</v>
          </cell>
          <cell r="I417" t="str">
            <v>S15</v>
          </cell>
          <cell r="L417" t="str">
            <v>V03</v>
          </cell>
          <cell r="N417">
            <v>0</v>
          </cell>
          <cell r="O417">
            <v>-1</v>
          </cell>
          <cell r="P417">
            <v>0</v>
          </cell>
          <cell r="Q417">
            <v>2004</v>
          </cell>
          <cell r="R417" t="str">
            <v>DEARBORN PLANT BUILD</v>
          </cell>
          <cell r="S417" t="str">
            <v>P221/P397</v>
          </cell>
          <cell r="T417" t="str">
            <v>SEATS</v>
          </cell>
          <cell r="U417" t="str">
            <v>SWITCH,UNPLUGGED L/F</v>
          </cell>
          <cell r="V417" t="str">
            <v>ALL</v>
          </cell>
          <cell r="W417">
            <v>3</v>
          </cell>
          <cell r="AA417">
            <v>1</v>
          </cell>
          <cell r="AB417">
            <v>1</v>
          </cell>
          <cell r="AC417">
            <v>1</v>
          </cell>
        </row>
        <row r="418">
          <cell r="A418">
            <v>0</v>
          </cell>
          <cell r="B418" t="str">
            <v>ALL VRTS</v>
          </cell>
          <cell r="D418">
            <v>23</v>
          </cell>
          <cell r="I418" t="str">
            <v>S50</v>
          </cell>
          <cell r="J418" t="str">
            <v>S52</v>
          </cell>
          <cell r="L418" t="str">
            <v>V03</v>
          </cell>
          <cell r="N418">
            <v>0</v>
          </cell>
          <cell r="O418">
            <v>-1</v>
          </cell>
          <cell r="P418">
            <v>0</v>
          </cell>
          <cell r="Q418">
            <v>2004</v>
          </cell>
          <cell r="R418" t="str">
            <v>DEARBORN PLANT BUILD</v>
          </cell>
          <cell r="S418" t="str">
            <v>P221/P397</v>
          </cell>
          <cell r="T418" t="str">
            <v>SEATS</v>
          </cell>
          <cell r="U418" t="str">
            <v>CUSHION COVER DEFECTIVE</v>
          </cell>
          <cell r="V418" t="str">
            <v>ALL</v>
          </cell>
          <cell r="W418">
            <v>2</v>
          </cell>
          <cell r="AD418">
            <v>2</v>
          </cell>
        </row>
        <row r="419">
          <cell r="A419">
            <v>0</v>
          </cell>
          <cell r="B419" t="str">
            <v>ALL VRTS</v>
          </cell>
          <cell r="D419">
            <v>23</v>
          </cell>
          <cell r="I419" t="str">
            <v>S15</v>
          </cell>
          <cell r="J419" t="str">
            <v>T53</v>
          </cell>
          <cell r="L419" t="str">
            <v>V03</v>
          </cell>
          <cell r="M419" t="str">
            <v>V74</v>
          </cell>
          <cell r="N419">
            <v>0</v>
          </cell>
          <cell r="O419">
            <v>-1</v>
          </cell>
          <cell r="P419">
            <v>0</v>
          </cell>
          <cell r="Q419">
            <v>2004</v>
          </cell>
          <cell r="R419" t="str">
            <v>DEARBORN PLANT BUILD</v>
          </cell>
          <cell r="S419" t="str">
            <v>P221/P397</v>
          </cell>
          <cell r="T419" t="str">
            <v>SEATS</v>
          </cell>
          <cell r="U419" t="str">
            <v>RECLINER LEVER, LOOSE</v>
          </cell>
          <cell r="V419" t="str">
            <v>ALL</v>
          </cell>
          <cell r="W419">
            <v>2</v>
          </cell>
          <cell r="Z419">
            <v>1</v>
          </cell>
          <cell r="AA419">
            <v>1</v>
          </cell>
        </row>
        <row r="420">
          <cell r="A420">
            <v>0</v>
          </cell>
          <cell r="B420" t="str">
            <v>ALL VRTS</v>
          </cell>
          <cell r="D420">
            <v>23</v>
          </cell>
          <cell r="I420" t="str">
            <v>S52</v>
          </cell>
          <cell r="L420" t="str">
            <v>V03</v>
          </cell>
          <cell r="N420">
            <v>0</v>
          </cell>
          <cell r="O420">
            <v>-1</v>
          </cell>
          <cell r="P420">
            <v>0</v>
          </cell>
          <cell r="Q420">
            <v>2004</v>
          </cell>
          <cell r="R420" t="str">
            <v>DEARBORN PLANT BUILD</v>
          </cell>
          <cell r="S420" t="str">
            <v>P221/P397</v>
          </cell>
          <cell r="T420" t="str">
            <v>SEATS</v>
          </cell>
          <cell r="U420" t="str">
            <v>CUSHION COVER DEFECTIVE L/F</v>
          </cell>
          <cell r="V420" t="str">
            <v>ALL</v>
          </cell>
          <cell r="W420">
            <v>1</v>
          </cell>
          <cell r="AE420">
            <v>1</v>
          </cell>
        </row>
        <row r="421">
          <cell r="A421">
            <v>0</v>
          </cell>
          <cell r="B421" t="str">
            <v>ALL VRTS</v>
          </cell>
          <cell r="D421">
            <v>23</v>
          </cell>
          <cell r="I421" t="str">
            <v>S50</v>
          </cell>
          <cell r="L421" t="str">
            <v>V03</v>
          </cell>
          <cell r="N421">
            <v>0</v>
          </cell>
          <cell r="O421">
            <v>-1</v>
          </cell>
          <cell r="P421">
            <v>0</v>
          </cell>
          <cell r="Q421">
            <v>2004</v>
          </cell>
          <cell r="R421" t="str">
            <v>DEARBORN PLANT BUILD</v>
          </cell>
          <cell r="S421" t="str">
            <v>P221/P397</v>
          </cell>
          <cell r="T421" t="str">
            <v>SEATS</v>
          </cell>
          <cell r="U421" t="str">
            <v>CUSHION COVER LOOSE L/R &amp; R/R</v>
          </cell>
          <cell r="V421" t="str">
            <v>ALL</v>
          </cell>
          <cell r="W421">
            <v>1</v>
          </cell>
          <cell r="AD421">
            <v>1</v>
          </cell>
        </row>
        <row r="422">
          <cell r="A422">
            <v>0</v>
          </cell>
          <cell r="B422" t="str">
            <v>ALL VRTS</v>
          </cell>
          <cell r="D422">
            <v>23</v>
          </cell>
          <cell r="E422" t="str">
            <v>6530</v>
          </cell>
          <cell r="G422" t="str">
            <v>C5W02R</v>
          </cell>
          <cell r="I422" t="str">
            <v>S52</v>
          </cell>
          <cell r="L422" t="str">
            <v>V03</v>
          </cell>
          <cell r="N422">
            <v>0</v>
          </cell>
          <cell r="O422">
            <v>0</v>
          </cell>
          <cell r="P422">
            <v>-1</v>
          </cell>
          <cell r="Q422">
            <v>2004</v>
          </cell>
          <cell r="R422" t="str">
            <v>DEARBORN PLANT BUILD</v>
          </cell>
          <cell r="S422" t="str">
            <v>P221/P397</v>
          </cell>
          <cell r="T422" t="str">
            <v>SEATS</v>
          </cell>
          <cell r="U422" t="str">
            <v>CUSHION COVER TORN L/R</v>
          </cell>
          <cell r="V422" t="str">
            <v>ALL</v>
          </cell>
          <cell r="W422">
            <v>1</v>
          </cell>
          <cell r="AD422">
            <v>1</v>
          </cell>
        </row>
        <row r="423">
          <cell r="A423">
            <v>0</v>
          </cell>
          <cell r="B423" t="str">
            <v>ALL VRTS</v>
          </cell>
          <cell r="D423">
            <v>23</v>
          </cell>
          <cell r="I423" t="str">
            <v>S55</v>
          </cell>
          <cell r="L423" t="str">
            <v>V03</v>
          </cell>
          <cell r="N423">
            <v>0</v>
          </cell>
          <cell r="O423">
            <v>-1</v>
          </cell>
          <cell r="P423">
            <v>-1</v>
          </cell>
          <cell r="Q423">
            <v>2004</v>
          </cell>
          <cell r="R423" t="str">
            <v>DEARBORN PLANT BUILD</v>
          </cell>
          <cell r="S423" t="str">
            <v>P221/P397</v>
          </cell>
          <cell r="T423" t="str">
            <v>SEATS</v>
          </cell>
          <cell r="U423" t="str">
            <v>CUSHION COVER TORN R/F</v>
          </cell>
          <cell r="V423" t="str">
            <v>ALL</v>
          </cell>
          <cell r="W423">
            <v>1</v>
          </cell>
          <cell r="AD423">
            <v>1</v>
          </cell>
        </row>
        <row r="424">
          <cell r="A424">
            <v>0</v>
          </cell>
          <cell r="B424" t="str">
            <v>ALL VRTS</v>
          </cell>
          <cell r="D424">
            <v>23</v>
          </cell>
          <cell r="I424" t="str">
            <v>S50</v>
          </cell>
          <cell r="L424" t="str">
            <v>V03</v>
          </cell>
          <cell r="N424">
            <v>0</v>
          </cell>
          <cell r="O424">
            <v>-1</v>
          </cell>
          <cell r="P424">
            <v>0</v>
          </cell>
          <cell r="Q424">
            <v>2004</v>
          </cell>
          <cell r="R424" t="str">
            <v>DEARBORN PLANT BUILD</v>
          </cell>
          <cell r="S424" t="str">
            <v>P221/P397</v>
          </cell>
          <cell r="T424" t="str">
            <v>SEATS</v>
          </cell>
          <cell r="U424" t="str">
            <v>CUSHION LOOSE-L/F</v>
          </cell>
          <cell r="V424" t="str">
            <v>ALL</v>
          </cell>
          <cell r="W424">
            <v>1</v>
          </cell>
          <cell r="Z424">
            <v>1</v>
          </cell>
        </row>
        <row r="425">
          <cell r="A425">
            <v>0</v>
          </cell>
          <cell r="B425" t="str">
            <v>ALL VRTS</v>
          </cell>
          <cell r="D425">
            <v>23</v>
          </cell>
          <cell r="I425" t="str">
            <v>S53</v>
          </cell>
          <cell r="L425" t="str">
            <v>V03</v>
          </cell>
          <cell r="N425">
            <v>0</v>
          </cell>
          <cell r="O425">
            <v>-1</v>
          </cell>
          <cell r="P425">
            <v>0</v>
          </cell>
          <cell r="Q425">
            <v>2004</v>
          </cell>
          <cell r="R425" t="str">
            <v>DEARBORN PLANT BUILD</v>
          </cell>
          <cell r="S425" t="str">
            <v>P221/P397</v>
          </cell>
          <cell r="T425" t="str">
            <v>SEATS</v>
          </cell>
          <cell r="U425" t="str">
            <v>CUSHION,COVER-DISCOLORED R/F</v>
          </cell>
          <cell r="V425" t="str">
            <v>ALL</v>
          </cell>
          <cell r="W425">
            <v>1</v>
          </cell>
          <cell r="AA425">
            <v>1</v>
          </cell>
        </row>
        <row r="426">
          <cell r="A426">
            <v>0</v>
          </cell>
          <cell r="B426" t="str">
            <v>ALL VRTS</v>
          </cell>
          <cell r="D426">
            <v>23</v>
          </cell>
          <cell r="I426" t="str">
            <v>S15</v>
          </cell>
          <cell r="L426" t="str">
            <v>V03</v>
          </cell>
          <cell r="N426">
            <v>0</v>
          </cell>
          <cell r="O426">
            <v>-1</v>
          </cell>
          <cell r="P426">
            <v>0</v>
          </cell>
          <cell r="Q426">
            <v>2004</v>
          </cell>
          <cell r="R426" t="str">
            <v>DEARBORN PLANT BUILD</v>
          </cell>
          <cell r="S426" t="str">
            <v>P221/P397</v>
          </cell>
          <cell r="T426" t="str">
            <v>SEATS</v>
          </cell>
          <cell r="U426" t="str">
            <v>DSM FAILED</v>
          </cell>
          <cell r="V426" t="str">
            <v>ALL</v>
          </cell>
          <cell r="W426">
            <v>1</v>
          </cell>
          <cell r="AB426">
            <v>1</v>
          </cell>
        </row>
        <row r="427">
          <cell r="A427">
            <v>0</v>
          </cell>
          <cell r="B427" t="str">
            <v>ALL VRTS</v>
          </cell>
          <cell r="D427">
            <v>23</v>
          </cell>
          <cell r="I427" t="str">
            <v>S50</v>
          </cell>
          <cell r="L427" t="str">
            <v>V03</v>
          </cell>
          <cell r="N427">
            <v>0</v>
          </cell>
          <cell r="O427">
            <v>-1</v>
          </cell>
          <cell r="P427">
            <v>0</v>
          </cell>
          <cell r="Q427">
            <v>2004</v>
          </cell>
          <cell r="R427" t="str">
            <v>DEARBORN PLANT BUILD</v>
          </cell>
          <cell r="S427" t="str">
            <v>P221/P397</v>
          </cell>
          <cell r="T427" t="str">
            <v>SEATS</v>
          </cell>
          <cell r="U427" t="str">
            <v>HEADRESTS</v>
          </cell>
          <cell r="V427" t="str">
            <v>ALL</v>
          </cell>
          <cell r="W427">
            <v>1</v>
          </cell>
          <cell r="AD427">
            <v>1</v>
          </cell>
        </row>
        <row r="428">
          <cell r="A428">
            <v>0</v>
          </cell>
          <cell r="B428" t="str">
            <v>ALL VRTS</v>
          </cell>
          <cell r="D428">
            <v>23</v>
          </cell>
          <cell r="I428" t="str">
            <v>S50</v>
          </cell>
          <cell r="L428" t="str">
            <v>V03</v>
          </cell>
          <cell r="N428">
            <v>0</v>
          </cell>
          <cell r="O428">
            <v>-1</v>
          </cell>
          <cell r="P428">
            <v>0</v>
          </cell>
          <cell r="Q428">
            <v>2004</v>
          </cell>
          <cell r="R428" t="str">
            <v>DEARBORN PLANT BUILD</v>
          </cell>
          <cell r="S428" t="str">
            <v>P221/P397</v>
          </cell>
          <cell r="T428" t="str">
            <v>SEATS</v>
          </cell>
          <cell r="U428" t="str">
            <v>HOGRING,LF BACK</v>
          </cell>
          <cell r="V428" t="str">
            <v>ALL</v>
          </cell>
          <cell r="W428">
            <v>1</v>
          </cell>
          <cell r="AC428">
            <v>1</v>
          </cell>
        </row>
        <row r="429">
          <cell r="A429">
            <v>0</v>
          </cell>
          <cell r="B429" t="str">
            <v>ALL VRTS</v>
          </cell>
          <cell r="D429">
            <v>23</v>
          </cell>
          <cell r="I429" t="str">
            <v>T55</v>
          </cell>
          <cell r="L429" t="str">
            <v>V74</v>
          </cell>
          <cell r="N429">
            <v>0</v>
          </cell>
          <cell r="O429">
            <v>-1</v>
          </cell>
          <cell r="P429">
            <v>0</v>
          </cell>
          <cell r="Q429">
            <v>2004</v>
          </cell>
          <cell r="R429" t="str">
            <v>DEARBORN PLANT BUILD</v>
          </cell>
          <cell r="S429" t="str">
            <v>P221/P397</v>
          </cell>
          <cell r="T429" t="str">
            <v>SEATS</v>
          </cell>
          <cell r="U429" t="str">
            <v>LOOSE TRIM L/F</v>
          </cell>
          <cell r="V429" t="str">
            <v>ALL</v>
          </cell>
          <cell r="W429">
            <v>1</v>
          </cell>
          <cell r="AB429">
            <v>1</v>
          </cell>
        </row>
        <row r="430">
          <cell r="A430">
            <v>0</v>
          </cell>
          <cell r="B430" t="str">
            <v>ALL VRTS</v>
          </cell>
          <cell r="D430">
            <v>23</v>
          </cell>
          <cell r="I430" t="str">
            <v>S03</v>
          </cell>
          <cell r="L430" t="str">
            <v>V03</v>
          </cell>
          <cell r="N430">
            <v>0</v>
          </cell>
          <cell r="O430">
            <v>-1</v>
          </cell>
          <cell r="P430">
            <v>0</v>
          </cell>
          <cell r="Q430">
            <v>2004</v>
          </cell>
          <cell r="R430" t="str">
            <v>DEARBORN PLANT BUILD</v>
          </cell>
          <cell r="S430" t="str">
            <v>P221/P397</v>
          </cell>
          <cell r="T430" t="str">
            <v>SEATS</v>
          </cell>
          <cell r="U430" t="str">
            <v>MIDDLE,SPACERS MISSING</v>
          </cell>
          <cell r="V430" t="str">
            <v>ALL</v>
          </cell>
          <cell r="W430">
            <v>1</v>
          </cell>
          <cell r="AB430">
            <v>1</v>
          </cell>
        </row>
        <row r="431">
          <cell r="A431">
            <v>0</v>
          </cell>
          <cell r="B431" t="str">
            <v>ALL VRTS</v>
          </cell>
          <cell r="D431">
            <v>23</v>
          </cell>
          <cell r="I431" t="str">
            <v>S52</v>
          </cell>
          <cell r="L431" t="str">
            <v>V03</v>
          </cell>
          <cell r="N431">
            <v>0</v>
          </cell>
          <cell r="O431">
            <v>-1</v>
          </cell>
          <cell r="P431">
            <v>0</v>
          </cell>
          <cell r="Q431">
            <v>2004</v>
          </cell>
          <cell r="R431" t="str">
            <v>DEARBORN PLANT BUILD</v>
          </cell>
          <cell r="S431" t="str">
            <v>P221/P397</v>
          </cell>
          <cell r="T431" t="str">
            <v>SEATS</v>
          </cell>
          <cell r="U431" t="str">
            <v>STITCHING LOOSE,BACKS L/F&amp;R/F</v>
          </cell>
          <cell r="V431" t="str">
            <v>ALL</v>
          </cell>
          <cell r="W431">
            <v>1</v>
          </cell>
          <cell r="AB431">
            <v>1</v>
          </cell>
        </row>
        <row r="432">
          <cell r="A432">
            <v>0</v>
          </cell>
          <cell r="B432" t="str">
            <v>ALL VRTS</v>
          </cell>
          <cell r="D432">
            <v>23</v>
          </cell>
          <cell r="I432" t="str">
            <v>T53</v>
          </cell>
          <cell r="L432" t="str">
            <v>V74</v>
          </cell>
          <cell r="N432">
            <v>0</v>
          </cell>
          <cell r="O432">
            <v>-1</v>
          </cell>
          <cell r="P432">
            <v>0</v>
          </cell>
          <cell r="Q432">
            <v>2004</v>
          </cell>
          <cell r="R432" t="str">
            <v>DEARBORN PLANT BUILD</v>
          </cell>
          <cell r="S432" t="str">
            <v>P221/P397</v>
          </cell>
          <cell r="T432" t="str">
            <v>SEATS</v>
          </cell>
          <cell r="U432" t="str">
            <v>TRIM</v>
          </cell>
          <cell r="V432" t="str">
            <v>ALL</v>
          </cell>
          <cell r="W432">
            <v>1</v>
          </cell>
          <cell r="AC432">
            <v>1</v>
          </cell>
        </row>
        <row r="433">
          <cell r="A433">
            <v>0</v>
          </cell>
          <cell r="B433" t="str">
            <v>ALL VRTS</v>
          </cell>
          <cell r="D433">
            <v>23</v>
          </cell>
          <cell r="E433" t="str">
            <v>unsure</v>
          </cell>
          <cell r="G433" t="str">
            <v>C1E35F</v>
          </cell>
          <cell r="I433" t="str">
            <v>N50</v>
          </cell>
          <cell r="J433" t="str">
            <v>N59</v>
          </cell>
          <cell r="L433" t="str">
            <v>V39</v>
          </cell>
          <cell r="N433">
            <v>0</v>
          </cell>
          <cell r="O433">
            <v>0</v>
          </cell>
          <cell r="P433">
            <v>-1</v>
          </cell>
          <cell r="Q433">
            <v>2004</v>
          </cell>
          <cell r="R433" t="str">
            <v>DEARBORN PLANT BUILD</v>
          </cell>
          <cell r="S433" t="str">
            <v>P221/P397</v>
          </cell>
          <cell r="T433" t="str">
            <v>Squeak/Rattle Vehicle Exterior Front</v>
          </cell>
          <cell r="U433" t="str">
            <v>Hub Acu. Not installed correctly</v>
          </cell>
          <cell r="V433" t="str">
            <v>ALL</v>
          </cell>
          <cell r="W433">
            <v>11</v>
          </cell>
          <cell r="Z433">
            <v>1</v>
          </cell>
          <cell r="AA433">
            <v>3</v>
          </cell>
          <cell r="AB433">
            <v>1</v>
          </cell>
          <cell r="AC433">
            <v>1</v>
          </cell>
          <cell r="AD433">
            <v>4</v>
          </cell>
          <cell r="AE433">
            <v>1</v>
          </cell>
        </row>
        <row r="434">
          <cell r="A434">
            <v>0</v>
          </cell>
          <cell r="B434" t="str">
            <v>ALL VRTS</v>
          </cell>
          <cell r="D434">
            <v>23</v>
          </cell>
          <cell r="I434" t="str">
            <v>N51</v>
          </cell>
          <cell r="L434" t="str">
            <v>V39</v>
          </cell>
          <cell r="N434">
            <v>0</v>
          </cell>
          <cell r="O434">
            <v>0</v>
          </cell>
          <cell r="P434">
            <v>-1</v>
          </cell>
          <cell r="Q434">
            <v>2004</v>
          </cell>
          <cell r="R434" t="str">
            <v>DEARBORN PLANT BUILD</v>
          </cell>
          <cell r="S434" t="str">
            <v>P221/P397</v>
          </cell>
          <cell r="T434" t="str">
            <v>Squeak/Rattle Vehicle Exterior Front</v>
          </cell>
          <cell r="U434" t="str">
            <v>Driveshaft Dust Shield Cover mis-position</v>
          </cell>
          <cell r="V434" t="str">
            <v>ALL</v>
          </cell>
          <cell r="W434">
            <v>2</v>
          </cell>
          <cell r="AE434">
            <v>2</v>
          </cell>
        </row>
        <row r="435">
          <cell r="A435">
            <v>0</v>
          </cell>
          <cell r="B435" t="str">
            <v>ALL VRTS</v>
          </cell>
          <cell r="D435">
            <v>23</v>
          </cell>
          <cell r="I435" t="str">
            <v>N50</v>
          </cell>
          <cell r="L435" t="str">
            <v>V39</v>
          </cell>
          <cell r="N435">
            <v>0</v>
          </cell>
          <cell r="O435">
            <v>0</v>
          </cell>
          <cell r="P435">
            <v>-1</v>
          </cell>
          <cell r="Q435">
            <v>2004</v>
          </cell>
          <cell r="R435" t="str">
            <v>DEARBORN PLANT BUILD</v>
          </cell>
          <cell r="S435" t="str">
            <v>P221/P397</v>
          </cell>
          <cell r="T435" t="str">
            <v>Squeak/Rattle Vehicle Exterior Front</v>
          </cell>
          <cell r="U435" t="str">
            <v>Swaybar Link Lse</v>
          </cell>
          <cell r="V435" t="str">
            <v>ALL</v>
          </cell>
          <cell r="W435">
            <v>2</v>
          </cell>
          <cell r="AE435">
            <v>2</v>
          </cell>
        </row>
        <row r="436">
          <cell r="A436">
            <v>0</v>
          </cell>
          <cell r="B436" t="str">
            <v>ALL VRTS</v>
          </cell>
          <cell r="D436">
            <v>23</v>
          </cell>
          <cell r="I436" t="str">
            <v>N50</v>
          </cell>
          <cell r="L436" t="str">
            <v>V39</v>
          </cell>
          <cell r="N436">
            <v>0</v>
          </cell>
          <cell r="O436">
            <v>-1</v>
          </cell>
          <cell r="P436">
            <v>0</v>
          </cell>
          <cell r="Q436">
            <v>2004</v>
          </cell>
          <cell r="R436" t="str">
            <v>DEARBORN PLANT BUILD</v>
          </cell>
          <cell r="S436" t="str">
            <v>P221/P397</v>
          </cell>
          <cell r="T436" t="str">
            <v>Squeak/Rattle Vehicle Exterior Front</v>
          </cell>
          <cell r="U436" t="str">
            <v>Cat Converter replaced, rattle internal</v>
          </cell>
          <cell r="V436" t="str">
            <v>ALL</v>
          </cell>
          <cell r="W436">
            <v>1</v>
          </cell>
          <cell r="Z436">
            <v>1</v>
          </cell>
        </row>
        <row r="437">
          <cell r="A437">
            <v>0</v>
          </cell>
          <cell r="B437" t="str">
            <v>ALL VRTS</v>
          </cell>
          <cell r="D437">
            <v>23</v>
          </cell>
          <cell r="I437" t="str">
            <v>N50</v>
          </cell>
          <cell r="L437" t="str">
            <v>V39</v>
          </cell>
          <cell r="N437">
            <v>0</v>
          </cell>
          <cell r="O437">
            <v>0</v>
          </cell>
          <cell r="P437">
            <v>-1</v>
          </cell>
          <cell r="Q437">
            <v>2004</v>
          </cell>
          <cell r="R437" t="str">
            <v>DEARBORN PLANT BUILD</v>
          </cell>
          <cell r="S437" t="str">
            <v>P221/P397</v>
          </cell>
          <cell r="T437" t="str">
            <v>Squeak/Rattle Vehicle Exterior Front</v>
          </cell>
          <cell r="U437" t="str">
            <v>Diff. Frt Loose</v>
          </cell>
          <cell r="V437" t="str">
            <v>ALL</v>
          </cell>
          <cell r="W437">
            <v>1</v>
          </cell>
          <cell r="AC437">
            <v>1</v>
          </cell>
        </row>
        <row r="438">
          <cell r="A438">
            <v>0</v>
          </cell>
          <cell r="B438" t="str">
            <v>ALL VRTS</v>
          </cell>
          <cell r="D438">
            <v>23</v>
          </cell>
          <cell r="I438" t="str">
            <v>N50</v>
          </cell>
          <cell r="L438" t="str">
            <v>V39</v>
          </cell>
          <cell r="N438">
            <v>0</v>
          </cell>
          <cell r="O438">
            <v>0</v>
          </cell>
          <cell r="P438">
            <v>-1</v>
          </cell>
          <cell r="Q438">
            <v>2004</v>
          </cell>
          <cell r="R438" t="str">
            <v>DEARBORN PLANT BUILD</v>
          </cell>
          <cell r="S438" t="str">
            <v>P221/P397</v>
          </cell>
          <cell r="T438" t="str">
            <v>Squeak/Rattle Vehicle Exterior Front</v>
          </cell>
          <cell r="U438" t="str">
            <v>Engine Snorkle N/Seated</v>
          </cell>
          <cell r="V438" t="str">
            <v>ALL</v>
          </cell>
          <cell r="W438">
            <v>1</v>
          </cell>
          <cell r="AD438">
            <v>1</v>
          </cell>
        </row>
        <row r="439">
          <cell r="A439">
            <v>0</v>
          </cell>
          <cell r="B439" t="str">
            <v>ALL VRTS</v>
          </cell>
          <cell r="D439">
            <v>23</v>
          </cell>
          <cell r="I439" t="str">
            <v>N42</v>
          </cell>
          <cell r="L439" t="str">
            <v>V39</v>
          </cell>
          <cell r="N439">
            <v>0</v>
          </cell>
          <cell r="O439">
            <v>0</v>
          </cell>
          <cell r="P439">
            <v>-1</v>
          </cell>
          <cell r="Q439">
            <v>2004</v>
          </cell>
          <cell r="R439" t="str">
            <v>DEARBORN PLANT BUILD</v>
          </cell>
          <cell r="S439" t="str">
            <v>P221/P397</v>
          </cell>
          <cell r="T439" t="str">
            <v>Squeak/Rattle Vehicle Exterior Front</v>
          </cell>
          <cell r="U439" t="str">
            <v>Exhaust Misalign</v>
          </cell>
          <cell r="V439" t="str">
            <v>ALL</v>
          </cell>
          <cell r="W439">
            <v>1</v>
          </cell>
          <cell r="AC439">
            <v>1</v>
          </cell>
        </row>
        <row r="440">
          <cell r="A440">
            <v>0</v>
          </cell>
          <cell r="B440" t="str">
            <v>ALL VRTS</v>
          </cell>
          <cell r="D440">
            <v>23</v>
          </cell>
          <cell r="I440" t="str">
            <v>N59</v>
          </cell>
          <cell r="L440" t="str">
            <v>V39</v>
          </cell>
          <cell r="N440">
            <v>0</v>
          </cell>
          <cell r="O440">
            <v>0</v>
          </cell>
          <cell r="P440">
            <v>-1</v>
          </cell>
          <cell r="Q440">
            <v>2004</v>
          </cell>
          <cell r="R440" t="str">
            <v>DEARBORN PLANT BUILD</v>
          </cell>
          <cell r="S440" t="str">
            <v>P221/P397</v>
          </cell>
          <cell r="T440" t="str">
            <v>Squeak/Rattle Vehicle Exterior Front</v>
          </cell>
          <cell r="U440" t="str">
            <v>Radiator Air Shield Not Seated</v>
          </cell>
          <cell r="V440" t="str">
            <v>ALL</v>
          </cell>
          <cell r="W440">
            <v>1</v>
          </cell>
          <cell r="AB440">
            <v>1</v>
          </cell>
        </row>
        <row r="441">
          <cell r="A441">
            <v>0</v>
          </cell>
          <cell r="B441" t="str">
            <v>ALL VRTS</v>
          </cell>
          <cell r="D441">
            <v>23</v>
          </cell>
          <cell r="I441" t="str">
            <v>N50</v>
          </cell>
          <cell r="L441" t="str">
            <v>V39</v>
          </cell>
          <cell r="N441">
            <v>0</v>
          </cell>
          <cell r="O441">
            <v>-1</v>
          </cell>
          <cell r="P441">
            <v>0</v>
          </cell>
          <cell r="Q441">
            <v>2004</v>
          </cell>
          <cell r="R441" t="str">
            <v>DEARBORN PLANT BUILD</v>
          </cell>
          <cell r="S441" t="str">
            <v>P221/P397</v>
          </cell>
          <cell r="T441" t="str">
            <v>Squeak/Rattle Vehicle Exterior Front</v>
          </cell>
          <cell r="U441" t="str">
            <v>Spring Muffler - Lubed</v>
          </cell>
          <cell r="V441" t="str">
            <v>ALL</v>
          </cell>
          <cell r="W441">
            <v>1</v>
          </cell>
          <cell r="AD441">
            <v>1</v>
          </cell>
        </row>
        <row r="442">
          <cell r="A442">
            <v>0</v>
          </cell>
          <cell r="B442" t="str">
            <v>ALL VRTS</v>
          </cell>
          <cell r="D442">
            <v>23</v>
          </cell>
          <cell r="E442" t="str">
            <v>unsure</v>
          </cell>
          <cell r="G442" t="str">
            <v>CEW20R</v>
          </cell>
          <cell r="I442" t="str">
            <v>N50</v>
          </cell>
          <cell r="L442" t="str">
            <v>V39</v>
          </cell>
          <cell r="N442">
            <v>0</v>
          </cell>
          <cell r="O442">
            <v>0</v>
          </cell>
          <cell r="P442">
            <v>-1</v>
          </cell>
          <cell r="Q442">
            <v>2004</v>
          </cell>
          <cell r="R442" t="str">
            <v>DEARBORN PLANT BUILD</v>
          </cell>
          <cell r="S442" t="str">
            <v>P221/P397</v>
          </cell>
          <cell r="T442" t="str">
            <v>Squeak/Rattle Vehicle Exterior Front</v>
          </cell>
          <cell r="U442" t="str">
            <v>Starter Rattle</v>
          </cell>
          <cell r="V442" t="str">
            <v>ALL</v>
          </cell>
          <cell r="W442">
            <v>1</v>
          </cell>
          <cell r="AB442">
            <v>1</v>
          </cell>
        </row>
        <row r="443">
          <cell r="A443">
            <v>0</v>
          </cell>
          <cell r="B443" t="str">
            <v>ALL VRTS</v>
          </cell>
          <cell r="D443">
            <v>23</v>
          </cell>
          <cell r="I443" t="str">
            <v>N51</v>
          </cell>
          <cell r="L443" t="str">
            <v>V39</v>
          </cell>
          <cell r="N443">
            <v>0</v>
          </cell>
          <cell r="O443">
            <v>0</v>
          </cell>
          <cell r="P443">
            <v>-1</v>
          </cell>
          <cell r="Q443">
            <v>2004</v>
          </cell>
          <cell r="R443" t="str">
            <v>DEARBORN PLANT BUILD</v>
          </cell>
          <cell r="S443" t="str">
            <v>P221/P397</v>
          </cell>
          <cell r="T443" t="str">
            <v>Squeak/Rattle Vehicle Exterior Front</v>
          </cell>
          <cell r="U443" t="str">
            <v>Transfer Case Rattle</v>
          </cell>
          <cell r="V443" t="str">
            <v>ALL</v>
          </cell>
          <cell r="W443">
            <v>1</v>
          </cell>
          <cell r="AC443">
            <v>1</v>
          </cell>
        </row>
        <row r="444">
          <cell r="A444">
            <v>0</v>
          </cell>
          <cell r="B444" t="str">
            <v>ALL VRTS</v>
          </cell>
          <cell r="D444">
            <v>23</v>
          </cell>
          <cell r="I444" t="str">
            <v>T51</v>
          </cell>
          <cell r="L444" t="str">
            <v>V74</v>
          </cell>
          <cell r="N444">
            <v>0</v>
          </cell>
          <cell r="O444">
            <v>-1</v>
          </cell>
          <cell r="P444">
            <v>0</v>
          </cell>
          <cell r="Q444">
            <v>2004</v>
          </cell>
          <cell r="R444" t="str">
            <v>DEARBORN PLANT BUILD</v>
          </cell>
          <cell r="S444" t="str">
            <v>P221/P397</v>
          </cell>
          <cell r="T444" t="str">
            <v>SUNVISOR/DEFECTIVE</v>
          </cell>
          <cell r="U444" t="str">
            <v>SEAM SPLITTING</v>
          </cell>
          <cell r="V444" t="str">
            <v>ALL</v>
          </cell>
          <cell r="W444">
            <v>6</v>
          </cell>
          <cell r="AB444">
            <v>1</v>
          </cell>
          <cell r="AC444">
            <v>2</v>
          </cell>
          <cell r="AD444">
            <v>1</v>
          </cell>
          <cell r="AE444">
            <v>2</v>
          </cell>
        </row>
        <row r="445">
          <cell r="A445">
            <v>0</v>
          </cell>
          <cell r="B445" t="str">
            <v>ALL VRTS</v>
          </cell>
          <cell r="D445">
            <v>23</v>
          </cell>
          <cell r="E445" t="str">
            <v>5510</v>
          </cell>
          <cell r="G445" t="str">
            <v>T2W33L</v>
          </cell>
          <cell r="H445" t="str">
            <v>T2E34R</v>
          </cell>
          <cell r="I445" t="str">
            <v>T51</v>
          </cell>
          <cell r="L445" t="str">
            <v>V74</v>
          </cell>
          <cell r="N445">
            <v>0</v>
          </cell>
          <cell r="O445">
            <v>-1</v>
          </cell>
          <cell r="P445">
            <v>-1</v>
          </cell>
          <cell r="Q445">
            <v>2004</v>
          </cell>
          <cell r="R445" t="str">
            <v>DEARBORN PLANT BUILD</v>
          </cell>
          <cell r="S445" t="str">
            <v>P221/P397</v>
          </cell>
          <cell r="T445" t="str">
            <v>SUNVISOR/DEFECTIVE</v>
          </cell>
          <cell r="U445" t="str">
            <v>TORN</v>
          </cell>
          <cell r="V445" t="str">
            <v>ALL</v>
          </cell>
          <cell r="W445">
            <v>6</v>
          </cell>
          <cell r="AC445">
            <v>2</v>
          </cell>
          <cell r="AD445">
            <v>1</v>
          </cell>
          <cell r="AE445">
            <v>3</v>
          </cell>
        </row>
        <row r="446">
          <cell r="A446">
            <v>0</v>
          </cell>
          <cell r="B446" t="str">
            <v>ALL VRTS</v>
          </cell>
          <cell r="D446">
            <v>23</v>
          </cell>
          <cell r="E446" t="str">
            <v>5510</v>
          </cell>
          <cell r="G446" t="str">
            <v>T2W33L</v>
          </cell>
          <cell r="I446" t="str">
            <v>T51</v>
          </cell>
          <cell r="L446" t="str">
            <v>V74</v>
          </cell>
          <cell r="N446">
            <v>0</v>
          </cell>
          <cell r="O446">
            <v>-1</v>
          </cell>
          <cell r="P446">
            <v>0</v>
          </cell>
          <cell r="Q446">
            <v>2004</v>
          </cell>
          <cell r="R446" t="str">
            <v>DEARBORN PLANT BUILD</v>
          </cell>
          <cell r="S446" t="str">
            <v>P221/P397</v>
          </cell>
          <cell r="T446" t="str">
            <v>SUNVISOR/DEFECTIVE</v>
          </cell>
          <cell r="U446" t="str">
            <v>DEFECTIVE</v>
          </cell>
          <cell r="V446" t="str">
            <v>ALL</v>
          </cell>
          <cell r="W446">
            <v>3</v>
          </cell>
          <cell r="AD446">
            <v>2</v>
          </cell>
          <cell r="AE446">
            <v>1</v>
          </cell>
        </row>
        <row r="447">
          <cell r="A447">
            <v>0</v>
          </cell>
          <cell r="B447" t="str">
            <v>ALL VRTS</v>
          </cell>
          <cell r="D447">
            <v>23</v>
          </cell>
          <cell r="E447" t="str">
            <v>5510</v>
          </cell>
          <cell r="G447" t="str">
            <v>T2E34R</v>
          </cell>
          <cell r="I447" t="str">
            <v>T51</v>
          </cell>
          <cell r="L447" t="str">
            <v>V74</v>
          </cell>
          <cell r="N447">
            <v>0</v>
          </cell>
          <cell r="O447">
            <v>-1</v>
          </cell>
          <cell r="P447">
            <v>-1</v>
          </cell>
          <cell r="Q447">
            <v>2004</v>
          </cell>
          <cell r="R447" t="str">
            <v>DEARBORN PLANT BUILD</v>
          </cell>
          <cell r="S447" t="str">
            <v>P221/P397</v>
          </cell>
          <cell r="T447" t="str">
            <v>SUNVISOR/DEFECTIVE</v>
          </cell>
          <cell r="U447" t="str">
            <v>BLEMISH/MARRED</v>
          </cell>
          <cell r="V447" t="str">
            <v>ALL</v>
          </cell>
          <cell r="W447">
            <v>1</v>
          </cell>
          <cell r="AC447">
            <v>1</v>
          </cell>
        </row>
        <row r="448">
          <cell r="A448">
            <v>0</v>
          </cell>
          <cell r="B448" t="str">
            <v>ALL VRTS</v>
          </cell>
          <cell r="D448">
            <v>23</v>
          </cell>
          <cell r="E448" t="str">
            <v>5510</v>
          </cell>
          <cell r="G448" t="str">
            <v>T2E34R</v>
          </cell>
          <cell r="I448" t="str">
            <v>T51</v>
          </cell>
          <cell r="L448" t="str">
            <v>V74</v>
          </cell>
          <cell r="N448">
            <v>0</v>
          </cell>
          <cell r="O448">
            <v>0</v>
          </cell>
          <cell r="P448">
            <v>-1</v>
          </cell>
          <cell r="Q448">
            <v>2004</v>
          </cell>
          <cell r="R448" t="str">
            <v>DEARBORN PLANT BUILD</v>
          </cell>
          <cell r="S448" t="str">
            <v>P221/P397</v>
          </cell>
          <cell r="T448" t="str">
            <v>SUNVISOR/DEFECTIVE</v>
          </cell>
          <cell r="U448" t="str">
            <v>CLIP MISSING</v>
          </cell>
          <cell r="V448" t="str">
            <v>ALL</v>
          </cell>
          <cell r="W448">
            <v>1</v>
          </cell>
          <cell r="AD448">
            <v>1</v>
          </cell>
        </row>
        <row r="449">
          <cell r="A449">
            <v>0</v>
          </cell>
          <cell r="B449" t="str">
            <v>ALL VRTS</v>
          </cell>
          <cell r="D449">
            <v>23</v>
          </cell>
          <cell r="E449" t="str">
            <v>5510</v>
          </cell>
          <cell r="G449" t="str">
            <v>T2W33L</v>
          </cell>
          <cell r="I449" t="str">
            <v>T51</v>
          </cell>
          <cell r="L449" t="str">
            <v>V74</v>
          </cell>
          <cell r="N449">
            <v>0</v>
          </cell>
          <cell r="O449">
            <v>0</v>
          </cell>
          <cell r="P449">
            <v>-1</v>
          </cell>
          <cell r="Q449">
            <v>2004</v>
          </cell>
          <cell r="R449" t="str">
            <v>DEARBORN PLANT BUILD</v>
          </cell>
          <cell r="S449" t="str">
            <v>P221/P397</v>
          </cell>
          <cell r="T449" t="str">
            <v>SUNVISOR/DEFECTIVE</v>
          </cell>
          <cell r="U449" t="str">
            <v>DAMAGED</v>
          </cell>
          <cell r="V449" t="str">
            <v>ALL</v>
          </cell>
          <cell r="W449">
            <v>1</v>
          </cell>
          <cell r="AE449">
            <v>1</v>
          </cell>
        </row>
        <row r="450">
          <cell r="A450">
            <v>0</v>
          </cell>
          <cell r="B450" t="str">
            <v>ALL VRTS</v>
          </cell>
          <cell r="D450">
            <v>23</v>
          </cell>
          <cell r="I450" t="str">
            <v>T51</v>
          </cell>
          <cell r="L450" t="str">
            <v>V74</v>
          </cell>
          <cell r="N450">
            <v>0</v>
          </cell>
          <cell r="O450">
            <v>-1</v>
          </cell>
          <cell r="P450">
            <v>0</v>
          </cell>
          <cell r="Q450">
            <v>2004</v>
          </cell>
          <cell r="R450" t="str">
            <v>DEARBORN PLANT BUILD</v>
          </cell>
          <cell r="S450" t="str">
            <v>P221/P397</v>
          </cell>
          <cell r="T450" t="str">
            <v>SUNVISOR/DEFECTIVE</v>
          </cell>
          <cell r="U450" t="str">
            <v>HOLE</v>
          </cell>
          <cell r="V450" t="str">
            <v>ALL</v>
          </cell>
          <cell r="W450">
            <v>1</v>
          </cell>
          <cell r="AD450">
            <v>1</v>
          </cell>
        </row>
        <row r="451">
          <cell r="A451">
            <v>0</v>
          </cell>
          <cell r="B451" t="str">
            <v>ALL VRTS</v>
          </cell>
          <cell r="D451">
            <v>23</v>
          </cell>
          <cell r="E451" t="str">
            <v>5510</v>
          </cell>
          <cell r="G451" t="str">
            <v>T2E34R</v>
          </cell>
          <cell r="I451" t="str">
            <v>T51</v>
          </cell>
          <cell r="L451" t="str">
            <v>V74</v>
          </cell>
          <cell r="N451">
            <v>0</v>
          </cell>
          <cell r="O451">
            <v>0</v>
          </cell>
          <cell r="P451">
            <v>-1</v>
          </cell>
          <cell r="Q451">
            <v>2004</v>
          </cell>
          <cell r="R451" t="str">
            <v>DEARBORN PLANT BUILD</v>
          </cell>
          <cell r="S451" t="str">
            <v>P221/P397</v>
          </cell>
          <cell r="T451" t="str">
            <v>SUNVISOR/DEFECTIVE</v>
          </cell>
          <cell r="U451" t="str">
            <v>LOOSE</v>
          </cell>
          <cell r="V451" t="str">
            <v>ALL</v>
          </cell>
          <cell r="W451">
            <v>1</v>
          </cell>
          <cell r="AD451">
            <v>1</v>
          </cell>
        </row>
        <row r="452">
          <cell r="A452">
            <v>0</v>
          </cell>
          <cell r="B452" t="str">
            <v>ALL VRTS</v>
          </cell>
          <cell r="D452">
            <v>23</v>
          </cell>
          <cell r="I452" t="str">
            <v>T51</v>
          </cell>
          <cell r="L452" t="str">
            <v>V74</v>
          </cell>
          <cell r="N452">
            <v>0</v>
          </cell>
          <cell r="O452">
            <v>-1</v>
          </cell>
          <cell r="P452">
            <v>0</v>
          </cell>
          <cell r="Q452">
            <v>2004</v>
          </cell>
          <cell r="R452" t="str">
            <v>DEARBORN PLANT BUILD</v>
          </cell>
          <cell r="S452" t="str">
            <v>P221/P397</v>
          </cell>
          <cell r="T452" t="str">
            <v>SUNVISOR/DEFECTIVE</v>
          </cell>
          <cell r="U452" t="str">
            <v>MIRROR COVER</v>
          </cell>
          <cell r="V452" t="str">
            <v>ALL</v>
          </cell>
          <cell r="W452">
            <v>1</v>
          </cell>
          <cell r="AC452">
            <v>1</v>
          </cell>
        </row>
        <row r="453">
          <cell r="A453">
            <v>0</v>
          </cell>
          <cell r="B453" t="str">
            <v>ALL VRTS</v>
          </cell>
          <cell r="D453">
            <v>23</v>
          </cell>
          <cell r="E453" t="str">
            <v>5510</v>
          </cell>
          <cell r="G453" t="str">
            <v>T2W33L</v>
          </cell>
          <cell r="I453" t="str">
            <v>T51</v>
          </cell>
          <cell r="L453" t="str">
            <v>V74</v>
          </cell>
          <cell r="N453">
            <v>0</v>
          </cell>
          <cell r="O453">
            <v>-1</v>
          </cell>
          <cell r="P453">
            <v>-1</v>
          </cell>
          <cell r="Q453">
            <v>2004</v>
          </cell>
          <cell r="R453" t="str">
            <v>DEARBORN PLANT BUILD</v>
          </cell>
          <cell r="S453" t="str">
            <v>P221/P397</v>
          </cell>
          <cell r="T453" t="str">
            <v>SUNVISOR/DEFECTIVE</v>
          </cell>
          <cell r="U453" t="str">
            <v>PIN HOLE</v>
          </cell>
          <cell r="V453" t="str">
            <v>ALL</v>
          </cell>
          <cell r="W453">
            <v>1</v>
          </cell>
          <cell r="AD453">
            <v>1</v>
          </cell>
        </row>
        <row r="454">
          <cell r="A454">
            <v>0</v>
          </cell>
          <cell r="B454" t="str">
            <v>ALL VRTS</v>
          </cell>
          <cell r="D454">
            <v>23</v>
          </cell>
          <cell r="I454" t="str">
            <v>T51</v>
          </cell>
          <cell r="L454" t="str">
            <v>V74</v>
          </cell>
          <cell r="N454">
            <v>0</v>
          </cell>
          <cell r="O454">
            <v>-1</v>
          </cell>
          <cell r="P454">
            <v>0</v>
          </cell>
          <cell r="Q454">
            <v>2004</v>
          </cell>
          <cell r="R454" t="str">
            <v>DEARBORN PLANT BUILD</v>
          </cell>
          <cell r="S454" t="str">
            <v>P221/P397</v>
          </cell>
          <cell r="T454" t="str">
            <v>SUNVISOR/DEFECTIVE</v>
          </cell>
          <cell r="U454" t="str">
            <v>UNKNOWN</v>
          </cell>
          <cell r="V454" t="str">
            <v>ALL</v>
          </cell>
          <cell r="W454">
            <v>1</v>
          </cell>
          <cell r="AE454">
            <v>1</v>
          </cell>
        </row>
        <row r="455">
          <cell r="A455">
            <v>0</v>
          </cell>
          <cell r="B455" t="str">
            <v>ALL VRTS</v>
          </cell>
          <cell r="D455">
            <v>22</v>
          </cell>
          <cell r="E455" t="str">
            <v>FSELECT</v>
          </cell>
          <cell r="G455" t="str">
            <v>CFE02R</v>
          </cell>
          <cell r="I455" t="str">
            <v>K03</v>
          </cell>
          <cell r="L455" t="str">
            <v>V44</v>
          </cell>
          <cell r="N455">
            <v>0</v>
          </cell>
          <cell r="O455">
            <v>-1</v>
          </cell>
          <cell r="P455">
            <v>0</v>
          </cell>
          <cell r="Q455">
            <v>2004</v>
          </cell>
          <cell r="R455" t="str">
            <v>DEARBORN PLANT BUILD</v>
          </cell>
          <cell r="S455" t="str">
            <v>P221/P397</v>
          </cell>
          <cell r="T455" t="str">
            <v>AXLE VIBRATION</v>
          </cell>
          <cell r="U455" t="str">
            <v>Replaced rear axle</v>
          </cell>
          <cell r="V455" t="str">
            <v>ALL</v>
          </cell>
          <cell r="W455">
            <v>11</v>
          </cell>
          <cell r="Z455">
            <v>1</v>
          </cell>
          <cell r="AA455">
            <v>1</v>
          </cell>
          <cell r="AB455">
            <v>5</v>
          </cell>
          <cell r="AC455">
            <v>2</v>
          </cell>
          <cell r="AE455">
            <v>2</v>
          </cell>
        </row>
        <row r="456">
          <cell r="A456">
            <v>0</v>
          </cell>
          <cell r="B456" t="str">
            <v>ALL VRTS</v>
          </cell>
          <cell r="D456">
            <v>22</v>
          </cell>
          <cell r="I456" t="str">
            <v>K03</v>
          </cell>
          <cell r="L456" t="str">
            <v>V44</v>
          </cell>
          <cell r="N456">
            <v>0</v>
          </cell>
          <cell r="O456">
            <v>-1</v>
          </cell>
          <cell r="P456">
            <v>0</v>
          </cell>
          <cell r="Q456">
            <v>2004</v>
          </cell>
          <cell r="R456" t="str">
            <v>DEARBORN PLANT BUILD</v>
          </cell>
          <cell r="S456" t="str">
            <v>P221/P397</v>
          </cell>
          <cell r="T456" t="str">
            <v>AXLE VIBRATION</v>
          </cell>
          <cell r="U456" t="str">
            <v>Replaced Clutch Plate</v>
          </cell>
          <cell r="V456" t="str">
            <v>ALL</v>
          </cell>
          <cell r="W456">
            <v>4</v>
          </cell>
          <cell r="Y456">
            <v>1</v>
          </cell>
          <cell r="AC456">
            <v>1</v>
          </cell>
          <cell r="AD456">
            <v>2</v>
          </cell>
        </row>
        <row r="457">
          <cell r="A457">
            <v>0</v>
          </cell>
          <cell r="B457" t="str">
            <v>ALL VRTS</v>
          </cell>
          <cell r="D457">
            <v>22</v>
          </cell>
          <cell r="I457" t="str">
            <v>K03</v>
          </cell>
          <cell r="J457" t="str">
            <v>K02</v>
          </cell>
          <cell r="L457" t="str">
            <v>V44</v>
          </cell>
          <cell r="N457">
            <v>0</v>
          </cell>
          <cell r="O457">
            <v>-1</v>
          </cell>
          <cell r="P457">
            <v>0</v>
          </cell>
          <cell r="Q457">
            <v>2004</v>
          </cell>
          <cell r="R457" t="str">
            <v>DEARBORN PLANT BUILD</v>
          </cell>
          <cell r="S457" t="str">
            <v>P221/P397</v>
          </cell>
          <cell r="T457" t="str">
            <v>AXLE VIBRATION</v>
          </cell>
          <cell r="U457" t="str">
            <v>Installed Damper</v>
          </cell>
          <cell r="V457" t="str">
            <v>ALL</v>
          </cell>
          <cell r="W457">
            <v>3</v>
          </cell>
          <cell r="AC457">
            <v>1</v>
          </cell>
          <cell r="AD457">
            <v>2</v>
          </cell>
        </row>
        <row r="458">
          <cell r="A458">
            <v>0</v>
          </cell>
          <cell r="B458" t="str">
            <v>ALL VRTS</v>
          </cell>
          <cell r="D458">
            <v>22</v>
          </cell>
          <cell r="I458" t="str">
            <v>K02</v>
          </cell>
          <cell r="J458" t="str">
            <v>K03</v>
          </cell>
          <cell r="L458" t="str">
            <v>V44</v>
          </cell>
          <cell r="N458">
            <v>0</v>
          </cell>
          <cell r="O458">
            <v>-1</v>
          </cell>
          <cell r="P458">
            <v>0</v>
          </cell>
          <cell r="Q458">
            <v>2004</v>
          </cell>
          <cell r="R458" t="str">
            <v>DEARBORN PLANT BUILD</v>
          </cell>
          <cell r="S458" t="str">
            <v>P221/P397</v>
          </cell>
          <cell r="T458" t="str">
            <v>AXLE VIBRATION</v>
          </cell>
          <cell r="U458" t="str">
            <v>ring &amp; pinion replaced</v>
          </cell>
          <cell r="V458" t="str">
            <v>ALL</v>
          </cell>
          <cell r="W458">
            <v>2</v>
          </cell>
          <cell r="AD458">
            <v>1</v>
          </cell>
          <cell r="AE458">
            <v>1</v>
          </cell>
        </row>
        <row r="459">
          <cell r="A459">
            <v>0</v>
          </cell>
          <cell r="B459" t="str">
            <v>ALL VRTS</v>
          </cell>
          <cell r="D459">
            <v>22</v>
          </cell>
          <cell r="I459" t="str">
            <v>K03</v>
          </cell>
          <cell r="L459" t="str">
            <v>V44</v>
          </cell>
          <cell r="N459">
            <v>-1</v>
          </cell>
          <cell r="O459">
            <v>-1</v>
          </cell>
          <cell r="P459">
            <v>0</v>
          </cell>
          <cell r="Q459">
            <v>2004</v>
          </cell>
          <cell r="R459" t="str">
            <v>DEARBORN PLANT BUILD</v>
          </cell>
          <cell r="S459" t="str">
            <v>P221/P397</v>
          </cell>
          <cell r="T459" t="str">
            <v>AXLE VIBRATION</v>
          </cell>
          <cell r="U459" t="str">
            <v xml:space="preserve"> clutch packs defective</v>
          </cell>
          <cell r="V459" t="str">
            <v>ALL</v>
          </cell>
          <cell r="W459">
            <v>1</v>
          </cell>
          <cell r="AD459">
            <v>1</v>
          </cell>
        </row>
        <row r="460">
          <cell r="A460">
            <v>0</v>
          </cell>
          <cell r="B460" t="str">
            <v>ALL VRTS</v>
          </cell>
          <cell r="D460">
            <v>22</v>
          </cell>
          <cell r="E460" t="str">
            <v>6430</v>
          </cell>
          <cell r="G460" t="str">
            <v>C2E29FL</v>
          </cell>
          <cell r="I460" t="str">
            <v>K03</v>
          </cell>
          <cell r="L460" t="str">
            <v>V44</v>
          </cell>
          <cell r="N460">
            <v>-1</v>
          </cell>
          <cell r="O460">
            <v>0</v>
          </cell>
          <cell r="P460">
            <v>-1</v>
          </cell>
          <cell r="Q460">
            <v>2004</v>
          </cell>
          <cell r="R460" t="str">
            <v>DEARBORN PLANT BUILD</v>
          </cell>
          <cell r="S460" t="str">
            <v>P221/P397</v>
          </cell>
          <cell r="T460" t="str">
            <v>AXLE VIBRATION</v>
          </cell>
          <cell r="U460" t="str">
            <v>Neutralize Motor mounts</v>
          </cell>
          <cell r="V460" t="str">
            <v>ALL</v>
          </cell>
          <cell r="W460">
            <v>1</v>
          </cell>
          <cell r="AD460">
            <v>1</v>
          </cell>
        </row>
        <row r="461">
          <cell r="A461">
            <v>0</v>
          </cell>
          <cell r="B461" t="str">
            <v>ALL VRTS</v>
          </cell>
          <cell r="D461">
            <v>22</v>
          </cell>
          <cell r="I461" t="str">
            <v>D02</v>
          </cell>
          <cell r="L461" t="str">
            <v>V43</v>
          </cell>
          <cell r="N461">
            <v>-1</v>
          </cell>
          <cell r="O461">
            <v>-1</v>
          </cell>
          <cell r="P461">
            <v>0</v>
          </cell>
          <cell r="Q461">
            <v>2004</v>
          </cell>
          <cell r="R461" t="str">
            <v>DEARBORN PLANT BUILD</v>
          </cell>
          <cell r="S461" t="str">
            <v>P221/P397</v>
          </cell>
          <cell r="T461" t="str">
            <v>ENGINE WON'T START</v>
          </cell>
          <cell r="U461" t="str">
            <v>PCM Defective</v>
          </cell>
          <cell r="V461" t="str">
            <v>ALL</v>
          </cell>
          <cell r="W461">
            <v>4</v>
          </cell>
          <cell r="Z461">
            <v>1</v>
          </cell>
          <cell r="AA461">
            <v>1</v>
          </cell>
          <cell r="AC461">
            <v>1</v>
          </cell>
          <cell r="AD461">
            <v>1</v>
          </cell>
        </row>
        <row r="462">
          <cell r="A462">
            <v>0</v>
          </cell>
          <cell r="B462" t="str">
            <v>ALL VRTS</v>
          </cell>
          <cell r="D462">
            <v>22</v>
          </cell>
          <cell r="I462" t="str">
            <v>D02</v>
          </cell>
          <cell r="L462" t="str">
            <v>V43</v>
          </cell>
          <cell r="N462">
            <v>0</v>
          </cell>
          <cell r="O462">
            <v>-1</v>
          </cell>
          <cell r="P462">
            <v>0</v>
          </cell>
          <cell r="Q462">
            <v>2004</v>
          </cell>
          <cell r="R462" t="str">
            <v>DEARBORN PLANT BUILD</v>
          </cell>
          <cell r="S462" t="str">
            <v>P221/P397</v>
          </cell>
          <cell r="T462" t="str">
            <v>ENGINE WON'T START</v>
          </cell>
          <cell r="U462" t="str">
            <v>replaced fuel pump and driver module and fuse</v>
          </cell>
          <cell r="V462" t="str">
            <v>ALL</v>
          </cell>
          <cell r="W462">
            <v>4</v>
          </cell>
          <cell r="AA462">
            <v>1</v>
          </cell>
          <cell r="AC462">
            <v>1</v>
          </cell>
          <cell r="AD462">
            <v>1</v>
          </cell>
          <cell r="AE462">
            <v>1</v>
          </cell>
        </row>
        <row r="463">
          <cell r="A463">
            <v>0</v>
          </cell>
          <cell r="B463" t="str">
            <v>ALL VRTS</v>
          </cell>
          <cell r="D463">
            <v>22</v>
          </cell>
          <cell r="I463" t="str">
            <v>D02</v>
          </cell>
          <cell r="L463" t="str">
            <v>V43</v>
          </cell>
          <cell r="N463">
            <v>0</v>
          </cell>
          <cell r="O463">
            <v>-1</v>
          </cell>
          <cell r="P463">
            <v>0</v>
          </cell>
          <cell r="Q463">
            <v>2004</v>
          </cell>
          <cell r="R463" t="str">
            <v>DEARBORN PLANT BUILD</v>
          </cell>
          <cell r="S463" t="str">
            <v>P221/P397</v>
          </cell>
          <cell r="T463" t="str">
            <v>ENGINE WON'T START</v>
          </cell>
          <cell r="U463" t="str">
            <v>Alternator defective</v>
          </cell>
          <cell r="V463" t="str">
            <v>ALL</v>
          </cell>
          <cell r="W463">
            <v>3</v>
          </cell>
          <cell r="AD463">
            <v>3</v>
          </cell>
        </row>
        <row r="464">
          <cell r="A464">
            <v>0</v>
          </cell>
          <cell r="B464" t="str">
            <v>ALL VRTS</v>
          </cell>
          <cell r="D464">
            <v>22</v>
          </cell>
          <cell r="I464" t="str">
            <v>D02</v>
          </cell>
          <cell r="L464" t="str">
            <v>V43</v>
          </cell>
          <cell r="N464">
            <v>-1</v>
          </cell>
          <cell r="O464">
            <v>-1</v>
          </cell>
          <cell r="P464">
            <v>0</v>
          </cell>
          <cell r="Q464">
            <v>2004</v>
          </cell>
          <cell r="R464" t="str">
            <v>DEARBORN PLANT BUILD</v>
          </cell>
          <cell r="S464" t="str">
            <v>P221/P397</v>
          </cell>
          <cell r="T464" t="str">
            <v>ENGINE WON'T START</v>
          </cell>
          <cell r="U464" t="str">
            <v>npf</v>
          </cell>
          <cell r="V464" t="str">
            <v>ALL</v>
          </cell>
          <cell r="W464">
            <v>3</v>
          </cell>
          <cell r="AD464">
            <v>3</v>
          </cell>
        </row>
        <row r="465">
          <cell r="A465">
            <v>0</v>
          </cell>
          <cell r="B465" t="str">
            <v>ALL VRTS</v>
          </cell>
          <cell r="D465">
            <v>22</v>
          </cell>
          <cell r="E465" t="str">
            <v>6580</v>
          </cell>
          <cell r="G465" t="str">
            <v>C7W25L</v>
          </cell>
          <cell r="H465" t="str">
            <v>C7E18R</v>
          </cell>
          <cell r="I465" t="str">
            <v>D02</v>
          </cell>
          <cell r="J465" t="str">
            <v>D03</v>
          </cell>
          <cell r="L465" t="str">
            <v>V43</v>
          </cell>
          <cell r="N465">
            <v>0</v>
          </cell>
          <cell r="O465">
            <v>-1</v>
          </cell>
          <cell r="P465">
            <v>-1</v>
          </cell>
          <cell r="Q465">
            <v>2004</v>
          </cell>
          <cell r="R465" t="str">
            <v>DEARBORN PLANT BUILD</v>
          </cell>
          <cell r="S465" t="str">
            <v>P221/P397</v>
          </cell>
          <cell r="T465" t="str">
            <v>ENGINE WON'T START</v>
          </cell>
          <cell r="U465" t="str">
            <v>Reprogram keys</v>
          </cell>
          <cell r="V465" t="str">
            <v>ALL</v>
          </cell>
          <cell r="W465">
            <v>3</v>
          </cell>
          <cell r="Y465">
            <v>1</v>
          </cell>
          <cell r="AD465">
            <v>2</v>
          </cell>
        </row>
        <row r="466">
          <cell r="A466">
            <v>0</v>
          </cell>
          <cell r="B466" t="str">
            <v>ALL VRTS</v>
          </cell>
          <cell r="D466">
            <v>22</v>
          </cell>
          <cell r="I466" t="str">
            <v>D02</v>
          </cell>
          <cell r="L466" t="str">
            <v>V43</v>
          </cell>
          <cell r="N466">
            <v>-1</v>
          </cell>
          <cell r="O466">
            <v>-1</v>
          </cell>
          <cell r="P466">
            <v>0</v>
          </cell>
          <cell r="Q466">
            <v>2004</v>
          </cell>
          <cell r="R466" t="str">
            <v>DEARBORN PLANT BUILD</v>
          </cell>
          <cell r="S466" t="str">
            <v>P221/P397</v>
          </cell>
          <cell r="T466" t="str">
            <v>ENGINE WON'T START</v>
          </cell>
          <cell r="U466" t="str">
            <v>PCM Relay defective</v>
          </cell>
          <cell r="V466" t="str">
            <v>ALL</v>
          </cell>
          <cell r="W466">
            <v>2</v>
          </cell>
          <cell r="AD466">
            <v>2</v>
          </cell>
        </row>
        <row r="467">
          <cell r="A467">
            <v>0</v>
          </cell>
          <cell r="B467" t="str">
            <v>ALL VRTS</v>
          </cell>
          <cell r="D467">
            <v>22</v>
          </cell>
          <cell r="E467" t="str">
            <v>6360</v>
          </cell>
          <cell r="G467" t="str">
            <v>CEW46R</v>
          </cell>
          <cell r="I467" t="str">
            <v>D02</v>
          </cell>
          <cell r="L467" t="str">
            <v>V43</v>
          </cell>
          <cell r="N467">
            <v>-1</v>
          </cell>
          <cell r="O467">
            <v>-1</v>
          </cell>
          <cell r="P467">
            <v>-1</v>
          </cell>
          <cell r="Q467">
            <v>2004</v>
          </cell>
          <cell r="R467" t="str">
            <v>DEARBORN PLANT BUILD</v>
          </cell>
          <cell r="S467" t="str">
            <v>P221/P397</v>
          </cell>
          <cell r="T467" t="str">
            <v>ENGINE WON'T START</v>
          </cell>
          <cell r="U467" t="str">
            <v>Replaced CMS</v>
          </cell>
          <cell r="V467" t="str">
            <v>ALL</v>
          </cell>
          <cell r="W467">
            <v>1</v>
          </cell>
          <cell r="AC467">
            <v>1</v>
          </cell>
        </row>
        <row r="468">
          <cell r="A468">
            <v>0</v>
          </cell>
          <cell r="B468" t="str">
            <v>ALL VRTS</v>
          </cell>
          <cell r="D468">
            <v>22</v>
          </cell>
          <cell r="I468" t="str">
            <v>D02</v>
          </cell>
          <cell r="L468" t="str">
            <v>V43</v>
          </cell>
          <cell r="N468">
            <v>-1</v>
          </cell>
          <cell r="O468">
            <v>-1</v>
          </cell>
          <cell r="P468">
            <v>0</v>
          </cell>
          <cell r="Q468">
            <v>2004</v>
          </cell>
          <cell r="R468" t="str">
            <v>DEARBORN PLANT BUILD</v>
          </cell>
          <cell r="S468" t="str">
            <v>P221/P397</v>
          </cell>
          <cell r="T468" t="str">
            <v>ENGINE WON'T START</v>
          </cell>
          <cell r="U468" t="str">
            <v>replaced faulty starter ass.</v>
          </cell>
          <cell r="V468" t="str">
            <v>ALL</v>
          </cell>
          <cell r="W468">
            <v>1</v>
          </cell>
          <cell r="AB468">
            <v>1</v>
          </cell>
        </row>
        <row r="469">
          <cell r="A469">
            <v>0</v>
          </cell>
          <cell r="B469" t="str">
            <v>ALL VRTS</v>
          </cell>
          <cell r="D469">
            <v>22</v>
          </cell>
          <cell r="I469" t="str">
            <v>D02</v>
          </cell>
          <cell r="L469" t="str">
            <v>V43</v>
          </cell>
          <cell r="N469">
            <v>-1</v>
          </cell>
          <cell r="O469">
            <v>-1</v>
          </cell>
          <cell r="P469">
            <v>0</v>
          </cell>
          <cell r="Q469">
            <v>2004</v>
          </cell>
          <cell r="R469" t="str">
            <v>DEARBORN PLANT BUILD</v>
          </cell>
          <cell r="S469" t="str">
            <v>P221/P397</v>
          </cell>
          <cell r="T469" t="str">
            <v>ENGINE WON'T START</v>
          </cell>
          <cell r="U469" t="str">
            <v>Throttle Body defective</v>
          </cell>
          <cell r="V469" t="str">
            <v>ALL</v>
          </cell>
          <cell r="W469">
            <v>1</v>
          </cell>
          <cell r="AD469">
            <v>1</v>
          </cell>
        </row>
        <row r="470">
          <cell r="A470">
            <v>0</v>
          </cell>
          <cell r="B470" t="str">
            <v>ALL VRTS</v>
          </cell>
          <cell r="D470">
            <v>22</v>
          </cell>
          <cell r="I470" t="str">
            <v>D50</v>
          </cell>
          <cell r="L470" t="str">
            <v>V44</v>
          </cell>
          <cell r="N470">
            <v>0</v>
          </cell>
          <cell r="O470">
            <v>-1</v>
          </cell>
          <cell r="P470">
            <v>0</v>
          </cell>
          <cell r="Q470">
            <v>2004</v>
          </cell>
          <cell r="R470" t="str">
            <v>DEARBORN PLANT BUILD</v>
          </cell>
          <cell r="S470" t="str">
            <v>P221/P397</v>
          </cell>
          <cell r="T470" t="str">
            <v>OTHER ENGINE TROUBLES</v>
          </cell>
          <cell r="U470" t="str">
            <v>Replaced Engine</v>
          </cell>
          <cell r="V470" t="str">
            <v>ALL</v>
          </cell>
          <cell r="W470">
            <v>6</v>
          </cell>
          <cell r="Z470">
            <v>1</v>
          </cell>
          <cell r="AC470">
            <v>1</v>
          </cell>
          <cell r="AD470">
            <v>2</v>
          </cell>
          <cell r="AE470">
            <v>2</v>
          </cell>
        </row>
        <row r="471">
          <cell r="A471">
            <v>0</v>
          </cell>
          <cell r="B471" t="str">
            <v>ALL VRTS</v>
          </cell>
          <cell r="D471">
            <v>22</v>
          </cell>
          <cell r="I471" t="str">
            <v>E20</v>
          </cell>
          <cell r="J471" t="str">
            <v>E19</v>
          </cell>
          <cell r="L471" t="str">
            <v>V44</v>
          </cell>
          <cell r="N471">
            <v>-1</v>
          </cell>
          <cell r="O471">
            <v>-1</v>
          </cell>
          <cell r="P471">
            <v>0</v>
          </cell>
          <cell r="Q471">
            <v>2004</v>
          </cell>
          <cell r="R471" t="str">
            <v>DEARBORN PLANT BUILD</v>
          </cell>
          <cell r="S471" t="str">
            <v>P221/P397</v>
          </cell>
          <cell r="T471" t="str">
            <v>OTHER ENGINE TROUBLES</v>
          </cell>
          <cell r="U471" t="str">
            <v>serpentine belt</v>
          </cell>
          <cell r="V471" t="str">
            <v>ALL</v>
          </cell>
          <cell r="W471">
            <v>5</v>
          </cell>
          <cell r="Z471">
            <v>2</v>
          </cell>
          <cell r="AA471">
            <v>1</v>
          </cell>
          <cell r="AD471">
            <v>1</v>
          </cell>
          <cell r="AE471">
            <v>1</v>
          </cell>
        </row>
        <row r="472">
          <cell r="A472">
            <v>0</v>
          </cell>
          <cell r="B472" t="str">
            <v>ALL VRTS</v>
          </cell>
          <cell r="D472">
            <v>22</v>
          </cell>
          <cell r="E472" t="str">
            <v>6540</v>
          </cell>
          <cell r="G472" t="str">
            <v>C5E23L</v>
          </cell>
          <cell r="I472" t="str">
            <v>D50</v>
          </cell>
          <cell r="L472" t="str">
            <v>V44</v>
          </cell>
          <cell r="N472">
            <v>0</v>
          </cell>
          <cell r="O472">
            <v>-1</v>
          </cell>
          <cell r="P472">
            <v>0</v>
          </cell>
          <cell r="Q472">
            <v>2004</v>
          </cell>
          <cell r="R472" t="str">
            <v>DEARBORN PLANT BUILD</v>
          </cell>
          <cell r="S472" t="str">
            <v>P221/P397</v>
          </cell>
          <cell r="T472" t="str">
            <v>OTHER ENGINE TROUBLES</v>
          </cell>
          <cell r="U472" t="str">
            <v>replaced air filter mounting clip</v>
          </cell>
          <cell r="V472" t="str">
            <v>ALL</v>
          </cell>
          <cell r="W472">
            <v>3</v>
          </cell>
          <cell r="AB472">
            <v>1</v>
          </cell>
          <cell r="AC472">
            <v>1</v>
          </cell>
          <cell r="AD472">
            <v>1</v>
          </cell>
        </row>
        <row r="473">
          <cell r="A473">
            <v>0</v>
          </cell>
          <cell r="B473" t="str">
            <v>ALL VRTS</v>
          </cell>
          <cell r="D473">
            <v>22</v>
          </cell>
          <cell r="E473" t="str">
            <v>6440</v>
          </cell>
          <cell r="G473" t="str">
            <v>C2E49F</v>
          </cell>
          <cell r="I473" t="str">
            <v>D50</v>
          </cell>
          <cell r="L473" t="str">
            <v>V44</v>
          </cell>
          <cell r="N473">
            <v>0</v>
          </cell>
          <cell r="O473">
            <v>0</v>
          </cell>
          <cell r="P473">
            <v>-1</v>
          </cell>
          <cell r="Q473">
            <v>2004</v>
          </cell>
          <cell r="R473" t="str">
            <v>DEARBORN PLANT BUILD</v>
          </cell>
          <cell r="S473" t="str">
            <v>P221/P397</v>
          </cell>
          <cell r="T473" t="str">
            <v>OTHER ENGINE TROUBLES</v>
          </cell>
          <cell r="U473" t="str">
            <v>Trans dipstick loose</v>
          </cell>
          <cell r="V473" t="str">
            <v>ALL</v>
          </cell>
          <cell r="W473">
            <v>2</v>
          </cell>
          <cell r="AD473">
            <v>2</v>
          </cell>
        </row>
        <row r="474">
          <cell r="A474">
            <v>0</v>
          </cell>
          <cell r="B474" t="str">
            <v>ALL VRTS</v>
          </cell>
          <cell r="D474">
            <v>22</v>
          </cell>
          <cell r="E474" t="str">
            <v>5480</v>
          </cell>
          <cell r="G474" t="str">
            <v>T204R</v>
          </cell>
          <cell r="I474" t="str">
            <v>D50</v>
          </cell>
          <cell r="L474" t="str">
            <v>V44</v>
          </cell>
          <cell r="N474">
            <v>0</v>
          </cell>
          <cell r="O474">
            <v>0</v>
          </cell>
          <cell r="P474">
            <v>-1</v>
          </cell>
          <cell r="Q474">
            <v>2004</v>
          </cell>
          <cell r="R474" t="str">
            <v>DEARBORN PLANT BUILD</v>
          </cell>
          <cell r="S474" t="str">
            <v>P221/P397</v>
          </cell>
          <cell r="T474" t="str">
            <v>OTHER ENGINE TROUBLES</v>
          </cell>
          <cell r="U474" t="str">
            <v>Defective Hood liner</v>
          </cell>
          <cell r="V474" t="str">
            <v>ALL</v>
          </cell>
          <cell r="W474">
            <v>1</v>
          </cell>
          <cell r="AC474">
            <v>1</v>
          </cell>
        </row>
        <row r="475">
          <cell r="A475">
            <v>0</v>
          </cell>
          <cell r="B475" t="str">
            <v>ALL VRTS</v>
          </cell>
          <cell r="D475">
            <v>22</v>
          </cell>
          <cell r="I475" t="str">
            <v>D50</v>
          </cell>
          <cell r="L475" t="str">
            <v>V44</v>
          </cell>
          <cell r="N475">
            <v>-1</v>
          </cell>
          <cell r="O475">
            <v>0</v>
          </cell>
          <cell r="P475">
            <v>0</v>
          </cell>
          <cell r="Q475">
            <v>2004</v>
          </cell>
          <cell r="R475" t="str">
            <v>DEARBORN PLANT BUILD</v>
          </cell>
          <cell r="S475" t="str">
            <v>P221/P397</v>
          </cell>
          <cell r="T475" t="str">
            <v>OTHER ENGINE TROUBLES</v>
          </cell>
          <cell r="U475" t="str">
            <v>Fuel contamination</v>
          </cell>
          <cell r="V475" t="str">
            <v>ALL</v>
          </cell>
          <cell r="W475">
            <v>1</v>
          </cell>
          <cell r="AC475">
            <v>1</v>
          </cell>
        </row>
        <row r="476">
          <cell r="A476">
            <v>0</v>
          </cell>
          <cell r="B476" t="str">
            <v>ALL VRTS</v>
          </cell>
          <cell r="D476">
            <v>22</v>
          </cell>
          <cell r="I476" t="str">
            <v>D50</v>
          </cell>
          <cell r="L476" t="str">
            <v>V44</v>
          </cell>
          <cell r="N476">
            <v>-1</v>
          </cell>
          <cell r="O476">
            <v>-1</v>
          </cell>
          <cell r="P476">
            <v>0</v>
          </cell>
          <cell r="Q476">
            <v>2004</v>
          </cell>
          <cell r="R476" t="str">
            <v>DEARBORN PLANT BUILD</v>
          </cell>
          <cell r="S476" t="str">
            <v>P221/P397</v>
          </cell>
          <cell r="T476" t="str">
            <v>OTHER ENGINE TROUBLES</v>
          </cell>
          <cell r="U476" t="str">
            <v>npf</v>
          </cell>
          <cell r="V476" t="str">
            <v>ALL</v>
          </cell>
          <cell r="W476">
            <v>1</v>
          </cell>
          <cell r="AB476">
            <v>1</v>
          </cell>
        </row>
        <row r="477">
          <cell r="A477">
            <v>0</v>
          </cell>
          <cell r="B477" t="str">
            <v>ALL VRTS</v>
          </cell>
          <cell r="D477">
            <v>22</v>
          </cell>
          <cell r="E477" t="str">
            <v>6340</v>
          </cell>
          <cell r="G477" t="str">
            <v>CEE23L</v>
          </cell>
          <cell r="I477" t="str">
            <v>D50</v>
          </cell>
          <cell r="L477" t="str">
            <v>V44</v>
          </cell>
          <cell r="N477">
            <v>0</v>
          </cell>
          <cell r="O477">
            <v>0</v>
          </cell>
          <cell r="P477">
            <v>-1</v>
          </cell>
          <cell r="Q477">
            <v>2004</v>
          </cell>
          <cell r="R477" t="str">
            <v>DEARBORN PLANT BUILD</v>
          </cell>
          <cell r="S477" t="str">
            <v>P221/P397</v>
          </cell>
          <cell r="T477" t="str">
            <v>OTHER ENGINE TROUBLES</v>
          </cell>
          <cell r="U477" t="str">
            <v>replaced blockheater cord</v>
          </cell>
          <cell r="V477" t="str">
            <v>ALL</v>
          </cell>
          <cell r="W477">
            <v>1</v>
          </cell>
          <cell r="AD477">
            <v>1</v>
          </cell>
        </row>
        <row r="478">
          <cell r="A478">
            <v>0</v>
          </cell>
          <cell r="B478" t="str">
            <v>ALL VRTS</v>
          </cell>
          <cell r="D478">
            <v>22</v>
          </cell>
          <cell r="I478" t="str">
            <v>E19</v>
          </cell>
          <cell r="L478" t="str">
            <v>V44</v>
          </cell>
          <cell r="N478">
            <v>-1</v>
          </cell>
          <cell r="O478">
            <v>-1</v>
          </cell>
          <cell r="P478">
            <v>0</v>
          </cell>
          <cell r="Q478">
            <v>2004</v>
          </cell>
          <cell r="R478" t="str">
            <v>DEARBORN PLANT BUILD</v>
          </cell>
          <cell r="S478" t="str">
            <v>P221/P397</v>
          </cell>
          <cell r="T478" t="str">
            <v>OTHER ENGINE TROUBLES</v>
          </cell>
          <cell r="U478" t="str">
            <v>replaced drive belt</v>
          </cell>
          <cell r="V478" t="str">
            <v>ALL</v>
          </cell>
          <cell r="W478">
            <v>1</v>
          </cell>
          <cell r="Z478">
            <v>1</v>
          </cell>
        </row>
        <row r="479">
          <cell r="A479">
            <v>0</v>
          </cell>
          <cell r="B479" t="str">
            <v>ALL VRTS</v>
          </cell>
          <cell r="D479">
            <v>22</v>
          </cell>
          <cell r="E479" t="str">
            <v>6500</v>
          </cell>
          <cell r="G479" t="str">
            <v>C4W24R</v>
          </cell>
          <cell r="I479" t="str">
            <v>D50</v>
          </cell>
          <cell r="L479" t="str">
            <v>V44</v>
          </cell>
          <cell r="N479">
            <v>0</v>
          </cell>
          <cell r="O479">
            <v>0</v>
          </cell>
          <cell r="P479">
            <v>-1</v>
          </cell>
          <cell r="Q479">
            <v>2004</v>
          </cell>
          <cell r="R479" t="str">
            <v>DEARBORN PLANT BUILD</v>
          </cell>
          <cell r="S479" t="str">
            <v>P221/P397</v>
          </cell>
          <cell r="T479" t="str">
            <v>OTHER ENGINE TROUBLES</v>
          </cell>
          <cell r="U479" t="str">
            <v>upper radiator hose mounting bracket broken</v>
          </cell>
          <cell r="V479" t="str">
            <v>ALL</v>
          </cell>
          <cell r="W479">
            <v>1</v>
          </cell>
          <cell r="Z479">
            <v>1</v>
          </cell>
        </row>
        <row r="480">
          <cell r="A480">
            <v>0</v>
          </cell>
          <cell r="B480" t="str">
            <v>ALL VRTS</v>
          </cell>
          <cell r="D480">
            <v>21</v>
          </cell>
          <cell r="I480" t="str">
            <v>F05</v>
          </cell>
          <cell r="J480" t="str">
            <v>F07</v>
          </cell>
          <cell r="L480" t="str">
            <v>V33</v>
          </cell>
          <cell r="N480">
            <v>0</v>
          </cell>
          <cell r="O480">
            <v>0</v>
          </cell>
          <cell r="P480">
            <v>-1</v>
          </cell>
          <cell r="Q480">
            <v>2004</v>
          </cell>
          <cell r="R480" t="str">
            <v>DEARBORN PLANT BUILD</v>
          </cell>
          <cell r="S480" t="str">
            <v>P221/P397</v>
          </cell>
          <cell r="T480" t="str">
            <v>Sags, Runs &amp; Drips</v>
          </cell>
          <cell r="U480" t="str">
            <v>L/S Door</v>
          </cell>
          <cell r="V480" t="str">
            <v>ALL</v>
          </cell>
          <cell r="W480">
            <v>6</v>
          </cell>
          <cell r="AC480">
            <v>2</v>
          </cell>
          <cell r="AD480">
            <v>3</v>
          </cell>
          <cell r="AE480">
            <v>1</v>
          </cell>
        </row>
        <row r="481">
          <cell r="A481">
            <v>0</v>
          </cell>
          <cell r="B481" t="str">
            <v>ALL VRTS</v>
          </cell>
          <cell r="D481">
            <v>21</v>
          </cell>
          <cell r="I481" t="str">
            <v>F05</v>
          </cell>
          <cell r="J481" t="str">
            <v>F06</v>
          </cell>
          <cell r="L481" t="str">
            <v>V33</v>
          </cell>
          <cell r="N481">
            <v>0</v>
          </cell>
          <cell r="O481">
            <v>0</v>
          </cell>
          <cell r="P481">
            <v>-1</v>
          </cell>
          <cell r="Q481">
            <v>2004</v>
          </cell>
          <cell r="R481" t="str">
            <v>DEARBORN PLANT BUILD</v>
          </cell>
          <cell r="S481" t="str">
            <v>P221/P397</v>
          </cell>
          <cell r="T481" t="str">
            <v>Sags, Runs &amp; Drips</v>
          </cell>
          <cell r="U481" t="str">
            <v>R/S Rear Door</v>
          </cell>
          <cell r="V481" t="str">
            <v>ALL</v>
          </cell>
          <cell r="W481">
            <v>4</v>
          </cell>
          <cell r="AA481">
            <v>1</v>
          </cell>
          <cell r="AD481">
            <v>2</v>
          </cell>
          <cell r="AE481">
            <v>1</v>
          </cell>
        </row>
        <row r="482">
          <cell r="A482">
            <v>0</v>
          </cell>
          <cell r="B482" t="str">
            <v>ALL VRTS</v>
          </cell>
          <cell r="D482">
            <v>21</v>
          </cell>
          <cell r="I482" t="str">
            <v>F05</v>
          </cell>
          <cell r="L482" t="str">
            <v>V33</v>
          </cell>
          <cell r="N482">
            <v>0</v>
          </cell>
          <cell r="O482">
            <v>0</v>
          </cell>
          <cell r="P482">
            <v>-1</v>
          </cell>
          <cell r="Q482">
            <v>2004</v>
          </cell>
          <cell r="R482" t="str">
            <v>DEARBORN PLANT BUILD</v>
          </cell>
          <cell r="S482" t="str">
            <v>P221/P397</v>
          </cell>
          <cell r="T482" t="str">
            <v>Sags, Runs &amp; Drips</v>
          </cell>
          <cell r="U482" t="str">
            <v>L/S Bed</v>
          </cell>
          <cell r="V482" t="str">
            <v>ALL</v>
          </cell>
          <cell r="W482">
            <v>3</v>
          </cell>
          <cell r="AA482">
            <v>1</v>
          </cell>
          <cell r="AD482">
            <v>2</v>
          </cell>
        </row>
        <row r="483">
          <cell r="A483">
            <v>0</v>
          </cell>
          <cell r="B483" t="str">
            <v>ALL VRTS</v>
          </cell>
          <cell r="D483">
            <v>21</v>
          </cell>
          <cell r="I483" t="str">
            <v>F05</v>
          </cell>
          <cell r="J483" t="str">
            <v>F07</v>
          </cell>
          <cell r="L483" t="str">
            <v>V33</v>
          </cell>
          <cell r="N483">
            <v>0</v>
          </cell>
          <cell r="O483">
            <v>0</v>
          </cell>
          <cell r="P483">
            <v>-1</v>
          </cell>
          <cell r="Q483">
            <v>2004</v>
          </cell>
          <cell r="R483" t="str">
            <v>DEARBORN PLANT BUILD</v>
          </cell>
          <cell r="S483" t="str">
            <v>P221/P397</v>
          </cell>
          <cell r="T483" t="str">
            <v>Sags, Runs &amp; Drips</v>
          </cell>
          <cell r="U483" t="str">
            <v>L/S Rear Door</v>
          </cell>
          <cell r="V483" t="str">
            <v>ALL</v>
          </cell>
          <cell r="W483">
            <v>2</v>
          </cell>
          <cell r="AD483">
            <v>2</v>
          </cell>
        </row>
        <row r="484">
          <cell r="A484">
            <v>0</v>
          </cell>
          <cell r="B484" t="str">
            <v>ALL VRTS</v>
          </cell>
          <cell r="D484">
            <v>21</v>
          </cell>
          <cell r="I484" t="str">
            <v>F05</v>
          </cell>
          <cell r="L484" t="str">
            <v>V33</v>
          </cell>
          <cell r="N484">
            <v>0</v>
          </cell>
          <cell r="O484">
            <v>0</v>
          </cell>
          <cell r="P484">
            <v>-1</v>
          </cell>
          <cell r="Q484">
            <v>2004</v>
          </cell>
          <cell r="R484" t="str">
            <v>DEARBORN PLANT BUILD</v>
          </cell>
          <cell r="S484" t="str">
            <v>P221/P397</v>
          </cell>
          <cell r="T484" t="str">
            <v>Sags, Runs &amp; Drips</v>
          </cell>
          <cell r="U484" t="str">
            <v>R/S Bed</v>
          </cell>
          <cell r="V484" t="str">
            <v>ALL</v>
          </cell>
          <cell r="W484">
            <v>2</v>
          </cell>
          <cell r="Z484">
            <v>1</v>
          </cell>
          <cell r="AB484">
            <v>1</v>
          </cell>
        </row>
        <row r="485">
          <cell r="A485">
            <v>0</v>
          </cell>
          <cell r="B485" t="str">
            <v>ALL VRTS</v>
          </cell>
          <cell r="D485">
            <v>21</v>
          </cell>
          <cell r="I485" t="str">
            <v>F07</v>
          </cell>
          <cell r="J485" t="str">
            <v>F05</v>
          </cell>
          <cell r="L485" t="str">
            <v>V33</v>
          </cell>
          <cell r="N485">
            <v>0</v>
          </cell>
          <cell r="O485">
            <v>0</v>
          </cell>
          <cell r="P485">
            <v>-1</v>
          </cell>
          <cell r="Q485">
            <v>2004</v>
          </cell>
          <cell r="R485" t="str">
            <v>DEARBORN PLANT BUILD</v>
          </cell>
          <cell r="S485" t="str">
            <v>P221/P397</v>
          </cell>
          <cell r="T485" t="str">
            <v>Sags, Runs &amp; Drips</v>
          </cell>
          <cell r="U485" t="str">
            <v>R/S Front Door</v>
          </cell>
          <cell r="V485" t="str">
            <v>ALL</v>
          </cell>
          <cell r="W485">
            <v>2</v>
          </cell>
          <cell r="AC485">
            <v>2</v>
          </cell>
        </row>
        <row r="486">
          <cell r="A486">
            <v>0</v>
          </cell>
          <cell r="B486" t="str">
            <v>ALL VRTS</v>
          </cell>
          <cell r="D486">
            <v>21</v>
          </cell>
          <cell r="I486" t="str">
            <v>F05</v>
          </cell>
          <cell r="L486" t="str">
            <v>V33</v>
          </cell>
          <cell r="N486">
            <v>0</v>
          </cell>
          <cell r="O486">
            <v>0</v>
          </cell>
          <cell r="P486">
            <v>-1</v>
          </cell>
          <cell r="Q486">
            <v>2004</v>
          </cell>
          <cell r="R486" t="str">
            <v>DEARBORN PLANT BUILD</v>
          </cell>
          <cell r="S486" t="str">
            <v>P221/P397</v>
          </cell>
          <cell r="T486" t="str">
            <v>Sags, Runs &amp; Drips</v>
          </cell>
          <cell r="U486" t="str">
            <v>R/S Tailgate</v>
          </cell>
          <cell r="V486" t="str">
            <v>ALL</v>
          </cell>
          <cell r="W486">
            <v>1</v>
          </cell>
          <cell r="AD486">
            <v>1</v>
          </cell>
        </row>
        <row r="487">
          <cell r="A487">
            <v>0</v>
          </cell>
          <cell r="B487" t="str">
            <v>ALL VRTS</v>
          </cell>
          <cell r="D487">
            <v>21</v>
          </cell>
          <cell r="I487" t="str">
            <v>F05</v>
          </cell>
          <cell r="L487" t="str">
            <v>V33</v>
          </cell>
          <cell r="N487">
            <v>0</v>
          </cell>
          <cell r="O487">
            <v>0</v>
          </cell>
          <cell r="P487">
            <v>-1</v>
          </cell>
          <cell r="Q487">
            <v>2004</v>
          </cell>
          <cell r="R487" t="str">
            <v>DEARBORN PLANT BUILD</v>
          </cell>
          <cell r="S487" t="str">
            <v>P221/P397</v>
          </cell>
          <cell r="T487" t="str">
            <v>Sags, Runs &amp; Drips</v>
          </cell>
          <cell r="U487" t="str">
            <v>Rear Tailgate</v>
          </cell>
          <cell r="V487" t="str">
            <v>ALL</v>
          </cell>
          <cell r="W487">
            <v>1</v>
          </cell>
          <cell r="AD487">
            <v>1</v>
          </cell>
        </row>
        <row r="488">
          <cell r="A488">
            <v>0</v>
          </cell>
          <cell r="B488" t="str">
            <v>ALL VRTS</v>
          </cell>
          <cell r="D488">
            <v>20</v>
          </cell>
          <cell r="I488" t="str">
            <v>B53</v>
          </cell>
          <cell r="J488" t="str">
            <v>B95</v>
          </cell>
          <cell r="L488" t="str">
            <v>V71</v>
          </cell>
          <cell r="N488">
            <v>0</v>
          </cell>
          <cell r="O488">
            <v>-1</v>
          </cell>
          <cell r="P488">
            <v>0</v>
          </cell>
          <cell r="Q488">
            <v>2004</v>
          </cell>
          <cell r="R488" t="str">
            <v>DEARBORN PLANT BUILD</v>
          </cell>
          <cell r="S488" t="str">
            <v>P221/P397</v>
          </cell>
          <cell r="T488" t="str">
            <v>STEERING COLUMN</v>
          </cell>
          <cell r="U488" t="str">
            <v>TILT LEVER LOOSE</v>
          </cell>
          <cell r="V488" t="str">
            <v>ALL</v>
          </cell>
          <cell r="W488">
            <v>14</v>
          </cell>
          <cell r="AD488">
            <v>13</v>
          </cell>
          <cell r="AE488">
            <v>1</v>
          </cell>
        </row>
        <row r="489">
          <cell r="A489">
            <v>0</v>
          </cell>
          <cell r="B489" t="str">
            <v>ALL VRTS</v>
          </cell>
          <cell r="D489">
            <v>20</v>
          </cell>
          <cell r="I489" t="str">
            <v>B53</v>
          </cell>
          <cell r="L489" t="str">
            <v>V71</v>
          </cell>
          <cell r="N489">
            <v>0</v>
          </cell>
          <cell r="O489">
            <v>-1</v>
          </cell>
          <cell r="P489">
            <v>0</v>
          </cell>
          <cell r="Q489">
            <v>2004</v>
          </cell>
          <cell r="R489" t="str">
            <v>DEARBORN PLANT BUILD</v>
          </cell>
          <cell r="S489" t="str">
            <v>P221/P397</v>
          </cell>
          <cell r="T489" t="str">
            <v>STEERING COLUMN</v>
          </cell>
          <cell r="U489" t="str">
            <v>CLOCK SPRING LOOSE</v>
          </cell>
          <cell r="V489" t="str">
            <v>ALL</v>
          </cell>
          <cell r="W489">
            <v>3</v>
          </cell>
          <cell r="AC489">
            <v>1</v>
          </cell>
          <cell r="AD489">
            <v>1</v>
          </cell>
          <cell r="AE489">
            <v>1</v>
          </cell>
        </row>
        <row r="490">
          <cell r="A490">
            <v>0</v>
          </cell>
          <cell r="B490" t="str">
            <v>ALL VRTS</v>
          </cell>
          <cell r="D490">
            <v>20</v>
          </cell>
          <cell r="I490" t="str">
            <v>B53</v>
          </cell>
          <cell r="L490" t="str">
            <v>V71</v>
          </cell>
          <cell r="N490">
            <v>0</v>
          </cell>
          <cell r="O490">
            <v>-1</v>
          </cell>
          <cell r="P490">
            <v>0</v>
          </cell>
          <cell r="Q490">
            <v>2004</v>
          </cell>
          <cell r="R490" t="str">
            <v>DEARBORN PLANT BUILD</v>
          </cell>
          <cell r="S490" t="str">
            <v>P221/P397</v>
          </cell>
          <cell r="T490" t="str">
            <v>STEERING COLUMN</v>
          </cell>
          <cell r="U490" t="str">
            <v>HORN COVER LOOSE</v>
          </cell>
          <cell r="V490" t="str">
            <v>ALL</v>
          </cell>
          <cell r="W490">
            <v>1</v>
          </cell>
          <cell r="AD490">
            <v>1</v>
          </cell>
        </row>
        <row r="491">
          <cell r="A491">
            <v>0</v>
          </cell>
          <cell r="B491" t="str">
            <v>ALL VRTS</v>
          </cell>
          <cell r="D491">
            <v>20</v>
          </cell>
          <cell r="I491" t="str">
            <v>B95</v>
          </cell>
          <cell r="L491" t="str">
            <v>V71</v>
          </cell>
          <cell r="N491">
            <v>0</v>
          </cell>
          <cell r="O491">
            <v>-1</v>
          </cell>
          <cell r="P491">
            <v>0</v>
          </cell>
          <cell r="Q491">
            <v>2004</v>
          </cell>
          <cell r="R491" t="str">
            <v>DEARBORN PLANT BUILD</v>
          </cell>
          <cell r="S491" t="str">
            <v>P221/P397</v>
          </cell>
          <cell r="T491" t="str">
            <v>STEERING COLUMN</v>
          </cell>
          <cell r="U491" t="str">
            <v>SHIFT INDICATOR</v>
          </cell>
          <cell r="V491" t="str">
            <v>ALL</v>
          </cell>
          <cell r="W491">
            <v>1</v>
          </cell>
          <cell r="AD491">
            <v>1</v>
          </cell>
        </row>
        <row r="492">
          <cell r="A492">
            <v>0</v>
          </cell>
          <cell r="B492" t="str">
            <v>ALL VRTS</v>
          </cell>
          <cell r="D492">
            <v>20</v>
          </cell>
          <cell r="I492" t="str">
            <v>B53</v>
          </cell>
          <cell r="L492" t="str">
            <v>V71</v>
          </cell>
          <cell r="N492">
            <v>0</v>
          </cell>
          <cell r="O492">
            <v>-1</v>
          </cell>
          <cell r="P492">
            <v>0</v>
          </cell>
          <cell r="Q492">
            <v>2004</v>
          </cell>
          <cell r="R492" t="str">
            <v>DEARBORN PLANT BUILD</v>
          </cell>
          <cell r="S492" t="str">
            <v>P221/P397</v>
          </cell>
          <cell r="T492" t="str">
            <v>STEERING COLUMN</v>
          </cell>
          <cell r="U492" t="str">
            <v>TRIM LOOSE</v>
          </cell>
          <cell r="V492" t="str">
            <v>ALL</v>
          </cell>
          <cell r="W492">
            <v>1</v>
          </cell>
          <cell r="AD492">
            <v>1</v>
          </cell>
        </row>
        <row r="493">
          <cell r="A493">
            <v>0</v>
          </cell>
          <cell r="B493" t="str">
            <v>ALL VRTS</v>
          </cell>
          <cell r="D493">
            <v>20</v>
          </cell>
          <cell r="E493" t="str">
            <v>5390</v>
          </cell>
          <cell r="G493" t="str">
            <v>TBE10-B</v>
          </cell>
          <cell r="H493" t="str">
            <v>TBE14-B</v>
          </cell>
          <cell r="I493" t="str">
            <v>L15</v>
          </cell>
          <cell r="J493" t="str">
            <v>L08</v>
          </cell>
          <cell r="L493" t="str">
            <v>V07</v>
          </cell>
          <cell r="N493">
            <v>0</v>
          </cell>
          <cell r="O493">
            <v>0</v>
          </cell>
          <cell r="P493">
            <v>-1</v>
          </cell>
          <cell r="Q493">
            <v>2004</v>
          </cell>
          <cell r="R493" t="str">
            <v>DEARBORN PLANT BUILD</v>
          </cell>
          <cell r="S493" t="str">
            <v>P221/P397</v>
          </cell>
          <cell r="T493" t="str">
            <v>TAIL GATE FUNCTION</v>
          </cell>
          <cell r="U493" t="str">
            <v>ADJUST LATCH RODS</v>
          </cell>
          <cell r="V493" t="str">
            <v>ALL</v>
          </cell>
          <cell r="W493">
            <v>5</v>
          </cell>
          <cell r="Z493">
            <v>1</v>
          </cell>
          <cell r="AC493">
            <v>2</v>
          </cell>
          <cell r="AD493">
            <v>2</v>
          </cell>
        </row>
        <row r="494">
          <cell r="A494">
            <v>0</v>
          </cell>
          <cell r="B494" t="str">
            <v>ALL VRTS</v>
          </cell>
          <cell r="D494">
            <v>20</v>
          </cell>
          <cell r="E494" t="str">
            <v>5390</v>
          </cell>
          <cell r="G494" t="str">
            <v>TBE14-B</v>
          </cell>
          <cell r="I494" t="str">
            <v>L15</v>
          </cell>
          <cell r="J494" t="str">
            <v>L23</v>
          </cell>
          <cell r="L494" t="str">
            <v>V07</v>
          </cell>
          <cell r="N494">
            <v>0</v>
          </cell>
          <cell r="O494">
            <v>0</v>
          </cell>
          <cell r="P494">
            <v>-1</v>
          </cell>
          <cell r="Q494">
            <v>2004</v>
          </cell>
          <cell r="R494" t="str">
            <v>DEARBORN PLANT BUILD</v>
          </cell>
          <cell r="S494" t="str">
            <v>P221/P397</v>
          </cell>
          <cell r="T494" t="str">
            <v>TAIL GATE FUNCTION</v>
          </cell>
          <cell r="U494" t="str">
            <v>RECODE LOCK CYLINDER</v>
          </cell>
          <cell r="V494" t="str">
            <v>ALL</v>
          </cell>
          <cell r="W494">
            <v>2</v>
          </cell>
          <cell r="AB494">
            <v>2</v>
          </cell>
        </row>
        <row r="495">
          <cell r="A495">
            <v>0</v>
          </cell>
          <cell r="B495" t="str">
            <v>ALL VRTS</v>
          </cell>
          <cell r="D495">
            <v>20</v>
          </cell>
          <cell r="E495" t="str">
            <v>5390</v>
          </cell>
          <cell r="G495" t="str">
            <v>TBE14-B</v>
          </cell>
          <cell r="I495" t="str">
            <v>L15</v>
          </cell>
          <cell r="J495" t="str">
            <v>L23</v>
          </cell>
          <cell r="L495" t="str">
            <v>V07</v>
          </cell>
          <cell r="N495">
            <v>0</v>
          </cell>
          <cell r="O495">
            <v>-1</v>
          </cell>
          <cell r="P495">
            <v>-1</v>
          </cell>
          <cell r="Q495">
            <v>2004</v>
          </cell>
          <cell r="R495" t="str">
            <v>DEARBORN PLANT BUILD</v>
          </cell>
          <cell r="S495" t="str">
            <v>P221/P397</v>
          </cell>
          <cell r="T495" t="str">
            <v>TAIL GATE FUNCTION</v>
          </cell>
          <cell r="U495" t="str">
            <v>RECODE TAILGATE CYLINDER</v>
          </cell>
          <cell r="V495" t="str">
            <v>ALL</v>
          </cell>
          <cell r="W495">
            <v>2</v>
          </cell>
          <cell r="AA495">
            <v>1</v>
          </cell>
          <cell r="AD495">
            <v>1</v>
          </cell>
        </row>
        <row r="496">
          <cell r="A496">
            <v>0</v>
          </cell>
          <cell r="B496" t="str">
            <v>ALL VRTS</v>
          </cell>
          <cell r="D496">
            <v>20</v>
          </cell>
          <cell r="E496" t="str">
            <v>5390</v>
          </cell>
          <cell r="G496" t="str">
            <v>TBE10-BA</v>
          </cell>
          <cell r="I496" t="str">
            <v>L15</v>
          </cell>
          <cell r="L496" t="str">
            <v>V07</v>
          </cell>
          <cell r="N496">
            <v>0</v>
          </cell>
          <cell r="O496">
            <v>0</v>
          </cell>
          <cell r="P496">
            <v>-1</v>
          </cell>
          <cell r="Q496">
            <v>2004</v>
          </cell>
          <cell r="R496" t="str">
            <v>DEARBORN PLANT BUILD</v>
          </cell>
          <cell r="S496" t="str">
            <v>P221/P397</v>
          </cell>
          <cell r="T496" t="str">
            <v>TAIL GATE FUNCTION</v>
          </cell>
          <cell r="U496" t="str">
            <v>ALIGN PIVOT RODS</v>
          </cell>
          <cell r="V496" t="str">
            <v>ALL</v>
          </cell>
          <cell r="W496">
            <v>1</v>
          </cell>
          <cell r="AB496">
            <v>1</v>
          </cell>
        </row>
        <row r="497">
          <cell r="A497">
            <v>0</v>
          </cell>
          <cell r="B497" t="str">
            <v>ALL VRTS</v>
          </cell>
          <cell r="D497">
            <v>20</v>
          </cell>
          <cell r="E497" t="str">
            <v>5390</v>
          </cell>
          <cell r="G497" t="str">
            <v>TBE10-B</v>
          </cell>
          <cell r="I497" t="str">
            <v>L15</v>
          </cell>
          <cell r="L497" t="str">
            <v>V07</v>
          </cell>
          <cell r="N497">
            <v>0</v>
          </cell>
          <cell r="O497">
            <v>0</v>
          </cell>
          <cell r="P497">
            <v>-1</v>
          </cell>
          <cell r="Q497">
            <v>2004</v>
          </cell>
          <cell r="R497" t="str">
            <v>DEARBORN PLANT BUILD</v>
          </cell>
          <cell r="S497" t="str">
            <v>P221/P397</v>
          </cell>
          <cell r="T497" t="str">
            <v>TAIL GATE FUNCTION</v>
          </cell>
          <cell r="U497" t="str">
            <v>CONNECT LATCH ROD CLIPS</v>
          </cell>
          <cell r="V497" t="str">
            <v>ALL</v>
          </cell>
          <cell r="W497">
            <v>1</v>
          </cell>
          <cell r="AD497">
            <v>1</v>
          </cell>
        </row>
        <row r="498">
          <cell r="A498">
            <v>0</v>
          </cell>
          <cell r="B498" t="str">
            <v>ALL VRTS</v>
          </cell>
          <cell r="D498">
            <v>20</v>
          </cell>
          <cell r="E498" t="str">
            <v>5390</v>
          </cell>
          <cell r="G498" t="str">
            <v>TBE10-B</v>
          </cell>
          <cell r="I498" t="str">
            <v>L15</v>
          </cell>
          <cell r="L498" t="str">
            <v>V07</v>
          </cell>
          <cell r="N498">
            <v>0</v>
          </cell>
          <cell r="O498">
            <v>0</v>
          </cell>
          <cell r="P498">
            <v>-1</v>
          </cell>
          <cell r="Q498">
            <v>2004</v>
          </cell>
          <cell r="R498" t="str">
            <v>DEARBORN PLANT BUILD</v>
          </cell>
          <cell r="S498" t="str">
            <v>P221/P397</v>
          </cell>
          <cell r="T498" t="str">
            <v>TAIL GATE FUNCTION</v>
          </cell>
          <cell r="U498" t="str">
            <v>INSTALL TAILGATE CABLE AND BOLT ASSY</v>
          </cell>
          <cell r="V498" t="str">
            <v>ALL</v>
          </cell>
          <cell r="W498">
            <v>1</v>
          </cell>
          <cell r="Z498">
            <v>1</v>
          </cell>
        </row>
        <row r="499">
          <cell r="A499">
            <v>0</v>
          </cell>
          <cell r="B499" t="str">
            <v>ALL VRTS</v>
          </cell>
          <cell r="D499">
            <v>20</v>
          </cell>
          <cell r="I499" t="str">
            <v>L06</v>
          </cell>
          <cell r="L499" t="str">
            <v>V07</v>
          </cell>
          <cell r="N499">
            <v>0</v>
          </cell>
          <cell r="O499">
            <v>-1</v>
          </cell>
          <cell r="P499">
            <v>0</v>
          </cell>
          <cell r="Q499">
            <v>2004</v>
          </cell>
          <cell r="R499" t="str">
            <v>DEARBORN PLANT BUILD</v>
          </cell>
          <cell r="S499" t="str">
            <v>P221/P397</v>
          </cell>
          <cell r="T499" t="str">
            <v>TAIL GATE FUNCTION</v>
          </cell>
          <cell r="U499" t="str">
            <v>LOCK CYLINDER DAMAGE</v>
          </cell>
          <cell r="V499" t="str">
            <v>ALL</v>
          </cell>
          <cell r="W499">
            <v>1</v>
          </cell>
          <cell r="AB499">
            <v>1</v>
          </cell>
        </row>
        <row r="500">
          <cell r="A500">
            <v>0</v>
          </cell>
          <cell r="B500" t="str">
            <v>ALL VRTS</v>
          </cell>
          <cell r="D500">
            <v>20</v>
          </cell>
          <cell r="E500" t="str">
            <v>5390</v>
          </cell>
          <cell r="G500" t="str">
            <v>TBE10-B</v>
          </cell>
          <cell r="I500" t="str">
            <v>L06</v>
          </cell>
          <cell r="L500" t="str">
            <v>V07</v>
          </cell>
          <cell r="N500">
            <v>0</v>
          </cell>
          <cell r="O500">
            <v>0</v>
          </cell>
          <cell r="P500">
            <v>-1</v>
          </cell>
          <cell r="Q500">
            <v>2004</v>
          </cell>
          <cell r="R500" t="str">
            <v>DEARBORN PLANT BUILD</v>
          </cell>
          <cell r="S500" t="str">
            <v>P221/P397</v>
          </cell>
          <cell r="T500" t="str">
            <v>TAIL GATE FUNCTION</v>
          </cell>
          <cell r="U500" t="str">
            <v>LOCK ROD ASSEMBLY LOOSE</v>
          </cell>
          <cell r="V500" t="str">
            <v>ALL</v>
          </cell>
          <cell r="W500">
            <v>1</v>
          </cell>
          <cell r="AD500">
            <v>1</v>
          </cell>
        </row>
        <row r="501">
          <cell r="A501">
            <v>0</v>
          </cell>
          <cell r="B501" t="str">
            <v>ALL VRTS</v>
          </cell>
          <cell r="D501">
            <v>20</v>
          </cell>
          <cell r="E501" t="str">
            <v>5390</v>
          </cell>
          <cell r="G501" t="str">
            <v>TBE10-B</v>
          </cell>
          <cell r="I501" t="str">
            <v>L15</v>
          </cell>
          <cell r="L501" t="str">
            <v>V07</v>
          </cell>
          <cell r="N501">
            <v>0</v>
          </cell>
          <cell r="O501">
            <v>0</v>
          </cell>
          <cell r="P501">
            <v>-1</v>
          </cell>
          <cell r="Q501">
            <v>2004</v>
          </cell>
          <cell r="R501" t="str">
            <v>DEARBORN PLANT BUILD</v>
          </cell>
          <cell r="S501" t="str">
            <v>P221/P397</v>
          </cell>
          <cell r="T501" t="str">
            <v>TAIL GATE FUNCTION</v>
          </cell>
          <cell r="U501" t="str">
            <v>LUBE TAILGATE HINGE</v>
          </cell>
          <cell r="V501" t="str">
            <v>ALL</v>
          </cell>
          <cell r="W501">
            <v>1</v>
          </cell>
          <cell r="AE501">
            <v>1</v>
          </cell>
        </row>
        <row r="502">
          <cell r="A502">
            <v>0</v>
          </cell>
          <cell r="B502" t="str">
            <v>ALL VRTS</v>
          </cell>
          <cell r="D502">
            <v>20</v>
          </cell>
          <cell r="E502" t="str">
            <v>5390</v>
          </cell>
          <cell r="G502" t="str">
            <v>TBE10BB</v>
          </cell>
          <cell r="I502" t="str">
            <v>L15</v>
          </cell>
          <cell r="L502" t="str">
            <v>V07</v>
          </cell>
          <cell r="N502">
            <v>0</v>
          </cell>
          <cell r="O502">
            <v>0</v>
          </cell>
          <cell r="P502">
            <v>-1</v>
          </cell>
          <cell r="Q502">
            <v>2004</v>
          </cell>
          <cell r="R502" t="str">
            <v>DEARBORN PLANT BUILD</v>
          </cell>
          <cell r="S502" t="str">
            <v>P221/P397</v>
          </cell>
          <cell r="T502" t="str">
            <v>TAIL GATE FUNCTION</v>
          </cell>
          <cell r="U502" t="str">
            <v>REPLACE BUSHING</v>
          </cell>
          <cell r="V502" t="str">
            <v>ALL</v>
          </cell>
          <cell r="W502">
            <v>1</v>
          </cell>
          <cell r="AA502">
            <v>1</v>
          </cell>
        </row>
        <row r="503">
          <cell r="A503">
            <v>0</v>
          </cell>
          <cell r="B503" t="str">
            <v>ALL VRTS</v>
          </cell>
          <cell r="D503">
            <v>20</v>
          </cell>
          <cell r="I503" t="str">
            <v>L15</v>
          </cell>
          <cell r="L503" t="str">
            <v>V07</v>
          </cell>
          <cell r="N503">
            <v>0</v>
          </cell>
          <cell r="O503">
            <v>-1</v>
          </cell>
          <cell r="P503">
            <v>0</v>
          </cell>
          <cell r="Q503">
            <v>2004</v>
          </cell>
          <cell r="R503" t="str">
            <v>DEARBORN PLANT BUILD</v>
          </cell>
          <cell r="S503" t="str">
            <v>P221/P397</v>
          </cell>
          <cell r="T503" t="str">
            <v>TAIL GATE FUNCTION</v>
          </cell>
          <cell r="U503" t="str">
            <v>REPLACE LATCH</v>
          </cell>
          <cell r="V503" t="str">
            <v>ALL</v>
          </cell>
          <cell r="W503">
            <v>1</v>
          </cell>
          <cell r="AE503">
            <v>1</v>
          </cell>
        </row>
        <row r="504">
          <cell r="A504">
            <v>0</v>
          </cell>
          <cell r="B504" t="str">
            <v>ALL VRTS</v>
          </cell>
          <cell r="D504">
            <v>20</v>
          </cell>
          <cell r="I504" t="str">
            <v>L15</v>
          </cell>
          <cell r="L504" t="str">
            <v>V07</v>
          </cell>
          <cell r="N504">
            <v>0</v>
          </cell>
          <cell r="O504">
            <v>-1</v>
          </cell>
          <cell r="P504">
            <v>0</v>
          </cell>
          <cell r="Q504">
            <v>2004</v>
          </cell>
          <cell r="R504" t="str">
            <v>DEARBORN PLANT BUILD</v>
          </cell>
          <cell r="S504" t="str">
            <v>P221/P397</v>
          </cell>
          <cell r="T504" t="str">
            <v>TAIL GATE FUNCTION</v>
          </cell>
          <cell r="U504" t="str">
            <v>REPLACE LOCK CYLINDER</v>
          </cell>
          <cell r="V504" t="str">
            <v>ALL</v>
          </cell>
          <cell r="W504">
            <v>1</v>
          </cell>
          <cell r="AC504">
            <v>1</v>
          </cell>
        </row>
        <row r="505">
          <cell r="A505">
            <v>0</v>
          </cell>
          <cell r="B505" t="str">
            <v>ALL VRTS</v>
          </cell>
          <cell r="D505">
            <v>20</v>
          </cell>
          <cell r="E505" t="str">
            <v>5390</v>
          </cell>
          <cell r="G505" t="str">
            <v>TBE10-B</v>
          </cell>
          <cell r="I505" t="str">
            <v>L15</v>
          </cell>
          <cell r="L505" t="str">
            <v>V07</v>
          </cell>
          <cell r="N505">
            <v>0</v>
          </cell>
          <cell r="O505">
            <v>0</v>
          </cell>
          <cell r="P505">
            <v>-1</v>
          </cell>
          <cell r="Q505">
            <v>2004</v>
          </cell>
          <cell r="R505" t="str">
            <v>DEARBORN PLANT BUILD</v>
          </cell>
          <cell r="S505" t="str">
            <v>P221/P397</v>
          </cell>
          <cell r="T505" t="str">
            <v>TAIL GATE FUNCTION</v>
          </cell>
          <cell r="U505" t="str">
            <v>REPLACE ROLLER GROMMET</v>
          </cell>
          <cell r="V505" t="str">
            <v>ALL</v>
          </cell>
          <cell r="W505">
            <v>1</v>
          </cell>
          <cell r="AC505">
            <v>1</v>
          </cell>
        </row>
        <row r="506">
          <cell r="A506">
            <v>0</v>
          </cell>
          <cell r="B506" t="str">
            <v>ALL VRTS</v>
          </cell>
          <cell r="D506">
            <v>20</v>
          </cell>
          <cell r="I506" t="str">
            <v>L15</v>
          </cell>
          <cell r="L506" t="str">
            <v>V07</v>
          </cell>
          <cell r="N506">
            <v>0</v>
          </cell>
          <cell r="O506">
            <v>-1</v>
          </cell>
          <cell r="P506">
            <v>0</v>
          </cell>
          <cell r="Q506">
            <v>2004</v>
          </cell>
          <cell r="R506" t="str">
            <v>DEARBORN PLANT BUILD</v>
          </cell>
          <cell r="S506" t="str">
            <v>P221/P397</v>
          </cell>
          <cell r="T506" t="str">
            <v>TAIL GATE FUNCTION</v>
          </cell>
          <cell r="U506" t="str">
            <v>RT TAILGATE CABLE SHORT INSTALL NEW</v>
          </cell>
          <cell r="V506" t="str">
            <v>ALL</v>
          </cell>
          <cell r="W506">
            <v>1</v>
          </cell>
          <cell r="AB506">
            <v>1</v>
          </cell>
        </row>
        <row r="507">
          <cell r="A507">
            <v>0</v>
          </cell>
          <cell r="B507" t="str">
            <v>ALL VRTS</v>
          </cell>
          <cell r="D507">
            <v>19</v>
          </cell>
          <cell r="I507" t="str">
            <v>F10</v>
          </cell>
          <cell r="J507" t="str">
            <v>F12</v>
          </cell>
          <cell r="L507" t="str">
            <v>V33</v>
          </cell>
          <cell r="N507">
            <v>0</v>
          </cell>
          <cell r="O507">
            <v>0</v>
          </cell>
          <cell r="P507">
            <v>-1</v>
          </cell>
          <cell r="Q507">
            <v>2004</v>
          </cell>
          <cell r="R507" t="str">
            <v>DEARBORN PLANT BUILD</v>
          </cell>
          <cell r="S507" t="str">
            <v>P221/P397</v>
          </cell>
          <cell r="T507" t="str">
            <v>Poor Repair</v>
          </cell>
          <cell r="U507" t="str">
            <v>Multi Panels</v>
          </cell>
          <cell r="V507" t="str">
            <v>ALL</v>
          </cell>
          <cell r="W507">
            <v>5</v>
          </cell>
          <cell r="AA507">
            <v>1</v>
          </cell>
          <cell r="AB507">
            <v>1</v>
          </cell>
          <cell r="AD507">
            <v>1</v>
          </cell>
          <cell r="AE507">
            <v>2</v>
          </cell>
        </row>
        <row r="508">
          <cell r="A508">
            <v>0</v>
          </cell>
          <cell r="B508" t="str">
            <v>ALL VRTS</v>
          </cell>
          <cell r="D508">
            <v>19</v>
          </cell>
          <cell r="I508" t="str">
            <v>F05</v>
          </cell>
          <cell r="J508" t="str">
            <v>F07</v>
          </cell>
          <cell r="K508" t="str">
            <v>F20</v>
          </cell>
          <cell r="L508" t="str">
            <v>V33</v>
          </cell>
          <cell r="N508">
            <v>0</v>
          </cell>
          <cell r="O508">
            <v>0</v>
          </cell>
          <cell r="P508">
            <v>-1</v>
          </cell>
          <cell r="Q508">
            <v>2004</v>
          </cell>
          <cell r="R508" t="str">
            <v>DEARBORN PLANT BUILD</v>
          </cell>
          <cell r="S508" t="str">
            <v>P221/P397</v>
          </cell>
          <cell r="T508" t="str">
            <v>Poor Repair</v>
          </cell>
          <cell r="U508" t="str">
            <v>R/S Front Door</v>
          </cell>
          <cell r="V508" t="str">
            <v>ALL</v>
          </cell>
          <cell r="W508">
            <v>4</v>
          </cell>
          <cell r="AC508">
            <v>2</v>
          </cell>
          <cell r="AD508">
            <v>2</v>
          </cell>
        </row>
        <row r="509">
          <cell r="A509">
            <v>0</v>
          </cell>
          <cell r="B509" t="str">
            <v>ALL VRTS</v>
          </cell>
          <cell r="D509">
            <v>19</v>
          </cell>
          <cell r="I509" t="str">
            <v>F20</v>
          </cell>
          <cell r="J509" t="str">
            <v>F04</v>
          </cell>
          <cell r="K509" t="str">
            <v>F12</v>
          </cell>
          <cell r="L509" t="str">
            <v>V33</v>
          </cell>
          <cell r="N509">
            <v>0</v>
          </cell>
          <cell r="O509">
            <v>0</v>
          </cell>
          <cell r="P509">
            <v>-1</v>
          </cell>
          <cell r="Q509">
            <v>2004</v>
          </cell>
          <cell r="R509" t="str">
            <v>DEARBORN PLANT BUILD</v>
          </cell>
          <cell r="S509" t="str">
            <v>P221/P397</v>
          </cell>
          <cell r="T509" t="str">
            <v>Poor Repair</v>
          </cell>
          <cell r="U509" t="str">
            <v>L/S Bed</v>
          </cell>
          <cell r="V509" t="str">
            <v>ALL</v>
          </cell>
          <cell r="W509">
            <v>3</v>
          </cell>
          <cell r="AB509">
            <v>1</v>
          </cell>
          <cell r="AC509">
            <v>2</v>
          </cell>
        </row>
        <row r="510">
          <cell r="A510">
            <v>0</v>
          </cell>
          <cell r="B510" t="str">
            <v>ALL VRTS</v>
          </cell>
          <cell r="D510">
            <v>19</v>
          </cell>
          <cell r="I510" t="str">
            <v>F10</v>
          </cell>
          <cell r="J510" t="str">
            <v>F12</v>
          </cell>
          <cell r="L510" t="str">
            <v>V33</v>
          </cell>
          <cell r="N510">
            <v>0</v>
          </cell>
          <cell r="O510">
            <v>0</v>
          </cell>
          <cell r="P510">
            <v>-1</v>
          </cell>
          <cell r="Q510">
            <v>2004</v>
          </cell>
          <cell r="R510" t="str">
            <v>DEARBORN PLANT BUILD</v>
          </cell>
          <cell r="S510" t="str">
            <v>P221/P397</v>
          </cell>
          <cell r="T510" t="str">
            <v>Poor Repair</v>
          </cell>
          <cell r="U510" t="str">
            <v>R/S Bed</v>
          </cell>
          <cell r="V510" t="str">
            <v>ALL</v>
          </cell>
          <cell r="W510">
            <v>2</v>
          </cell>
          <cell r="AC510">
            <v>1</v>
          </cell>
          <cell r="AE510">
            <v>1</v>
          </cell>
        </row>
        <row r="511">
          <cell r="A511">
            <v>0</v>
          </cell>
          <cell r="B511" t="str">
            <v>ALL VRTS</v>
          </cell>
          <cell r="D511">
            <v>19</v>
          </cell>
          <cell r="I511" t="str">
            <v>F30</v>
          </cell>
          <cell r="L511" t="str">
            <v>V33</v>
          </cell>
          <cell r="N511">
            <v>0</v>
          </cell>
          <cell r="O511">
            <v>0</v>
          </cell>
          <cell r="P511">
            <v>-1</v>
          </cell>
          <cell r="Q511">
            <v>2004</v>
          </cell>
          <cell r="R511" t="str">
            <v>DEARBORN PLANT BUILD</v>
          </cell>
          <cell r="S511" t="str">
            <v>P221/P397</v>
          </cell>
          <cell r="T511" t="str">
            <v>Poor Repair</v>
          </cell>
          <cell r="U511" t="str">
            <v>L/S Front Fender</v>
          </cell>
          <cell r="V511" t="str">
            <v>ALL</v>
          </cell>
          <cell r="W511">
            <v>1</v>
          </cell>
          <cell r="AC511">
            <v>1</v>
          </cell>
        </row>
        <row r="512">
          <cell r="A512">
            <v>0</v>
          </cell>
          <cell r="B512" t="str">
            <v>ALL VRTS</v>
          </cell>
          <cell r="D512">
            <v>19</v>
          </cell>
          <cell r="I512" t="str">
            <v>F12</v>
          </cell>
          <cell r="L512" t="str">
            <v>V33</v>
          </cell>
          <cell r="N512">
            <v>0</v>
          </cell>
          <cell r="O512">
            <v>0</v>
          </cell>
          <cell r="P512">
            <v>-1</v>
          </cell>
          <cell r="Q512">
            <v>2004</v>
          </cell>
          <cell r="R512" t="str">
            <v>DEARBORN PLANT BUILD</v>
          </cell>
          <cell r="S512" t="str">
            <v>P221/P397</v>
          </cell>
          <cell r="T512" t="str">
            <v>Poor Repair</v>
          </cell>
          <cell r="U512" t="str">
            <v>Rear Fascia</v>
          </cell>
          <cell r="V512" t="str">
            <v>ALL</v>
          </cell>
          <cell r="W512">
            <v>1</v>
          </cell>
          <cell r="AA512">
            <v>1</v>
          </cell>
        </row>
        <row r="513">
          <cell r="A513">
            <v>0</v>
          </cell>
          <cell r="B513" t="str">
            <v>ALL VRTS</v>
          </cell>
          <cell r="D513">
            <v>19</v>
          </cell>
          <cell r="I513" t="str">
            <v>F12</v>
          </cell>
          <cell r="L513" t="str">
            <v>V33</v>
          </cell>
          <cell r="N513">
            <v>0</v>
          </cell>
          <cell r="O513">
            <v>0</v>
          </cell>
          <cell r="P513">
            <v>-1</v>
          </cell>
          <cell r="Q513">
            <v>2004</v>
          </cell>
          <cell r="R513" t="str">
            <v>DEARBORN PLANT BUILD</v>
          </cell>
          <cell r="S513" t="str">
            <v>P221/P397</v>
          </cell>
          <cell r="T513" t="str">
            <v>Poor Repair</v>
          </cell>
          <cell r="U513" t="str">
            <v>Rear Tailgate</v>
          </cell>
          <cell r="V513" t="str">
            <v>ALL</v>
          </cell>
          <cell r="W513">
            <v>1</v>
          </cell>
          <cell r="AD513">
            <v>1</v>
          </cell>
        </row>
        <row r="514">
          <cell r="A514">
            <v>0</v>
          </cell>
          <cell r="B514" t="str">
            <v>ALL VRTS</v>
          </cell>
          <cell r="D514">
            <v>19</v>
          </cell>
          <cell r="I514" t="str">
            <v>F12</v>
          </cell>
          <cell r="L514" t="str">
            <v>V33</v>
          </cell>
          <cell r="N514">
            <v>0</v>
          </cell>
          <cell r="O514">
            <v>0</v>
          </cell>
          <cell r="P514">
            <v>-1</v>
          </cell>
          <cell r="Q514">
            <v>2004</v>
          </cell>
          <cell r="R514" t="str">
            <v>DEARBORN PLANT BUILD</v>
          </cell>
          <cell r="S514" t="str">
            <v>P221/P397</v>
          </cell>
          <cell r="T514" t="str">
            <v>Poor Repair</v>
          </cell>
          <cell r="U514" t="str">
            <v>Tailgate Handle</v>
          </cell>
          <cell r="V514" t="str">
            <v>ALL</v>
          </cell>
          <cell r="W514">
            <v>1</v>
          </cell>
          <cell r="AA514">
            <v>1</v>
          </cell>
        </row>
        <row r="515">
          <cell r="A515">
            <v>0</v>
          </cell>
          <cell r="B515" t="str">
            <v>ALL VRTS</v>
          </cell>
          <cell r="D515">
            <v>19</v>
          </cell>
          <cell r="I515" t="str">
            <v>F30</v>
          </cell>
          <cell r="L515" t="str">
            <v>V33</v>
          </cell>
          <cell r="N515">
            <v>0</v>
          </cell>
          <cell r="O515">
            <v>0</v>
          </cell>
          <cell r="P515">
            <v>-1</v>
          </cell>
          <cell r="Q515">
            <v>2004</v>
          </cell>
          <cell r="R515" t="str">
            <v>DEARBORN PLANT BUILD</v>
          </cell>
          <cell r="S515" t="str">
            <v>P221/P397</v>
          </cell>
          <cell r="T515" t="str">
            <v>Poor Repair</v>
          </cell>
          <cell r="U515" t="str">
            <v>Tu-Tone Area</v>
          </cell>
          <cell r="V515" t="str">
            <v>ALL</v>
          </cell>
          <cell r="W515">
            <v>1</v>
          </cell>
          <cell r="AB515">
            <v>1</v>
          </cell>
        </row>
        <row r="516">
          <cell r="A516">
            <v>0</v>
          </cell>
          <cell r="B516" t="str">
            <v>ALL VRTS</v>
          </cell>
          <cell r="D516">
            <v>19</v>
          </cell>
          <cell r="I516" t="str">
            <v>F05</v>
          </cell>
          <cell r="J516" t="str">
            <v>F30</v>
          </cell>
          <cell r="K516" t="str">
            <v>F12</v>
          </cell>
          <cell r="L516" t="str">
            <v>V33</v>
          </cell>
          <cell r="N516">
            <v>0</v>
          </cell>
          <cell r="O516">
            <v>0</v>
          </cell>
          <cell r="P516">
            <v>-1</v>
          </cell>
          <cell r="Q516">
            <v>2004</v>
          </cell>
          <cell r="R516" t="str">
            <v>DEARBORN PLANT BUILD</v>
          </cell>
          <cell r="S516" t="str">
            <v>P221/P397</v>
          </cell>
          <cell r="T516" t="str">
            <v>Poor Spot Repar</v>
          </cell>
          <cell r="U516" t="str">
            <v>R/S Front Door</v>
          </cell>
          <cell r="V516" t="str">
            <v>ALL</v>
          </cell>
          <cell r="W516">
            <v>4</v>
          </cell>
          <cell r="AD516">
            <v>3</v>
          </cell>
          <cell r="AE516">
            <v>1</v>
          </cell>
        </row>
        <row r="517">
          <cell r="A517">
            <v>0</v>
          </cell>
          <cell r="B517" t="str">
            <v>ALL VRTS</v>
          </cell>
          <cell r="D517">
            <v>19</v>
          </cell>
          <cell r="I517" t="str">
            <v>F30</v>
          </cell>
          <cell r="J517" t="str">
            <v>F05</v>
          </cell>
          <cell r="L517" t="str">
            <v>V33</v>
          </cell>
          <cell r="N517">
            <v>0</v>
          </cell>
          <cell r="O517">
            <v>0</v>
          </cell>
          <cell r="P517">
            <v>-1</v>
          </cell>
          <cell r="Q517">
            <v>2004</v>
          </cell>
          <cell r="R517" t="str">
            <v>DEARBORN PLANT BUILD</v>
          </cell>
          <cell r="S517" t="str">
            <v>P221/P397</v>
          </cell>
          <cell r="T517" t="str">
            <v>Poor Spot Repar</v>
          </cell>
          <cell r="U517" t="str">
            <v>R/S Bed</v>
          </cell>
          <cell r="V517" t="str">
            <v>ALL</v>
          </cell>
          <cell r="W517">
            <v>3</v>
          </cell>
          <cell r="AB517">
            <v>1</v>
          </cell>
          <cell r="AD517">
            <v>2</v>
          </cell>
        </row>
        <row r="518">
          <cell r="A518">
            <v>0</v>
          </cell>
          <cell r="B518" t="str">
            <v>ALL VRTS</v>
          </cell>
          <cell r="D518">
            <v>19</v>
          </cell>
          <cell r="I518" t="str">
            <v>F04</v>
          </cell>
          <cell r="J518" t="str">
            <v>F10</v>
          </cell>
          <cell r="L518" t="str">
            <v>V33</v>
          </cell>
          <cell r="N518">
            <v>0</v>
          </cell>
          <cell r="O518">
            <v>0</v>
          </cell>
          <cell r="P518">
            <v>-1</v>
          </cell>
          <cell r="Q518">
            <v>2004</v>
          </cell>
          <cell r="R518" t="str">
            <v>DEARBORN PLANT BUILD</v>
          </cell>
          <cell r="S518" t="str">
            <v>P221/P397</v>
          </cell>
          <cell r="T518" t="str">
            <v>Poor Spot Repar</v>
          </cell>
          <cell r="U518" t="str">
            <v>L/S Front Fender</v>
          </cell>
          <cell r="V518" t="str">
            <v>ALL</v>
          </cell>
          <cell r="W518">
            <v>2</v>
          </cell>
          <cell r="AD518">
            <v>2</v>
          </cell>
        </row>
        <row r="519">
          <cell r="A519">
            <v>0</v>
          </cell>
          <cell r="B519" t="str">
            <v>ALL VRTS</v>
          </cell>
          <cell r="D519">
            <v>19</v>
          </cell>
          <cell r="I519" t="str">
            <v>F04</v>
          </cell>
          <cell r="J519" t="str">
            <v>F12</v>
          </cell>
          <cell r="L519" t="str">
            <v>V33</v>
          </cell>
          <cell r="N519">
            <v>0</v>
          </cell>
          <cell r="O519">
            <v>0</v>
          </cell>
          <cell r="P519">
            <v>-1</v>
          </cell>
          <cell r="Q519">
            <v>2004</v>
          </cell>
          <cell r="R519" t="str">
            <v>DEARBORN PLANT BUILD</v>
          </cell>
          <cell r="S519" t="str">
            <v>P221/P397</v>
          </cell>
          <cell r="T519" t="str">
            <v>Poor Spot Repar</v>
          </cell>
          <cell r="U519" t="str">
            <v>L/S Rear Door</v>
          </cell>
          <cell r="V519" t="str">
            <v>ALL</v>
          </cell>
          <cell r="W519">
            <v>2</v>
          </cell>
          <cell r="AD519">
            <v>2</v>
          </cell>
        </row>
        <row r="520">
          <cell r="A520">
            <v>0</v>
          </cell>
          <cell r="B520" t="str">
            <v>ALL VRTS</v>
          </cell>
          <cell r="D520">
            <v>19</v>
          </cell>
          <cell r="I520" t="str">
            <v>F12</v>
          </cell>
          <cell r="J520" t="str">
            <v>F13</v>
          </cell>
          <cell r="L520" t="str">
            <v>V33</v>
          </cell>
          <cell r="N520">
            <v>0</v>
          </cell>
          <cell r="O520">
            <v>0</v>
          </cell>
          <cell r="P520">
            <v>-1</v>
          </cell>
          <cell r="Q520">
            <v>2004</v>
          </cell>
          <cell r="R520" t="str">
            <v>DEARBORN PLANT BUILD</v>
          </cell>
          <cell r="S520" t="str">
            <v>P221/P397</v>
          </cell>
          <cell r="T520" t="str">
            <v>Poor Spot Repar</v>
          </cell>
          <cell r="U520" t="str">
            <v>Multi Panels</v>
          </cell>
          <cell r="V520" t="str">
            <v>ALL</v>
          </cell>
          <cell r="W520">
            <v>2</v>
          </cell>
          <cell r="Z520">
            <v>2</v>
          </cell>
        </row>
        <row r="521">
          <cell r="A521">
            <v>0</v>
          </cell>
          <cell r="B521" t="str">
            <v>ALL VRTS</v>
          </cell>
          <cell r="D521">
            <v>19</v>
          </cell>
          <cell r="I521" t="str">
            <v>F10</v>
          </cell>
          <cell r="L521" t="str">
            <v>V33</v>
          </cell>
          <cell r="N521">
            <v>0</v>
          </cell>
          <cell r="O521">
            <v>0</v>
          </cell>
          <cell r="P521">
            <v>-1</v>
          </cell>
          <cell r="Q521">
            <v>2004</v>
          </cell>
          <cell r="R521" t="str">
            <v>DEARBORN PLANT BUILD</v>
          </cell>
          <cell r="S521" t="str">
            <v>P221/P397</v>
          </cell>
          <cell r="T521" t="str">
            <v>Poor Spot Repar</v>
          </cell>
          <cell r="U521" t="str">
            <v>Entire Vehicle</v>
          </cell>
          <cell r="V521" t="str">
            <v>ALL</v>
          </cell>
          <cell r="W521">
            <v>1</v>
          </cell>
          <cell r="AD521">
            <v>1</v>
          </cell>
        </row>
        <row r="522">
          <cell r="A522">
            <v>0</v>
          </cell>
          <cell r="B522" t="str">
            <v>ALL VRTS</v>
          </cell>
          <cell r="D522">
            <v>19</v>
          </cell>
          <cell r="I522" t="str">
            <v>F05</v>
          </cell>
          <cell r="L522" t="str">
            <v>V33</v>
          </cell>
          <cell r="N522">
            <v>0</v>
          </cell>
          <cell r="O522">
            <v>0</v>
          </cell>
          <cell r="P522">
            <v>-1</v>
          </cell>
          <cell r="Q522">
            <v>2004</v>
          </cell>
          <cell r="R522" t="str">
            <v>DEARBORN PLANT BUILD</v>
          </cell>
          <cell r="S522" t="str">
            <v>P221/P397</v>
          </cell>
          <cell r="T522" t="str">
            <v>Poor Spot Repar</v>
          </cell>
          <cell r="U522" t="str">
            <v>L/S Bed</v>
          </cell>
          <cell r="V522" t="str">
            <v>ALL</v>
          </cell>
          <cell r="W522">
            <v>1</v>
          </cell>
          <cell r="AC522">
            <v>1</v>
          </cell>
        </row>
        <row r="523">
          <cell r="A523">
            <v>0</v>
          </cell>
          <cell r="B523" t="str">
            <v>ALL VRTS</v>
          </cell>
          <cell r="D523">
            <v>19</v>
          </cell>
          <cell r="I523" t="str">
            <v>F07</v>
          </cell>
          <cell r="L523" t="str">
            <v>V33</v>
          </cell>
          <cell r="N523">
            <v>0</v>
          </cell>
          <cell r="O523">
            <v>0</v>
          </cell>
          <cell r="P523">
            <v>-1</v>
          </cell>
          <cell r="Q523">
            <v>2004</v>
          </cell>
          <cell r="R523" t="str">
            <v>DEARBORN PLANT BUILD</v>
          </cell>
          <cell r="S523" t="str">
            <v>P221/P397</v>
          </cell>
          <cell r="T523" t="str">
            <v>Poor Spot Repar</v>
          </cell>
          <cell r="U523" t="str">
            <v>L/S Door</v>
          </cell>
          <cell r="V523" t="str">
            <v>ALL</v>
          </cell>
          <cell r="W523">
            <v>1</v>
          </cell>
          <cell r="AA523">
            <v>1</v>
          </cell>
        </row>
        <row r="524">
          <cell r="A524">
            <v>0</v>
          </cell>
          <cell r="B524" t="str">
            <v>ALL VRTS</v>
          </cell>
          <cell r="D524">
            <v>19</v>
          </cell>
          <cell r="I524" t="str">
            <v>F07</v>
          </cell>
          <cell r="L524" t="str">
            <v>V33</v>
          </cell>
          <cell r="N524">
            <v>0</v>
          </cell>
          <cell r="O524">
            <v>0</v>
          </cell>
          <cell r="P524">
            <v>-1</v>
          </cell>
          <cell r="Q524">
            <v>2004</v>
          </cell>
          <cell r="R524" t="str">
            <v>DEARBORN PLANT BUILD</v>
          </cell>
          <cell r="S524" t="str">
            <v>P221/P397</v>
          </cell>
          <cell r="T524" t="str">
            <v>Poor Spot Repar</v>
          </cell>
          <cell r="U524" t="str">
            <v>R/S Tailgate</v>
          </cell>
          <cell r="V524" t="str">
            <v>ALL</v>
          </cell>
          <cell r="W524">
            <v>1</v>
          </cell>
          <cell r="AD524">
            <v>1</v>
          </cell>
        </row>
        <row r="525">
          <cell r="A525">
            <v>0</v>
          </cell>
          <cell r="B525" t="str">
            <v>ALL VRTS</v>
          </cell>
          <cell r="D525">
            <v>19</v>
          </cell>
          <cell r="I525" t="str">
            <v>F04</v>
          </cell>
          <cell r="L525" t="str">
            <v>V33</v>
          </cell>
          <cell r="N525">
            <v>0</v>
          </cell>
          <cell r="O525">
            <v>0</v>
          </cell>
          <cell r="P525">
            <v>-1</v>
          </cell>
          <cell r="Q525">
            <v>2004</v>
          </cell>
          <cell r="R525" t="str">
            <v>DEARBORN PLANT BUILD</v>
          </cell>
          <cell r="S525" t="str">
            <v>P221/P397</v>
          </cell>
          <cell r="T525" t="str">
            <v>Poor Spot Repar</v>
          </cell>
          <cell r="U525" t="str">
            <v>Rear Tailgate</v>
          </cell>
          <cell r="V525" t="str">
            <v>ALL</v>
          </cell>
          <cell r="W525">
            <v>1</v>
          </cell>
          <cell r="AB525">
            <v>1</v>
          </cell>
        </row>
        <row r="526">
          <cell r="A526">
            <v>0</v>
          </cell>
          <cell r="B526" t="str">
            <v>ALL VRTS</v>
          </cell>
          <cell r="D526">
            <v>19</v>
          </cell>
          <cell r="I526" t="str">
            <v>F10</v>
          </cell>
          <cell r="L526" t="str">
            <v>V33</v>
          </cell>
          <cell r="N526">
            <v>0</v>
          </cell>
          <cell r="O526">
            <v>0</v>
          </cell>
          <cell r="P526">
            <v>-1</v>
          </cell>
          <cell r="Q526">
            <v>2004</v>
          </cell>
          <cell r="R526" t="str">
            <v>DEARBORN PLANT BUILD</v>
          </cell>
          <cell r="S526" t="str">
            <v>P221/P397</v>
          </cell>
          <cell r="T526" t="str">
            <v>Poor Spot Repar</v>
          </cell>
          <cell r="U526" t="str">
            <v>Roof</v>
          </cell>
          <cell r="V526" t="str">
            <v>ALL</v>
          </cell>
          <cell r="W526">
            <v>1</v>
          </cell>
          <cell r="AB526">
            <v>1</v>
          </cell>
        </row>
        <row r="527">
          <cell r="A527">
            <v>0</v>
          </cell>
          <cell r="B527" t="str">
            <v>ALL VRTS</v>
          </cell>
          <cell r="C527" t="str">
            <v>X</v>
          </cell>
          <cell r="D527">
            <v>19</v>
          </cell>
          <cell r="I527" t="str">
            <v>TA3</v>
          </cell>
          <cell r="J527" t="str">
            <v>TB3</v>
          </cell>
          <cell r="K527" t="str">
            <v>TC8</v>
          </cell>
          <cell r="L527" t="str">
            <v>V88</v>
          </cell>
          <cell r="N527">
            <v>0</v>
          </cell>
          <cell r="O527">
            <v>-1</v>
          </cell>
          <cell r="P527">
            <v>0</v>
          </cell>
          <cell r="Q527">
            <v>2004</v>
          </cell>
          <cell r="R527" t="str">
            <v>DEARBORN PLANT BUILD</v>
          </cell>
          <cell r="S527" t="str">
            <v>P221/P397</v>
          </cell>
          <cell r="T527" t="str">
            <v>TIRES, DEFECTIVE</v>
          </cell>
          <cell r="U527" t="str">
            <v>TIRE REPLACED</v>
          </cell>
          <cell r="V527" t="str">
            <v>ALL</v>
          </cell>
          <cell r="W527">
            <v>15</v>
          </cell>
          <cell r="Z527">
            <v>6</v>
          </cell>
          <cell r="AA527">
            <v>1</v>
          </cell>
          <cell r="AB527">
            <v>3</v>
          </cell>
          <cell r="AD527">
            <v>4</v>
          </cell>
          <cell r="AE527">
            <v>1</v>
          </cell>
        </row>
        <row r="528">
          <cell r="A528">
            <v>0</v>
          </cell>
          <cell r="B528" t="str">
            <v>ALL VRTS</v>
          </cell>
          <cell r="C528" t="str">
            <v>X</v>
          </cell>
          <cell r="D528">
            <v>19</v>
          </cell>
          <cell r="I528" t="str">
            <v>TA2</v>
          </cell>
          <cell r="J528" t="str">
            <v>TC1</v>
          </cell>
          <cell r="L528" t="str">
            <v>V88</v>
          </cell>
          <cell r="N528">
            <v>0</v>
          </cell>
          <cell r="O528">
            <v>-1</v>
          </cell>
          <cell r="P528">
            <v>0</v>
          </cell>
          <cell r="Q528">
            <v>2004</v>
          </cell>
          <cell r="R528" t="str">
            <v>DEARBORN PLANT BUILD</v>
          </cell>
          <cell r="S528" t="str">
            <v>P221/P397</v>
          </cell>
          <cell r="T528" t="str">
            <v>TIRES, DEFECTIVE</v>
          </cell>
          <cell r="U528" t="str">
            <v>TIRE BLOW-OUT - REPLACED</v>
          </cell>
          <cell r="V528" t="str">
            <v>ALL</v>
          </cell>
          <cell r="W528">
            <v>2</v>
          </cell>
          <cell r="AA528">
            <v>1</v>
          </cell>
          <cell r="AC528">
            <v>1</v>
          </cell>
        </row>
        <row r="529">
          <cell r="A529">
            <v>0</v>
          </cell>
          <cell r="B529" t="str">
            <v>ALL VRTS</v>
          </cell>
          <cell r="C529" t="str">
            <v>X</v>
          </cell>
          <cell r="D529">
            <v>19</v>
          </cell>
          <cell r="I529" t="str">
            <v>TA3</v>
          </cell>
          <cell r="L529" t="str">
            <v>V88</v>
          </cell>
          <cell r="N529">
            <v>0</v>
          </cell>
          <cell r="O529">
            <v>-1</v>
          </cell>
          <cell r="P529">
            <v>0</v>
          </cell>
          <cell r="Q529">
            <v>2004</v>
          </cell>
          <cell r="R529" t="str">
            <v>DEARBORN PLANT BUILD</v>
          </cell>
          <cell r="S529" t="str">
            <v>P221/P397</v>
          </cell>
          <cell r="T529" t="str">
            <v>TIRES, DEFECTIVE</v>
          </cell>
          <cell r="U529" t="str">
            <v>KNOT IN SIDEWALL-REPLACED</v>
          </cell>
          <cell r="V529" t="str">
            <v>ALL</v>
          </cell>
          <cell r="W529">
            <v>1</v>
          </cell>
          <cell r="AB529">
            <v>1</v>
          </cell>
        </row>
        <row r="530">
          <cell r="A530">
            <v>0</v>
          </cell>
          <cell r="B530" t="str">
            <v>ALL VRTS</v>
          </cell>
          <cell r="C530" t="str">
            <v>X</v>
          </cell>
          <cell r="D530">
            <v>19</v>
          </cell>
          <cell r="I530" t="str">
            <v>TB3</v>
          </cell>
          <cell r="L530" t="str">
            <v>V88</v>
          </cell>
          <cell r="N530">
            <v>0</v>
          </cell>
          <cell r="O530">
            <v>-1</v>
          </cell>
          <cell r="P530">
            <v>0</v>
          </cell>
          <cell r="Q530">
            <v>2004</v>
          </cell>
          <cell r="R530" t="str">
            <v>DEARBORN PLANT BUILD</v>
          </cell>
          <cell r="S530" t="str">
            <v>P221/P397</v>
          </cell>
          <cell r="T530" t="str">
            <v>TIRES, DEFECTIVE</v>
          </cell>
          <cell r="U530" t="str">
            <v>OUT OF ROUND  - REPLACED</v>
          </cell>
          <cell r="V530" t="str">
            <v>ALL</v>
          </cell>
          <cell r="W530">
            <v>1</v>
          </cell>
          <cell r="AD530">
            <v>1</v>
          </cell>
        </row>
        <row r="531">
          <cell r="A531">
            <v>0</v>
          </cell>
          <cell r="B531" t="str">
            <v>ALL VRTS</v>
          </cell>
          <cell r="D531">
            <v>18</v>
          </cell>
          <cell r="E531" t="str">
            <v>unsure</v>
          </cell>
          <cell r="G531" t="str">
            <v>TDW28R</v>
          </cell>
          <cell r="H531" t="str">
            <v>TDE27L</v>
          </cell>
          <cell r="I531" t="str">
            <v>G09</v>
          </cell>
          <cell r="J531" t="str">
            <v>N40</v>
          </cell>
          <cell r="K531" t="str">
            <v>N50</v>
          </cell>
          <cell r="L531" t="str">
            <v>V39</v>
          </cell>
          <cell r="N531">
            <v>0</v>
          </cell>
          <cell r="O531">
            <v>0</v>
          </cell>
          <cell r="P531">
            <v>-1</v>
          </cell>
          <cell r="Q531">
            <v>2004</v>
          </cell>
          <cell r="R531" t="str">
            <v>DEARBORN PLANT BUILD</v>
          </cell>
          <cell r="S531" t="str">
            <v>P221/P397</v>
          </cell>
          <cell r="T531" t="str">
            <v>Front Side Door Squeak/Rattle</v>
          </cell>
          <cell r="U531" t="str">
            <v>Door Window Regulator Loose</v>
          </cell>
          <cell r="V531" t="str">
            <v>ALL</v>
          </cell>
          <cell r="W531">
            <v>8</v>
          </cell>
          <cell r="AB531">
            <v>1</v>
          </cell>
          <cell r="AD531">
            <v>4</v>
          </cell>
          <cell r="AE531">
            <v>3</v>
          </cell>
        </row>
        <row r="532">
          <cell r="A532">
            <v>0</v>
          </cell>
          <cell r="B532" t="str">
            <v>ALL VRTS</v>
          </cell>
          <cell r="D532">
            <v>18</v>
          </cell>
          <cell r="E532" t="str">
            <v>unsure</v>
          </cell>
          <cell r="G532" t="str">
            <v>TDW49R</v>
          </cell>
          <cell r="I532" t="str">
            <v>N59</v>
          </cell>
          <cell r="J532" t="str">
            <v>N42</v>
          </cell>
          <cell r="K532" t="str">
            <v>B09</v>
          </cell>
          <cell r="L532" t="str">
            <v>V39</v>
          </cell>
          <cell r="N532">
            <v>0</v>
          </cell>
          <cell r="O532">
            <v>0</v>
          </cell>
          <cell r="P532">
            <v>-1</v>
          </cell>
          <cell r="Q532">
            <v>2004</v>
          </cell>
          <cell r="R532" t="str">
            <v>DEARBORN PLANT BUILD</v>
          </cell>
          <cell r="S532" t="str">
            <v>P221/P397</v>
          </cell>
          <cell r="T532" t="str">
            <v>Front Side Door Squeak/Rattle</v>
          </cell>
          <cell r="U532" t="str">
            <v>Door Trim Panel Loose</v>
          </cell>
          <cell r="V532" t="str">
            <v>ALL</v>
          </cell>
          <cell r="W532">
            <v>5</v>
          </cell>
          <cell r="Z532">
            <v>1</v>
          </cell>
          <cell r="AB532">
            <v>1</v>
          </cell>
          <cell r="AC532">
            <v>2</v>
          </cell>
          <cell r="AE532">
            <v>1</v>
          </cell>
        </row>
        <row r="533">
          <cell r="A533">
            <v>0</v>
          </cell>
          <cell r="B533" t="str">
            <v>ALL VRTS</v>
          </cell>
          <cell r="D533">
            <v>18</v>
          </cell>
          <cell r="E533" t="str">
            <v>unsure</v>
          </cell>
          <cell r="G533" t="str">
            <v>TDW28R</v>
          </cell>
          <cell r="I533" t="str">
            <v>G09</v>
          </cell>
          <cell r="L533" t="str">
            <v>V39</v>
          </cell>
          <cell r="N533">
            <v>0</v>
          </cell>
          <cell r="O533">
            <v>0</v>
          </cell>
          <cell r="P533">
            <v>-1</v>
          </cell>
          <cell r="Q533">
            <v>2004</v>
          </cell>
          <cell r="R533" t="str">
            <v>DEARBORN PLANT BUILD</v>
          </cell>
          <cell r="S533" t="str">
            <v>P221/P397</v>
          </cell>
          <cell r="T533" t="str">
            <v>Front Side Door Squeak/Rattle</v>
          </cell>
          <cell r="U533" t="str">
            <v>Door Glass Track misalign, and Pad Missing</v>
          </cell>
          <cell r="V533" t="str">
            <v>ALL</v>
          </cell>
          <cell r="W533">
            <v>1</v>
          </cell>
          <cell r="AD533">
            <v>1</v>
          </cell>
        </row>
        <row r="534">
          <cell r="A534">
            <v>0</v>
          </cell>
          <cell r="B534" t="str">
            <v>ALL VRTS</v>
          </cell>
          <cell r="D534">
            <v>18</v>
          </cell>
          <cell r="E534" t="str">
            <v>unsure</v>
          </cell>
          <cell r="G534" t="str">
            <v>TDW10R</v>
          </cell>
          <cell r="I534" t="str">
            <v>N40</v>
          </cell>
          <cell r="L534" t="str">
            <v>V39</v>
          </cell>
          <cell r="N534">
            <v>0</v>
          </cell>
          <cell r="O534">
            <v>0</v>
          </cell>
          <cell r="P534">
            <v>-1</v>
          </cell>
          <cell r="Q534">
            <v>2004</v>
          </cell>
          <cell r="R534" t="str">
            <v>DEARBORN PLANT BUILD</v>
          </cell>
          <cell r="S534" t="str">
            <v>P221/P397</v>
          </cell>
          <cell r="T534" t="str">
            <v>Front Side Door Squeak/Rattle</v>
          </cell>
          <cell r="U534" t="str">
            <v>Door Lock Rod Support loose</v>
          </cell>
          <cell r="V534" t="str">
            <v>ALL</v>
          </cell>
          <cell r="W534">
            <v>1</v>
          </cell>
          <cell r="Z534">
            <v>1</v>
          </cell>
        </row>
        <row r="535">
          <cell r="A535">
            <v>0</v>
          </cell>
          <cell r="B535" t="str">
            <v>ALL VRTS</v>
          </cell>
          <cell r="D535">
            <v>18</v>
          </cell>
          <cell r="E535" t="str">
            <v>unsure</v>
          </cell>
          <cell r="G535" t="str">
            <v>TDE27L</v>
          </cell>
          <cell r="I535" t="str">
            <v>N40</v>
          </cell>
          <cell r="L535" t="str">
            <v>V39</v>
          </cell>
          <cell r="N535">
            <v>0</v>
          </cell>
          <cell r="O535">
            <v>0</v>
          </cell>
          <cell r="P535">
            <v>-1</v>
          </cell>
          <cell r="Q535">
            <v>2004</v>
          </cell>
          <cell r="R535" t="str">
            <v>DEARBORN PLANT BUILD</v>
          </cell>
          <cell r="S535" t="str">
            <v>P221/P397</v>
          </cell>
          <cell r="T535" t="str">
            <v>Front Side Door Squeak/Rattle</v>
          </cell>
          <cell r="U535" t="str">
            <v>Loode Stock</v>
          </cell>
          <cell r="V535" t="str">
            <v>ALL</v>
          </cell>
          <cell r="W535">
            <v>1</v>
          </cell>
          <cell r="AE535">
            <v>1</v>
          </cell>
        </row>
        <row r="536">
          <cell r="A536">
            <v>0</v>
          </cell>
          <cell r="B536" t="str">
            <v>ALL VRTS</v>
          </cell>
          <cell r="D536">
            <v>18</v>
          </cell>
          <cell r="I536" t="str">
            <v>N40</v>
          </cell>
          <cell r="L536" t="str">
            <v>V39</v>
          </cell>
          <cell r="N536">
            <v>0</v>
          </cell>
          <cell r="O536">
            <v>0</v>
          </cell>
          <cell r="P536">
            <v>-1</v>
          </cell>
          <cell r="Q536">
            <v>2004</v>
          </cell>
          <cell r="R536" t="str">
            <v>DEARBORN PLANT BUILD</v>
          </cell>
          <cell r="S536" t="str">
            <v>P221/P397</v>
          </cell>
          <cell r="T536" t="str">
            <v>Front Side Door Squeak/Rattle</v>
          </cell>
          <cell r="U536" t="str">
            <v>npf</v>
          </cell>
          <cell r="V536" t="str">
            <v>ALL</v>
          </cell>
          <cell r="W536">
            <v>1</v>
          </cell>
          <cell r="AE536">
            <v>1</v>
          </cell>
        </row>
        <row r="537">
          <cell r="A537">
            <v>0</v>
          </cell>
          <cell r="B537" t="str">
            <v>ALL VRTS</v>
          </cell>
          <cell r="D537">
            <v>18</v>
          </cell>
          <cell r="E537" t="str">
            <v>unsure</v>
          </cell>
          <cell r="G537" t="str">
            <v>TDE29L</v>
          </cell>
          <cell r="I537" t="str">
            <v>N40</v>
          </cell>
          <cell r="L537" t="str">
            <v>V39</v>
          </cell>
          <cell r="N537">
            <v>0</v>
          </cell>
          <cell r="O537">
            <v>0</v>
          </cell>
          <cell r="P537">
            <v>-1</v>
          </cell>
          <cell r="Q537">
            <v>2004</v>
          </cell>
          <cell r="R537" t="str">
            <v>DEARBORN PLANT BUILD</v>
          </cell>
          <cell r="S537" t="str">
            <v>P221/P397</v>
          </cell>
          <cell r="T537" t="str">
            <v>Front Side Door Squeak/Rattle</v>
          </cell>
          <cell r="U537" t="str">
            <v>Window Run Loose</v>
          </cell>
          <cell r="V537" t="str">
            <v>ALL</v>
          </cell>
          <cell r="W537">
            <v>1</v>
          </cell>
          <cell r="AD537">
            <v>1</v>
          </cell>
        </row>
        <row r="538">
          <cell r="A538">
            <v>0</v>
          </cell>
          <cell r="B538" t="str">
            <v>ALL VRTS</v>
          </cell>
          <cell r="D538">
            <v>17</v>
          </cell>
          <cell r="E538" t="str">
            <v>6360</v>
          </cell>
          <cell r="G538" t="str">
            <v>CEW44R</v>
          </cell>
          <cell r="I538" t="str">
            <v>E42</v>
          </cell>
          <cell r="L538" t="str">
            <v>V44</v>
          </cell>
          <cell r="N538">
            <v>0</v>
          </cell>
          <cell r="O538">
            <v>0</v>
          </cell>
          <cell r="P538">
            <v>-1</v>
          </cell>
          <cell r="Q538">
            <v>2004</v>
          </cell>
          <cell r="R538" t="str">
            <v>DEARBORN PLANT BUILD</v>
          </cell>
          <cell r="S538" t="str">
            <v>P221/P397</v>
          </cell>
          <cell r="T538" t="str">
            <v xml:space="preserve"> EXHAUST NOISE</v>
          </cell>
          <cell r="U538" t="str">
            <v>Re-align Exhaust to Y-Pipe</v>
          </cell>
          <cell r="V538" t="str">
            <v>ALL</v>
          </cell>
          <cell r="W538">
            <v>14</v>
          </cell>
          <cell r="AB538">
            <v>4</v>
          </cell>
          <cell r="AC538">
            <v>2</v>
          </cell>
          <cell r="AD538">
            <v>6</v>
          </cell>
          <cell r="AE538">
            <v>2</v>
          </cell>
        </row>
        <row r="539">
          <cell r="A539">
            <v>0</v>
          </cell>
          <cell r="B539" t="str">
            <v>ALL VRTS</v>
          </cell>
          <cell r="D539">
            <v>17</v>
          </cell>
          <cell r="I539" t="str">
            <v>E42</v>
          </cell>
          <cell r="L539" t="str">
            <v>V44</v>
          </cell>
          <cell r="N539">
            <v>0</v>
          </cell>
          <cell r="O539">
            <v>0</v>
          </cell>
          <cell r="P539">
            <v>-1</v>
          </cell>
          <cell r="Q539">
            <v>2004</v>
          </cell>
          <cell r="R539" t="str">
            <v>DEARBORN PLANT BUILD</v>
          </cell>
          <cell r="S539" t="str">
            <v>P221/P397</v>
          </cell>
          <cell r="T539" t="str">
            <v xml:space="preserve"> EXHAUST NOISE</v>
          </cell>
          <cell r="U539" t="str">
            <v>Exhaust clamp missing</v>
          </cell>
          <cell r="V539" t="str">
            <v>ALL</v>
          </cell>
          <cell r="W539">
            <v>1</v>
          </cell>
          <cell r="AE539">
            <v>1</v>
          </cell>
        </row>
        <row r="540">
          <cell r="A540">
            <v>0</v>
          </cell>
          <cell r="B540" t="str">
            <v>ALL VRTS</v>
          </cell>
          <cell r="D540">
            <v>17</v>
          </cell>
          <cell r="E540" t="str">
            <v>6340</v>
          </cell>
          <cell r="G540" t="str">
            <v>CEW06R</v>
          </cell>
          <cell r="I540" t="str">
            <v>E42</v>
          </cell>
          <cell r="L540" t="str">
            <v>V44</v>
          </cell>
          <cell r="N540">
            <v>0</v>
          </cell>
          <cell r="O540">
            <v>0</v>
          </cell>
          <cell r="P540">
            <v>-1</v>
          </cell>
          <cell r="Q540">
            <v>2004</v>
          </cell>
          <cell r="R540" t="str">
            <v>DEARBORN PLANT BUILD</v>
          </cell>
          <cell r="S540" t="str">
            <v>P221/P397</v>
          </cell>
          <cell r="T540" t="str">
            <v xml:space="preserve"> EXHAUST NOISE</v>
          </cell>
          <cell r="U540" t="str">
            <v>flexplate damaged</v>
          </cell>
          <cell r="V540" t="str">
            <v>ALL</v>
          </cell>
          <cell r="W540">
            <v>1</v>
          </cell>
          <cell r="AB540">
            <v>1</v>
          </cell>
        </row>
        <row r="541">
          <cell r="A541">
            <v>0</v>
          </cell>
          <cell r="B541" t="str">
            <v>ALL VRTS</v>
          </cell>
          <cell r="D541">
            <v>17</v>
          </cell>
          <cell r="I541" t="str">
            <v>E41</v>
          </cell>
          <cell r="L541" t="str">
            <v>V44</v>
          </cell>
          <cell r="N541">
            <v>0</v>
          </cell>
          <cell r="O541">
            <v>-1</v>
          </cell>
          <cell r="P541">
            <v>0</v>
          </cell>
          <cell r="Q541">
            <v>2004</v>
          </cell>
          <cell r="R541" t="str">
            <v>DEARBORN PLANT BUILD</v>
          </cell>
          <cell r="S541" t="str">
            <v>P221/P397</v>
          </cell>
          <cell r="T541" t="str">
            <v xml:space="preserve"> EXHAUST NOISE</v>
          </cell>
          <cell r="U541" t="str">
            <v>Replaced Muffler Pipe Asy</v>
          </cell>
          <cell r="V541" t="str">
            <v>ALL</v>
          </cell>
          <cell r="W541">
            <v>1</v>
          </cell>
          <cell r="AE541">
            <v>1</v>
          </cell>
        </row>
        <row r="542">
          <cell r="A542">
            <v>0</v>
          </cell>
          <cell r="B542" t="str">
            <v>ALL VRTS</v>
          </cell>
          <cell r="D542">
            <v>17</v>
          </cell>
          <cell r="E542" t="str">
            <v>5310</v>
          </cell>
          <cell r="G542" t="str">
            <v>TDW48R</v>
          </cell>
          <cell r="I542" t="str">
            <v>B43</v>
          </cell>
          <cell r="L542" t="str">
            <v>V73</v>
          </cell>
          <cell r="N542">
            <v>0</v>
          </cell>
          <cell r="O542">
            <v>0</v>
          </cell>
          <cell r="P542">
            <v>-1</v>
          </cell>
          <cell r="Q542">
            <v>2004</v>
          </cell>
          <cell r="R542" t="str">
            <v>DEARBORN PLANT BUILD</v>
          </cell>
          <cell r="S542" t="str">
            <v>P221/P397</v>
          </cell>
          <cell r="T542" t="str">
            <v>DOOR PANEL</v>
          </cell>
          <cell r="U542" t="str">
            <v>TRIM LOOSE</v>
          </cell>
          <cell r="V542" t="str">
            <v>ALL</v>
          </cell>
          <cell r="W542">
            <v>4</v>
          </cell>
          <cell r="AB542">
            <v>2</v>
          </cell>
          <cell r="AC542">
            <v>1</v>
          </cell>
          <cell r="AD542">
            <v>1</v>
          </cell>
        </row>
        <row r="543">
          <cell r="A543">
            <v>0</v>
          </cell>
          <cell r="B543" t="str">
            <v>ALL VRTS</v>
          </cell>
          <cell r="D543">
            <v>17</v>
          </cell>
          <cell r="E543" t="str">
            <v>5370</v>
          </cell>
          <cell r="F543" t="str">
            <v>5310</v>
          </cell>
          <cell r="G543" t="str">
            <v>TDE47L</v>
          </cell>
          <cell r="H543" t="str">
            <v>TDW56R</v>
          </cell>
          <cell r="I543" t="str">
            <v>B44</v>
          </cell>
          <cell r="L543" t="str">
            <v>V73</v>
          </cell>
          <cell r="N543">
            <v>0</v>
          </cell>
          <cell r="O543">
            <v>-1</v>
          </cell>
          <cell r="P543">
            <v>-1</v>
          </cell>
          <cell r="Q543">
            <v>2004</v>
          </cell>
          <cell r="R543" t="str">
            <v>DEARBORN PLANT BUILD</v>
          </cell>
          <cell r="S543" t="str">
            <v>P221/P397</v>
          </cell>
          <cell r="T543" t="str">
            <v>DOOR PANEL</v>
          </cell>
          <cell r="U543" t="str">
            <v>CRACKED</v>
          </cell>
          <cell r="V543" t="str">
            <v>ALL</v>
          </cell>
          <cell r="W543">
            <v>3</v>
          </cell>
          <cell r="AC543">
            <v>2</v>
          </cell>
          <cell r="AD543">
            <v>1</v>
          </cell>
        </row>
        <row r="544">
          <cell r="A544">
            <v>0</v>
          </cell>
          <cell r="B544" t="str">
            <v>ALL VRTS</v>
          </cell>
          <cell r="D544">
            <v>17</v>
          </cell>
          <cell r="E544" t="str">
            <v>5380</v>
          </cell>
          <cell r="F544" t="str">
            <v>5310</v>
          </cell>
          <cell r="G544" t="str">
            <v>TDW48R/TDE47L</v>
          </cell>
          <cell r="H544" t="str">
            <v>TDW48R</v>
          </cell>
          <cell r="I544" t="str">
            <v>B44</v>
          </cell>
          <cell r="J544" t="str">
            <v>B43</v>
          </cell>
          <cell r="L544" t="str">
            <v>V73</v>
          </cell>
          <cell r="N544">
            <v>0</v>
          </cell>
          <cell r="O544">
            <v>0</v>
          </cell>
          <cell r="P544">
            <v>-1</v>
          </cell>
          <cell r="Q544">
            <v>2004</v>
          </cell>
          <cell r="R544" t="str">
            <v>DEARBORN PLANT BUILD</v>
          </cell>
          <cell r="S544" t="str">
            <v>P221/P397</v>
          </cell>
          <cell r="T544" t="str">
            <v>DOOR PANEL</v>
          </cell>
          <cell r="U544" t="str">
            <v>TRIM MISSING</v>
          </cell>
          <cell r="V544" t="str">
            <v>ALL</v>
          </cell>
          <cell r="W544">
            <v>3</v>
          </cell>
          <cell r="AB544">
            <v>1</v>
          </cell>
          <cell r="AC544">
            <v>2</v>
          </cell>
        </row>
        <row r="545">
          <cell r="A545">
            <v>0</v>
          </cell>
          <cell r="B545" t="str">
            <v>ALL VRTS</v>
          </cell>
          <cell r="D545">
            <v>17</v>
          </cell>
          <cell r="I545" t="str">
            <v>B45</v>
          </cell>
          <cell r="L545" t="str">
            <v>V73</v>
          </cell>
          <cell r="N545">
            <v>0</v>
          </cell>
          <cell r="O545">
            <v>-1</v>
          </cell>
          <cell r="P545">
            <v>0</v>
          </cell>
          <cell r="Q545">
            <v>2004</v>
          </cell>
          <cell r="R545" t="str">
            <v>DEARBORN PLANT BUILD</v>
          </cell>
          <cell r="S545" t="str">
            <v>P221/P397</v>
          </cell>
          <cell r="T545" t="str">
            <v>DOOR PANEL</v>
          </cell>
          <cell r="U545" t="str">
            <v>DISCOLORED</v>
          </cell>
          <cell r="V545" t="str">
            <v>ALL</v>
          </cell>
          <cell r="W545">
            <v>2</v>
          </cell>
          <cell r="Z545">
            <v>1</v>
          </cell>
          <cell r="AA545">
            <v>1</v>
          </cell>
        </row>
        <row r="546">
          <cell r="A546">
            <v>0</v>
          </cell>
          <cell r="B546" t="str">
            <v>ALL VRTS</v>
          </cell>
          <cell r="D546">
            <v>17</v>
          </cell>
          <cell r="E546" t="str">
            <v>5370</v>
          </cell>
          <cell r="G546" t="str">
            <v>TDW48R</v>
          </cell>
          <cell r="I546" t="str">
            <v>B43</v>
          </cell>
          <cell r="L546" t="str">
            <v>V73</v>
          </cell>
          <cell r="N546">
            <v>0</v>
          </cell>
          <cell r="O546">
            <v>0</v>
          </cell>
          <cell r="P546">
            <v>-1</v>
          </cell>
          <cell r="Q546">
            <v>2004</v>
          </cell>
          <cell r="R546" t="str">
            <v>DEARBORN PLANT BUILD</v>
          </cell>
          <cell r="S546" t="str">
            <v>P221/P397</v>
          </cell>
          <cell r="T546" t="str">
            <v>DOOR PANEL</v>
          </cell>
          <cell r="U546" t="str">
            <v>LOOSE</v>
          </cell>
          <cell r="V546" t="str">
            <v>ALL</v>
          </cell>
          <cell r="W546">
            <v>2</v>
          </cell>
          <cell r="AD546">
            <v>1</v>
          </cell>
          <cell r="AE546">
            <v>1</v>
          </cell>
        </row>
        <row r="547">
          <cell r="A547">
            <v>0</v>
          </cell>
          <cell r="B547" t="str">
            <v>ALL VRTS</v>
          </cell>
          <cell r="D547">
            <v>17</v>
          </cell>
          <cell r="I547" t="str">
            <v>B43</v>
          </cell>
          <cell r="L547" t="str">
            <v>V73</v>
          </cell>
          <cell r="N547">
            <v>0</v>
          </cell>
          <cell r="O547">
            <v>-1</v>
          </cell>
          <cell r="P547">
            <v>0</v>
          </cell>
          <cell r="Q547">
            <v>2004</v>
          </cell>
          <cell r="R547" t="str">
            <v>DEARBORN PLANT BUILD</v>
          </cell>
          <cell r="S547" t="str">
            <v>P221/P397</v>
          </cell>
          <cell r="T547" t="str">
            <v>DOOR PANEL</v>
          </cell>
          <cell r="U547" t="str">
            <v>ARMREST FIT R/R</v>
          </cell>
          <cell r="V547" t="str">
            <v>ALL</v>
          </cell>
          <cell r="W547">
            <v>1</v>
          </cell>
          <cell r="AD547">
            <v>1</v>
          </cell>
        </row>
        <row r="548">
          <cell r="A548">
            <v>0</v>
          </cell>
          <cell r="B548" t="str">
            <v>ALL VRTS</v>
          </cell>
          <cell r="D548">
            <v>17</v>
          </cell>
          <cell r="E548" t="str">
            <v>5370</v>
          </cell>
          <cell r="G548" t="str">
            <v>TDE47L</v>
          </cell>
          <cell r="I548" t="str">
            <v>B45</v>
          </cell>
          <cell r="L548" t="str">
            <v>V73</v>
          </cell>
          <cell r="N548">
            <v>0</v>
          </cell>
          <cell r="O548">
            <v>-1</v>
          </cell>
          <cell r="P548">
            <v>-1</v>
          </cell>
          <cell r="Q548">
            <v>2004</v>
          </cell>
          <cell r="R548" t="str">
            <v>DEARBORN PLANT BUILD</v>
          </cell>
          <cell r="S548" t="str">
            <v>P221/P397</v>
          </cell>
          <cell r="T548" t="str">
            <v>DOOR PANEL</v>
          </cell>
          <cell r="U548" t="str">
            <v>BLEMISH/MARRED</v>
          </cell>
          <cell r="V548" t="str">
            <v>ALL</v>
          </cell>
          <cell r="W548">
            <v>1</v>
          </cell>
          <cell r="AB548">
            <v>1</v>
          </cell>
        </row>
        <row r="549">
          <cell r="A549">
            <v>0</v>
          </cell>
          <cell r="B549" t="str">
            <v>ALL VRTS</v>
          </cell>
          <cell r="D549">
            <v>17</v>
          </cell>
          <cell r="E549" t="str">
            <v>5310</v>
          </cell>
          <cell r="G549" t="str">
            <v>TDW48R</v>
          </cell>
          <cell r="I549" t="str">
            <v>B43</v>
          </cell>
          <cell r="L549" t="str">
            <v>V73</v>
          </cell>
          <cell r="N549">
            <v>0</v>
          </cell>
          <cell r="O549">
            <v>0</v>
          </cell>
          <cell r="P549">
            <v>-1</v>
          </cell>
          <cell r="Q549">
            <v>2004</v>
          </cell>
          <cell r="R549" t="str">
            <v>DEARBORN PLANT BUILD</v>
          </cell>
          <cell r="S549" t="str">
            <v>P221/P397</v>
          </cell>
          <cell r="T549" t="str">
            <v>DOOR PANEL</v>
          </cell>
          <cell r="U549" t="str">
            <v>TRIM</v>
          </cell>
          <cell r="V549" t="str">
            <v>ALL</v>
          </cell>
          <cell r="W549">
            <v>1</v>
          </cell>
          <cell r="AC549">
            <v>1</v>
          </cell>
        </row>
        <row r="550">
          <cell r="A550">
            <v>0</v>
          </cell>
          <cell r="B550" t="str">
            <v>ALL VRTS</v>
          </cell>
          <cell r="D550">
            <v>17</v>
          </cell>
          <cell r="E550" t="str">
            <v>6490</v>
          </cell>
          <cell r="G550" t="str">
            <v>C4W09L</v>
          </cell>
          <cell r="H550" t="str">
            <v>C4E7L / C4W8R</v>
          </cell>
          <cell r="I550" t="str">
            <v>T53</v>
          </cell>
          <cell r="L550" t="str">
            <v>V74</v>
          </cell>
          <cell r="N550">
            <v>0</v>
          </cell>
          <cell r="O550">
            <v>0</v>
          </cell>
          <cell r="P550">
            <v>-1</v>
          </cell>
          <cell r="Q550">
            <v>2004</v>
          </cell>
          <cell r="R550" t="str">
            <v>DEARBORN PLANT BUILD</v>
          </cell>
          <cell r="S550" t="str">
            <v>P221/P397</v>
          </cell>
          <cell r="T550" t="str">
            <v>SILL PLATES</v>
          </cell>
          <cell r="U550" t="str">
            <v>AIR BUBBLES,UNDER</v>
          </cell>
          <cell r="V550" t="str">
            <v>ALL</v>
          </cell>
          <cell r="W550">
            <v>15</v>
          </cell>
          <cell r="Z550">
            <v>1</v>
          </cell>
          <cell r="AA550">
            <v>1</v>
          </cell>
          <cell r="AB550">
            <v>4</v>
          </cell>
          <cell r="AC550">
            <v>1</v>
          </cell>
          <cell r="AD550">
            <v>8</v>
          </cell>
        </row>
        <row r="551">
          <cell r="A551">
            <v>0</v>
          </cell>
          <cell r="B551" t="str">
            <v>ALL VRTS</v>
          </cell>
          <cell r="D551">
            <v>17</v>
          </cell>
          <cell r="E551" t="str">
            <v>6490</v>
          </cell>
          <cell r="G551" t="str">
            <v>C4E7L / C4W8R</v>
          </cell>
          <cell r="I551" t="str">
            <v>B74</v>
          </cell>
          <cell r="L551" t="str">
            <v>V74</v>
          </cell>
          <cell r="N551">
            <v>0</v>
          </cell>
          <cell r="O551">
            <v>0</v>
          </cell>
          <cell r="P551">
            <v>-1</v>
          </cell>
          <cell r="Q551">
            <v>2004</v>
          </cell>
          <cell r="R551" t="str">
            <v>DEARBORN PLANT BUILD</v>
          </cell>
          <cell r="S551" t="str">
            <v>P221/P397</v>
          </cell>
          <cell r="T551" t="str">
            <v>SILL PLATES</v>
          </cell>
          <cell r="U551" t="str">
            <v>DEFECTIVE</v>
          </cell>
          <cell r="V551" t="str">
            <v>ALL</v>
          </cell>
          <cell r="W551">
            <v>1</v>
          </cell>
          <cell r="AD551">
            <v>1</v>
          </cell>
        </row>
        <row r="552">
          <cell r="A552">
            <v>0</v>
          </cell>
          <cell r="B552" t="str">
            <v>ALL VRTS</v>
          </cell>
          <cell r="D552">
            <v>17</v>
          </cell>
          <cell r="E552" t="str">
            <v>6490</v>
          </cell>
          <cell r="G552" t="str">
            <v>C4E07L</v>
          </cell>
          <cell r="I552" t="str">
            <v>B75</v>
          </cell>
          <cell r="L552" t="str">
            <v>V74</v>
          </cell>
          <cell r="N552">
            <v>0</v>
          </cell>
          <cell r="O552">
            <v>0</v>
          </cell>
          <cell r="P552">
            <v>-1</v>
          </cell>
          <cell r="Q552">
            <v>2004</v>
          </cell>
          <cell r="R552" t="str">
            <v>DEARBORN PLANT BUILD</v>
          </cell>
          <cell r="S552" t="str">
            <v>P221/P397</v>
          </cell>
          <cell r="T552" t="str">
            <v>SILL PLATES</v>
          </cell>
          <cell r="U552" t="str">
            <v>MISSING</v>
          </cell>
          <cell r="V552" t="str">
            <v>ALL</v>
          </cell>
          <cell r="W552">
            <v>1</v>
          </cell>
          <cell r="AD552">
            <v>1</v>
          </cell>
        </row>
        <row r="553">
          <cell r="A553">
            <v>0</v>
          </cell>
          <cell r="B553" t="str">
            <v>ALL VRTS</v>
          </cell>
          <cell r="D553">
            <v>16</v>
          </cell>
          <cell r="I553" t="str">
            <v>A99</v>
          </cell>
          <cell r="L553" t="str">
            <v>V99</v>
          </cell>
          <cell r="N553">
            <v>0</v>
          </cell>
          <cell r="O553">
            <v>-1</v>
          </cell>
          <cell r="P553">
            <v>0</v>
          </cell>
          <cell r="Q553">
            <v>2004</v>
          </cell>
          <cell r="R553" t="str">
            <v>DEARBORN PLANT BUILD</v>
          </cell>
          <cell r="S553" t="str">
            <v>P221/P397</v>
          </cell>
          <cell r="T553" t="str">
            <v>Invalid Claim</v>
          </cell>
          <cell r="U553" t="str">
            <v>replaced aftermarket part</v>
          </cell>
          <cell r="V553" t="str">
            <v>ALL</v>
          </cell>
          <cell r="W553">
            <v>7</v>
          </cell>
          <cell r="Z553">
            <v>2</v>
          </cell>
          <cell r="AC553">
            <v>1</v>
          </cell>
          <cell r="AD553">
            <v>3</v>
          </cell>
          <cell r="AE553">
            <v>1</v>
          </cell>
        </row>
        <row r="554">
          <cell r="A554">
            <v>0</v>
          </cell>
          <cell r="B554" t="str">
            <v>ALL VRTS</v>
          </cell>
          <cell r="D554">
            <v>16</v>
          </cell>
          <cell r="I554" t="str">
            <v>A99</v>
          </cell>
          <cell r="L554" t="str">
            <v>V99</v>
          </cell>
          <cell r="N554">
            <v>0</v>
          </cell>
          <cell r="O554">
            <v>-1</v>
          </cell>
          <cell r="P554">
            <v>0</v>
          </cell>
          <cell r="Q554">
            <v>2004</v>
          </cell>
          <cell r="R554" t="str">
            <v>DEARBORN PLANT BUILD</v>
          </cell>
          <cell r="S554" t="str">
            <v>P221/P397</v>
          </cell>
          <cell r="T554" t="str">
            <v>Invalid Claim</v>
          </cell>
          <cell r="U554" t="str">
            <v>Tonneau cover replaced</v>
          </cell>
          <cell r="V554" t="str">
            <v>ALL</v>
          </cell>
          <cell r="W554">
            <v>4</v>
          </cell>
          <cell r="AD554">
            <v>2</v>
          </cell>
          <cell r="AE554">
            <v>2</v>
          </cell>
        </row>
        <row r="555">
          <cell r="A555">
            <v>0</v>
          </cell>
          <cell r="B555" t="str">
            <v>ALL VRTS</v>
          </cell>
          <cell r="D555">
            <v>16</v>
          </cell>
          <cell r="I555" t="str">
            <v>A99</v>
          </cell>
          <cell r="L555" t="str">
            <v>V99</v>
          </cell>
          <cell r="N555">
            <v>0</v>
          </cell>
          <cell r="O555">
            <v>-1</v>
          </cell>
          <cell r="P555">
            <v>-1</v>
          </cell>
          <cell r="Q555">
            <v>2004</v>
          </cell>
          <cell r="R555" t="str">
            <v>DEARBORN PLANT BUILD</v>
          </cell>
          <cell r="S555" t="str">
            <v>P221/P397</v>
          </cell>
          <cell r="T555" t="str">
            <v>Invalid Claim</v>
          </cell>
          <cell r="U555" t="str">
            <v>Fix bedliner</v>
          </cell>
          <cell r="V555" t="str">
            <v>ALL</v>
          </cell>
          <cell r="W555">
            <v>2</v>
          </cell>
          <cell r="AD555">
            <v>2</v>
          </cell>
        </row>
        <row r="556">
          <cell r="A556">
            <v>0</v>
          </cell>
          <cell r="B556" t="str">
            <v>ALL VRTS</v>
          </cell>
          <cell r="D556">
            <v>16</v>
          </cell>
          <cell r="I556" t="str">
            <v>A99</v>
          </cell>
          <cell r="L556" t="str">
            <v>V99</v>
          </cell>
          <cell r="N556">
            <v>0</v>
          </cell>
          <cell r="O556">
            <v>-1</v>
          </cell>
          <cell r="P556">
            <v>0</v>
          </cell>
          <cell r="Q556">
            <v>2004</v>
          </cell>
          <cell r="R556" t="str">
            <v>DEARBORN PLANT BUILD</v>
          </cell>
          <cell r="S556" t="str">
            <v>P221/P397</v>
          </cell>
          <cell r="T556" t="str">
            <v>Invalid Claim</v>
          </cell>
          <cell r="U556" t="str">
            <v>running board replaced</v>
          </cell>
          <cell r="V556" t="str">
            <v>ALL</v>
          </cell>
          <cell r="W556">
            <v>2</v>
          </cell>
          <cell r="Z556">
            <v>1</v>
          </cell>
          <cell r="AC556">
            <v>1</v>
          </cell>
        </row>
        <row r="557">
          <cell r="A557">
            <v>0</v>
          </cell>
          <cell r="B557" t="str">
            <v>ALL VRTS</v>
          </cell>
          <cell r="D557">
            <v>16</v>
          </cell>
          <cell r="E557" t="str">
            <v>5380</v>
          </cell>
          <cell r="G557" t="str">
            <v>TDW54R</v>
          </cell>
          <cell r="I557" t="str">
            <v>A99</v>
          </cell>
          <cell r="L557" t="str">
            <v>V99</v>
          </cell>
          <cell r="N557">
            <v>0</v>
          </cell>
          <cell r="O557">
            <v>0</v>
          </cell>
          <cell r="P557">
            <v>-1</v>
          </cell>
          <cell r="Q557">
            <v>2004</v>
          </cell>
          <cell r="R557" t="str">
            <v>DEARBORN PLANT BUILD</v>
          </cell>
          <cell r="S557" t="str">
            <v>P221/P397</v>
          </cell>
          <cell r="T557" t="str">
            <v>Invalid Claim</v>
          </cell>
          <cell r="U557" t="str">
            <v>Hole too small for attaching hitch</v>
          </cell>
          <cell r="V557" t="str">
            <v>ALL</v>
          </cell>
          <cell r="W557">
            <v>1</v>
          </cell>
          <cell r="AD557">
            <v>1</v>
          </cell>
        </row>
        <row r="558">
          <cell r="A558">
            <v>0</v>
          </cell>
          <cell r="B558" t="str">
            <v>ALL VRTS</v>
          </cell>
          <cell r="D558">
            <v>16</v>
          </cell>
          <cell r="I558" t="str">
            <v>R04</v>
          </cell>
          <cell r="J558" t="str">
            <v>R10</v>
          </cell>
          <cell r="K558" t="str">
            <v>R05</v>
          </cell>
          <cell r="L558" t="str">
            <v>V37</v>
          </cell>
          <cell r="N558">
            <v>0</v>
          </cell>
          <cell r="O558">
            <v>-1</v>
          </cell>
          <cell r="P558">
            <v>0</v>
          </cell>
          <cell r="Q558">
            <v>2004</v>
          </cell>
          <cell r="R558" t="str">
            <v>DEARBORN PLANT BUILD</v>
          </cell>
          <cell r="S558" t="str">
            <v>P221/P397</v>
          </cell>
          <cell r="T558" t="str">
            <v>Water Leak Around Back Window</v>
          </cell>
          <cell r="U558" t="str">
            <v>Hi Mount Brake Light Seal Gasket</v>
          </cell>
          <cell r="V558" t="str">
            <v>ALL</v>
          </cell>
          <cell r="W558">
            <v>13</v>
          </cell>
          <cell r="Z558">
            <v>3</v>
          </cell>
          <cell r="AA558">
            <v>1</v>
          </cell>
          <cell r="AB558">
            <v>1</v>
          </cell>
          <cell r="AC558">
            <v>1</v>
          </cell>
          <cell r="AD558">
            <v>7</v>
          </cell>
        </row>
        <row r="559">
          <cell r="A559">
            <v>0</v>
          </cell>
          <cell r="B559" t="str">
            <v>ALL VRTS</v>
          </cell>
          <cell r="D559">
            <v>16</v>
          </cell>
          <cell r="E559" t="str">
            <v>unsure</v>
          </cell>
          <cell r="G559" t="str">
            <v>T2E18R</v>
          </cell>
          <cell r="I559" t="str">
            <v>R04</v>
          </cell>
          <cell r="L559" t="str">
            <v>V37</v>
          </cell>
          <cell r="N559">
            <v>0</v>
          </cell>
          <cell r="O559">
            <v>0</v>
          </cell>
          <cell r="P559">
            <v>-1</v>
          </cell>
          <cell r="Q559">
            <v>2004</v>
          </cell>
          <cell r="R559" t="str">
            <v>DEARBORN PLANT BUILD</v>
          </cell>
          <cell r="S559" t="str">
            <v>P221/P397</v>
          </cell>
          <cell r="T559" t="str">
            <v>Water Leak Around Back Window</v>
          </cell>
          <cell r="U559" t="str">
            <v>Sealer skip around Rear Glass-Top</v>
          </cell>
          <cell r="V559" t="str">
            <v>ALL</v>
          </cell>
          <cell r="W559">
            <v>3</v>
          </cell>
          <cell r="AD559">
            <v>2</v>
          </cell>
          <cell r="AE559">
            <v>1</v>
          </cell>
        </row>
        <row r="560">
          <cell r="A560">
            <v>0</v>
          </cell>
          <cell r="B560" t="str">
            <v>ALL VRTS</v>
          </cell>
          <cell r="D560">
            <v>16</v>
          </cell>
          <cell r="I560" t="str">
            <v>C27</v>
          </cell>
          <cell r="J560" t="str">
            <v>A88</v>
          </cell>
          <cell r="L560" t="str">
            <v>V19</v>
          </cell>
          <cell r="N560">
            <v>0</v>
          </cell>
          <cell r="O560">
            <v>-1</v>
          </cell>
          <cell r="P560">
            <v>-1</v>
          </cell>
          <cell r="Q560">
            <v>2004</v>
          </cell>
          <cell r="R560" t="str">
            <v>DEARBORN PLANT BUILD</v>
          </cell>
          <cell r="S560" t="str">
            <v>P221/P397</v>
          </cell>
          <cell r="T560" t="str">
            <v>Windows Inop</v>
          </cell>
          <cell r="U560" t="str">
            <v>Loose Wiring Connector</v>
          </cell>
          <cell r="V560" t="str">
            <v>ALL</v>
          </cell>
          <cell r="W560">
            <v>4</v>
          </cell>
          <cell r="AB560">
            <v>1</v>
          </cell>
          <cell r="AD560">
            <v>3</v>
          </cell>
        </row>
        <row r="561">
          <cell r="A561">
            <v>0</v>
          </cell>
          <cell r="B561" t="str">
            <v>ALL VRTS</v>
          </cell>
          <cell r="D561">
            <v>16</v>
          </cell>
          <cell r="I561" t="str">
            <v>C27</v>
          </cell>
          <cell r="L561" t="str">
            <v>V19</v>
          </cell>
          <cell r="N561">
            <v>0</v>
          </cell>
          <cell r="O561">
            <v>-1</v>
          </cell>
          <cell r="P561">
            <v>0</v>
          </cell>
          <cell r="Q561">
            <v>2004</v>
          </cell>
          <cell r="R561" t="str">
            <v>DEARBORN PLANT BUILD</v>
          </cell>
          <cell r="S561" t="str">
            <v>P221/P397</v>
          </cell>
          <cell r="T561" t="str">
            <v>Windows Inop</v>
          </cell>
          <cell r="U561" t="str">
            <v>Replaced Window Motor</v>
          </cell>
          <cell r="V561" t="str">
            <v>ALL</v>
          </cell>
          <cell r="W561">
            <v>3</v>
          </cell>
          <cell r="AC561">
            <v>2</v>
          </cell>
          <cell r="AE561">
            <v>1</v>
          </cell>
        </row>
        <row r="562">
          <cell r="A562">
            <v>0</v>
          </cell>
          <cell r="B562" t="str">
            <v>ALL VRTS</v>
          </cell>
          <cell r="D562">
            <v>16</v>
          </cell>
          <cell r="I562" t="str">
            <v>C27</v>
          </cell>
          <cell r="J562" t="str">
            <v>W04</v>
          </cell>
          <cell r="L562" t="str">
            <v>V19</v>
          </cell>
          <cell r="N562">
            <v>0</v>
          </cell>
          <cell r="O562">
            <v>0</v>
          </cell>
          <cell r="P562">
            <v>-1</v>
          </cell>
          <cell r="Q562">
            <v>2004</v>
          </cell>
          <cell r="R562" t="str">
            <v>DEARBORN PLANT BUILD</v>
          </cell>
          <cell r="S562" t="str">
            <v>P221/P397</v>
          </cell>
          <cell r="T562" t="str">
            <v>Windows Inop</v>
          </cell>
          <cell r="U562" t="str">
            <v>Unplugged at Door switch</v>
          </cell>
          <cell r="V562" t="str">
            <v>ALL</v>
          </cell>
          <cell r="W562">
            <v>3</v>
          </cell>
          <cell r="AB562">
            <v>1</v>
          </cell>
          <cell r="AE562">
            <v>2</v>
          </cell>
        </row>
        <row r="563">
          <cell r="A563">
            <v>0</v>
          </cell>
          <cell r="B563" t="str">
            <v>ALL VRTS</v>
          </cell>
          <cell r="D563">
            <v>16</v>
          </cell>
          <cell r="I563" t="str">
            <v>C27</v>
          </cell>
          <cell r="L563" t="str">
            <v>V19</v>
          </cell>
          <cell r="N563">
            <v>0</v>
          </cell>
          <cell r="O563">
            <v>-1</v>
          </cell>
          <cell r="P563">
            <v>0</v>
          </cell>
          <cell r="Q563">
            <v>2004</v>
          </cell>
          <cell r="R563" t="str">
            <v>DEARBORN PLANT BUILD</v>
          </cell>
          <cell r="S563" t="str">
            <v>P221/P397</v>
          </cell>
          <cell r="T563" t="str">
            <v>Windows Inop</v>
          </cell>
          <cell r="U563" t="str">
            <v>Fuse blown</v>
          </cell>
          <cell r="V563" t="str">
            <v>ALL</v>
          </cell>
          <cell r="W563">
            <v>1</v>
          </cell>
          <cell r="AD563">
            <v>1</v>
          </cell>
        </row>
        <row r="564">
          <cell r="A564">
            <v>0</v>
          </cell>
          <cell r="B564" t="str">
            <v>ALL VRTS</v>
          </cell>
          <cell r="D564">
            <v>16</v>
          </cell>
          <cell r="I564" t="str">
            <v>A85</v>
          </cell>
          <cell r="L564" t="str">
            <v>V19</v>
          </cell>
          <cell r="N564">
            <v>0</v>
          </cell>
          <cell r="O564">
            <v>-1</v>
          </cell>
          <cell r="P564">
            <v>0</v>
          </cell>
          <cell r="Q564">
            <v>2004</v>
          </cell>
          <cell r="R564" t="str">
            <v>DEARBORN PLANT BUILD</v>
          </cell>
          <cell r="S564" t="str">
            <v>P221/P397</v>
          </cell>
          <cell r="T564" t="str">
            <v>Windows Inop</v>
          </cell>
          <cell r="U564" t="str">
            <v>Master Switch Plate , repaired rr.-conn.</v>
          </cell>
          <cell r="V564" t="str">
            <v>ALL</v>
          </cell>
          <cell r="W564">
            <v>1</v>
          </cell>
          <cell r="AD564">
            <v>1</v>
          </cell>
        </row>
        <row r="565">
          <cell r="A565">
            <v>0</v>
          </cell>
          <cell r="B565" t="str">
            <v>ALL VRTS</v>
          </cell>
          <cell r="D565">
            <v>16</v>
          </cell>
          <cell r="I565" t="str">
            <v>C27</v>
          </cell>
          <cell r="L565" t="str">
            <v>V19</v>
          </cell>
          <cell r="N565">
            <v>0</v>
          </cell>
          <cell r="O565">
            <v>0</v>
          </cell>
          <cell r="P565">
            <v>-1</v>
          </cell>
          <cell r="Q565">
            <v>2004</v>
          </cell>
          <cell r="R565" t="str">
            <v>DEARBORN PLANT BUILD</v>
          </cell>
          <cell r="S565" t="str">
            <v>P221/P397</v>
          </cell>
          <cell r="T565" t="str">
            <v>Windows Inop</v>
          </cell>
          <cell r="U565" t="str">
            <v>npf</v>
          </cell>
          <cell r="V565" t="str">
            <v>ALL</v>
          </cell>
          <cell r="W565">
            <v>1</v>
          </cell>
          <cell r="AD565">
            <v>1</v>
          </cell>
        </row>
        <row r="566">
          <cell r="A566">
            <v>0</v>
          </cell>
          <cell r="B566" t="str">
            <v>ALL VRTS</v>
          </cell>
          <cell r="D566">
            <v>16</v>
          </cell>
          <cell r="I566" t="str">
            <v>C27</v>
          </cell>
          <cell r="L566" t="str">
            <v>V19</v>
          </cell>
          <cell r="N566">
            <v>0</v>
          </cell>
          <cell r="O566">
            <v>0</v>
          </cell>
          <cell r="P566">
            <v>-1</v>
          </cell>
          <cell r="Q566">
            <v>2004</v>
          </cell>
          <cell r="R566" t="str">
            <v>DEARBORN PLANT BUILD</v>
          </cell>
          <cell r="S566" t="str">
            <v>P221/P397</v>
          </cell>
          <cell r="T566" t="str">
            <v>Windows Inop</v>
          </cell>
          <cell r="U566" t="str">
            <v>Pinched wire by coat hook.</v>
          </cell>
          <cell r="V566" t="str">
            <v>ALL</v>
          </cell>
          <cell r="W566">
            <v>1</v>
          </cell>
          <cell r="AC566">
            <v>1</v>
          </cell>
        </row>
        <row r="567">
          <cell r="A567">
            <v>0</v>
          </cell>
          <cell r="B567" t="str">
            <v>ALL VRTS</v>
          </cell>
          <cell r="D567">
            <v>16</v>
          </cell>
          <cell r="I567" t="str">
            <v>A85</v>
          </cell>
          <cell r="L567" t="str">
            <v>V19</v>
          </cell>
          <cell r="N567">
            <v>0</v>
          </cell>
          <cell r="O567">
            <v>0</v>
          </cell>
          <cell r="P567">
            <v>-1</v>
          </cell>
          <cell r="Q567">
            <v>2004</v>
          </cell>
          <cell r="R567" t="str">
            <v>DEARBORN PLANT BUILD</v>
          </cell>
          <cell r="S567" t="str">
            <v>P221/P397</v>
          </cell>
          <cell r="T567" t="str">
            <v>Windows Inop</v>
          </cell>
          <cell r="U567" t="str">
            <v>Repaired Terminals in C608,Circuit 334,and 333.</v>
          </cell>
          <cell r="V567" t="str">
            <v>ALL</v>
          </cell>
          <cell r="W567">
            <v>1</v>
          </cell>
          <cell r="AC567">
            <v>1</v>
          </cell>
        </row>
        <row r="568">
          <cell r="A568">
            <v>0</v>
          </cell>
          <cell r="B568" t="str">
            <v>ALL VRTS</v>
          </cell>
          <cell r="D568">
            <v>16</v>
          </cell>
          <cell r="I568" t="str">
            <v>C27</v>
          </cell>
          <cell r="L568" t="str">
            <v>V19</v>
          </cell>
          <cell r="N568">
            <v>0</v>
          </cell>
          <cell r="O568">
            <v>-1</v>
          </cell>
          <cell r="P568">
            <v>0</v>
          </cell>
          <cell r="Q568">
            <v>2004</v>
          </cell>
          <cell r="R568" t="str">
            <v>DEARBORN PLANT BUILD</v>
          </cell>
          <cell r="S568" t="str">
            <v>P221/P397</v>
          </cell>
          <cell r="T568" t="str">
            <v>Windows Inop</v>
          </cell>
          <cell r="U568" t="str">
            <v>Switch Assy. Replaced</v>
          </cell>
          <cell r="V568" t="str">
            <v>ALL</v>
          </cell>
          <cell r="W568">
            <v>1</v>
          </cell>
          <cell r="AB568">
            <v>1</v>
          </cell>
        </row>
        <row r="569">
          <cell r="A569">
            <v>0</v>
          </cell>
          <cell r="B569" t="str">
            <v>ALL VRTS</v>
          </cell>
          <cell r="C569" t="str">
            <v>X</v>
          </cell>
          <cell r="D569">
            <v>15</v>
          </cell>
          <cell r="E569" t="str">
            <v>7330</v>
          </cell>
          <cell r="G569" t="str">
            <v>M12</v>
          </cell>
          <cell r="I569" t="str">
            <v>H24</v>
          </cell>
          <cell r="J569" t="str">
            <v>H62</v>
          </cell>
          <cell r="K569" t="str">
            <v>TC1</v>
          </cell>
          <cell r="L569" t="str">
            <v>V89</v>
          </cell>
          <cell r="N569">
            <v>0</v>
          </cell>
          <cell r="O569">
            <v>0</v>
          </cell>
          <cell r="P569">
            <v>-1</v>
          </cell>
          <cell r="Q569">
            <v>2004</v>
          </cell>
          <cell r="R569" t="str">
            <v>DEARBORN PLANT BUILD</v>
          </cell>
          <cell r="S569" t="str">
            <v>P221/P397</v>
          </cell>
          <cell r="T569" t="str">
            <v>CLEAR VISION</v>
          </cell>
          <cell r="U569" t="str">
            <v>ALIGNMENT</v>
          </cell>
          <cell r="V569" t="str">
            <v>ALL</v>
          </cell>
          <cell r="W569">
            <v>14</v>
          </cell>
          <cell r="AB569">
            <v>1</v>
          </cell>
          <cell r="AC569">
            <v>1</v>
          </cell>
          <cell r="AD569">
            <v>10</v>
          </cell>
          <cell r="AE569">
            <v>2</v>
          </cell>
        </row>
        <row r="570">
          <cell r="A570">
            <v>0</v>
          </cell>
          <cell r="B570" t="str">
            <v>ALL VRTS</v>
          </cell>
          <cell r="C570" t="str">
            <v>X</v>
          </cell>
          <cell r="D570">
            <v>15</v>
          </cell>
          <cell r="I570" t="str">
            <v>H25</v>
          </cell>
          <cell r="L570" t="str">
            <v>V89</v>
          </cell>
          <cell r="N570">
            <v>0</v>
          </cell>
          <cell r="O570">
            <v>-1</v>
          </cell>
          <cell r="P570">
            <v>0</v>
          </cell>
          <cell r="Q570">
            <v>2004</v>
          </cell>
          <cell r="R570" t="str">
            <v>DEARBORN PLANT BUILD</v>
          </cell>
          <cell r="S570" t="str">
            <v>P221/P397</v>
          </cell>
          <cell r="T570" t="str">
            <v>CLEAR VISION</v>
          </cell>
          <cell r="U570" t="str">
            <v>TIRE REPLACED</v>
          </cell>
          <cell r="V570" t="str">
            <v>ALL</v>
          </cell>
          <cell r="W570">
            <v>1</v>
          </cell>
          <cell r="AE570">
            <v>1</v>
          </cell>
        </row>
        <row r="571">
          <cell r="A571">
            <v>0</v>
          </cell>
          <cell r="B571" t="str">
            <v>ALL VRTS</v>
          </cell>
          <cell r="D571">
            <v>15</v>
          </cell>
          <cell r="I571" t="str">
            <v>A85</v>
          </cell>
          <cell r="L571" t="str">
            <v>V17</v>
          </cell>
          <cell r="N571">
            <v>0</v>
          </cell>
          <cell r="O571">
            <v>-1</v>
          </cell>
          <cell r="P571">
            <v>0</v>
          </cell>
          <cell r="Q571">
            <v>2004</v>
          </cell>
          <cell r="R571" t="str">
            <v>DEARBORN PLANT BUILD</v>
          </cell>
          <cell r="S571" t="str">
            <v>P221/P397</v>
          </cell>
          <cell r="T571" t="str">
            <v>Mirror INOP</v>
          </cell>
          <cell r="U571" t="str">
            <v>Replace Mirror and Motor.</v>
          </cell>
          <cell r="V571" t="str">
            <v>ALL</v>
          </cell>
          <cell r="W571">
            <v>3</v>
          </cell>
          <cell r="AB571">
            <v>1</v>
          </cell>
          <cell r="AC571">
            <v>1</v>
          </cell>
          <cell r="AD571">
            <v>1</v>
          </cell>
        </row>
        <row r="572">
          <cell r="A572">
            <v>0</v>
          </cell>
          <cell r="B572" t="str">
            <v>ALL VRTS</v>
          </cell>
          <cell r="D572">
            <v>15</v>
          </cell>
          <cell r="E572" t="str">
            <v>5360-2-A</v>
          </cell>
          <cell r="G572" t="str">
            <v>TDW40R</v>
          </cell>
          <cell r="I572" t="str">
            <v>A85</v>
          </cell>
          <cell r="J572" t="str">
            <v>A88</v>
          </cell>
          <cell r="L572" t="str">
            <v>V17</v>
          </cell>
          <cell r="N572">
            <v>0</v>
          </cell>
          <cell r="O572">
            <v>-1</v>
          </cell>
          <cell r="P572">
            <v>-1</v>
          </cell>
          <cell r="Q572">
            <v>2004</v>
          </cell>
          <cell r="R572" t="str">
            <v>DEARBORN PLANT BUILD</v>
          </cell>
          <cell r="S572" t="str">
            <v>P221/P397</v>
          </cell>
          <cell r="T572" t="str">
            <v>Mirror INOP</v>
          </cell>
          <cell r="U572" t="str">
            <v>Connector C2095 Reinstalled Repaired.</v>
          </cell>
          <cell r="V572" t="str">
            <v>ALL</v>
          </cell>
          <cell r="W572">
            <v>2</v>
          </cell>
          <cell r="Z572">
            <v>1</v>
          </cell>
          <cell r="AB572">
            <v>1</v>
          </cell>
        </row>
        <row r="573">
          <cell r="A573">
            <v>0</v>
          </cell>
          <cell r="B573" t="str">
            <v>ALL VRTS</v>
          </cell>
          <cell r="D573">
            <v>15</v>
          </cell>
          <cell r="I573" t="str">
            <v>A85</v>
          </cell>
          <cell r="L573" t="str">
            <v>V17</v>
          </cell>
          <cell r="N573">
            <v>0</v>
          </cell>
          <cell r="O573">
            <v>0</v>
          </cell>
          <cell r="P573">
            <v>-1</v>
          </cell>
          <cell r="Q573">
            <v>2004</v>
          </cell>
          <cell r="R573" t="str">
            <v>DEARBORN PLANT BUILD</v>
          </cell>
          <cell r="S573" t="str">
            <v>P221/P397</v>
          </cell>
          <cell r="T573" t="str">
            <v>Mirror INOP</v>
          </cell>
          <cell r="U573" t="str">
            <v>Mirror unplugged, not connected</v>
          </cell>
          <cell r="V573" t="str">
            <v>ALL</v>
          </cell>
          <cell r="W573">
            <v>2</v>
          </cell>
          <cell r="AB573">
            <v>1</v>
          </cell>
          <cell r="AD573">
            <v>1</v>
          </cell>
        </row>
        <row r="574">
          <cell r="A574">
            <v>0</v>
          </cell>
          <cell r="B574" t="str">
            <v>ALL VRTS</v>
          </cell>
          <cell r="D574">
            <v>15</v>
          </cell>
          <cell r="I574" t="str">
            <v>A85</v>
          </cell>
          <cell r="L574" t="str">
            <v>V17</v>
          </cell>
          <cell r="N574">
            <v>0</v>
          </cell>
          <cell r="O574">
            <v>0</v>
          </cell>
          <cell r="P574">
            <v>-1</v>
          </cell>
          <cell r="Q574">
            <v>2004</v>
          </cell>
          <cell r="R574" t="str">
            <v>DEARBORN PLANT BUILD</v>
          </cell>
          <cell r="S574" t="str">
            <v>P221/P397</v>
          </cell>
          <cell r="T574" t="str">
            <v>Mirror INOP</v>
          </cell>
          <cell r="U574" t="str">
            <v>Replaced Fuse</v>
          </cell>
          <cell r="V574" t="str">
            <v>ALL</v>
          </cell>
          <cell r="W574">
            <v>2</v>
          </cell>
          <cell r="AC574">
            <v>1</v>
          </cell>
          <cell r="AE574">
            <v>1</v>
          </cell>
        </row>
        <row r="575">
          <cell r="A575">
            <v>0</v>
          </cell>
          <cell r="B575" t="str">
            <v>ALL VRTS</v>
          </cell>
          <cell r="D575">
            <v>15</v>
          </cell>
          <cell r="I575" t="str">
            <v>A85</v>
          </cell>
          <cell r="L575" t="str">
            <v>V17</v>
          </cell>
          <cell r="N575">
            <v>0</v>
          </cell>
          <cell r="O575">
            <v>0</v>
          </cell>
          <cell r="P575">
            <v>-1</v>
          </cell>
          <cell r="Q575">
            <v>2004</v>
          </cell>
          <cell r="R575" t="str">
            <v>DEARBORN PLANT BUILD</v>
          </cell>
          <cell r="S575" t="str">
            <v>P221/P397</v>
          </cell>
          <cell r="T575" t="str">
            <v>Mirror INOP</v>
          </cell>
          <cell r="U575" t="str">
            <v>C543 Bent, Repair C238</v>
          </cell>
          <cell r="V575" t="str">
            <v>ALL</v>
          </cell>
          <cell r="W575">
            <v>1</v>
          </cell>
          <cell r="AE575">
            <v>1</v>
          </cell>
        </row>
        <row r="576">
          <cell r="A576">
            <v>0</v>
          </cell>
          <cell r="B576" t="str">
            <v>ALL VRTS</v>
          </cell>
          <cell r="D576">
            <v>15</v>
          </cell>
          <cell r="I576" t="str">
            <v>A85</v>
          </cell>
          <cell r="L576" t="str">
            <v>V17</v>
          </cell>
          <cell r="N576">
            <v>0</v>
          </cell>
          <cell r="O576">
            <v>0</v>
          </cell>
          <cell r="P576">
            <v>-1</v>
          </cell>
          <cell r="Q576">
            <v>2004</v>
          </cell>
          <cell r="R576" t="str">
            <v>DEARBORN PLANT BUILD</v>
          </cell>
          <cell r="S576" t="str">
            <v>P221/P397</v>
          </cell>
          <cell r="T576" t="str">
            <v>Mirror INOP</v>
          </cell>
          <cell r="U576" t="str">
            <v>Connector c 2095-reinstalled</v>
          </cell>
          <cell r="V576" t="str">
            <v>ALL</v>
          </cell>
          <cell r="W576">
            <v>1</v>
          </cell>
          <cell r="Z576">
            <v>1</v>
          </cell>
        </row>
        <row r="577">
          <cell r="A577">
            <v>0</v>
          </cell>
          <cell r="B577" t="str">
            <v>ALL VRTS</v>
          </cell>
          <cell r="D577">
            <v>15</v>
          </cell>
          <cell r="I577" t="str">
            <v>A85</v>
          </cell>
          <cell r="L577" t="str">
            <v>V19</v>
          </cell>
          <cell r="N577">
            <v>0</v>
          </cell>
          <cell r="O577">
            <v>0</v>
          </cell>
          <cell r="P577">
            <v>-1</v>
          </cell>
          <cell r="Q577">
            <v>2004</v>
          </cell>
          <cell r="R577" t="str">
            <v>DEARBORN PLANT BUILD</v>
          </cell>
          <cell r="S577" t="str">
            <v>P221/P397</v>
          </cell>
          <cell r="T577" t="str">
            <v>Mirror INOP</v>
          </cell>
          <cell r="U577" t="str">
            <v>Connector from A-Pillar not connected</v>
          </cell>
          <cell r="V577" t="str">
            <v>ALL</v>
          </cell>
          <cell r="W577">
            <v>1</v>
          </cell>
          <cell r="AE577">
            <v>1</v>
          </cell>
        </row>
        <row r="578">
          <cell r="A578">
            <v>0</v>
          </cell>
          <cell r="B578" t="str">
            <v>ALL VRTS</v>
          </cell>
          <cell r="D578">
            <v>15</v>
          </cell>
          <cell r="I578" t="str">
            <v>A88</v>
          </cell>
          <cell r="L578" t="str">
            <v>V19</v>
          </cell>
          <cell r="N578">
            <v>0</v>
          </cell>
          <cell r="O578">
            <v>-1</v>
          </cell>
          <cell r="P578">
            <v>0</v>
          </cell>
          <cell r="Q578">
            <v>2004</v>
          </cell>
          <cell r="R578" t="str">
            <v>DEARBORN PLANT BUILD</v>
          </cell>
          <cell r="S578" t="str">
            <v>P221/P397</v>
          </cell>
          <cell r="T578" t="str">
            <v>Mirror INOP</v>
          </cell>
          <cell r="U578" t="str">
            <v>Fuse blown</v>
          </cell>
          <cell r="V578" t="str">
            <v>ALL</v>
          </cell>
          <cell r="W578">
            <v>1</v>
          </cell>
          <cell r="AC578">
            <v>1</v>
          </cell>
        </row>
        <row r="579">
          <cell r="A579">
            <v>0</v>
          </cell>
          <cell r="B579" t="str">
            <v>ALL VRTS</v>
          </cell>
          <cell r="D579">
            <v>15</v>
          </cell>
          <cell r="I579" t="str">
            <v>A85</v>
          </cell>
          <cell r="L579" t="str">
            <v>V17</v>
          </cell>
          <cell r="N579">
            <v>0</v>
          </cell>
          <cell r="O579">
            <v>-1</v>
          </cell>
          <cell r="P579">
            <v>0</v>
          </cell>
          <cell r="Q579">
            <v>2004</v>
          </cell>
          <cell r="R579" t="str">
            <v>DEARBORN PLANT BUILD</v>
          </cell>
          <cell r="S579" t="str">
            <v>P221/P397</v>
          </cell>
          <cell r="T579" t="str">
            <v>Mirror INOP</v>
          </cell>
          <cell r="U579" t="str">
            <v>Missing Harness, Replaced</v>
          </cell>
          <cell r="V579" t="str">
            <v>ALL</v>
          </cell>
          <cell r="W579">
            <v>1</v>
          </cell>
          <cell r="AB579">
            <v>1</v>
          </cell>
        </row>
        <row r="580">
          <cell r="A580">
            <v>0</v>
          </cell>
          <cell r="B580" t="str">
            <v>ALL VRTS</v>
          </cell>
          <cell r="D580">
            <v>15</v>
          </cell>
          <cell r="I580" t="str">
            <v>A85</v>
          </cell>
          <cell r="L580" t="str">
            <v>V17</v>
          </cell>
          <cell r="N580">
            <v>0</v>
          </cell>
          <cell r="O580">
            <v>-1</v>
          </cell>
          <cell r="P580">
            <v>0</v>
          </cell>
          <cell r="Q580">
            <v>2004</v>
          </cell>
          <cell r="R580" t="str">
            <v>DEARBORN PLANT BUILD</v>
          </cell>
          <cell r="S580" t="str">
            <v>P221/P397</v>
          </cell>
          <cell r="T580" t="str">
            <v>Mirror INOP</v>
          </cell>
          <cell r="U580" t="str">
            <v>Replaced Mirror.</v>
          </cell>
          <cell r="V580" t="str">
            <v>ALL</v>
          </cell>
          <cell r="W580">
            <v>1</v>
          </cell>
          <cell r="AC580">
            <v>1</v>
          </cell>
        </row>
        <row r="581">
          <cell r="A581">
            <v>0</v>
          </cell>
          <cell r="B581" t="str">
            <v>ALL VRTS</v>
          </cell>
          <cell r="D581">
            <v>15</v>
          </cell>
          <cell r="I581" t="str">
            <v>K03</v>
          </cell>
          <cell r="J581" t="str">
            <v>K02</v>
          </cell>
          <cell r="L581" t="str">
            <v>V44</v>
          </cell>
          <cell r="N581">
            <v>0</v>
          </cell>
          <cell r="O581">
            <v>-1</v>
          </cell>
          <cell r="P581">
            <v>0</v>
          </cell>
          <cell r="Q581">
            <v>2004</v>
          </cell>
          <cell r="R581" t="str">
            <v>DEARBORN PLANT BUILD</v>
          </cell>
          <cell r="S581" t="str">
            <v>P221/P397</v>
          </cell>
          <cell r="T581" t="str">
            <v>OTHER AXLE/TRANSFER CASE</v>
          </cell>
          <cell r="U581" t="str">
            <v xml:space="preserve"> clutch packs defective</v>
          </cell>
          <cell r="V581" t="str">
            <v>ALL</v>
          </cell>
          <cell r="W581">
            <v>5</v>
          </cell>
          <cell r="Z581">
            <v>2</v>
          </cell>
          <cell r="AC581">
            <v>1</v>
          </cell>
          <cell r="AD581">
            <v>2</v>
          </cell>
        </row>
        <row r="582">
          <cell r="A582">
            <v>0</v>
          </cell>
          <cell r="B582" t="str">
            <v>ALL VRTS</v>
          </cell>
          <cell r="D582">
            <v>15</v>
          </cell>
          <cell r="I582" t="str">
            <v>K02</v>
          </cell>
          <cell r="L582" t="str">
            <v>V44</v>
          </cell>
          <cell r="N582">
            <v>-1</v>
          </cell>
          <cell r="O582">
            <v>-1</v>
          </cell>
          <cell r="P582">
            <v>0</v>
          </cell>
          <cell r="Q582">
            <v>2004</v>
          </cell>
          <cell r="R582" t="str">
            <v>DEARBORN PLANT BUILD</v>
          </cell>
          <cell r="S582" t="str">
            <v>P221/P397</v>
          </cell>
          <cell r="T582" t="str">
            <v>OTHER AXLE/TRANSFER CASE</v>
          </cell>
          <cell r="U582" t="str">
            <v>ring &amp; pinion replaced</v>
          </cell>
          <cell r="V582" t="str">
            <v>ALL</v>
          </cell>
          <cell r="W582">
            <v>4</v>
          </cell>
          <cell r="Y582">
            <v>1</v>
          </cell>
          <cell r="AC582">
            <v>2</v>
          </cell>
          <cell r="AD582">
            <v>1</v>
          </cell>
        </row>
        <row r="583">
          <cell r="A583">
            <v>0</v>
          </cell>
          <cell r="B583" t="str">
            <v>ALL VRTS</v>
          </cell>
          <cell r="D583">
            <v>15</v>
          </cell>
          <cell r="E583" t="str">
            <v>6500</v>
          </cell>
          <cell r="G583" t="str">
            <v>C4W22R</v>
          </cell>
          <cell r="I583" t="str">
            <v>K02</v>
          </cell>
          <cell r="L583" t="str">
            <v>V44</v>
          </cell>
          <cell r="N583">
            <v>0</v>
          </cell>
          <cell r="O583">
            <v>0</v>
          </cell>
          <cell r="P583">
            <v>-1</v>
          </cell>
          <cell r="Q583">
            <v>2004</v>
          </cell>
          <cell r="R583" t="str">
            <v>DEARBORN PLANT BUILD</v>
          </cell>
          <cell r="S583" t="str">
            <v>P221/P397</v>
          </cell>
          <cell r="T583" t="str">
            <v>OTHER AXLE/TRANSFER CASE</v>
          </cell>
          <cell r="U583" t="str">
            <v>vacuum line leak</v>
          </cell>
          <cell r="V583" t="str">
            <v>ALL</v>
          </cell>
          <cell r="W583">
            <v>2</v>
          </cell>
          <cell r="AD583">
            <v>1</v>
          </cell>
          <cell r="AE583">
            <v>1</v>
          </cell>
        </row>
        <row r="584">
          <cell r="A584">
            <v>0</v>
          </cell>
          <cell r="B584" t="str">
            <v>ALL VRTS</v>
          </cell>
          <cell r="D584">
            <v>15</v>
          </cell>
          <cell r="I584" t="str">
            <v>L86</v>
          </cell>
          <cell r="L584" t="str">
            <v>V44</v>
          </cell>
          <cell r="N584">
            <v>-1</v>
          </cell>
          <cell r="O584">
            <v>-1</v>
          </cell>
          <cell r="P584">
            <v>0</v>
          </cell>
          <cell r="Q584">
            <v>2004</v>
          </cell>
          <cell r="R584" t="str">
            <v>DEARBORN PLANT BUILD</v>
          </cell>
          <cell r="S584" t="str">
            <v>P221/P397</v>
          </cell>
          <cell r="T584" t="str">
            <v>OTHER AXLE/TRANSFER CASE</v>
          </cell>
          <cell r="U584" t="str">
            <v xml:space="preserve"> low rear axle fluid</v>
          </cell>
          <cell r="V584" t="str">
            <v>ALL</v>
          </cell>
          <cell r="W584">
            <v>1</v>
          </cell>
          <cell r="AB584">
            <v>1</v>
          </cell>
        </row>
        <row r="585">
          <cell r="A585">
            <v>0</v>
          </cell>
          <cell r="B585" t="str">
            <v>ALL VRTS</v>
          </cell>
          <cell r="D585">
            <v>15</v>
          </cell>
          <cell r="I585" t="str">
            <v>K02</v>
          </cell>
          <cell r="L585" t="str">
            <v>V44</v>
          </cell>
          <cell r="N585">
            <v>0</v>
          </cell>
          <cell r="O585">
            <v>-1</v>
          </cell>
          <cell r="P585">
            <v>0</v>
          </cell>
          <cell r="Q585">
            <v>2004</v>
          </cell>
          <cell r="R585" t="str">
            <v>DEARBORN PLANT BUILD</v>
          </cell>
          <cell r="S585" t="str">
            <v>P221/P397</v>
          </cell>
          <cell r="T585" t="str">
            <v>OTHER AXLE/TRANSFER CASE</v>
          </cell>
          <cell r="U585" t="str">
            <v>Friction modifier added</v>
          </cell>
          <cell r="V585" t="str">
            <v>ALL</v>
          </cell>
          <cell r="W585">
            <v>1</v>
          </cell>
          <cell r="AC585">
            <v>1</v>
          </cell>
        </row>
        <row r="586">
          <cell r="A586">
            <v>0</v>
          </cell>
          <cell r="B586" t="str">
            <v>ALL VRTS</v>
          </cell>
          <cell r="D586">
            <v>15</v>
          </cell>
          <cell r="I586" t="str">
            <v>K03</v>
          </cell>
          <cell r="L586" t="str">
            <v>V44</v>
          </cell>
          <cell r="N586">
            <v>-1</v>
          </cell>
          <cell r="O586">
            <v>-1</v>
          </cell>
          <cell r="P586">
            <v>0</v>
          </cell>
          <cell r="Q586">
            <v>2004</v>
          </cell>
          <cell r="R586" t="str">
            <v>DEARBORN PLANT BUILD</v>
          </cell>
          <cell r="S586" t="str">
            <v>P221/P397</v>
          </cell>
          <cell r="T586" t="str">
            <v>OTHER AXLE/TRANSFER CASE</v>
          </cell>
          <cell r="U586" t="str">
            <v>npf</v>
          </cell>
          <cell r="V586" t="str">
            <v>ALL</v>
          </cell>
          <cell r="W586">
            <v>1</v>
          </cell>
          <cell r="AB586">
            <v>1</v>
          </cell>
        </row>
        <row r="587">
          <cell r="A587">
            <v>0</v>
          </cell>
          <cell r="B587" t="str">
            <v>ALL VRTS</v>
          </cell>
          <cell r="D587">
            <v>15</v>
          </cell>
          <cell r="I587" t="str">
            <v>K03</v>
          </cell>
          <cell r="L587" t="str">
            <v>V44</v>
          </cell>
          <cell r="N587">
            <v>-1</v>
          </cell>
          <cell r="O587">
            <v>-1</v>
          </cell>
          <cell r="P587">
            <v>0</v>
          </cell>
          <cell r="Q587">
            <v>2004</v>
          </cell>
          <cell r="R587" t="str">
            <v>DEARBORN PLANT BUILD</v>
          </cell>
          <cell r="S587" t="str">
            <v>P221/P397</v>
          </cell>
          <cell r="T587" t="str">
            <v>OTHER AXLE/TRANSFER CASE</v>
          </cell>
          <cell r="U587" t="str">
            <v>Replaced Differential</v>
          </cell>
          <cell r="V587" t="str">
            <v>ALL</v>
          </cell>
          <cell r="W587">
            <v>1</v>
          </cell>
          <cell r="AB587">
            <v>1</v>
          </cell>
        </row>
        <row r="588">
          <cell r="A588">
            <v>0</v>
          </cell>
          <cell r="B588" t="str">
            <v>ALL VRTS</v>
          </cell>
          <cell r="D588">
            <v>15</v>
          </cell>
          <cell r="I588" t="str">
            <v>F30</v>
          </cell>
          <cell r="J588" t="str">
            <v>F13</v>
          </cell>
          <cell r="L588" t="str">
            <v>V33</v>
          </cell>
          <cell r="N588">
            <v>0</v>
          </cell>
          <cell r="O588">
            <v>0</v>
          </cell>
          <cell r="P588">
            <v>-1</v>
          </cell>
          <cell r="Q588">
            <v>2004</v>
          </cell>
          <cell r="R588" t="str">
            <v>DEARBORN PLANT BUILD</v>
          </cell>
          <cell r="S588" t="str">
            <v>P221/P397</v>
          </cell>
          <cell r="T588" t="str">
            <v>Polish Mark</v>
          </cell>
          <cell r="U588" t="str">
            <v>L/S Door</v>
          </cell>
          <cell r="V588" t="str">
            <v>ALL</v>
          </cell>
          <cell r="W588">
            <v>4</v>
          </cell>
          <cell r="Z588">
            <v>1</v>
          </cell>
          <cell r="AB588">
            <v>2</v>
          </cell>
          <cell r="AD588">
            <v>1</v>
          </cell>
        </row>
        <row r="589">
          <cell r="A589">
            <v>0</v>
          </cell>
          <cell r="B589" t="str">
            <v>ALL VRTS</v>
          </cell>
          <cell r="D589">
            <v>15</v>
          </cell>
          <cell r="I589" t="str">
            <v>F12</v>
          </cell>
          <cell r="J589" t="str">
            <v>F20</v>
          </cell>
          <cell r="L589" t="str">
            <v>V33</v>
          </cell>
          <cell r="N589">
            <v>0</v>
          </cell>
          <cell r="O589">
            <v>0</v>
          </cell>
          <cell r="P589">
            <v>-1</v>
          </cell>
          <cell r="Q589">
            <v>2004</v>
          </cell>
          <cell r="R589" t="str">
            <v>DEARBORN PLANT BUILD</v>
          </cell>
          <cell r="S589" t="str">
            <v>P221/P397</v>
          </cell>
          <cell r="T589" t="str">
            <v>Polish Mark</v>
          </cell>
          <cell r="U589" t="str">
            <v>Hood</v>
          </cell>
          <cell r="V589" t="str">
            <v>ALL</v>
          </cell>
          <cell r="W589">
            <v>2</v>
          </cell>
          <cell r="AD589">
            <v>1</v>
          </cell>
          <cell r="AE589">
            <v>1</v>
          </cell>
        </row>
        <row r="590">
          <cell r="A590">
            <v>0</v>
          </cell>
          <cell r="B590" t="str">
            <v>ALL VRTS</v>
          </cell>
          <cell r="D590">
            <v>15</v>
          </cell>
          <cell r="I590" t="str">
            <v>F13</v>
          </cell>
          <cell r="L590" t="str">
            <v>V33</v>
          </cell>
          <cell r="N590">
            <v>0</v>
          </cell>
          <cell r="O590">
            <v>0</v>
          </cell>
          <cell r="P590">
            <v>-1</v>
          </cell>
          <cell r="Q590">
            <v>2004</v>
          </cell>
          <cell r="R590" t="str">
            <v>DEARBORN PLANT BUILD</v>
          </cell>
          <cell r="S590" t="str">
            <v>P221/P397</v>
          </cell>
          <cell r="T590" t="str">
            <v>Polish Mark</v>
          </cell>
          <cell r="U590" t="str">
            <v>L/S Bed</v>
          </cell>
          <cell r="V590" t="str">
            <v>ALL</v>
          </cell>
          <cell r="W590">
            <v>2</v>
          </cell>
          <cell r="AA590">
            <v>1</v>
          </cell>
          <cell r="AD590">
            <v>1</v>
          </cell>
        </row>
        <row r="591">
          <cell r="A591">
            <v>0</v>
          </cell>
          <cell r="B591" t="str">
            <v>ALL VRTS</v>
          </cell>
          <cell r="D591">
            <v>15</v>
          </cell>
          <cell r="I591" t="str">
            <v>F12</v>
          </cell>
          <cell r="J591" t="str">
            <v>F13</v>
          </cell>
          <cell r="L591" t="str">
            <v>V33</v>
          </cell>
          <cell r="N591">
            <v>0</v>
          </cell>
          <cell r="O591">
            <v>0</v>
          </cell>
          <cell r="P591">
            <v>-1</v>
          </cell>
          <cell r="Q591">
            <v>2004</v>
          </cell>
          <cell r="R591" t="str">
            <v>DEARBORN PLANT BUILD</v>
          </cell>
          <cell r="S591" t="str">
            <v>P221/P397</v>
          </cell>
          <cell r="T591" t="str">
            <v>Polish Mark</v>
          </cell>
          <cell r="U591" t="str">
            <v>L/S Rear Door</v>
          </cell>
          <cell r="V591" t="str">
            <v>ALL</v>
          </cell>
          <cell r="W591">
            <v>2</v>
          </cell>
          <cell r="AB591">
            <v>1</v>
          </cell>
          <cell r="AC591">
            <v>1</v>
          </cell>
        </row>
        <row r="592">
          <cell r="A592">
            <v>0</v>
          </cell>
          <cell r="B592" t="str">
            <v>ALL VRTS</v>
          </cell>
          <cell r="D592">
            <v>15</v>
          </cell>
          <cell r="I592" t="str">
            <v>F12</v>
          </cell>
          <cell r="J592" t="str">
            <v>F13</v>
          </cell>
          <cell r="L592" t="str">
            <v>V33</v>
          </cell>
          <cell r="N592">
            <v>0</v>
          </cell>
          <cell r="O592">
            <v>0</v>
          </cell>
          <cell r="P592">
            <v>-1</v>
          </cell>
          <cell r="Q592">
            <v>2004</v>
          </cell>
          <cell r="R592" t="str">
            <v>DEARBORN PLANT BUILD</v>
          </cell>
          <cell r="S592" t="str">
            <v>P221/P397</v>
          </cell>
          <cell r="T592" t="str">
            <v>Polish Mark</v>
          </cell>
          <cell r="U592" t="str">
            <v>Multi Panels</v>
          </cell>
          <cell r="V592" t="str">
            <v>ALL</v>
          </cell>
          <cell r="W592">
            <v>2</v>
          </cell>
          <cell r="AD592">
            <v>2</v>
          </cell>
        </row>
        <row r="593">
          <cell r="A593">
            <v>0</v>
          </cell>
          <cell r="B593" t="str">
            <v>ALL VRTS</v>
          </cell>
          <cell r="D593">
            <v>15</v>
          </cell>
          <cell r="I593" t="str">
            <v>F13</v>
          </cell>
          <cell r="L593" t="str">
            <v>V33</v>
          </cell>
          <cell r="N593">
            <v>0</v>
          </cell>
          <cell r="O593">
            <v>0</v>
          </cell>
          <cell r="P593">
            <v>-1</v>
          </cell>
          <cell r="Q593">
            <v>2004</v>
          </cell>
          <cell r="R593" t="str">
            <v>DEARBORN PLANT BUILD</v>
          </cell>
          <cell r="S593" t="str">
            <v>P221/P397</v>
          </cell>
          <cell r="T593" t="str">
            <v>Polish Mark</v>
          </cell>
          <cell r="U593" t="str">
            <v>R/S Fender</v>
          </cell>
          <cell r="V593" t="str">
            <v>ALL</v>
          </cell>
          <cell r="W593">
            <v>1</v>
          </cell>
          <cell r="AC593">
            <v>1</v>
          </cell>
        </row>
        <row r="594">
          <cell r="A594">
            <v>0</v>
          </cell>
          <cell r="B594" t="str">
            <v>ALL VRTS</v>
          </cell>
          <cell r="D594">
            <v>15</v>
          </cell>
          <cell r="I594" t="str">
            <v>F30</v>
          </cell>
          <cell r="L594" t="str">
            <v>V33</v>
          </cell>
          <cell r="N594">
            <v>0</v>
          </cell>
          <cell r="O594">
            <v>0</v>
          </cell>
          <cell r="P594">
            <v>-1</v>
          </cell>
          <cell r="Q594">
            <v>2004</v>
          </cell>
          <cell r="R594" t="str">
            <v>DEARBORN PLANT BUILD</v>
          </cell>
          <cell r="S594" t="str">
            <v>P221/P397</v>
          </cell>
          <cell r="T594" t="str">
            <v>Polish Mark</v>
          </cell>
          <cell r="U594" t="str">
            <v>R/S Front Door</v>
          </cell>
          <cell r="V594" t="str">
            <v>ALL</v>
          </cell>
          <cell r="W594">
            <v>1</v>
          </cell>
          <cell r="AA594">
            <v>1</v>
          </cell>
        </row>
        <row r="595">
          <cell r="A595">
            <v>0</v>
          </cell>
          <cell r="B595" t="str">
            <v>ALL VRTS</v>
          </cell>
          <cell r="D595">
            <v>15</v>
          </cell>
          <cell r="I595" t="str">
            <v>F13</v>
          </cell>
          <cell r="L595" t="str">
            <v>V33</v>
          </cell>
          <cell r="N595">
            <v>0</v>
          </cell>
          <cell r="O595">
            <v>0</v>
          </cell>
          <cell r="P595">
            <v>-1</v>
          </cell>
          <cell r="Q595">
            <v>2004</v>
          </cell>
          <cell r="R595" t="str">
            <v>DEARBORN PLANT BUILD</v>
          </cell>
          <cell r="S595" t="str">
            <v>P221/P397</v>
          </cell>
          <cell r="T595" t="str">
            <v>Polish Mark</v>
          </cell>
          <cell r="U595" t="str">
            <v>R/S Rear Door</v>
          </cell>
          <cell r="V595" t="str">
            <v>ALL</v>
          </cell>
          <cell r="W595">
            <v>1</v>
          </cell>
          <cell r="AE595">
            <v>1</v>
          </cell>
        </row>
        <row r="596">
          <cell r="A596">
            <v>0</v>
          </cell>
          <cell r="B596" t="str">
            <v>ALL VRTS</v>
          </cell>
          <cell r="D596">
            <v>14</v>
          </cell>
          <cell r="I596" t="str">
            <v>L26</v>
          </cell>
          <cell r="L596" t="str">
            <v>V77</v>
          </cell>
          <cell r="N596">
            <v>0</v>
          </cell>
          <cell r="O596">
            <v>-1</v>
          </cell>
          <cell r="P596">
            <v>-1</v>
          </cell>
          <cell r="Q596">
            <v>2004</v>
          </cell>
          <cell r="R596" t="str">
            <v>DEARBORN PLANT BUILD</v>
          </cell>
          <cell r="S596" t="str">
            <v>P221/P397</v>
          </cell>
          <cell r="T596" t="str">
            <v>Brake Lite on in Cluster</v>
          </cell>
          <cell r="U596" t="str">
            <v>Brake Switch replaced.</v>
          </cell>
          <cell r="V596" t="str">
            <v>ALL</v>
          </cell>
          <cell r="W596">
            <v>2</v>
          </cell>
          <cell r="AB596">
            <v>1</v>
          </cell>
          <cell r="AD596">
            <v>1</v>
          </cell>
        </row>
        <row r="597">
          <cell r="A597">
            <v>0</v>
          </cell>
          <cell r="B597" t="str">
            <v>ALL VRTS</v>
          </cell>
          <cell r="D597">
            <v>14</v>
          </cell>
          <cell r="I597" t="str">
            <v>L26</v>
          </cell>
          <cell r="L597" t="str">
            <v>V77</v>
          </cell>
          <cell r="N597">
            <v>0</v>
          </cell>
          <cell r="O597">
            <v>0</v>
          </cell>
          <cell r="P597">
            <v>-1</v>
          </cell>
          <cell r="Q597">
            <v>2004</v>
          </cell>
          <cell r="R597" t="str">
            <v>DEARBORN PLANT BUILD</v>
          </cell>
          <cell r="S597" t="str">
            <v>P221/P397</v>
          </cell>
          <cell r="T597" t="str">
            <v>Brake Lite on in Cluster</v>
          </cell>
          <cell r="U597" t="str">
            <v>Loose connection at switch.</v>
          </cell>
          <cell r="V597" t="str">
            <v>ALL</v>
          </cell>
          <cell r="W597">
            <v>2</v>
          </cell>
          <cell r="AD597">
            <v>2</v>
          </cell>
        </row>
        <row r="598">
          <cell r="A598">
            <v>0</v>
          </cell>
          <cell r="B598" t="str">
            <v>ALL VRTS</v>
          </cell>
          <cell r="D598">
            <v>14</v>
          </cell>
          <cell r="I598" t="str">
            <v>G29</v>
          </cell>
          <cell r="J598" t="str">
            <v>L29</v>
          </cell>
          <cell r="L598" t="str">
            <v>V77</v>
          </cell>
          <cell r="N598">
            <v>0</v>
          </cell>
          <cell r="O598">
            <v>-1</v>
          </cell>
          <cell r="P598">
            <v>-1</v>
          </cell>
          <cell r="Q598">
            <v>2004</v>
          </cell>
          <cell r="R598" t="str">
            <v>DEARBORN PLANT BUILD</v>
          </cell>
          <cell r="S598" t="str">
            <v>P221/P397</v>
          </cell>
          <cell r="T598" t="str">
            <v>Brake Lite on in Cluster</v>
          </cell>
          <cell r="U598" t="str">
            <v>No Connect at Brake Master Cylinder.</v>
          </cell>
          <cell r="V598" t="str">
            <v>ALL</v>
          </cell>
          <cell r="W598">
            <v>2</v>
          </cell>
          <cell r="Z598">
            <v>1</v>
          </cell>
          <cell r="AE598">
            <v>1</v>
          </cell>
        </row>
        <row r="599">
          <cell r="A599">
            <v>0</v>
          </cell>
          <cell r="B599" t="str">
            <v>ALL VRTS</v>
          </cell>
          <cell r="D599">
            <v>14</v>
          </cell>
          <cell r="I599" t="str">
            <v>L25</v>
          </cell>
          <cell r="L599" t="str">
            <v>V77</v>
          </cell>
          <cell r="N599">
            <v>0</v>
          </cell>
          <cell r="O599">
            <v>0</v>
          </cell>
          <cell r="P599">
            <v>-1</v>
          </cell>
          <cell r="Q599">
            <v>2004</v>
          </cell>
          <cell r="R599" t="str">
            <v>DEARBORN PLANT BUILD</v>
          </cell>
          <cell r="S599" t="str">
            <v>P221/P397</v>
          </cell>
          <cell r="T599" t="str">
            <v>Brake Lite on in Cluster</v>
          </cell>
          <cell r="U599" t="str">
            <v>Connector #2015 not connected</v>
          </cell>
          <cell r="V599" t="str">
            <v>ALL</v>
          </cell>
          <cell r="W599">
            <v>1</v>
          </cell>
          <cell r="AD599">
            <v>1</v>
          </cell>
        </row>
        <row r="600">
          <cell r="A600">
            <v>0</v>
          </cell>
          <cell r="B600" t="str">
            <v>ALL VRTS</v>
          </cell>
          <cell r="D600">
            <v>14</v>
          </cell>
          <cell r="I600" t="str">
            <v>L26</v>
          </cell>
          <cell r="L600" t="str">
            <v>V77</v>
          </cell>
          <cell r="N600">
            <v>0</v>
          </cell>
          <cell r="O600">
            <v>0</v>
          </cell>
          <cell r="P600">
            <v>-1</v>
          </cell>
          <cell r="Q600">
            <v>2004</v>
          </cell>
          <cell r="R600" t="str">
            <v>DEARBORN PLANT BUILD</v>
          </cell>
          <cell r="S600" t="str">
            <v>P221/P397</v>
          </cell>
          <cell r="T600" t="str">
            <v>Brake Lite on in Cluster</v>
          </cell>
          <cell r="U600" t="str">
            <v>Damaged Connector 405</v>
          </cell>
          <cell r="V600" t="str">
            <v>ALL</v>
          </cell>
          <cell r="W600">
            <v>1</v>
          </cell>
          <cell r="AD600">
            <v>1</v>
          </cell>
        </row>
        <row r="601">
          <cell r="A601">
            <v>0</v>
          </cell>
          <cell r="B601" t="str">
            <v>ALL VRTS</v>
          </cell>
          <cell r="D601">
            <v>14</v>
          </cell>
          <cell r="I601" t="str">
            <v>A85</v>
          </cell>
          <cell r="L601" t="str">
            <v>V77</v>
          </cell>
          <cell r="N601">
            <v>0</v>
          </cell>
          <cell r="O601">
            <v>-1</v>
          </cell>
          <cell r="P601">
            <v>0</v>
          </cell>
          <cell r="Q601">
            <v>2004</v>
          </cell>
          <cell r="R601" t="str">
            <v>DEARBORN PLANT BUILD</v>
          </cell>
          <cell r="S601" t="str">
            <v>P221/P397</v>
          </cell>
          <cell r="T601" t="str">
            <v>Brake Lite on in Cluster</v>
          </cell>
          <cell r="U601" t="str">
            <v>Fuse blown</v>
          </cell>
          <cell r="V601" t="str">
            <v>ALL</v>
          </cell>
          <cell r="W601">
            <v>1</v>
          </cell>
          <cell r="AD601">
            <v>1</v>
          </cell>
        </row>
        <row r="602">
          <cell r="A602">
            <v>0</v>
          </cell>
          <cell r="B602" t="str">
            <v>ALL VRTS</v>
          </cell>
          <cell r="D602">
            <v>14</v>
          </cell>
          <cell r="I602" t="str">
            <v>L26</v>
          </cell>
          <cell r="L602" t="str">
            <v>V77</v>
          </cell>
          <cell r="N602">
            <v>0</v>
          </cell>
          <cell r="O602">
            <v>-1</v>
          </cell>
          <cell r="P602">
            <v>0</v>
          </cell>
          <cell r="Q602">
            <v>2004</v>
          </cell>
          <cell r="R602" t="str">
            <v>DEARBORN PLANT BUILD</v>
          </cell>
          <cell r="S602" t="str">
            <v>P221/P397</v>
          </cell>
          <cell r="T602" t="str">
            <v>Brake Lite on in Cluster</v>
          </cell>
          <cell r="U602" t="str">
            <v>Loose Fuse</v>
          </cell>
          <cell r="V602" t="str">
            <v>ALL</v>
          </cell>
          <cell r="W602">
            <v>1</v>
          </cell>
          <cell r="AD602">
            <v>1</v>
          </cell>
        </row>
        <row r="603">
          <cell r="A603">
            <v>0</v>
          </cell>
          <cell r="B603" t="str">
            <v>ALL VRTS</v>
          </cell>
          <cell r="D603">
            <v>14</v>
          </cell>
          <cell r="I603" t="str">
            <v>L29</v>
          </cell>
          <cell r="L603" t="str">
            <v>V77</v>
          </cell>
          <cell r="N603">
            <v>0</v>
          </cell>
          <cell r="O603">
            <v>0</v>
          </cell>
          <cell r="P603">
            <v>-1</v>
          </cell>
          <cell r="Q603">
            <v>2004</v>
          </cell>
          <cell r="R603" t="str">
            <v>DEARBORN PLANT BUILD</v>
          </cell>
          <cell r="S603" t="str">
            <v>P221/P397</v>
          </cell>
          <cell r="T603" t="str">
            <v>Brake Lite on in Cluster</v>
          </cell>
          <cell r="U603" t="str">
            <v>No Connection at Brake Master Cylinder.</v>
          </cell>
          <cell r="V603" t="str">
            <v>ALL</v>
          </cell>
          <cell r="W603">
            <v>1</v>
          </cell>
          <cell r="AC603">
            <v>1</v>
          </cell>
        </row>
        <row r="604">
          <cell r="A604">
            <v>0</v>
          </cell>
          <cell r="B604" t="str">
            <v>ALL VRTS</v>
          </cell>
          <cell r="D604">
            <v>14</v>
          </cell>
          <cell r="I604" t="str">
            <v>L26</v>
          </cell>
          <cell r="L604" t="str">
            <v>V77</v>
          </cell>
          <cell r="N604">
            <v>0</v>
          </cell>
          <cell r="O604">
            <v>0</v>
          </cell>
          <cell r="P604">
            <v>-1</v>
          </cell>
          <cell r="Q604">
            <v>2004</v>
          </cell>
          <cell r="R604" t="str">
            <v>DEARBORN PLANT BUILD</v>
          </cell>
          <cell r="S604" t="str">
            <v>P221/P397</v>
          </cell>
          <cell r="T604" t="str">
            <v>Brake Lite on in Cluster</v>
          </cell>
          <cell r="U604" t="str">
            <v>Repaired wiring Harness 14A005</v>
          </cell>
          <cell r="V604" t="str">
            <v>ALL</v>
          </cell>
          <cell r="W604">
            <v>1</v>
          </cell>
          <cell r="AE604">
            <v>1</v>
          </cell>
        </row>
        <row r="605">
          <cell r="A605">
            <v>0</v>
          </cell>
          <cell r="B605" t="str">
            <v>ALL VRTS</v>
          </cell>
          <cell r="D605">
            <v>14</v>
          </cell>
          <cell r="I605" t="str">
            <v>L26</v>
          </cell>
          <cell r="L605" t="str">
            <v>V77</v>
          </cell>
          <cell r="N605">
            <v>0</v>
          </cell>
          <cell r="O605">
            <v>-1</v>
          </cell>
          <cell r="P605">
            <v>0</v>
          </cell>
          <cell r="Q605">
            <v>2004</v>
          </cell>
          <cell r="R605" t="str">
            <v>DEARBORN PLANT BUILD</v>
          </cell>
          <cell r="S605" t="str">
            <v>P221/P397</v>
          </cell>
          <cell r="T605" t="str">
            <v>Brake Lite on in Cluster</v>
          </cell>
          <cell r="U605" t="str">
            <v>Replaced Bulb.</v>
          </cell>
          <cell r="V605" t="str">
            <v>ALL</v>
          </cell>
          <cell r="W605">
            <v>1</v>
          </cell>
          <cell r="AA605">
            <v>1</v>
          </cell>
        </row>
        <row r="606">
          <cell r="A606">
            <v>0</v>
          </cell>
          <cell r="B606" t="str">
            <v>ALL VRTS</v>
          </cell>
          <cell r="D606">
            <v>14</v>
          </cell>
          <cell r="I606" t="str">
            <v>L29</v>
          </cell>
          <cell r="L606" t="str">
            <v>V77</v>
          </cell>
          <cell r="N606">
            <v>0</v>
          </cell>
          <cell r="O606">
            <v>0</v>
          </cell>
          <cell r="P606">
            <v>-1</v>
          </cell>
          <cell r="Q606">
            <v>2004</v>
          </cell>
          <cell r="R606" t="str">
            <v>DEARBORN PLANT BUILD</v>
          </cell>
          <cell r="S606" t="str">
            <v>P221/P397</v>
          </cell>
          <cell r="T606" t="str">
            <v>Brake Lite on in Cluster</v>
          </cell>
          <cell r="U606" t="str">
            <v>Senor unplugged, Broken connector.</v>
          </cell>
          <cell r="V606" t="str">
            <v>ALL</v>
          </cell>
          <cell r="W606">
            <v>1</v>
          </cell>
          <cell r="AA606">
            <v>1</v>
          </cell>
        </row>
        <row r="607">
          <cell r="A607">
            <v>0</v>
          </cell>
          <cell r="B607" t="str">
            <v>ALL VRTS</v>
          </cell>
          <cell r="D607">
            <v>14</v>
          </cell>
          <cell r="I607" t="str">
            <v>C27</v>
          </cell>
          <cell r="J607" t="str">
            <v>C25</v>
          </cell>
          <cell r="L607" t="str">
            <v>V19</v>
          </cell>
          <cell r="N607">
            <v>0</v>
          </cell>
          <cell r="O607">
            <v>0</v>
          </cell>
          <cell r="P607">
            <v>-1</v>
          </cell>
          <cell r="Q607">
            <v>2004</v>
          </cell>
          <cell r="R607" t="str">
            <v>DEARBORN PLANT BUILD</v>
          </cell>
          <cell r="S607" t="str">
            <v>P221/P397</v>
          </cell>
          <cell r="T607" t="str">
            <v>Cruise Control INOP</v>
          </cell>
          <cell r="U607" t="str">
            <v>PCM  Replaced.</v>
          </cell>
          <cell r="V607" t="str">
            <v>ALL</v>
          </cell>
          <cell r="W607">
            <v>3</v>
          </cell>
          <cell r="Y607">
            <v>1</v>
          </cell>
          <cell r="Z607">
            <v>1</v>
          </cell>
          <cell r="AD607">
            <v>1</v>
          </cell>
        </row>
        <row r="608">
          <cell r="A608">
            <v>0</v>
          </cell>
          <cell r="B608" t="str">
            <v>ALL VRTS</v>
          </cell>
          <cell r="D608">
            <v>14</v>
          </cell>
          <cell r="I608" t="str">
            <v>A85</v>
          </cell>
          <cell r="L608" t="str">
            <v>V17</v>
          </cell>
          <cell r="N608">
            <v>0</v>
          </cell>
          <cell r="O608">
            <v>0</v>
          </cell>
          <cell r="P608">
            <v>-1</v>
          </cell>
          <cell r="Q608">
            <v>2004</v>
          </cell>
          <cell r="R608" t="str">
            <v>DEARBORN PLANT BUILD</v>
          </cell>
          <cell r="S608" t="str">
            <v>P221/P397</v>
          </cell>
          <cell r="T608" t="str">
            <v>Cruise Control INOP</v>
          </cell>
          <cell r="U608" t="str">
            <v>Circuit 151 LB Bk not making contact</v>
          </cell>
          <cell r="V608" t="str">
            <v>ALL</v>
          </cell>
          <cell r="W608">
            <v>1</v>
          </cell>
          <cell r="AB608">
            <v>1</v>
          </cell>
        </row>
        <row r="609">
          <cell r="A609">
            <v>0</v>
          </cell>
          <cell r="B609" t="str">
            <v>ALL VRTS</v>
          </cell>
          <cell r="D609">
            <v>14</v>
          </cell>
          <cell r="I609" t="str">
            <v>A37</v>
          </cell>
          <cell r="L609" t="str">
            <v>V19</v>
          </cell>
          <cell r="N609">
            <v>0</v>
          </cell>
          <cell r="O609">
            <v>-1</v>
          </cell>
          <cell r="P609">
            <v>0</v>
          </cell>
          <cell r="Q609">
            <v>2004</v>
          </cell>
          <cell r="R609" t="str">
            <v>DEARBORN PLANT BUILD</v>
          </cell>
          <cell r="S609" t="str">
            <v>P221/P397</v>
          </cell>
          <cell r="T609" t="str">
            <v>Cruise Control INOP</v>
          </cell>
          <cell r="U609" t="str">
            <v>Cruise Control Buttons replaced</v>
          </cell>
          <cell r="V609" t="str">
            <v>ALL</v>
          </cell>
          <cell r="W609">
            <v>1</v>
          </cell>
          <cell r="AC609">
            <v>1</v>
          </cell>
        </row>
        <row r="610">
          <cell r="A610">
            <v>0</v>
          </cell>
          <cell r="B610" t="str">
            <v>ALL VRTS</v>
          </cell>
          <cell r="D610">
            <v>14</v>
          </cell>
          <cell r="I610" t="str">
            <v>A85</v>
          </cell>
          <cell r="L610" t="str">
            <v>V19</v>
          </cell>
          <cell r="N610">
            <v>0</v>
          </cell>
          <cell r="O610">
            <v>0</v>
          </cell>
          <cell r="P610">
            <v>-1</v>
          </cell>
          <cell r="Q610">
            <v>2004</v>
          </cell>
          <cell r="R610" t="str">
            <v>DEARBORN PLANT BUILD</v>
          </cell>
          <cell r="S610" t="str">
            <v>P221/P397</v>
          </cell>
          <cell r="T610" t="str">
            <v>Cruise Control INOP</v>
          </cell>
          <cell r="U610" t="str">
            <v>Fuse blown</v>
          </cell>
          <cell r="V610" t="str">
            <v>ALL</v>
          </cell>
          <cell r="W610">
            <v>1</v>
          </cell>
          <cell r="AE610">
            <v>1</v>
          </cell>
        </row>
        <row r="611">
          <cell r="A611">
            <v>0</v>
          </cell>
          <cell r="B611" t="str">
            <v>ALL VRTS</v>
          </cell>
          <cell r="D611">
            <v>14</v>
          </cell>
          <cell r="I611" t="str">
            <v>A85</v>
          </cell>
          <cell r="L611" t="str">
            <v>V19</v>
          </cell>
          <cell r="N611">
            <v>0</v>
          </cell>
          <cell r="O611">
            <v>0</v>
          </cell>
          <cell r="P611">
            <v>-1</v>
          </cell>
          <cell r="Q611">
            <v>2004</v>
          </cell>
          <cell r="R611" t="str">
            <v>DEARBORN PLANT BUILD</v>
          </cell>
          <cell r="S611" t="str">
            <v>P221/P397</v>
          </cell>
          <cell r="T611" t="str">
            <v>Cruise Control INOP</v>
          </cell>
          <cell r="U611" t="str">
            <v>Loose Wiring Connector</v>
          </cell>
          <cell r="V611" t="str">
            <v>ALL</v>
          </cell>
          <cell r="W611">
            <v>1</v>
          </cell>
          <cell r="AD611">
            <v>1</v>
          </cell>
        </row>
        <row r="612">
          <cell r="A612">
            <v>0</v>
          </cell>
          <cell r="B612" t="str">
            <v>ALL VRTS</v>
          </cell>
          <cell r="D612">
            <v>14</v>
          </cell>
          <cell r="I612" t="str">
            <v>A85</v>
          </cell>
          <cell r="L612" t="str">
            <v>V83</v>
          </cell>
          <cell r="N612">
            <v>0</v>
          </cell>
          <cell r="O612">
            <v>-1</v>
          </cell>
          <cell r="P612">
            <v>0</v>
          </cell>
          <cell r="Q612">
            <v>2004</v>
          </cell>
          <cell r="R612" t="str">
            <v>DEARBORN PLANT BUILD</v>
          </cell>
          <cell r="S612" t="str">
            <v>P221/P397</v>
          </cell>
          <cell r="T612" t="str">
            <v>Cruise Control INOP</v>
          </cell>
          <cell r="U612" t="str">
            <v>No code Monitor.</v>
          </cell>
          <cell r="V612" t="str">
            <v>ALL</v>
          </cell>
          <cell r="W612">
            <v>1</v>
          </cell>
          <cell r="AA612">
            <v>1</v>
          </cell>
        </row>
        <row r="613">
          <cell r="A613">
            <v>0</v>
          </cell>
          <cell r="B613" t="str">
            <v>ALL VRTS</v>
          </cell>
          <cell r="D613">
            <v>14</v>
          </cell>
          <cell r="I613" t="str">
            <v>C27</v>
          </cell>
          <cell r="L613" t="str">
            <v>V19</v>
          </cell>
          <cell r="N613">
            <v>0</v>
          </cell>
          <cell r="O613">
            <v>-1</v>
          </cell>
          <cell r="P613">
            <v>0</v>
          </cell>
          <cell r="Q613">
            <v>2004</v>
          </cell>
          <cell r="R613" t="str">
            <v>DEARBORN PLANT BUILD</v>
          </cell>
          <cell r="S613" t="str">
            <v>P221/P397</v>
          </cell>
          <cell r="T613" t="str">
            <v>Cruise Control INOP</v>
          </cell>
          <cell r="U613" t="str">
            <v>No Codes in PCM</v>
          </cell>
          <cell r="V613" t="str">
            <v>ALL</v>
          </cell>
          <cell r="W613">
            <v>1</v>
          </cell>
          <cell r="AD613">
            <v>1</v>
          </cell>
        </row>
        <row r="614">
          <cell r="A614">
            <v>0</v>
          </cell>
          <cell r="B614" t="str">
            <v>ALL VRTS</v>
          </cell>
          <cell r="D614">
            <v>14</v>
          </cell>
          <cell r="I614" t="str">
            <v>A34</v>
          </cell>
          <cell r="L614" t="str">
            <v>V83</v>
          </cell>
          <cell r="N614">
            <v>0</v>
          </cell>
          <cell r="O614">
            <v>-1</v>
          </cell>
          <cell r="P614">
            <v>0</v>
          </cell>
          <cell r="Q614">
            <v>2004</v>
          </cell>
          <cell r="R614" t="str">
            <v>DEARBORN PLANT BUILD</v>
          </cell>
          <cell r="S614" t="str">
            <v>P221/P397</v>
          </cell>
          <cell r="T614" t="str">
            <v>Cruise Control INOP</v>
          </cell>
          <cell r="U614" t="str">
            <v>No connect clock spring</v>
          </cell>
          <cell r="V614" t="str">
            <v>ALL</v>
          </cell>
          <cell r="W614">
            <v>1</v>
          </cell>
          <cell r="AE614">
            <v>1</v>
          </cell>
        </row>
        <row r="615">
          <cell r="A615">
            <v>0</v>
          </cell>
          <cell r="B615" t="str">
            <v>ALL VRTS</v>
          </cell>
          <cell r="D615">
            <v>14</v>
          </cell>
          <cell r="I615" t="str">
            <v>A85</v>
          </cell>
          <cell r="L615" t="str">
            <v>V83</v>
          </cell>
          <cell r="N615">
            <v>0</v>
          </cell>
          <cell r="O615">
            <v>0</v>
          </cell>
          <cell r="P615">
            <v>-1</v>
          </cell>
          <cell r="Q615">
            <v>2004</v>
          </cell>
          <cell r="R615" t="str">
            <v>DEARBORN PLANT BUILD</v>
          </cell>
          <cell r="S615" t="str">
            <v>P221/P397</v>
          </cell>
          <cell r="T615" t="str">
            <v>Cruise Control INOP</v>
          </cell>
          <cell r="U615" t="str">
            <v>npf</v>
          </cell>
          <cell r="V615" t="str">
            <v>ALL</v>
          </cell>
          <cell r="W615">
            <v>1</v>
          </cell>
          <cell r="AD615">
            <v>1</v>
          </cell>
        </row>
        <row r="616">
          <cell r="A616">
            <v>0</v>
          </cell>
          <cell r="B616" t="str">
            <v>ALL VRTS</v>
          </cell>
          <cell r="D616">
            <v>14</v>
          </cell>
          <cell r="I616" t="str">
            <v>C27</v>
          </cell>
          <cell r="L616" t="str">
            <v>V19</v>
          </cell>
          <cell r="N616">
            <v>0</v>
          </cell>
          <cell r="O616">
            <v>-1</v>
          </cell>
          <cell r="P616">
            <v>0</v>
          </cell>
          <cell r="Q616">
            <v>2004</v>
          </cell>
          <cell r="R616" t="str">
            <v>DEARBORN PLANT BUILD</v>
          </cell>
          <cell r="S616" t="str">
            <v>P221/P397</v>
          </cell>
          <cell r="T616" t="str">
            <v>Cruise Control INOP</v>
          </cell>
          <cell r="U616" t="str">
            <v>Replaced PCM APP code</v>
          </cell>
          <cell r="V616" t="str">
            <v>ALL</v>
          </cell>
          <cell r="W616">
            <v>1</v>
          </cell>
          <cell r="AC616">
            <v>1</v>
          </cell>
        </row>
        <row r="617">
          <cell r="A617">
            <v>0</v>
          </cell>
          <cell r="B617" t="str">
            <v>ALL VRTS</v>
          </cell>
          <cell r="D617">
            <v>14</v>
          </cell>
          <cell r="I617" t="str">
            <v>A85</v>
          </cell>
          <cell r="L617" t="str">
            <v>V17</v>
          </cell>
          <cell r="N617">
            <v>0</v>
          </cell>
          <cell r="O617">
            <v>-1</v>
          </cell>
          <cell r="P617">
            <v>0</v>
          </cell>
          <cell r="Q617">
            <v>2004</v>
          </cell>
          <cell r="R617" t="str">
            <v>DEARBORN PLANT BUILD</v>
          </cell>
          <cell r="S617" t="str">
            <v>P221/P397</v>
          </cell>
          <cell r="T617" t="str">
            <v>Cruise Control INOP</v>
          </cell>
          <cell r="U617" t="str">
            <v>Replaced Shift Lock Actuator</v>
          </cell>
          <cell r="V617" t="str">
            <v>ALL</v>
          </cell>
          <cell r="W617">
            <v>1</v>
          </cell>
          <cell r="AC617">
            <v>1</v>
          </cell>
        </row>
        <row r="618">
          <cell r="A618">
            <v>0</v>
          </cell>
          <cell r="B618" t="str">
            <v>ALL VRTS</v>
          </cell>
          <cell r="D618">
            <v>14</v>
          </cell>
          <cell r="I618" t="str">
            <v>A88</v>
          </cell>
          <cell r="L618" t="str">
            <v>V17</v>
          </cell>
          <cell r="N618">
            <v>0</v>
          </cell>
          <cell r="O618">
            <v>0</v>
          </cell>
          <cell r="P618">
            <v>-1</v>
          </cell>
          <cell r="Q618">
            <v>2004</v>
          </cell>
          <cell r="R618" t="str">
            <v>DEARBORN PLANT BUILD</v>
          </cell>
          <cell r="S618" t="str">
            <v>P221/P397</v>
          </cell>
          <cell r="T618" t="str">
            <v>Cruise Control INOP</v>
          </cell>
          <cell r="U618" t="str">
            <v>Wiring Harness Loose</v>
          </cell>
          <cell r="V618" t="str">
            <v>ALL</v>
          </cell>
          <cell r="W618">
            <v>1</v>
          </cell>
          <cell r="AE618">
            <v>1</v>
          </cell>
        </row>
        <row r="619">
          <cell r="A619">
            <v>0</v>
          </cell>
          <cell r="B619" t="str">
            <v>ALL VRTS</v>
          </cell>
          <cell r="D619">
            <v>14</v>
          </cell>
          <cell r="I619" t="str">
            <v>A88</v>
          </cell>
          <cell r="L619" t="str">
            <v>V17</v>
          </cell>
          <cell r="N619">
            <v>0</v>
          </cell>
          <cell r="O619">
            <v>0</v>
          </cell>
          <cell r="P619">
            <v>-1</v>
          </cell>
          <cell r="Q619">
            <v>2004</v>
          </cell>
          <cell r="R619" t="str">
            <v>DEARBORN PLANT BUILD</v>
          </cell>
          <cell r="S619" t="str">
            <v>P221/P397</v>
          </cell>
          <cell r="T619" t="str">
            <v>Door Lock  INOP</v>
          </cell>
          <cell r="U619" t="str">
            <v>Connector C2095 Reinstalled Repaired.</v>
          </cell>
          <cell r="V619" t="str">
            <v>ALL</v>
          </cell>
          <cell r="W619">
            <v>3</v>
          </cell>
          <cell r="AB619">
            <v>3</v>
          </cell>
        </row>
        <row r="620">
          <cell r="A620">
            <v>0</v>
          </cell>
          <cell r="B620" t="str">
            <v>ALL VRTS</v>
          </cell>
          <cell r="D620">
            <v>14</v>
          </cell>
          <cell r="I620" t="str">
            <v>A88</v>
          </cell>
          <cell r="J620" t="str">
            <v>C27</v>
          </cell>
          <cell r="L620" t="str">
            <v>V17</v>
          </cell>
          <cell r="N620">
            <v>0</v>
          </cell>
          <cell r="O620">
            <v>-1</v>
          </cell>
          <cell r="P620">
            <v>-1</v>
          </cell>
          <cell r="Q620">
            <v>2004</v>
          </cell>
          <cell r="R620" t="str">
            <v>DEARBORN PLANT BUILD</v>
          </cell>
          <cell r="S620" t="str">
            <v>P221/P397</v>
          </cell>
          <cell r="T620" t="str">
            <v>Door Lock  INOP</v>
          </cell>
          <cell r="U620" t="str">
            <v>Pigtail connector, replaced.</v>
          </cell>
          <cell r="V620" t="str">
            <v>ALL</v>
          </cell>
          <cell r="W620">
            <v>2</v>
          </cell>
          <cell r="Z620">
            <v>2</v>
          </cell>
        </row>
        <row r="621">
          <cell r="A621">
            <v>0</v>
          </cell>
          <cell r="B621" t="str">
            <v>ALL VRTS</v>
          </cell>
          <cell r="D621">
            <v>14</v>
          </cell>
          <cell r="I621" t="str">
            <v>A88</v>
          </cell>
          <cell r="L621" t="str">
            <v>V17</v>
          </cell>
          <cell r="N621">
            <v>0</v>
          </cell>
          <cell r="O621">
            <v>0</v>
          </cell>
          <cell r="P621">
            <v>-1</v>
          </cell>
          <cell r="Q621">
            <v>2004</v>
          </cell>
          <cell r="R621" t="str">
            <v>DEARBORN PLANT BUILD</v>
          </cell>
          <cell r="S621" t="str">
            <v>P221/P397</v>
          </cell>
          <cell r="T621" t="str">
            <v>Door Lock  INOP</v>
          </cell>
          <cell r="U621" t="str">
            <v>No Connect at Module</v>
          </cell>
          <cell r="V621" t="str">
            <v>ALL</v>
          </cell>
          <cell r="W621">
            <v>1</v>
          </cell>
          <cell r="Z621">
            <v>1</v>
          </cell>
        </row>
        <row r="622">
          <cell r="A622">
            <v>0</v>
          </cell>
          <cell r="B622" t="str">
            <v>ALL VRTS</v>
          </cell>
          <cell r="D622">
            <v>14</v>
          </cell>
          <cell r="I622" t="str">
            <v>A85</v>
          </cell>
          <cell r="L622" t="str">
            <v>V17</v>
          </cell>
          <cell r="N622">
            <v>0</v>
          </cell>
          <cell r="O622">
            <v>0</v>
          </cell>
          <cell r="P622">
            <v>-1</v>
          </cell>
          <cell r="Q622">
            <v>2004</v>
          </cell>
          <cell r="R622" t="str">
            <v>DEARBORN PLANT BUILD</v>
          </cell>
          <cell r="S622" t="str">
            <v>P221/P397</v>
          </cell>
          <cell r="T622" t="str">
            <v>Door Lock  INOP</v>
          </cell>
          <cell r="U622" t="str">
            <v>NPF.</v>
          </cell>
          <cell r="V622" t="str">
            <v>ALL</v>
          </cell>
          <cell r="W622">
            <v>1</v>
          </cell>
          <cell r="AB622">
            <v>1</v>
          </cell>
        </row>
        <row r="623">
          <cell r="A623">
            <v>0</v>
          </cell>
          <cell r="B623" t="str">
            <v>ALL VRTS</v>
          </cell>
          <cell r="D623">
            <v>14</v>
          </cell>
          <cell r="I623" t="str">
            <v>A88</v>
          </cell>
          <cell r="L623" t="str">
            <v>V17</v>
          </cell>
          <cell r="N623">
            <v>0</v>
          </cell>
          <cell r="O623">
            <v>0</v>
          </cell>
          <cell r="P623">
            <v>-1</v>
          </cell>
          <cell r="Q623">
            <v>2004</v>
          </cell>
          <cell r="R623" t="str">
            <v>DEARBORN PLANT BUILD</v>
          </cell>
          <cell r="S623" t="str">
            <v>P221/P397</v>
          </cell>
          <cell r="T623" t="str">
            <v>Door Lock  INOP</v>
          </cell>
          <cell r="U623" t="str">
            <v>Open Circuit at security Module at conn. 804</v>
          </cell>
          <cell r="V623" t="str">
            <v>ALL</v>
          </cell>
          <cell r="W623">
            <v>1</v>
          </cell>
          <cell r="Z623">
            <v>1</v>
          </cell>
        </row>
        <row r="624">
          <cell r="A624">
            <v>0</v>
          </cell>
          <cell r="B624" t="str">
            <v>ALL VRTS</v>
          </cell>
          <cell r="D624">
            <v>14</v>
          </cell>
          <cell r="I624" t="str">
            <v>A88</v>
          </cell>
          <cell r="L624" t="str">
            <v>V17</v>
          </cell>
          <cell r="N624">
            <v>0</v>
          </cell>
          <cell r="O624">
            <v>0</v>
          </cell>
          <cell r="P624">
            <v>-1</v>
          </cell>
          <cell r="Q624">
            <v>2004</v>
          </cell>
          <cell r="R624" t="str">
            <v>DEARBORN PLANT BUILD</v>
          </cell>
          <cell r="S624" t="str">
            <v>P221/P397</v>
          </cell>
          <cell r="T624" t="str">
            <v>Door Lock  INOP</v>
          </cell>
          <cell r="U624" t="str">
            <v>Open Circult 120, Fuse replaced.</v>
          </cell>
          <cell r="V624" t="str">
            <v>ALL</v>
          </cell>
          <cell r="W624">
            <v>1</v>
          </cell>
          <cell r="Z624">
            <v>1</v>
          </cell>
        </row>
        <row r="625">
          <cell r="A625">
            <v>0</v>
          </cell>
          <cell r="B625" t="str">
            <v>ALL VRTS</v>
          </cell>
          <cell r="D625">
            <v>14</v>
          </cell>
          <cell r="I625" t="str">
            <v>A85</v>
          </cell>
          <cell r="L625" t="str">
            <v>V17</v>
          </cell>
          <cell r="N625">
            <v>0</v>
          </cell>
          <cell r="O625">
            <v>0</v>
          </cell>
          <cell r="P625">
            <v>-1</v>
          </cell>
          <cell r="Q625">
            <v>2004</v>
          </cell>
          <cell r="R625" t="str">
            <v>DEARBORN PLANT BUILD</v>
          </cell>
          <cell r="S625" t="str">
            <v>P221/P397</v>
          </cell>
          <cell r="T625" t="str">
            <v>Door Lock  INOP</v>
          </cell>
          <cell r="U625" t="str">
            <v>Program both keys to remotes.</v>
          </cell>
          <cell r="V625" t="str">
            <v>ALL</v>
          </cell>
          <cell r="W625">
            <v>1</v>
          </cell>
          <cell r="Y625">
            <v>1</v>
          </cell>
        </row>
        <row r="626">
          <cell r="A626">
            <v>0</v>
          </cell>
          <cell r="B626" t="str">
            <v>ALL VRTS</v>
          </cell>
          <cell r="D626">
            <v>14</v>
          </cell>
          <cell r="I626" t="str">
            <v>A88</v>
          </cell>
          <cell r="L626" t="str">
            <v>V17</v>
          </cell>
          <cell r="N626">
            <v>0</v>
          </cell>
          <cell r="O626">
            <v>-1</v>
          </cell>
          <cell r="P626">
            <v>0</v>
          </cell>
          <cell r="Q626">
            <v>2004</v>
          </cell>
          <cell r="R626" t="str">
            <v>DEARBORN PLANT BUILD</v>
          </cell>
          <cell r="S626" t="str">
            <v>P221/P397</v>
          </cell>
          <cell r="T626" t="str">
            <v>Door Lock  INOP</v>
          </cell>
          <cell r="U626" t="str">
            <v>Replace Body Control Module.</v>
          </cell>
          <cell r="V626" t="str">
            <v>ALL</v>
          </cell>
          <cell r="W626">
            <v>1</v>
          </cell>
          <cell r="AA626">
            <v>1</v>
          </cell>
        </row>
        <row r="627">
          <cell r="A627">
            <v>0</v>
          </cell>
          <cell r="B627" t="str">
            <v>ALL VRTS</v>
          </cell>
          <cell r="D627">
            <v>14</v>
          </cell>
          <cell r="I627" t="str">
            <v>A85</v>
          </cell>
          <cell r="L627" t="str">
            <v>V17</v>
          </cell>
          <cell r="N627">
            <v>0</v>
          </cell>
          <cell r="O627">
            <v>0</v>
          </cell>
          <cell r="P627">
            <v>-1</v>
          </cell>
          <cell r="Q627">
            <v>2004</v>
          </cell>
          <cell r="R627" t="str">
            <v>DEARBORN PLANT BUILD</v>
          </cell>
          <cell r="S627" t="str">
            <v>P221/P397</v>
          </cell>
          <cell r="T627" t="str">
            <v>Door Lock  INOP</v>
          </cell>
          <cell r="U627" t="str">
            <v>Re-program Keyless entry.</v>
          </cell>
          <cell r="V627" t="str">
            <v>ALL</v>
          </cell>
          <cell r="W627">
            <v>1</v>
          </cell>
          <cell r="Z627">
            <v>1</v>
          </cell>
        </row>
        <row r="628">
          <cell r="A628">
            <v>0</v>
          </cell>
          <cell r="B628" t="str">
            <v>ALL VRTS</v>
          </cell>
          <cell r="D628">
            <v>14</v>
          </cell>
          <cell r="I628" t="str">
            <v>L29</v>
          </cell>
          <cell r="L628" t="str">
            <v>V17</v>
          </cell>
          <cell r="N628">
            <v>0</v>
          </cell>
          <cell r="O628">
            <v>-1</v>
          </cell>
          <cell r="P628">
            <v>0</v>
          </cell>
          <cell r="Q628">
            <v>2004</v>
          </cell>
          <cell r="R628" t="str">
            <v>DEARBORN PLANT BUILD</v>
          </cell>
          <cell r="S628" t="str">
            <v>P221/P397</v>
          </cell>
          <cell r="T628" t="str">
            <v>Door Lock  INOP</v>
          </cell>
          <cell r="U628" t="str">
            <v>Switch , replaced.</v>
          </cell>
          <cell r="V628" t="str">
            <v>ALL</v>
          </cell>
          <cell r="W628">
            <v>1</v>
          </cell>
          <cell r="AA628">
            <v>1</v>
          </cell>
        </row>
        <row r="629">
          <cell r="A629">
            <v>0</v>
          </cell>
          <cell r="B629" t="str">
            <v>ALL VRTS</v>
          </cell>
          <cell r="D629">
            <v>14</v>
          </cell>
          <cell r="I629" t="str">
            <v>A88</v>
          </cell>
          <cell r="L629" t="str">
            <v>V17</v>
          </cell>
          <cell r="N629">
            <v>0</v>
          </cell>
          <cell r="O629">
            <v>0</v>
          </cell>
          <cell r="P629">
            <v>-1</v>
          </cell>
          <cell r="Q629">
            <v>2004</v>
          </cell>
          <cell r="R629" t="str">
            <v>DEARBORN PLANT BUILD</v>
          </cell>
          <cell r="S629" t="str">
            <v>P221/P397</v>
          </cell>
          <cell r="T629" t="str">
            <v>Door Lock  INOP</v>
          </cell>
          <cell r="U629" t="str">
            <v>Wires Trapped under Seat</v>
          </cell>
          <cell r="V629" t="str">
            <v>ALL</v>
          </cell>
          <cell r="W629">
            <v>1</v>
          </cell>
          <cell r="AD629">
            <v>1</v>
          </cell>
        </row>
        <row r="630">
          <cell r="A630">
            <v>0</v>
          </cell>
          <cell r="B630" t="str">
            <v>ALL VRTS</v>
          </cell>
          <cell r="D630">
            <v>13</v>
          </cell>
          <cell r="I630" t="str">
            <v>A34</v>
          </cell>
          <cell r="L630" t="str">
            <v>V83</v>
          </cell>
          <cell r="N630">
            <v>0</v>
          </cell>
          <cell r="O630">
            <v>-1</v>
          </cell>
          <cell r="P630">
            <v>-1</v>
          </cell>
          <cell r="Q630">
            <v>2004</v>
          </cell>
          <cell r="R630" t="str">
            <v>DEARBORN PLANT BUILD</v>
          </cell>
          <cell r="S630" t="str">
            <v>P221/P397</v>
          </cell>
          <cell r="T630" t="str">
            <v>Horn INOP.</v>
          </cell>
          <cell r="U630" t="str">
            <v>Connector Lse. and fuse replaced.</v>
          </cell>
          <cell r="V630" t="str">
            <v>ALL</v>
          </cell>
          <cell r="W630">
            <v>2</v>
          </cell>
          <cell r="Z630">
            <v>1</v>
          </cell>
          <cell r="AB630">
            <v>1</v>
          </cell>
        </row>
        <row r="631">
          <cell r="A631">
            <v>0</v>
          </cell>
          <cell r="B631" t="str">
            <v>ALL VRTS</v>
          </cell>
          <cell r="D631">
            <v>13</v>
          </cell>
          <cell r="I631" t="str">
            <v>A34</v>
          </cell>
          <cell r="L631" t="str">
            <v>V83</v>
          </cell>
          <cell r="N631">
            <v>0</v>
          </cell>
          <cell r="O631">
            <v>0</v>
          </cell>
          <cell r="P631">
            <v>-1</v>
          </cell>
          <cell r="Q631">
            <v>2004</v>
          </cell>
          <cell r="R631" t="str">
            <v>DEARBORN PLANT BUILD</v>
          </cell>
          <cell r="S631" t="str">
            <v>P221/P397</v>
          </cell>
          <cell r="T631" t="str">
            <v>Horn INOP.</v>
          </cell>
          <cell r="U631" t="str">
            <v>Loose Connector</v>
          </cell>
          <cell r="V631" t="str">
            <v>ALL</v>
          </cell>
          <cell r="W631">
            <v>2</v>
          </cell>
          <cell r="AD631">
            <v>2</v>
          </cell>
        </row>
        <row r="632">
          <cell r="A632">
            <v>0</v>
          </cell>
          <cell r="B632" t="str">
            <v>ALL VRTS</v>
          </cell>
          <cell r="D632">
            <v>13</v>
          </cell>
          <cell r="I632" t="str">
            <v>A34</v>
          </cell>
          <cell r="L632" t="str">
            <v>V83</v>
          </cell>
          <cell r="N632">
            <v>0</v>
          </cell>
          <cell r="O632">
            <v>-1</v>
          </cell>
          <cell r="P632">
            <v>-1</v>
          </cell>
          <cell r="Q632">
            <v>2004</v>
          </cell>
          <cell r="R632" t="str">
            <v>DEARBORN PLANT BUILD</v>
          </cell>
          <cell r="S632" t="str">
            <v>P221/P397</v>
          </cell>
          <cell r="T632" t="str">
            <v>Horn INOP.</v>
          </cell>
          <cell r="U632" t="str">
            <v>Replaced PDJB.</v>
          </cell>
          <cell r="V632" t="str">
            <v>ALL</v>
          </cell>
          <cell r="W632">
            <v>2</v>
          </cell>
          <cell r="AD632">
            <v>1</v>
          </cell>
          <cell r="AE632">
            <v>1</v>
          </cell>
        </row>
        <row r="633">
          <cell r="A633">
            <v>0</v>
          </cell>
          <cell r="B633" t="str">
            <v>ALL VRTS</v>
          </cell>
          <cell r="D633">
            <v>13</v>
          </cell>
          <cell r="I633" t="str">
            <v>A34</v>
          </cell>
          <cell r="L633" t="str">
            <v>V83</v>
          </cell>
          <cell r="N633">
            <v>0</v>
          </cell>
          <cell r="O633">
            <v>-1</v>
          </cell>
          <cell r="P633">
            <v>0</v>
          </cell>
          <cell r="Q633">
            <v>2004</v>
          </cell>
          <cell r="R633" t="str">
            <v>DEARBORN PLANT BUILD</v>
          </cell>
          <cell r="S633" t="str">
            <v>P221/P397</v>
          </cell>
          <cell r="T633" t="str">
            <v>Horn INOP.</v>
          </cell>
          <cell r="U633" t="str">
            <v>Replaced RKE module</v>
          </cell>
          <cell r="V633" t="str">
            <v>ALL</v>
          </cell>
          <cell r="W633">
            <v>2</v>
          </cell>
          <cell r="AE633">
            <v>2</v>
          </cell>
        </row>
        <row r="634">
          <cell r="A634">
            <v>0</v>
          </cell>
          <cell r="B634" t="str">
            <v>ALL VRTS</v>
          </cell>
          <cell r="D634">
            <v>13</v>
          </cell>
          <cell r="I634" t="str">
            <v>A34</v>
          </cell>
          <cell r="L634" t="str">
            <v>V83</v>
          </cell>
          <cell r="N634">
            <v>-1</v>
          </cell>
          <cell r="O634">
            <v>-1</v>
          </cell>
          <cell r="P634">
            <v>0</v>
          </cell>
          <cell r="Q634">
            <v>2004</v>
          </cell>
          <cell r="R634" t="str">
            <v>DEARBORN PLANT BUILD</v>
          </cell>
          <cell r="S634" t="str">
            <v>P221/P397</v>
          </cell>
          <cell r="T634" t="str">
            <v>Horn INOP.</v>
          </cell>
          <cell r="U634" t="str">
            <v>Replaced, Horn.</v>
          </cell>
          <cell r="V634" t="str">
            <v>ALL</v>
          </cell>
          <cell r="W634">
            <v>2</v>
          </cell>
          <cell r="Y634">
            <v>1</v>
          </cell>
          <cell r="AE634">
            <v>1</v>
          </cell>
        </row>
        <row r="635">
          <cell r="A635">
            <v>0</v>
          </cell>
          <cell r="B635" t="str">
            <v>ALL VRTS</v>
          </cell>
          <cell r="D635">
            <v>13</v>
          </cell>
          <cell r="I635" t="str">
            <v>A34</v>
          </cell>
          <cell r="L635" t="str">
            <v>V83</v>
          </cell>
          <cell r="N635">
            <v>0</v>
          </cell>
          <cell r="O635">
            <v>-1</v>
          </cell>
          <cell r="P635">
            <v>0</v>
          </cell>
          <cell r="Q635">
            <v>2004</v>
          </cell>
          <cell r="R635" t="str">
            <v>DEARBORN PLANT BUILD</v>
          </cell>
          <cell r="S635" t="str">
            <v>P221/P397</v>
          </cell>
          <cell r="T635" t="str">
            <v>Horn INOP.</v>
          </cell>
          <cell r="U635" t="str">
            <v>Replace Clock Spring</v>
          </cell>
          <cell r="V635" t="str">
            <v>ALL</v>
          </cell>
          <cell r="W635">
            <v>1</v>
          </cell>
          <cell r="AD635">
            <v>1</v>
          </cell>
        </row>
        <row r="636">
          <cell r="A636">
            <v>0</v>
          </cell>
          <cell r="B636" t="str">
            <v>ALL VRTS</v>
          </cell>
          <cell r="D636">
            <v>13</v>
          </cell>
          <cell r="I636" t="str">
            <v>A34</v>
          </cell>
          <cell r="L636" t="str">
            <v>V83</v>
          </cell>
          <cell r="N636">
            <v>-1</v>
          </cell>
          <cell r="O636">
            <v>0</v>
          </cell>
          <cell r="P636">
            <v>-1</v>
          </cell>
          <cell r="Q636">
            <v>2004</v>
          </cell>
          <cell r="R636" t="str">
            <v>DEARBORN PLANT BUILD</v>
          </cell>
          <cell r="S636" t="str">
            <v>P221/P397</v>
          </cell>
          <cell r="T636" t="str">
            <v>Horn INOP.</v>
          </cell>
          <cell r="U636" t="str">
            <v>Wire trapped at battery tray</v>
          </cell>
          <cell r="V636" t="str">
            <v>ALL</v>
          </cell>
          <cell r="W636">
            <v>1</v>
          </cell>
          <cell r="AD636">
            <v>1</v>
          </cell>
        </row>
        <row r="637">
          <cell r="A637">
            <v>0</v>
          </cell>
          <cell r="B637" t="str">
            <v>ALL VRTS</v>
          </cell>
          <cell r="D637">
            <v>13</v>
          </cell>
          <cell r="I637" t="str">
            <v>A34</v>
          </cell>
          <cell r="L637" t="str">
            <v>V83</v>
          </cell>
          <cell r="N637">
            <v>0</v>
          </cell>
          <cell r="O637">
            <v>0</v>
          </cell>
          <cell r="P637">
            <v>-1</v>
          </cell>
          <cell r="Q637">
            <v>2004</v>
          </cell>
          <cell r="R637" t="str">
            <v>DEARBORN PLANT BUILD</v>
          </cell>
          <cell r="S637" t="str">
            <v>P221/P397</v>
          </cell>
          <cell r="T637" t="str">
            <v>Horn INOP.</v>
          </cell>
          <cell r="U637" t="str">
            <v>Wire trapped behind Air Bag Ass.</v>
          </cell>
          <cell r="V637" t="str">
            <v>ALL</v>
          </cell>
          <cell r="W637">
            <v>1</v>
          </cell>
          <cell r="AD637">
            <v>1</v>
          </cell>
        </row>
        <row r="638">
          <cell r="A638">
            <v>0</v>
          </cell>
          <cell r="B638" t="str">
            <v>ALL VRTS</v>
          </cell>
          <cell r="D638">
            <v>13</v>
          </cell>
          <cell r="E638" t="str">
            <v>34602C</v>
          </cell>
          <cell r="G638" t="str">
            <v>Final Fitters</v>
          </cell>
          <cell r="I638" t="str">
            <v>B02</v>
          </cell>
          <cell r="J638" t="str">
            <v>B15</v>
          </cell>
          <cell r="L638" t="str">
            <v>V31</v>
          </cell>
          <cell r="N638">
            <v>0</v>
          </cell>
          <cell r="O638">
            <v>0</v>
          </cell>
          <cell r="P638">
            <v>-1</v>
          </cell>
          <cell r="Q638">
            <v>2004</v>
          </cell>
          <cell r="R638" t="str">
            <v>DEARBORN PLANT BUILD</v>
          </cell>
          <cell r="S638" t="str">
            <v>P221/P397</v>
          </cell>
          <cell r="T638" t="str">
            <v>SC Door - Fit - Effort- LH Front</v>
          </cell>
          <cell r="U638" t="str">
            <v>Misaligned</v>
          </cell>
          <cell r="V638" t="str">
            <v>ALL</v>
          </cell>
          <cell r="W638">
            <v>11</v>
          </cell>
          <cell r="Z638">
            <v>2</v>
          </cell>
          <cell r="AD638">
            <v>8</v>
          </cell>
          <cell r="AE638">
            <v>1</v>
          </cell>
        </row>
        <row r="639">
          <cell r="A639">
            <v>0</v>
          </cell>
          <cell r="B639" t="str">
            <v>ALL VRTS</v>
          </cell>
          <cell r="D639">
            <v>13</v>
          </cell>
          <cell r="E639" t="str">
            <v>34602C</v>
          </cell>
          <cell r="G639" t="str">
            <v>Final Fitters</v>
          </cell>
          <cell r="I639" t="str">
            <v>B15</v>
          </cell>
          <cell r="J639" t="str">
            <v>B19</v>
          </cell>
          <cell r="L639" t="str">
            <v>V31</v>
          </cell>
          <cell r="N639">
            <v>0</v>
          </cell>
          <cell r="O639">
            <v>0</v>
          </cell>
          <cell r="P639">
            <v>-1</v>
          </cell>
          <cell r="Q639">
            <v>2004</v>
          </cell>
          <cell r="R639" t="str">
            <v>DEARBORN PLANT BUILD</v>
          </cell>
          <cell r="S639" t="str">
            <v>P221/P397</v>
          </cell>
          <cell r="T639" t="str">
            <v>SC Door - Fit - Effort- LH Front</v>
          </cell>
          <cell r="U639" t="str">
            <v xml:space="preserve"> Striker adjust</v>
          </cell>
          <cell r="V639" t="str">
            <v>ALL</v>
          </cell>
          <cell r="W639">
            <v>2</v>
          </cell>
          <cell r="AD639">
            <v>2</v>
          </cell>
        </row>
        <row r="640">
          <cell r="A640">
            <v>0</v>
          </cell>
          <cell r="B640" t="str">
            <v>ALL VRTS</v>
          </cell>
          <cell r="D640">
            <v>13</v>
          </cell>
          <cell r="I640" t="str">
            <v>F06</v>
          </cell>
          <cell r="L640" t="str">
            <v>V33</v>
          </cell>
          <cell r="N640">
            <v>0</v>
          </cell>
          <cell r="O640">
            <v>0</v>
          </cell>
          <cell r="P640">
            <v>-1</v>
          </cell>
          <cell r="Q640">
            <v>2004</v>
          </cell>
          <cell r="R640" t="str">
            <v>DEARBORN PLANT BUILD</v>
          </cell>
          <cell r="S640" t="str">
            <v>P221/P397</v>
          </cell>
          <cell r="T640" t="str">
            <v>Scratch</v>
          </cell>
          <cell r="U640" t="str">
            <v>R/S Fender</v>
          </cell>
          <cell r="V640" t="str">
            <v>ALL</v>
          </cell>
          <cell r="W640">
            <v>2</v>
          </cell>
          <cell r="AC640">
            <v>1</v>
          </cell>
          <cell r="AD640">
            <v>1</v>
          </cell>
        </row>
        <row r="641">
          <cell r="A641">
            <v>0</v>
          </cell>
          <cell r="B641" t="str">
            <v>ALL VRTS</v>
          </cell>
          <cell r="D641">
            <v>13</v>
          </cell>
          <cell r="I641" t="str">
            <v>F06</v>
          </cell>
          <cell r="J641" t="str">
            <v>F19</v>
          </cell>
          <cell r="L641" t="str">
            <v>V33</v>
          </cell>
          <cell r="N641">
            <v>0</v>
          </cell>
          <cell r="O641">
            <v>0</v>
          </cell>
          <cell r="P641">
            <v>-1</v>
          </cell>
          <cell r="Q641">
            <v>2004</v>
          </cell>
          <cell r="R641" t="str">
            <v>DEARBORN PLANT BUILD</v>
          </cell>
          <cell r="S641" t="str">
            <v>P221/P397</v>
          </cell>
          <cell r="T641" t="str">
            <v>Scratch</v>
          </cell>
          <cell r="U641" t="str">
            <v>R/S Front Door</v>
          </cell>
          <cell r="V641" t="str">
            <v>ALL</v>
          </cell>
          <cell r="W641">
            <v>2</v>
          </cell>
          <cell r="AC641">
            <v>1</v>
          </cell>
          <cell r="AD641">
            <v>1</v>
          </cell>
        </row>
        <row r="642">
          <cell r="A642">
            <v>0</v>
          </cell>
          <cell r="B642" t="str">
            <v>ALL VRTS</v>
          </cell>
          <cell r="D642">
            <v>13</v>
          </cell>
          <cell r="I642" t="str">
            <v>F04</v>
          </cell>
          <cell r="L642" t="str">
            <v>V33</v>
          </cell>
          <cell r="N642">
            <v>0</v>
          </cell>
          <cell r="O642">
            <v>0</v>
          </cell>
          <cell r="P642">
            <v>-1</v>
          </cell>
          <cell r="Q642">
            <v>2004</v>
          </cell>
          <cell r="R642" t="str">
            <v>DEARBORN PLANT BUILD</v>
          </cell>
          <cell r="S642" t="str">
            <v>P221/P397</v>
          </cell>
          <cell r="T642" t="str">
            <v>Scratch</v>
          </cell>
          <cell r="U642" t="str">
            <v>Roof</v>
          </cell>
          <cell r="V642" t="str">
            <v>ALL</v>
          </cell>
          <cell r="W642">
            <v>2</v>
          </cell>
          <cell r="AD642">
            <v>1</v>
          </cell>
          <cell r="AE642">
            <v>1</v>
          </cell>
        </row>
        <row r="643">
          <cell r="A643">
            <v>0</v>
          </cell>
          <cell r="B643" t="str">
            <v>ALL VRTS</v>
          </cell>
          <cell r="D643">
            <v>13</v>
          </cell>
          <cell r="I643" t="str">
            <v>F19</v>
          </cell>
          <cell r="L643" t="str">
            <v>V33</v>
          </cell>
          <cell r="N643">
            <v>0</v>
          </cell>
          <cell r="O643">
            <v>0</v>
          </cell>
          <cell r="P643">
            <v>-1</v>
          </cell>
          <cell r="Q643">
            <v>2004</v>
          </cell>
          <cell r="R643" t="str">
            <v>DEARBORN PLANT BUILD</v>
          </cell>
          <cell r="S643" t="str">
            <v>P221/P397</v>
          </cell>
          <cell r="T643" t="str">
            <v>Scratch</v>
          </cell>
          <cell r="U643" t="str">
            <v>L/S C-Pillar</v>
          </cell>
          <cell r="V643" t="str">
            <v>ALL</v>
          </cell>
          <cell r="W643">
            <v>1</v>
          </cell>
          <cell r="AB643">
            <v>1</v>
          </cell>
        </row>
        <row r="644">
          <cell r="A644">
            <v>0</v>
          </cell>
          <cell r="B644" t="str">
            <v>ALL VRTS</v>
          </cell>
          <cell r="D644">
            <v>13</v>
          </cell>
          <cell r="I644" t="str">
            <v>F19</v>
          </cell>
          <cell r="L644" t="str">
            <v>V33</v>
          </cell>
          <cell r="N644">
            <v>0</v>
          </cell>
          <cell r="O644">
            <v>0</v>
          </cell>
          <cell r="P644">
            <v>-1</v>
          </cell>
          <cell r="Q644">
            <v>2004</v>
          </cell>
          <cell r="R644" t="str">
            <v>DEARBORN PLANT BUILD</v>
          </cell>
          <cell r="S644" t="str">
            <v>P221/P397</v>
          </cell>
          <cell r="T644" t="str">
            <v>Scratch</v>
          </cell>
          <cell r="U644" t="str">
            <v>L/S Door</v>
          </cell>
          <cell r="V644" t="str">
            <v>ALL</v>
          </cell>
          <cell r="W644">
            <v>1</v>
          </cell>
          <cell r="AC644">
            <v>1</v>
          </cell>
        </row>
        <row r="645">
          <cell r="A645">
            <v>0</v>
          </cell>
          <cell r="B645" t="str">
            <v>ALL VRTS</v>
          </cell>
          <cell r="D645">
            <v>13</v>
          </cell>
          <cell r="I645" t="str">
            <v>F12</v>
          </cell>
          <cell r="L645" t="str">
            <v>V33</v>
          </cell>
          <cell r="N645">
            <v>0</v>
          </cell>
          <cell r="O645">
            <v>0</v>
          </cell>
          <cell r="P645">
            <v>-1</v>
          </cell>
          <cell r="Q645">
            <v>2004</v>
          </cell>
          <cell r="R645" t="str">
            <v>DEARBORN PLANT BUILD</v>
          </cell>
          <cell r="S645" t="str">
            <v>P221/P397</v>
          </cell>
          <cell r="T645" t="str">
            <v>Scratch</v>
          </cell>
          <cell r="U645" t="str">
            <v>L/S Front Fender</v>
          </cell>
          <cell r="V645" t="str">
            <v>ALL</v>
          </cell>
          <cell r="W645">
            <v>1</v>
          </cell>
          <cell r="AE645">
            <v>1</v>
          </cell>
        </row>
        <row r="646">
          <cell r="A646">
            <v>0</v>
          </cell>
          <cell r="B646" t="str">
            <v>ALL VRTS</v>
          </cell>
          <cell r="D646">
            <v>13</v>
          </cell>
          <cell r="I646" t="str">
            <v>F19</v>
          </cell>
          <cell r="L646" t="str">
            <v>V33</v>
          </cell>
          <cell r="N646">
            <v>0</v>
          </cell>
          <cell r="O646">
            <v>0</v>
          </cell>
          <cell r="P646">
            <v>-1</v>
          </cell>
          <cell r="Q646">
            <v>2004</v>
          </cell>
          <cell r="R646" t="str">
            <v>DEARBORN PLANT BUILD</v>
          </cell>
          <cell r="S646" t="str">
            <v>P221/P397</v>
          </cell>
          <cell r="T646" t="str">
            <v>Scratch</v>
          </cell>
          <cell r="U646" t="str">
            <v>Multi Panels</v>
          </cell>
          <cell r="V646" t="str">
            <v>ALL</v>
          </cell>
          <cell r="W646">
            <v>1</v>
          </cell>
          <cell r="AD646">
            <v>1</v>
          </cell>
        </row>
        <row r="647">
          <cell r="A647">
            <v>0</v>
          </cell>
          <cell r="B647" t="str">
            <v>ALL VRTS</v>
          </cell>
          <cell r="D647">
            <v>13</v>
          </cell>
          <cell r="I647" t="str">
            <v>F04</v>
          </cell>
          <cell r="L647" t="str">
            <v>V33</v>
          </cell>
          <cell r="N647">
            <v>0</v>
          </cell>
          <cell r="O647">
            <v>0</v>
          </cell>
          <cell r="P647">
            <v>-1</v>
          </cell>
          <cell r="Q647">
            <v>2004</v>
          </cell>
          <cell r="R647" t="str">
            <v>DEARBORN PLANT BUILD</v>
          </cell>
          <cell r="S647" t="str">
            <v>P221/P397</v>
          </cell>
          <cell r="T647" t="str">
            <v>Scratch</v>
          </cell>
          <cell r="U647" t="str">
            <v>R/S Door Bottom</v>
          </cell>
          <cell r="V647" t="str">
            <v>ALL</v>
          </cell>
          <cell r="W647">
            <v>1</v>
          </cell>
          <cell r="AD647">
            <v>1</v>
          </cell>
        </row>
        <row r="648">
          <cell r="A648">
            <v>0</v>
          </cell>
          <cell r="B648" t="str">
            <v>ALL VRTS</v>
          </cell>
          <cell r="D648">
            <v>13</v>
          </cell>
          <cell r="I648" t="str">
            <v>F19</v>
          </cell>
          <cell r="L648" t="str">
            <v>V33</v>
          </cell>
          <cell r="N648">
            <v>0</v>
          </cell>
          <cell r="O648">
            <v>0</v>
          </cell>
          <cell r="P648">
            <v>-1</v>
          </cell>
          <cell r="Q648">
            <v>2004</v>
          </cell>
          <cell r="R648" t="str">
            <v>DEARBORN PLANT BUILD</v>
          </cell>
          <cell r="S648" t="str">
            <v>P221/P397</v>
          </cell>
          <cell r="T648" t="str">
            <v>Scratch</v>
          </cell>
          <cell r="U648" t="str">
            <v>Rear Fascia</v>
          </cell>
          <cell r="V648" t="str">
            <v>ALL</v>
          </cell>
          <cell r="W648">
            <v>1</v>
          </cell>
          <cell r="AB648">
            <v>1</v>
          </cell>
        </row>
        <row r="649">
          <cell r="A649">
            <v>0</v>
          </cell>
          <cell r="B649" t="str">
            <v>ALL VRTS</v>
          </cell>
          <cell r="D649">
            <v>13</v>
          </cell>
          <cell r="I649" t="str">
            <v>F12</v>
          </cell>
          <cell r="L649" t="str">
            <v>V33</v>
          </cell>
          <cell r="N649">
            <v>0</v>
          </cell>
          <cell r="O649">
            <v>0</v>
          </cell>
          <cell r="P649">
            <v>-1</v>
          </cell>
          <cell r="Q649">
            <v>2004</v>
          </cell>
          <cell r="R649" t="str">
            <v>DEARBORN PLANT BUILD</v>
          </cell>
          <cell r="S649" t="str">
            <v>P221/P397</v>
          </cell>
          <cell r="T649" t="str">
            <v>Scratch</v>
          </cell>
          <cell r="U649" t="str">
            <v>Tailgate Handle</v>
          </cell>
          <cell r="V649" t="str">
            <v>ALL</v>
          </cell>
          <cell r="W649">
            <v>1</v>
          </cell>
          <cell r="AC649">
            <v>1</v>
          </cell>
        </row>
        <row r="650">
          <cell r="A650">
            <v>0</v>
          </cell>
          <cell r="B650" t="str">
            <v>ALL VRTS</v>
          </cell>
          <cell r="D650">
            <v>13</v>
          </cell>
          <cell r="I650" t="str">
            <v>F04</v>
          </cell>
          <cell r="L650" t="str">
            <v>V33</v>
          </cell>
          <cell r="N650">
            <v>0</v>
          </cell>
          <cell r="O650">
            <v>0</v>
          </cell>
          <cell r="P650">
            <v>-1</v>
          </cell>
          <cell r="Q650">
            <v>2004</v>
          </cell>
          <cell r="R650" t="str">
            <v>DEARBORN PLANT BUILD</v>
          </cell>
          <cell r="S650" t="str">
            <v>P221/P397</v>
          </cell>
          <cell r="T650" t="str">
            <v>Thin/No Paint</v>
          </cell>
          <cell r="U650" t="str">
            <v>Inside Tailgate</v>
          </cell>
          <cell r="V650" t="str">
            <v>ALL</v>
          </cell>
          <cell r="W650">
            <v>2</v>
          </cell>
          <cell r="AC650">
            <v>2</v>
          </cell>
        </row>
        <row r="651">
          <cell r="A651">
            <v>0</v>
          </cell>
          <cell r="B651" t="str">
            <v>ALL VRTS</v>
          </cell>
          <cell r="D651">
            <v>13</v>
          </cell>
          <cell r="I651" t="str">
            <v>F04</v>
          </cell>
          <cell r="L651" t="str">
            <v>V33</v>
          </cell>
          <cell r="N651">
            <v>0</v>
          </cell>
          <cell r="O651">
            <v>0</v>
          </cell>
          <cell r="P651">
            <v>-1</v>
          </cell>
          <cell r="Q651">
            <v>2004</v>
          </cell>
          <cell r="R651" t="str">
            <v>DEARBORN PLANT BUILD</v>
          </cell>
          <cell r="S651" t="str">
            <v>P221/P397</v>
          </cell>
          <cell r="T651" t="str">
            <v>Thin/No Paint</v>
          </cell>
          <cell r="U651" t="str">
            <v>Rear Tailgate</v>
          </cell>
          <cell r="V651" t="str">
            <v>ALL</v>
          </cell>
          <cell r="W651">
            <v>2</v>
          </cell>
          <cell r="AB651">
            <v>1</v>
          </cell>
          <cell r="AD651">
            <v>1</v>
          </cell>
        </row>
        <row r="652">
          <cell r="A652">
            <v>0</v>
          </cell>
          <cell r="B652" t="str">
            <v>ALL VRTS</v>
          </cell>
          <cell r="D652">
            <v>13</v>
          </cell>
          <cell r="I652" t="str">
            <v>F04</v>
          </cell>
          <cell r="L652" t="str">
            <v>V33</v>
          </cell>
          <cell r="N652">
            <v>0</v>
          </cell>
          <cell r="O652">
            <v>0</v>
          </cell>
          <cell r="P652">
            <v>-1</v>
          </cell>
          <cell r="Q652">
            <v>2004</v>
          </cell>
          <cell r="R652" t="str">
            <v>DEARBORN PLANT BUILD</v>
          </cell>
          <cell r="S652" t="str">
            <v>P221/P397</v>
          </cell>
          <cell r="T652" t="str">
            <v>Thin/No Paint</v>
          </cell>
          <cell r="U652" t="str">
            <v>Entire Vehicle</v>
          </cell>
          <cell r="V652" t="str">
            <v>ALL</v>
          </cell>
          <cell r="W652">
            <v>1</v>
          </cell>
          <cell r="AB652">
            <v>1</v>
          </cell>
        </row>
        <row r="653">
          <cell r="A653">
            <v>0</v>
          </cell>
          <cell r="B653" t="str">
            <v>ALL VRTS</v>
          </cell>
          <cell r="D653">
            <v>13</v>
          </cell>
          <cell r="I653" t="str">
            <v>F04</v>
          </cell>
          <cell r="L653" t="str">
            <v>V33</v>
          </cell>
          <cell r="N653">
            <v>0</v>
          </cell>
          <cell r="O653">
            <v>0</v>
          </cell>
          <cell r="P653">
            <v>-1</v>
          </cell>
          <cell r="Q653">
            <v>2004</v>
          </cell>
          <cell r="R653" t="str">
            <v>DEARBORN PLANT BUILD</v>
          </cell>
          <cell r="S653" t="str">
            <v>P221/P397</v>
          </cell>
          <cell r="T653" t="str">
            <v>Thin/No Paint</v>
          </cell>
          <cell r="U653" t="str">
            <v>Inside Bed</v>
          </cell>
          <cell r="V653" t="str">
            <v>ALL</v>
          </cell>
          <cell r="W653">
            <v>1</v>
          </cell>
          <cell r="AE653">
            <v>1</v>
          </cell>
        </row>
        <row r="654">
          <cell r="A654">
            <v>0</v>
          </cell>
          <cell r="B654" t="str">
            <v>ALL VRTS</v>
          </cell>
          <cell r="D654">
            <v>13</v>
          </cell>
          <cell r="I654" t="str">
            <v>F04</v>
          </cell>
          <cell r="L654" t="str">
            <v>V33</v>
          </cell>
          <cell r="N654">
            <v>0</v>
          </cell>
          <cell r="O654">
            <v>0</v>
          </cell>
          <cell r="P654">
            <v>-1</v>
          </cell>
          <cell r="Q654">
            <v>2004</v>
          </cell>
          <cell r="R654" t="str">
            <v>DEARBORN PLANT BUILD</v>
          </cell>
          <cell r="S654" t="str">
            <v>P221/P397</v>
          </cell>
          <cell r="T654" t="str">
            <v>Thin/No Paint</v>
          </cell>
          <cell r="U654" t="str">
            <v>L/S C-Pillar</v>
          </cell>
          <cell r="V654" t="str">
            <v>ALL</v>
          </cell>
          <cell r="W654">
            <v>1</v>
          </cell>
          <cell r="AB654">
            <v>1</v>
          </cell>
        </row>
        <row r="655">
          <cell r="A655">
            <v>0</v>
          </cell>
          <cell r="B655" t="str">
            <v>ALL VRTS</v>
          </cell>
          <cell r="D655">
            <v>13</v>
          </cell>
          <cell r="I655" t="str">
            <v>F04</v>
          </cell>
          <cell r="L655" t="str">
            <v>V33</v>
          </cell>
          <cell r="N655">
            <v>0</v>
          </cell>
          <cell r="O655">
            <v>0</v>
          </cell>
          <cell r="P655">
            <v>-1</v>
          </cell>
          <cell r="Q655">
            <v>2004</v>
          </cell>
          <cell r="R655" t="str">
            <v>DEARBORN PLANT BUILD</v>
          </cell>
          <cell r="S655" t="str">
            <v>P221/P397</v>
          </cell>
          <cell r="T655" t="str">
            <v>Thin/No Paint</v>
          </cell>
          <cell r="U655" t="str">
            <v>L/S Door</v>
          </cell>
          <cell r="V655" t="str">
            <v>ALL</v>
          </cell>
          <cell r="W655">
            <v>1</v>
          </cell>
          <cell r="AC655">
            <v>1</v>
          </cell>
        </row>
        <row r="656">
          <cell r="A656">
            <v>0</v>
          </cell>
          <cell r="B656" t="str">
            <v>ALL VRTS</v>
          </cell>
          <cell r="D656">
            <v>13</v>
          </cell>
          <cell r="I656" t="str">
            <v>F04</v>
          </cell>
          <cell r="L656" t="str">
            <v>V33</v>
          </cell>
          <cell r="N656">
            <v>0</v>
          </cell>
          <cell r="O656">
            <v>0</v>
          </cell>
          <cell r="P656">
            <v>-1</v>
          </cell>
          <cell r="Q656">
            <v>2004</v>
          </cell>
          <cell r="R656" t="str">
            <v>DEARBORN PLANT BUILD</v>
          </cell>
          <cell r="S656" t="str">
            <v>P221/P397</v>
          </cell>
          <cell r="T656" t="str">
            <v>Thin/No Paint</v>
          </cell>
          <cell r="U656" t="str">
            <v>L/S Front Door Bottom</v>
          </cell>
          <cell r="V656" t="str">
            <v>ALL</v>
          </cell>
          <cell r="W656">
            <v>1</v>
          </cell>
          <cell r="AD656">
            <v>1</v>
          </cell>
        </row>
        <row r="657">
          <cell r="A657">
            <v>0</v>
          </cell>
          <cell r="B657" t="str">
            <v>ALL VRTS</v>
          </cell>
          <cell r="D657">
            <v>13</v>
          </cell>
          <cell r="I657" t="str">
            <v>F04</v>
          </cell>
          <cell r="L657" t="str">
            <v>V33</v>
          </cell>
          <cell r="N657">
            <v>0</v>
          </cell>
          <cell r="O657">
            <v>0</v>
          </cell>
          <cell r="P657">
            <v>-1</v>
          </cell>
          <cell r="Q657">
            <v>2004</v>
          </cell>
          <cell r="R657" t="str">
            <v>DEARBORN PLANT BUILD</v>
          </cell>
          <cell r="S657" t="str">
            <v>P221/P397</v>
          </cell>
          <cell r="T657" t="str">
            <v>Thin/No Paint</v>
          </cell>
          <cell r="U657" t="str">
            <v>L/S Front Door Jamb</v>
          </cell>
          <cell r="V657" t="str">
            <v>ALL</v>
          </cell>
          <cell r="W657">
            <v>1</v>
          </cell>
          <cell r="AE657">
            <v>1</v>
          </cell>
        </row>
        <row r="658">
          <cell r="A658">
            <v>0</v>
          </cell>
          <cell r="B658" t="str">
            <v>ALL VRTS</v>
          </cell>
          <cell r="D658">
            <v>13</v>
          </cell>
          <cell r="I658" t="str">
            <v>F04</v>
          </cell>
          <cell r="L658" t="str">
            <v>V33</v>
          </cell>
          <cell r="N658">
            <v>0</v>
          </cell>
          <cell r="O658">
            <v>0</v>
          </cell>
          <cell r="P658">
            <v>-1</v>
          </cell>
          <cell r="Q658">
            <v>2004</v>
          </cell>
          <cell r="R658" t="str">
            <v>DEARBORN PLANT BUILD</v>
          </cell>
          <cell r="S658" t="str">
            <v>P221/P397</v>
          </cell>
          <cell r="T658" t="str">
            <v>Thin/No Paint</v>
          </cell>
          <cell r="U658" t="str">
            <v>L/S Rear Door</v>
          </cell>
          <cell r="V658" t="str">
            <v>ALL</v>
          </cell>
          <cell r="W658">
            <v>1</v>
          </cell>
          <cell r="AD658">
            <v>1</v>
          </cell>
        </row>
        <row r="659">
          <cell r="A659">
            <v>0</v>
          </cell>
          <cell r="B659" t="str">
            <v>ALL VRTS</v>
          </cell>
          <cell r="D659">
            <v>13</v>
          </cell>
          <cell r="I659" t="str">
            <v>F04</v>
          </cell>
          <cell r="L659" t="str">
            <v>V33</v>
          </cell>
          <cell r="N659">
            <v>0</v>
          </cell>
          <cell r="O659">
            <v>0</v>
          </cell>
          <cell r="P659">
            <v>-1</v>
          </cell>
          <cell r="Q659">
            <v>2004</v>
          </cell>
          <cell r="R659" t="str">
            <v>DEARBORN PLANT BUILD</v>
          </cell>
          <cell r="S659" t="str">
            <v>P221/P397</v>
          </cell>
          <cell r="T659" t="str">
            <v>Thin/No Paint</v>
          </cell>
          <cell r="U659" t="str">
            <v>R/S Rear Door</v>
          </cell>
          <cell r="V659" t="str">
            <v>ALL</v>
          </cell>
          <cell r="W659">
            <v>1</v>
          </cell>
          <cell r="Z659">
            <v>1</v>
          </cell>
        </row>
        <row r="660">
          <cell r="A660">
            <v>0</v>
          </cell>
          <cell r="B660" t="str">
            <v>ALL VRTS</v>
          </cell>
          <cell r="D660">
            <v>13</v>
          </cell>
          <cell r="I660" t="str">
            <v>F04</v>
          </cell>
          <cell r="L660" t="str">
            <v>V33</v>
          </cell>
          <cell r="N660">
            <v>0</v>
          </cell>
          <cell r="O660">
            <v>0</v>
          </cell>
          <cell r="P660">
            <v>-1</v>
          </cell>
          <cell r="Q660">
            <v>2004</v>
          </cell>
          <cell r="R660" t="str">
            <v>DEARBORN PLANT BUILD</v>
          </cell>
          <cell r="S660" t="str">
            <v>P221/P397</v>
          </cell>
          <cell r="T660" t="str">
            <v>Thin/No Paint</v>
          </cell>
          <cell r="U660" t="str">
            <v>R/S Tailgate</v>
          </cell>
          <cell r="V660" t="str">
            <v>ALL</v>
          </cell>
          <cell r="W660">
            <v>1</v>
          </cell>
          <cell r="AC660">
            <v>1</v>
          </cell>
        </row>
        <row r="661">
          <cell r="A661">
            <v>0</v>
          </cell>
          <cell r="B661" t="str">
            <v>ALL VRTS</v>
          </cell>
          <cell r="D661">
            <v>12</v>
          </cell>
          <cell r="E661" t="str">
            <v>34602C</v>
          </cell>
          <cell r="G661" t="str">
            <v>Final Fitters</v>
          </cell>
          <cell r="I661" t="str">
            <v>B15</v>
          </cell>
          <cell r="J661" t="str">
            <v>B05</v>
          </cell>
          <cell r="L661" t="str">
            <v>V31</v>
          </cell>
          <cell r="N661">
            <v>0</v>
          </cell>
          <cell r="O661">
            <v>0</v>
          </cell>
          <cell r="P661">
            <v>-1</v>
          </cell>
          <cell r="Q661">
            <v>2004</v>
          </cell>
          <cell r="R661" t="str">
            <v>DEARBORN PLANT BUILD</v>
          </cell>
          <cell r="S661" t="str">
            <v>P221/P397</v>
          </cell>
          <cell r="T661" t="str">
            <v xml:space="preserve"> SC Door- Fit- Effort - RH Front</v>
          </cell>
          <cell r="U661" t="str">
            <v xml:space="preserve"> Striker adjust</v>
          </cell>
          <cell r="V661" t="str">
            <v>ALL</v>
          </cell>
          <cell r="W661">
            <v>7</v>
          </cell>
          <cell r="AA661">
            <v>1</v>
          </cell>
          <cell r="AC661">
            <v>2</v>
          </cell>
          <cell r="AD661">
            <v>4</v>
          </cell>
        </row>
        <row r="662">
          <cell r="A662">
            <v>0</v>
          </cell>
          <cell r="B662" t="str">
            <v>ALL VRTS</v>
          </cell>
          <cell r="D662">
            <v>12</v>
          </cell>
          <cell r="E662" t="str">
            <v>34602C</v>
          </cell>
          <cell r="G662" t="str">
            <v>Final Fitters</v>
          </cell>
          <cell r="I662" t="str">
            <v>B02</v>
          </cell>
          <cell r="J662" t="str">
            <v>B05</v>
          </cell>
          <cell r="K662" t="str">
            <v>B15</v>
          </cell>
          <cell r="L662" t="str">
            <v>V31</v>
          </cell>
          <cell r="N662">
            <v>0</v>
          </cell>
          <cell r="O662">
            <v>0</v>
          </cell>
          <cell r="P662">
            <v>-1</v>
          </cell>
          <cell r="Q662">
            <v>2004</v>
          </cell>
          <cell r="R662" t="str">
            <v>DEARBORN PLANT BUILD</v>
          </cell>
          <cell r="S662" t="str">
            <v>P221/P397</v>
          </cell>
          <cell r="T662" t="str">
            <v xml:space="preserve"> SC Door- Fit- Effort - RH Front</v>
          </cell>
          <cell r="U662" t="str">
            <v>Misaligned</v>
          </cell>
          <cell r="V662" t="str">
            <v>ALL</v>
          </cell>
          <cell r="W662">
            <v>4</v>
          </cell>
          <cell r="AB662">
            <v>1</v>
          </cell>
          <cell r="AD662">
            <v>2</v>
          </cell>
          <cell r="AE662">
            <v>1</v>
          </cell>
        </row>
        <row r="663">
          <cell r="A663">
            <v>0</v>
          </cell>
          <cell r="B663" t="str">
            <v>ALL VRTS</v>
          </cell>
          <cell r="D663">
            <v>12</v>
          </cell>
          <cell r="E663" t="str">
            <v>34502C</v>
          </cell>
          <cell r="G663" t="str">
            <v>Metal Finishers</v>
          </cell>
          <cell r="I663" t="str">
            <v>B15</v>
          </cell>
          <cell r="L663" t="str">
            <v>V31</v>
          </cell>
          <cell r="N663">
            <v>0</v>
          </cell>
          <cell r="O663">
            <v>0</v>
          </cell>
          <cell r="P663">
            <v>-1</v>
          </cell>
          <cell r="Q663">
            <v>2004</v>
          </cell>
          <cell r="R663" t="str">
            <v>DEARBORN PLANT BUILD</v>
          </cell>
          <cell r="S663" t="str">
            <v>P221/P397</v>
          </cell>
          <cell r="T663" t="str">
            <v xml:space="preserve"> SC Door- Fit- Effort - RH Front</v>
          </cell>
          <cell r="U663" t="str">
            <v xml:space="preserve"> Adjust and lube latch</v>
          </cell>
          <cell r="V663" t="str">
            <v>ALL</v>
          </cell>
          <cell r="W663">
            <v>1</v>
          </cell>
          <cell r="AE663">
            <v>1</v>
          </cell>
        </row>
        <row r="664">
          <cell r="A664">
            <v>0</v>
          </cell>
          <cell r="B664" t="str">
            <v>ALL VRTS</v>
          </cell>
          <cell r="D664">
            <v>12</v>
          </cell>
          <cell r="E664" t="str">
            <v>6570</v>
          </cell>
          <cell r="G664" t="str">
            <v>C7W09L</v>
          </cell>
          <cell r="I664" t="str">
            <v>P59</v>
          </cell>
          <cell r="L664" t="str">
            <v>V48</v>
          </cell>
          <cell r="N664">
            <v>0</v>
          </cell>
          <cell r="O664">
            <v>0</v>
          </cell>
          <cell r="P664">
            <v>-1</v>
          </cell>
          <cell r="Q664">
            <v>2004</v>
          </cell>
          <cell r="R664" t="str">
            <v>DEARBORN PLANT BUILD</v>
          </cell>
          <cell r="S664" t="str">
            <v>P221/P397</v>
          </cell>
          <cell r="T664" t="str">
            <v>INSUFFICIENT TRANSFLUID</v>
          </cell>
          <cell r="U664" t="str">
            <v xml:space="preserve"> improper fluid level</v>
          </cell>
          <cell r="V664" t="str">
            <v>ALL</v>
          </cell>
          <cell r="W664">
            <v>12</v>
          </cell>
          <cell r="Z664">
            <v>2</v>
          </cell>
          <cell r="AC664">
            <v>5</v>
          </cell>
          <cell r="AD664">
            <v>2</v>
          </cell>
          <cell r="AE664">
            <v>3</v>
          </cell>
        </row>
        <row r="665">
          <cell r="A665">
            <v>0</v>
          </cell>
          <cell r="B665" t="str">
            <v>ALL VRTS</v>
          </cell>
          <cell r="D665">
            <v>12</v>
          </cell>
          <cell r="I665" t="str">
            <v>R10</v>
          </cell>
          <cell r="J665" t="str">
            <v>R02</v>
          </cell>
          <cell r="L665" t="str">
            <v>V37</v>
          </cell>
          <cell r="N665">
            <v>0</v>
          </cell>
          <cell r="O665">
            <v>0</v>
          </cell>
          <cell r="P665">
            <v>0</v>
          </cell>
          <cell r="Q665">
            <v>2004</v>
          </cell>
          <cell r="R665" t="str">
            <v>DEARBORN PLANT BUILD</v>
          </cell>
          <cell r="S665" t="str">
            <v>P221/P397</v>
          </cell>
          <cell r="T665" t="str">
            <v>Other Water Leaks (Sealing Only)</v>
          </cell>
          <cell r="U665" t="str">
            <v>NVH area</v>
          </cell>
          <cell r="V665" t="str">
            <v>ALL</v>
          </cell>
          <cell r="W665">
            <v>7</v>
          </cell>
          <cell r="AB665">
            <v>1</v>
          </cell>
          <cell r="AD665">
            <v>3</v>
          </cell>
          <cell r="AE665">
            <v>3</v>
          </cell>
        </row>
        <row r="666">
          <cell r="A666">
            <v>0</v>
          </cell>
          <cell r="B666" t="str">
            <v>ALL VRTS</v>
          </cell>
          <cell r="D666">
            <v>12</v>
          </cell>
          <cell r="E666" t="str">
            <v>unsure</v>
          </cell>
          <cell r="G666" t="str">
            <v>Paint</v>
          </cell>
          <cell r="I666" t="str">
            <v>R10</v>
          </cell>
          <cell r="J666" t="str">
            <v>R01</v>
          </cell>
          <cell r="K666" t="str">
            <v>R02</v>
          </cell>
          <cell r="L666" t="str">
            <v>V37</v>
          </cell>
          <cell r="N666">
            <v>0</v>
          </cell>
          <cell r="O666">
            <v>0</v>
          </cell>
          <cell r="P666">
            <v>-1</v>
          </cell>
          <cell r="Q666">
            <v>2004</v>
          </cell>
          <cell r="R666" t="str">
            <v>DEARBORN PLANT BUILD</v>
          </cell>
          <cell r="S666" t="str">
            <v>P221/P397</v>
          </cell>
          <cell r="T666" t="str">
            <v>Other Water Leaks (Sealing Only)</v>
          </cell>
          <cell r="U666" t="str">
            <v>Dash Board / Cowl Sealer Skip</v>
          </cell>
          <cell r="V666" t="str">
            <v>ALL</v>
          </cell>
          <cell r="W666">
            <v>5</v>
          </cell>
          <cell r="AC666">
            <v>2</v>
          </cell>
          <cell r="AE666">
            <v>3</v>
          </cell>
        </row>
        <row r="667">
          <cell r="A667">
            <v>0</v>
          </cell>
          <cell r="B667" t="str">
            <v>ALL VRTS</v>
          </cell>
          <cell r="D667">
            <v>12</v>
          </cell>
          <cell r="I667" t="str">
            <v>M05</v>
          </cell>
          <cell r="L667" t="str">
            <v>V13</v>
          </cell>
          <cell r="N667">
            <v>0</v>
          </cell>
          <cell r="O667">
            <v>-1</v>
          </cell>
          <cell r="P667">
            <v>0</v>
          </cell>
          <cell r="Q667">
            <v>2004</v>
          </cell>
          <cell r="R667" t="str">
            <v>DEARBORN PLANT BUILD</v>
          </cell>
          <cell r="S667" t="str">
            <v>P221/P397</v>
          </cell>
          <cell r="T667" t="str">
            <v>POWER MIRROR  / INOP</v>
          </cell>
          <cell r="U667" t="str">
            <v>WONT ADJUST</v>
          </cell>
          <cell r="V667" t="str">
            <v>ALL</v>
          </cell>
          <cell r="W667">
            <v>7</v>
          </cell>
          <cell r="AB667">
            <v>1</v>
          </cell>
          <cell r="AD667">
            <v>3</v>
          </cell>
          <cell r="AE667">
            <v>3</v>
          </cell>
        </row>
        <row r="668">
          <cell r="A668">
            <v>0</v>
          </cell>
          <cell r="B668" t="str">
            <v>ALL VRTS</v>
          </cell>
          <cell r="D668">
            <v>12</v>
          </cell>
          <cell r="I668" t="str">
            <v>M05</v>
          </cell>
          <cell r="L668" t="str">
            <v>V13</v>
          </cell>
          <cell r="N668">
            <v>0</v>
          </cell>
          <cell r="O668">
            <v>-1</v>
          </cell>
          <cell r="P668">
            <v>0</v>
          </cell>
          <cell r="Q668">
            <v>2004</v>
          </cell>
          <cell r="R668" t="str">
            <v>DEARBORN PLANT BUILD</v>
          </cell>
          <cell r="S668" t="str">
            <v>P221/P397</v>
          </cell>
          <cell r="T668" t="str">
            <v>POWER MIRROR  / INOP</v>
          </cell>
          <cell r="U668" t="str">
            <v>MIRROR ASSY  REPLACED</v>
          </cell>
          <cell r="V668" t="str">
            <v>ALL</v>
          </cell>
          <cell r="W668">
            <v>2</v>
          </cell>
          <cell r="AD668">
            <v>1</v>
          </cell>
          <cell r="AE668">
            <v>1</v>
          </cell>
        </row>
        <row r="669">
          <cell r="A669">
            <v>0</v>
          </cell>
          <cell r="B669" t="str">
            <v>ALL VRTS</v>
          </cell>
          <cell r="D669">
            <v>12</v>
          </cell>
          <cell r="I669" t="str">
            <v>M05</v>
          </cell>
          <cell r="L669" t="str">
            <v>V13</v>
          </cell>
          <cell r="N669">
            <v>0</v>
          </cell>
          <cell r="O669">
            <v>-1</v>
          </cell>
          <cell r="P669">
            <v>0</v>
          </cell>
          <cell r="Q669">
            <v>2004</v>
          </cell>
          <cell r="R669" t="str">
            <v>DEARBORN PLANT BUILD</v>
          </cell>
          <cell r="S669" t="str">
            <v>P221/P397</v>
          </cell>
          <cell r="T669" t="str">
            <v>POWER MIRROR  / INOP</v>
          </cell>
          <cell r="U669" t="str">
            <v>Door Mirror replaced</v>
          </cell>
          <cell r="V669" t="str">
            <v>ALL</v>
          </cell>
          <cell r="W669">
            <v>1</v>
          </cell>
          <cell r="AD669">
            <v>1</v>
          </cell>
        </row>
        <row r="670">
          <cell r="A670">
            <v>0</v>
          </cell>
          <cell r="B670" t="str">
            <v>ALL VRTS</v>
          </cell>
          <cell r="D670">
            <v>12</v>
          </cell>
          <cell r="E670" t="str">
            <v xml:space="preserve"> door line 5360-2-A</v>
          </cell>
          <cell r="G670" t="str">
            <v>TDE37L</v>
          </cell>
          <cell r="I670" t="str">
            <v>M10</v>
          </cell>
          <cell r="L670" t="str">
            <v>V13</v>
          </cell>
          <cell r="N670">
            <v>0</v>
          </cell>
          <cell r="O670">
            <v>0</v>
          </cell>
          <cell r="P670">
            <v>-1</v>
          </cell>
          <cell r="Q670">
            <v>2004</v>
          </cell>
          <cell r="R670" t="str">
            <v>DEARBORN PLANT BUILD</v>
          </cell>
          <cell r="S670" t="str">
            <v>P221/P397</v>
          </cell>
          <cell r="T670" t="str">
            <v>POWER MIRROR  / INOP</v>
          </cell>
          <cell r="U670" t="str">
            <v>Loose Connection</v>
          </cell>
          <cell r="V670" t="str">
            <v>ALL</v>
          </cell>
          <cell r="W670">
            <v>1</v>
          </cell>
          <cell r="AD670">
            <v>1</v>
          </cell>
        </row>
        <row r="671">
          <cell r="A671">
            <v>0</v>
          </cell>
          <cell r="B671" t="str">
            <v>ALL VRTS</v>
          </cell>
          <cell r="D671">
            <v>12</v>
          </cell>
          <cell r="E671" t="str">
            <v xml:space="preserve"> door line 5360-2-A</v>
          </cell>
          <cell r="G671" t="str">
            <v>TDE37L</v>
          </cell>
          <cell r="I671" t="str">
            <v>M05</v>
          </cell>
          <cell r="L671" t="str">
            <v>V13</v>
          </cell>
          <cell r="N671">
            <v>0</v>
          </cell>
          <cell r="O671">
            <v>0</v>
          </cell>
          <cell r="P671">
            <v>-1</v>
          </cell>
          <cell r="Q671">
            <v>2004</v>
          </cell>
          <cell r="R671" t="str">
            <v>DEARBORN PLANT BUILD</v>
          </cell>
          <cell r="S671" t="str">
            <v>P221/P397</v>
          </cell>
          <cell r="T671" t="str">
            <v>POWER MIRROR  / INOP</v>
          </cell>
          <cell r="U671" t="str">
            <v>WONT ADJUST - BENT PINS IN CONNECTOR</v>
          </cell>
          <cell r="V671" t="str">
            <v>ALL</v>
          </cell>
          <cell r="W671">
            <v>1</v>
          </cell>
          <cell r="AD671">
            <v>1</v>
          </cell>
        </row>
        <row r="672">
          <cell r="A672">
            <v>0</v>
          </cell>
          <cell r="B672" t="str">
            <v>ALL VRTS</v>
          </cell>
          <cell r="D672">
            <v>12</v>
          </cell>
          <cell r="E672" t="str">
            <v>6500</v>
          </cell>
          <cell r="F672" t="str">
            <v>5530</v>
          </cell>
          <cell r="G672" t="str">
            <v>C4E17L</v>
          </cell>
          <cell r="H672" t="str">
            <v>T3W03L</v>
          </cell>
          <cell r="I672" t="str">
            <v>S40</v>
          </cell>
          <cell r="L672" t="str">
            <v>V05</v>
          </cell>
          <cell r="N672">
            <v>0</v>
          </cell>
          <cell r="O672">
            <v>-1</v>
          </cell>
          <cell r="P672">
            <v>-1</v>
          </cell>
          <cell r="Q672">
            <v>2004</v>
          </cell>
          <cell r="R672" t="str">
            <v>DEARBORN PLANT BUILD</v>
          </cell>
          <cell r="S672" t="str">
            <v>P221/P397</v>
          </cell>
          <cell r="T672" t="str">
            <v>SEATBELT</v>
          </cell>
          <cell r="U672" t="str">
            <v>COVER MISSING</v>
          </cell>
          <cell r="V672" t="str">
            <v>ALL</v>
          </cell>
          <cell r="W672">
            <v>4</v>
          </cell>
          <cell r="AA672">
            <v>1</v>
          </cell>
          <cell r="AC672">
            <v>1</v>
          </cell>
          <cell r="AD672">
            <v>1</v>
          </cell>
          <cell r="AE672">
            <v>1</v>
          </cell>
        </row>
        <row r="673">
          <cell r="A673">
            <v>0</v>
          </cell>
          <cell r="B673" t="str">
            <v>ALL VRTS</v>
          </cell>
          <cell r="D673">
            <v>12</v>
          </cell>
          <cell r="E673" t="str">
            <v>6500</v>
          </cell>
          <cell r="G673" t="str">
            <v>C4W22R</v>
          </cell>
          <cell r="I673" t="str">
            <v>S40</v>
          </cell>
          <cell r="L673" t="str">
            <v>V05</v>
          </cell>
          <cell r="N673">
            <v>0</v>
          </cell>
          <cell r="O673">
            <v>0</v>
          </cell>
          <cell r="P673">
            <v>-1</v>
          </cell>
          <cell r="Q673">
            <v>2004</v>
          </cell>
          <cell r="R673" t="str">
            <v>DEARBORN PLANT BUILD</v>
          </cell>
          <cell r="S673" t="str">
            <v>P221/P397</v>
          </cell>
          <cell r="T673" t="str">
            <v>SEATBELT</v>
          </cell>
          <cell r="U673" t="str">
            <v>COVER DAMAGE</v>
          </cell>
          <cell r="V673" t="str">
            <v>ALL</v>
          </cell>
          <cell r="W673">
            <v>3</v>
          </cell>
          <cell r="AD673">
            <v>1</v>
          </cell>
          <cell r="AE673">
            <v>2</v>
          </cell>
        </row>
        <row r="674">
          <cell r="A674">
            <v>0</v>
          </cell>
          <cell r="B674" t="str">
            <v>ALL VRTS</v>
          </cell>
          <cell r="D674">
            <v>12</v>
          </cell>
          <cell r="E674" t="str">
            <v>6500</v>
          </cell>
          <cell r="G674" t="str">
            <v>C4E19L</v>
          </cell>
          <cell r="I674" t="str">
            <v>S25</v>
          </cell>
          <cell r="L674" t="str">
            <v>V05</v>
          </cell>
          <cell r="N674">
            <v>0</v>
          </cell>
          <cell r="O674">
            <v>-1</v>
          </cell>
          <cell r="P674">
            <v>-1</v>
          </cell>
          <cell r="Q674">
            <v>2004</v>
          </cell>
          <cell r="R674" t="str">
            <v>DEARBORN PLANT BUILD</v>
          </cell>
          <cell r="S674" t="str">
            <v>P221/P397</v>
          </cell>
          <cell r="T674" t="str">
            <v>SEATBELT</v>
          </cell>
          <cell r="U674" t="str">
            <v>TWISTED</v>
          </cell>
          <cell r="V674" t="str">
            <v>ALL</v>
          </cell>
          <cell r="W674">
            <v>2</v>
          </cell>
          <cell r="AD674">
            <v>1</v>
          </cell>
          <cell r="AE674">
            <v>1</v>
          </cell>
        </row>
        <row r="675">
          <cell r="A675">
            <v>0</v>
          </cell>
          <cell r="B675" t="str">
            <v>ALL VRTS</v>
          </cell>
          <cell r="D675">
            <v>12</v>
          </cell>
          <cell r="E675" t="str">
            <v>6500</v>
          </cell>
          <cell r="G675" t="str">
            <v>C4W22R</v>
          </cell>
          <cell r="I675" t="str">
            <v>S40</v>
          </cell>
          <cell r="L675" t="str">
            <v>V05</v>
          </cell>
          <cell r="N675">
            <v>0</v>
          </cell>
          <cell r="O675">
            <v>0</v>
          </cell>
          <cell r="P675">
            <v>-1</v>
          </cell>
          <cell r="Q675">
            <v>2004</v>
          </cell>
          <cell r="R675" t="str">
            <v>DEARBORN PLANT BUILD</v>
          </cell>
          <cell r="S675" t="str">
            <v>P221/P397</v>
          </cell>
          <cell r="T675" t="str">
            <v>SEATBELT</v>
          </cell>
          <cell r="U675" t="str">
            <v>COVER LOOSE</v>
          </cell>
          <cell r="V675" t="str">
            <v>ALL</v>
          </cell>
          <cell r="W675">
            <v>1</v>
          </cell>
          <cell r="AC675">
            <v>1</v>
          </cell>
        </row>
        <row r="676">
          <cell r="A676">
            <v>0</v>
          </cell>
          <cell r="B676" t="str">
            <v>ALL VRTS</v>
          </cell>
          <cell r="D676">
            <v>12</v>
          </cell>
          <cell r="I676" t="str">
            <v>S25</v>
          </cell>
          <cell r="L676" t="str">
            <v>V05</v>
          </cell>
          <cell r="N676">
            <v>0</v>
          </cell>
          <cell r="O676">
            <v>-1</v>
          </cell>
          <cell r="P676">
            <v>0</v>
          </cell>
          <cell r="Q676">
            <v>2004</v>
          </cell>
          <cell r="R676" t="str">
            <v>DEARBORN PLANT BUILD</v>
          </cell>
          <cell r="S676" t="str">
            <v>P221/P397</v>
          </cell>
          <cell r="T676" t="str">
            <v>SEATBELT</v>
          </cell>
          <cell r="U676" t="str">
            <v>NOT RETRACTING</v>
          </cell>
          <cell r="V676" t="str">
            <v>ALL</v>
          </cell>
          <cell r="W676">
            <v>1</v>
          </cell>
          <cell r="AD676">
            <v>1</v>
          </cell>
        </row>
        <row r="677">
          <cell r="A677">
            <v>0</v>
          </cell>
          <cell r="B677" t="str">
            <v>ALL VRTS</v>
          </cell>
          <cell r="D677">
            <v>12</v>
          </cell>
          <cell r="E677" t="str">
            <v>6500</v>
          </cell>
          <cell r="G677" t="str">
            <v>C4E19L</v>
          </cell>
          <cell r="I677" t="str">
            <v>S40</v>
          </cell>
          <cell r="L677" t="str">
            <v>V05</v>
          </cell>
          <cell r="N677">
            <v>0</v>
          </cell>
          <cell r="O677">
            <v>0</v>
          </cell>
          <cell r="P677">
            <v>-1</v>
          </cell>
          <cell r="Q677">
            <v>2004</v>
          </cell>
          <cell r="R677" t="str">
            <v>DEARBORN PLANT BUILD</v>
          </cell>
          <cell r="S677" t="str">
            <v>P221/P397</v>
          </cell>
          <cell r="T677" t="str">
            <v>SEATBELT</v>
          </cell>
          <cell r="U677" t="str">
            <v>NUT MISSING</v>
          </cell>
          <cell r="V677" t="str">
            <v>ALL</v>
          </cell>
          <cell r="W677">
            <v>1</v>
          </cell>
          <cell r="AC677">
            <v>1</v>
          </cell>
        </row>
        <row r="678">
          <cell r="A678">
            <v>0</v>
          </cell>
          <cell r="B678" t="str">
            <v>ALL VRTS</v>
          </cell>
          <cell r="D678">
            <v>12</v>
          </cell>
          <cell r="E678" t="str">
            <v>box Line 5410-2-B</v>
          </cell>
          <cell r="F678" t="str">
            <v>Trim 3 5560-2-F</v>
          </cell>
          <cell r="G678" t="str">
            <v>T3E34R</v>
          </cell>
          <cell r="H678" t="str">
            <v>TBE38B</v>
          </cell>
          <cell r="I678" t="str">
            <v>B66</v>
          </cell>
          <cell r="J678" t="str">
            <v>F38</v>
          </cell>
          <cell r="K678" t="str">
            <v>B63</v>
          </cell>
          <cell r="L678" t="str">
            <v>V75</v>
          </cell>
          <cell r="N678">
            <v>0</v>
          </cell>
          <cell r="O678">
            <v>0</v>
          </cell>
          <cell r="P678">
            <v>-1</v>
          </cell>
          <cell r="Q678">
            <v>2004</v>
          </cell>
          <cell r="R678" t="str">
            <v>DEARBORN PLANT BUILD</v>
          </cell>
          <cell r="S678" t="str">
            <v>P221/P397</v>
          </cell>
          <cell r="T678" t="str">
            <v>WHEEL LIP MOLDING / MISMATCH</v>
          </cell>
          <cell r="U678" t="str">
            <v>Operator Error</v>
          </cell>
          <cell r="V678" t="str">
            <v>ALL</v>
          </cell>
          <cell r="W678">
            <v>10</v>
          </cell>
          <cell r="AB678">
            <v>2</v>
          </cell>
          <cell r="AC678">
            <v>6</v>
          </cell>
          <cell r="AD678">
            <v>1</v>
          </cell>
          <cell r="AE678">
            <v>1</v>
          </cell>
        </row>
        <row r="679">
          <cell r="A679">
            <v>0</v>
          </cell>
          <cell r="B679" t="str">
            <v>ALL VRTS</v>
          </cell>
          <cell r="D679">
            <v>12</v>
          </cell>
          <cell r="E679" t="str">
            <v>box Line 5410-2-B</v>
          </cell>
          <cell r="G679" t="str">
            <v>TBE38B</v>
          </cell>
          <cell r="I679" t="str">
            <v>B66</v>
          </cell>
          <cell r="J679" t="str">
            <v>B62</v>
          </cell>
          <cell r="L679" t="str">
            <v>V75</v>
          </cell>
          <cell r="N679">
            <v>0</v>
          </cell>
          <cell r="O679">
            <v>0</v>
          </cell>
          <cell r="P679">
            <v>-1</v>
          </cell>
          <cell r="Q679">
            <v>2004</v>
          </cell>
          <cell r="R679" t="str">
            <v>DEARBORN PLANT BUILD</v>
          </cell>
          <cell r="S679" t="str">
            <v>P221/P397</v>
          </cell>
          <cell r="T679" t="str">
            <v>WHEEL LIP MOLDING / MISMATCH</v>
          </cell>
          <cell r="U679" t="str">
            <v>Molding replaced</v>
          </cell>
          <cell r="V679" t="str">
            <v>ALL</v>
          </cell>
          <cell r="W679">
            <v>2</v>
          </cell>
          <cell r="AD679">
            <v>2</v>
          </cell>
        </row>
        <row r="680">
          <cell r="A680">
            <v>0</v>
          </cell>
          <cell r="B680" t="str">
            <v>ALL VRTS</v>
          </cell>
          <cell r="D680">
            <v>11</v>
          </cell>
          <cell r="I680" t="str">
            <v>L65</v>
          </cell>
          <cell r="L680" t="str">
            <v>V44</v>
          </cell>
          <cell r="N680">
            <v>-1</v>
          </cell>
          <cell r="O680">
            <v>-1</v>
          </cell>
          <cell r="P680">
            <v>0</v>
          </cell>
          <cell r="Q680">
            <v>2004</v>
          </cell>
          <cell r="R680" t="str">
            <v>DEARBORN PLANT BUILD</v>
          </cell>
          <cell r="S680" t="str">
            <v>P221/P397</v>
          </cell>
          <cell r="T680" t="str">
            <v xml:space="preserve"> OIL LEAK</v>
          </cell>
          <cell r="U680" t="str">
            <v>Replaced oil drain plug</v>
          </cell>
          <cell r="V680" t="str">
            <v>ALL</v>
          </cell>
          <cell r="W680">
            <v>2</v>
          </cell>
          <cell r="Z680">
            <v>1</v>
          </cell>
          <cell r="AE680">
            <v>1</v>
          </cell>
        </row>
        <row r="681">
          <cell r="A681">
            <v>0</v>
          </cell>
          <cell r="B681" t="str">
            <v>ALL VRTS</v>
          </cell>
          <cell r="D681">
            <v>11</v>
          </cell>
          <cell r="I681" t="str">
            <v>L65</v>
          </cell>
          <cell r="L681" t="str">
            <v>V44</v>
          </cell>
          <cell r="N681">
            <v>0</v>
          </cell>
          <cell r="O681">
            <v>-1</v>
          </cell>
          <cell r="P681">
            <v>0</v>
          </cell>
          <cell r="Q681">
            <v>2004</v>
          </cell>
          <cell r="R681" t="str">
            <v>DEARBORN PLANT BUILD</v>
          </cell>
          <cell r="S681" t="str">
            <v>P221/P397</v>
          </cell>
          <cell r="T681" t="str">
            <v xml:space="preserve"> OIL LEAK</v>
          </cell>
          <cell r="U681" t="str">
            <v>Cam Sensor Seal</v>
          </cell>
          <cell r="V681" t="str">
            <v>ALL</v>
          </cell>
          <cell r="W681">
            <v>1</v>
          </cell>
          <cell r="AD681">
            <v>1</v>
          </cell>
        </row>
        <row r="682">
          <cell r="A682">
            <v>0</v>
          </cell>
          <cell r="B682" t="str">
            <v>ALL VRTS</v>
          </cell>
          <cell r="D682">
            <v>11</v>
          </cell>
          <cell r="I682" t="str">
            <v>L65</v>
          </cell>
          <cell r="L682" t="str">
            <v>V44</v>
          </cell>
          <cell r="N682">
            <v>0</v>
          </cell>
          <cell r="O682">
            <v>-1</v>
          </cell>
          <cell r="P682">
            <v>0</v>
          </cell>
          <cell r="Q682">
            <v>2004</v>
          </cell>
          <cell r="R682" t="str">
            <v>DEARBORN PLANT BUILD</v>
          </cell>
          <cell r="S682" t="str">
            <v>P221/P397</v>
          </cell>
          <cell r="T682" t="str">
            <v xml:space="preserve"> OIL LEAK</v>
          </cell>
          <cell r="U682" t="str">
            <v>dip-stick o-ring leak</v>
          </cell>
          <cell r="V682" t="str">
            <v>ALL</v>
          </cell>
          <cell r="W682">
            <v>1</v>
          </cell>
          <cell r="AC682">
            <v>1</v>
          </cell>
        </row>
        <row r="683">
          <cell r="A683">
            <v>0</v>
          </cell>
          <cell r="B683" t="str">
            <v>ALL VRTS</v>
          </cell>
          <cell r="D683">
            <v>11</v>
          </cell>
          <cell r="I683" t="str">
            <v>L65</v>
          </cell>
          <cell r="L683" t="str">
            <v>V44</v>
          </cell>
          <cell r="N683">
            <v>-1</v>
          </cell>
          <cell r="O683">
            <v>-1</v>
          </cell>
          <cell r="P683">
            <v>0</v>
          </cell>
          <cell r="Q683">
            <v>2004</v>
          </cell>
          <cell r="R683" t="str">
            <v>DEARBORN PLANT BUILD</v>
          </cell>
          <cell r="S683" t="str">
            <v>P221/P397</v>
          </cell>
          <cell r="T683" t="str">
            <v xml:space="preserve"> OIL LEAK</v>
          </cell>
          <cell r="U683" t="str">
            <v>EOT Sensor crossthreaded</v>
          </cell>
          <cell r="V683" t="str">
            <v>ALL</v>
          </cell>
          <cell r="W683">
            <v>1</v>
          </cell>
          <cell r="AE683">
            <v>1</v>
          </cell>
        </row>
        <row r="684">
          <cell r="A684">
            <v>0</v>
          </cell>
          <cell r="B684" t="str">
            <v>ALL VRTS</v>
          </cell>
          <cell r="D684">
            <v>11</v>
          </cell>
          <cell r="I684" t="str">
            <v>L65</v>
          </cell>
          <cell r="L684" t="str">
            <v>V44</v>
          </cell>
          <cell r="N684">
            <v>0</v>
          </cell>
          <cell r="O684">
            <v>-1</v>
          </cell>
          <cell r="P684">
            <v>0</v>
          </cell>
          <cell r="Q684">
            <v>2004</v>
          </cell>
          <cell r="R684" t="str">
            <v>DEARBORN PLANT BUILD</v>
          </cell>
          <cell r="S684" t="str">
            <v>P221/P397</v>
          </cell>
          <cell r="T684" t="str">
            <v xml:space="preserve"> OIL LEAK</v>
          </cell>
          <cell r="U684" t="str">
            <v>Loose bolt R/F engine</v>
          </cell>
          <cell r="V684" t="str">
            <v>ALL</v>
          </cell>
          <cell r="W684">
            <v>1</v>
          </cell>
          <cell r="Z684">
            <v>1</v>
          </cell>
        </row>
        <row r="685">
          <cell r="A685">
            <v>0</v>
          </cell>
          <cell r="B685" t="str">
            <v>ALL VRTS</v>
          </cell>
          <cell r="D685">
            <v>11</v>
          </cell>
          <cell r="I685" t="str">
            <v>L65</v>
          </cell>
          <cell r="L685" t="str">
            <v>V44</v>
          </cell>
          <cell r="N685">
            <v>0</v>
          </cell>
          <cell r="O685">
            <v>-1</v>
          </cell>
          <cell r="P685">
            <v>0</v>
          </cell>
          <cell r="Q685">
            <v>2004</v>
          </cell>
          <cell r="R685" t="str">
            <v>DEARBORN PLANT BUILD</v>
          </cell>
          <cell r="S685" t="str">
            <v>P221/P397</v>
          </cell>
          <cell r="T685" t="str">
            <v xml:space="preserve"> OIL LEAK</v>
          </cell>
          <cell r="U685" t="str">
            <v>npf</v>
          </cell>
          <cell r="V685" t="str">
            <v>ALL</v>
          </cell>
          <cell r="W685">
            <v>1</v>
          </cell>
          <cell r="AB685">
            <v>1</v>
          </cell>
        </row>
        <row r="686">
          <cell r="A686">
            <v>0</v>
          </cell>
          <cell r="B686" t="str">
            <v>ALL VRTS</v>
          </cell>
          <cell r="D686">
            <v>11</v>
          </cell>
          <cell r="I686" t="str">
            <v>L65</v>
          </cell>
          <cell r="L686" t="str">
            <v>V44</v>
          </cell>
          <cell r="N686">
            <v>0</v>
          </cell>
          <cell r="O686">
            <v>-1</v>
          </cell>
          <cell r="P686">
            <v>0</v>
          </cell>
          <cell r="Q686">
            <v>2004</v>
          </cell>
          <cell r="R686" t="str">
            <v>DEARBORN PLANT BUILD</v>
          </cell>
          <cell r="S686" t="str">
            <v>P221/P397</v>
          </cell>
          <cell r="T686" t="str">
            <v xml:space="preserve"> OIL LEAK</v>
          </cell>
          <cell r="U686" t="str">
            <v>oil sending unit</v>
          </cell>
          <cell r="V686" t="str">
            <v>ALL</v>
          </cell>
          <cell r="W686">
            <v>1</v>
          </cell>
          <cell r="AA686">
            <v>1</v>
          </cell>
        </row>
        <row r="687">
          <cell r="A687">
            <v>0</v>
          </cell>
          <cell r="B687" t="str">
            <v>ALL VRTS</v>
          </cell>
          <cell r="D687">
            <v>11</v>
          </cell>
          <cell r="I687" t="str">
            <v>L65</v>
          </cell>
          <cell r="L687" t="str">
            <v>V44</v>
          </cell>
          <cell r="N687">
            <v>0</v>
          </cell>
          <cell r="O687">
            <v>-1</v>
          </cell>
          <cell r="P687">
            <v>0</v>
          </cell>
          <cell r="Q687">
            <v>2004</v>
          </cell>
          <cell r="R687" t="str">
            <v>DEARBORN PLANT BUILD</v>
          </cell>
          <cell r="S687" t="str">
            <v>P221/P397</v>
          </cell>
          <cell r="T687" t="str">
            <v xml:space="preserve"> OIL LEAK</v>
          </cell>
          <cell r="U687" t="str">
            <v>Oil temp sensor</v>
          </cell>
          <cell r="V687" t="str">
            <v>ALL</v>
          </cell>
          <cell r="W687">
            <v>1</v>
          </cell>
          <cell r="AB687">
            <v>1</v>
          </cell>
        </row>
        <row r="688">
          <cell r="A688">
            <v>0</v>
          </cell>
          <cell r="B688" t="str">
            <v>ALL VRTS</v>
          </cell>
          <cell r="D688">
            <v>11</v>
          </cell>
          <cell r="E688" t="str">
            <v>6340</v>
          </cell>
          <cell r="G688" t="str">
            <v>CEW04R</v>
          </cell>
          <cell r="I688" t="str">
            <v>L65</v>
          </cell>
          <cell r="L688" t="str">
            <v>V44</v>
          </cell>
          <cell r="N688">
            <v>0</v>
          </cell>
          <cell r="O688">
            <v>-1</v>
          </cell>
          <cell r="P688">
            <v>-1</v>
          </cell>
          <cell r="Q688">
            <v>2004</v>
          </cell>
          <cell r="R688" t="str">
            <v>DEARBORN PLANT BUILD</v>
          </cell>
          <cell r="S688" t="str">
            <v>P221/P397</v>
          </cell>
          <cell r="T688" t="str">
            <v xml:space="preserve"> OIL LEAK</v>
          </cell>
          <cell r="U688" t="str">
            <v>replaced Rear main seal</v>
          </cell>
          <cell r="V688" t="str">
            <v>ALL</v>
          </cell>
          <cell r="W688">
            <v>1</v>
          </cell>
          <cell r="AB688">
            <v>1</v>
          </cell>
        </row>
        <row r="689">
          <cell r="A689">
            <v>0</v>
          </cell>
          <cell r="B689" t="str">
            <v>ALL VRTS</v>
          </cell>
          <cell r="D689">
            <v>11</v>
          </cell>
          <cell r="I689" t="str">
            <v>L65</v>
          </cell>
          <cell r="L689" t="str">
            <v>V44</v>
          </cell>
          <cell r="N689">
            <v>0</v>
          </cell>
          <cell r="O689">
            <v>-1</v>
          </cell>
          <cell r="P689">
            <v>0</v>
          </cell>
          <cell r="Q689">
            <v>2004</v>
          </cell>
          <cell r="R689" t="str">
            <v>DEARBORN PLANT BUILD</v>
          </cell>
          <cell r="S689" t="str">
            <v>P221/P397</v>
          </cell>
          <cell r="T689" t="str">
            <v xml:space="preserve"> OIL LEAK</v>
          </cell>
          <cell r="U689" t="str">
            <v>tighten oil filter</v>
          </cell>
          <cell r="V689" t="str">
            <v>ALL</v>
          </cell>
          <cell r="W689">
            <v>1</v>
          </cell>
          <cell r="AC689">
            <v>1</v>
          </cell>
        </row>
        <row r="690">
          <cell r="A690">
            <v>0</v>
          </cell>
          <cell r="B690" t="str">
            <v>ALL VRTS</v>
          </cell>
          <cell r="D690">
            <v>11</v>
          </cell>
          <cell r="I690" t="str">
            <v>T55</v>
          </cell>
          <cell r="L690" t="str">
            <v>V74</v>
          </cell>
          <cell r="N690">
            <v>0</v>
          </cell>
          <cell r="O690">
            <v>-1</v>
          </cell>
          <cell r="P690">
            <v>0</v>
          </cell>
          <cell r="Q690">
            <v>2004</v>
          </cell>
          <cell r="R690" t="str">
            <v>DEARBORN PLANT BUILD</v>
          </cell>
          <cell r="S690" t="str">
            <v>P221/P397</v>
          </cell>
          <cell r="T690" t="str">
            <v>A-PILLAR</v>
          </cell>
          <cell r="U690" t="str">
            <v>SCREW COVER BROKEN/MISSING</v>
          </cell>
          <cell r="V690" t="str">
            <v>ALL</v>
          </cell>
          <cell r="W690">
            <v>7</v>
          </cell>
          <cell r="Y690">
            <v>1</v>
          </cell>
          <cell r="Z690">
            <v>2</v>
          </cell>
          <cell r="AA690">
            <v>3</v>
          </cell>
          <cell r="AB690">
            <v>1</v>
          </cell>
        </row>
        <row r="691">
          <cell r="A691">
            <v>0</v>
          </cell>
          <cell r="B691" t="str">
            <v>ALL VRTS</v>
          </cell>
          <cell r="D691">
            <v>11</v>
          </cell>
          <cell r="E691" t="str">
            <v>5550</v>
          </cell>
          <cell r="G691" t="str">
            <v>T3W25L</v>
          </cell>
          <cell r="I691" t="str">
            <v>T53</v>
          </cell>
          <cell r="J691" t="str">
            <v>T90</v>
          </cell>
          <cell r="L691" t="str">
            <v>V74</v>
          </cell>
          <cell r="N691">
            <v>0</v>
          </cell>
          <cell r="O691">
            <v>0</v>
          </cell>
          <cell r="P691">
            <v>-1</v>
          </cell>
          <cell r="Q691">
            <v>2004</v>
          </cell>
          <cell r="R691" t="str">
            <v>DEARBORN PLANT BUILD</v>
          </cell>
          <cell r="S691" t="str">
            <v>P221/P397</v>
          </cell>
          <cell r="T691" t="str">
            <v>A-PILLAR</v>
          </cell>
          <cell r="U691" t="str">
            <v>DAMAGED</v>
          </cell>
          <cell r="V691" t="str">
            <v>ALL</v>
          </cell>
          <cell r="W691">
            <v>2</v>
          </cell>
          <cell r="AB691">
            <v>1</v>
          </cell>
          <cell r="AD691">
            <v>1</v>
          </cell>
        </row>
        <row r="692">
          <cell r="A692">
            <v>0</v>
          </cell>
          <cell r="B692" t="str">
            <v>ALL VRTS</v>
          </cell>
          <cell r="D692">
            <v>11</v>
          </cell>
          <cell r="E692" t="str">
            <v>5550</v>
          </cell>
          <cell r="G692" t="str">
            <v>T3W25L/T3E26R</v>
          </cell>
          <cell r="I692" t="str">
            <v>T53</v>
          </cell>
          <cell r="L692" t="str">
            <v>V74</v>
          </cell>
          <cell r="N692">
            <v>0</v>
          </cell>
          <cell r="O692">
            <v>0</v>
          </cell>
          <cell r="P692">
            <v>-1</v>
          </cell>
          <cell r="Q692">
            <v>2004</v>
          </cell>
          <cell r="R692" t="str">
            <v>DEARBORN PLANT BUILD</v>
          </cell>
          <cell r="S692" t="str">
            <v>P221/P397</v>
          </cell>
          <cell r="T692" t="str">
            <v>A-PILLAR</v>
          </cell>
          <cell r="U692" t="str">
            <v>POOR FIT,BOTH FRONT</v>
          </cell>
          <cell r="V692" t="str">
            <v>ALL</v>
          </cell>
          <cell r="W692">
            <v>1</v>
          </cell>
          <cell r="AC692">
            <v>1</v>
          </cell>
        </row>
        <row r="693">
          <cell r="A693">
            <v>0</v>
          </cell>
          <cell r="B693" t="str">
            <v>ALL VRTS</v>
          </cell>
          <cell r="D693">
            <v>11</v>
          </cell>
          <cell r="E693" t="str">
            <v>5550</v>
          </cell>
          <cell r="G693" t="str">
            <v>T3E26R</v>
          </cell>
          <cell r="I693" t="str">
            <v>T53</v>
          </cell>
          <cell r="L693" t="str">
            <v>V74</v>
          </cell>
          <cell r="N693">
            <v>0</v>
          </cell>
          <cell r="O693">
            <v>0</v>
          </cell>
          <cell r="P693">
            <v>-1</v>
          </cell>
          <cell r="Q693">
            <v>2004</v>
          </cell>
          <cell r="R693" t="str">
            <v>DEARBORN PLANT BUILD</v>
          </cell>
          <cell r="S693" t="str">
            <v>P221/P397</v>
          </cell>
          <cell r="T693" t="str">
            <v>A-PILLAR</v>
          </cell>
          <cell r="U693" t="str">
            <v>POOR FIT,RT</v>
          </cell>
          <cell r="V693" t="str">
            <v>ALL</v>
          </cell>
          <cell r="W693">
            <v>1</v>
          </cell>
          <cell r="AE693">
            <v>1</v>
          </cell>
        </row>
        <row r="694">
          <cell r="A694">
            <v>0</v>
          </cell>
          <cell r="B694" t="str">
            <v>ALL VRTS</v>
          </cell>
          <cell r="D694">
            <v>11</v>
          </cell>
          <cell r="I694" t="str">
            <v>D36</v>
          </cell>
          <cell r="L694" t="str">
            <v>V41</v>
          </cell>
          <cell r="N694">
            <v>-1</v>
          </cell>
          <cell r="O694">
            <v>-1</v>
          </cell>
          <cell r="P694">
            <v>0</v>
          </cell>
          <cell r="Q694">
            <v>2004</v>
          </cell>
          <cell r="R694" t="str">
            <v>DEARBORN PLANT BUILD</v>
          </cell>
          <cell r="S694" t="str">
            <v>P221/P397</v>
          </cell>
          <cell r="T694" t="str">
            <v>ENGINE HESITATES</v>
          </cell>
          <cell r="U694" t="str">
            <v>performed EEC test NPF</v>
          </cell>
          <cell r="V694" t="str">
            <v>ALL</v>
          </cell>
          <cell r="W694">
            <v>3</v>
          </cell>
          <cell r="AB694">
            <v>2</v>
          </cell>
          <cell r="AD694">
            <v>1</v>
          </cell>
        </row>
        <row r="695">
          <cell r="A695">
            <v>0</v>
          </cell>
          <cell r="B695" t="str">
            <v>ALL VRTS</v>
          </cell>
          <cell r="D695">
            <v>11</v>
          </cell>
          <cell r="I695" t="str">
            <v>D36</v>
          </cell>
          <cell r="J695" t="str">
            <v>D41</v>
          </cell>
          <cell r="L695" t="str">
            <v>V41</v>
          </cell>
          <cell r="N695">
            <v>-1</v>
          </cell>
          <cell r="O695">
            <v>-1</v>
          </cell>
          <cell r="P695">
            <v>0</v>
          </cell>
          <cell r="Q695">
            <v>2004</v>
          </cell>
          <cell r="R695" t="str">
            <v>DEARBORN PLANT BUILD</v>
          </cell>
          <cell r="S695" t="str">
            <v>P221/P397</v>
          </cell>
          <cell r="T695" t="str">
            <v>ENGINE HESITATES</v>
          </cell>
          <cell r="U695" t="str">
            <v>Reprogramed PCM</v>
          </cell>
          <cell r="V695" t="str">
            <v>ALL</v>
          </cell>
          <cell r="W695">
            <v>3</v>
          </cell>
          <cell r="AC695">
            <v>1</v>
          </cell>
          <cell r="AD695">
            <v>1</v>
          </cell>
          <cell r="AE695">
            <v>1</v>
          </cell>
        </row>
        <row r="696">
          <cell r="A696">
            <v>0</v>
          </cell>
          <cell r="B696" t="str">
            <v>ALL VRTS</v>
          </cell>
          <cell r="D696">
            <v>11</v>
          </cell>
          <cell r="I696" t="str">
            <v>D36</v>
          </cell>
          <cell r="L696" t="str">
            <v>V41</v>
          </cell>
          <cell r="N696">
            <v>-1</v>
          </cell>
          <cell r="O696">
            <v>-1</v>
          </cell>
          <cell r="P696">
            <v>0</v>
          </cell>
          <cell r="Q696">
            <v>2004</v>
          </cell>
          <cell r="R696" t="str">
            <v>DEARBORN PLANT BUILD</v>
          </cell>
          <cell r="S696" t="str">
            <v>P221/P397</v>
          </cell>
          <cell r="T696" t="str">
            <v>ENGINE HESITATES</v>
          </cell>
          <cell r="U696" t="str">
            <v>Throttle Body defective</v>
          </cell>
          <cell r="V696" t="str">
            <v>ALL</v>
          </cell>
          <cell r="W696">
            <v>3</v>
          </cell>
          <cell r="AD696">
            <v>1</v>
          </cell>
          <cell r="AE696">
            <v>2</v>
          </cell>
        </row>
        <row r="697">
          <cell r="A697">
            <v>0</v>
          </cell>
          <cell r="B697" t="str">
            <v>ALL VRTS</v>
          </cell>
          <cell r="D697">
            <v>11</v>
          </cell>
          <cell r="I697" t="str">
            <v>D36</v>
          </cell>
          <cell r="L697" t="str">
            <v>V41</v>
          </cell>
          <cell r="N697">
            <v>-1</v>
          </cell>
          <cell r="O697">
            <v>-1</v>
          </cell>
          <cell r="P697">
            <v>0</v>
          </cell>
          <cell r="Q697">
            <v>2004</v>
          </cell>
          <cell r="R697" t="str">
            <v>DEARBORN PLANT BUILD</v>
          </cell>
          <cell r="S697" t="str">
            <v>P221/P397</v>
          </cell>
          <cell r="T697" t="str">
            <v>ENGINE HESITATES</v>
          </cell>
          <cell r="U697" t="str">
            <v>replaced cam shaft</v>
          </cell>
          <cell r="V697" t="str">
            <v>ALL</v>
          </cell>
          <cell r="W697">
            <v>1</v>
          </cell>
          <cell r="AC697">
            <v>1</v>
          </cell>
        </row>
        <row r="698">
          <cell r="A698">
            <v>0</v>
          </cell>
          <cell r="B698" t="str">
            <v>ALL VRTS</v>
          </cell>
          <cell r="D698">
            <v>11</v>
          </cell>
          <cell r="I698" t="str">
            <v>D41</v>
          </cell>
          <cell r="L698" t="str">
            <v>V41</v>
          </cell>
          <cell r="N698">
            <v>-1</v>
          </cell>
          <cell r="O698">
            <v>-1</v>
          </cell>
          <cell r="P698">
            <v>0</v>
          </cell>
          <cell r="Q698">
            <v>2004</v>
          </cell>
          <cell r="R698" t="str">
            <v>DEARBORN PLANT BUILD</v>
          </cell>
          <cell r="S698" t="str">
            <v>P221/P397</v>
          </cell>
          <cell r="T698" t="str">
            <v>ENGINE HESITATES</v>
          </cell>
          <cell r="U698" t="str">
            <v>Sparkplug fouled</v>
          </cell>
          <cell r="V698" t="str">
            <v>ALL</v>
          </cell>
          <cell r="W698">
            <v>1</v>
          </cell>
          <cell r="AD698">
            <v>1</v>
          </cell>
        </row>
        <row r="699">
          <cell r="A699">
            <v>0</v>
          </cell>
          <cell r="B699" t="str">
            <v>ALL VRTS</v>
          </cell>
          <cell r="D699">
            <v>11</v>
          </cell>
          <cell r="E699" t="str">
            <v>Trim 4 5580-2-G</v>
          </cell>
          <cell r="F699" t="str">
            <v>Trim 4 5590-2-G</v>
          </cell>
          <cell r="G699" t="str">
            <v>T4W012R</v>
          </cell>
          <cell r="H699" t="str">
            <v>T4W14 L</v>
          </cell>
          <cell r="I699" t="str">
            <v>B63</v>
          </cell>
          <cell r="J699" t="str">
            <v>B64</v>
          </cell>
          <cell r="K699" t="str">
            <v>B66</v>
          </cell>
          <cell r="L699" t="str">
            <v>V75</v>
          </cell>
          <cell r="N699">
            <v>0</v>
          </cell>
          <cell r="O699">
            <v>0</v>
          </cell>
          <cell r="P699">
            <v>-1</v>
          </cell>
          <cell r="Q699">
            <v>2004</v>
          </cell>
          <cell r="R699" t="str">
            <v>DEARBORN PLANT BUILD</v>
          </cell>
          <cell r="S699" t="str">
            <v>P221/P397</v>
          </cell>
          <cell r="T699" t="str">
            <v>Roof Ditch Molding / Loose</v>
          </cell>
          <cell r="U699" t="str">
            <v>Ditch mldg replaced</v>
          </cell>
          <cell r="V699" t="str">
            <v>ALL</v>
          </cell>
          <cell r="W699">
            <v>9</v>
          </cell>
          <cell r="AB699">
            <v>2</v>
          </cell>
          <cell r="AC699">
            <v>1</v>
          </cell>
          <cell r="AD699">
            <v>4</v>
          </cell>
          <cell r="AE699">
            <v>2</v>
          </cell>
        </row>
        <row r="700">
          <cell r="A700">
            <v>0</v>
          </cell>
          <cell r="B700" t="str">
            <v>ALL VRTS</v>
          </cell>
          <cell r="D700">
            <v>11</v>
          </cell>
          <cell r="E700" t="str">
            <v>Trim 4 5590-2-G</v>
          </cell>
          <cell r="G700" t="str">
            <v>T4W14 L</v>
          </cell>
          <cell r="I700" t="str">
            <v>B63</v>
          </cell>
          <cell r="L700" t="str">
            <v>V75</v>
          </cell>
          <cell r="N700">
            <v>0</v>
          </cell>
          <cell r="O700">
            <v>0</v>
          </cell>
          <cell r="P700">
            <v>-1</v>
          </cell>
          <cell r="Q700">
            <v>2004</v>
          </cell>
          <cell r="R700" t="str">
            <v>DEARBORN PLANT BUILD</v>
          </cell>
          <cell r="S700" t="str">
            <v>P221/P397</v>
          </cell>
          <cell r="T700" t="str">
            <v>Roof Ditch Molding / Loose</v>
          </cell>
          <cell r="U700" t="str">
            <v>CLIP LOOSE</v>
          </cell>
          <cell r="V700" t="str">
            <v>ALL</v>
          </cell>
          <cell r="W700">
            <v>1</v>
          </cell>
          <cell r="AE700">
            <v>1</v>
          </cell>
        </row>
        <row r="701">
          <cell r="A701">
            <v>0</v>
          </cell>
          <cell r="B701" t="str">
            <v>ALL VRTS</v>
          </cell>
          <cell r="D701">
            <v>11</v>
          </cell>
          <cell r="E701" t="str">
            <v>Trim 4 5580-2-G</v>
          </cell>
          <cell r="G701" t="str">
            <v>T4W012R</v>
          </cell>
          <cell r="I701" t="str">
            <v>B63</v>
          </cell>
          <cell r="L701" t="str">
            <v>V75</v>
          </cell>
          <cell r="N701">
            <v>0</v>
          </cell>
          <cell r="O701">
            <v>0</v>
          </cell>
          <cell r="P701">
            <v>-1</v>
          </cell>
          <cell r="Q701">
            <v>2004</v>
          </cell>
          <cell r="R701" t="str">
            <v>DEARBORN PLANT BUILD</v>
          </cell>
          <cell r="S701" t="str">
            <v>P221/P397</v>
          </cell>
          <cell r="T701" t="str">
            <v>Roof Ditch Molding / Loose</v>
          </cell>
          <cell r="U701" t="str">
            <v>REPLACE</v>
          </cell>
          <cell r="V701" t="str">
            <v>ALL</v>
          </cell>
          <cell r="W701">
            <v>1</v>
          </cell>
          <cell r="AE701">
            <v>1</v>
          </cell>
        </row>
        <row r="702">
          <cell r="A702">
            <v>0</v>
          </cell>
          <cell r="B702" t="str">
            <v>ALL VRTS</v>
          </cell>
          <cell r="C702" t="str">
            <v>X</v>
          </cell>
          <cell r="D702">
            <v>11</v>
          </cell>
          <cell r="I702" t="str">
            <v>H22</v>
          </cell>
          <cell r="J702" t="str">
            <v>L68</v>
          </cell>
          <cell r="L702" t="str">
            <v>V87</v>
          </cell>
          <cell r="N702">
            <v>0</v>
          </cell>
          <cell r="O702">
            <v>-1</v>
          </cell>
          <cell r="P702">
            <v>0</v>
          </cell>
          <cell r="Q702">
            <v>2004</v>
          </cell>
          <cell r="R702" t="str">
            <v>DEARBORN PLANT BUILD</v>
          </cell>
          <cell r="S702" t="str">
            <v>P221/P397</v>
          </cell>
          <cell r="T702" t="str">
            <v>STEERING, LEAKS</v>
          </cell>
          <cell r="U702" t="str">
            <v>POWER STEERING PUMP- REPLACED</v>
          </cell>
          <cell r="V702" t="str">
            <v>ALL</v>
          </cell>
          <cell r="W702">
            <v>4</v>
          </cell>
          <cell r="AA702">
            <v>1</v>
          </cell>
          <cell r="AB702">
            <v>2</v>
          </cell>
          <cell r="AD702">
            <v>1</v>
          </cell>
        </row>
        <row r="703">
          <cell r="A703">
            <v>0</v>
          </cell>
          <cell r="B703" t="str">
            <v>ALL VRTS</v>
          </cell>
          <cell r="C703" t="str">
            <v>X</v>
          </cell>
          <cell r="D703">
            <v>11</v>
          </cell>
          <cell r="I703" t="str">
            <v>L68</v>
          </cell>
          <cell r="L703" t="str">
            <v>V87</v>
          </cell>
          <cell r="N703">
            <v>0</v>
          </cell>
          <cell r="O703">
            <v>-1</v>
          </cell>
          <cell r="P703">
            <v>0</v>
          </cell>
          <cell r="Q703">
            <v>2004</v>
          </cell>
          <cell r="R703" t="str">
            <v>DEARBORN PLANT BUILD</v>
          </cell>
          <cell r="S703" t="str">
            <v>P221/P397</v>
          </cell>
          <cell r="T703" t="str">
            <v>STEERING, LEAKS</v>
          </cell>
          <cell r="U703" t="str">
            <v>RACK &amp; PINION - REPLACED</v>
          </cell>
          <cell r="V703" t="str">
            <v>ALL</v>
          </cell>
          <cell r="W703">
            <v>3</v>
          </cell>
          <cell r="AB703">
            <v>1</v>
          </cell>
          <cell r="AC703">
            <v>1</v>
          </cell>
          <cell r="AD703">
            <v>1</v>
          </cell>
        </row>
        <row r="704">
          <cell r="A704">
            <v>0</v>
          </cell>
          <cell r="B704" t="str">
            <v>ALL VRTS</v>
          </cell>
          <cell r="C704" t="str">
            <v>X</v>
          </cell>
          <cell r="D704">
            <v>11</v>
          </cell>
          <cell r="E704" t="str">
            <v>6360</v>
          </cell>
          <cell r="G704" t="str">
            <v>CEE37L</v>
          </cell>
          <cell r="I704" t="str">
            <v>L68</v>
          </cell>
          <cell r="L704" t="str">
            <v>V87</v>
          </cell>
          <cell r="N704">
            <v>0</v>
          </cell>
          <cell r="O704">
            <v>0</v>
          </cell>
          <cell r="P704">
            <v>-1</v>
          </cell>
          <cell r="Q704">
            <v>2004</v>
          </cell>
          <cell r="R704" t="str">
            <v>DEARBORN PLANT BUILD</v>
          </cell>
          <cell r="S704" t="str">
            <v>P221/P397</v>
          </cell>
          <cell r="T704" t="str">
            <v>STEERING, LEAKS</v>
          </cell>
          <cell r="U704" t="str">
            <v>COOLANT LINE LOOSE- TIGHTENED</v>
          </cell>
          <cell r="V704" t="str">
            <v>ALL</v>
          </cell>
          <cell r="W704">
            <v>2</v>
          </cell>
          <cell r="AB704">
            <v>1</v>
          </cell>
          <cell r="AC704">
            <v>1</v>
          </cell>
        </row>
        <row r="705">
          <cell r="A705">
            <v>0</v>
          </cell>
          <cell r="B705" t="str">
            <v>ALL VRTS</v>
          </cell>
          <cell r="C705" t="str">
            <v>X</v>
          </cell>
          <cell r="D705">
            <v>11</v>
          </cell>
          <cell r="E705" t="str">
            <v>6450</v>
          </cell>
          <cell r="G705" t="str">
            <v>C2E41F</v>
          </cell>
          <cell r="I705" t="str">
            <v>L68</v>
          </cell>
          <cell r="L705" t="str">
            <v>V87</v>
          </cell>
          <cell r="N705">
            <v>0</v>
          </cell>
          <cell r="O705">
            <v>0</v>
          </cell>
          <cell r="P705">
            <v>-1</v>
          </cell>
          <cell r="Q705">
            <v>2004</v>
          </cell>
          <cell r="R705" t="str">
            <v>DEARBORN PLANT BUILD</v>
          </cell>
          <cell r="S705" t="str">
            <v>P221/P397</v>
          </cell>
          <cell r="T705" t="str">
            <v>STEERING, LEAKS</v>
          </cell>
          <cell r="U705" t="str">
            <v>POWER STEERING COOLER CLAMP</v>
          </cell>
          <cell r="V705" t="str">
            <v>ALL</v>
          </cell>
          <cell r="W705">
            <v>1</v>
          </cell>
          <cell r="AE705">
            <v>1</v>
          </cell>
        </row>
        <row r="706">
          <cell r="A706">
            <v>0</v>
          </cell>
          <cell r="B706" t="str">
            <v>ALL VRTS</v>
          </cell>
          <cell r="C706" t="str">
            <v>X</v>
          </cell>
          <cell r="D706">
            <v>11</v>
          </cell>
          <cell r="I706" t="str">
            <v>L68</v>
          </cell>
          <cell r="L706" t="str">
            <v>V87</v>
          </cell>
          <cell r="N706">
            <v>0</v>
          </cell>
          <cell r="O706">
            <v>-1</v>
          </cell>
          <cell r="P706">
            <v>0</v>
          </cell>
          <cell r="Q706">
            <v>2004</v>
          </cell>
          <cell r="R706" t="str">
            <v>DEARBORN PLANT BUILD</v>
          </cell>
          <cell r="S706" t="str">
            <v>P221/P397</v>
          </cell>
          <cell r="T706" t="str">
            <v>STEERING, LEAKS</v>
          </cell>
          <cell r="U706" t="str">
            <v>POWER STEERING PRESSURE LINE - REPLACED</v>
          </cell>
          <cell r="V706" t="str">
            <v>ALL</v>
          </cell>
          <cell r="W706">
            <v>1</v>
          </cell>
          <cell r="AE706">
            <v>1</v>
          </cell>
        </row>
        <row r="707">
          <cell r="A707">
            <v>0</v>
          </cell>
          <cell r="B707" t="str">
            <v>ALL VRTS</v>
          </cell>
          <cell r="D707">
            <v>10</v>
          </cell>
          <cell r="I707" t="str">
            <v>S39</v>
          </cell>
          <cell r="L707" t="str">
            <v>V05</v>
          </cell>
          <cell r="N707">
            <v>-1</v>
          </cell>
          <cell r="O707">
            <v>0</v>
          </cell>
          <cell r="P707">
            <v>0</v>
          </cell>
          <cell r="Q707">
            <v>2004</v>
          </cell>
          <cell r="R707" t="str">
            <v>DEARBORN PLANT BUILD</v>
          </cell>
          <cell r="S707" t="str">
            <v>P221/P397</v>
          </cell>
          <cell r="T707" t="str">
            <v>AIR BAG LIGHT ON</v>
          </cell>
          <cell r="U707" t="str">
            <v>PASS. SEAT-NPF</v>
          </cell>
          <cell r="V707" t="str">
            <v>ALL</v>
          </cell>
          <cell r="W707">
            <v>3</v>
          </cell>
          <cell r="Z707">
            <v>1</v>
          </cell>
          <cell r="AB707">
            <v>1</v>
          </cell>
          <cell r="AD707">
            <v>1</v>
          </cell>
        </row>
        <row r="708">
          <cell r="A708">
            <v>0</v>
          </cell>
          <cell r="B708" t="str">
            <v>ALL VRTS</v>
          </cell>
          <cell r="D708">
            <v>10</v>
          </cell>
          <cell r="I708" t="str">
            <v>S39</v>
          </cell>
          <cell r="L708" t="str">
            <v>V05</v>
          </cell>
          <cell r="N708">
            <v>-1</v>
          </cell>
          <cell r="O708">
            <v>0</v>
          </cell>
          <cell r="P708">
            <v>0</v>
          </cell>
          <cell r="Q708">
            <v>2004</v>
          </cell>
          <cell r="R708" t="str">
            <v>DEARBORN PLANT BUILD</v>
          </cell>
          <cell r="S708" t="str">
            <v>P221/P397</v>
          </cell>
          <cell r="T708" t="str">
            <v>AIR BAG LIGHT ON</v>
          </cell>
          <cell r="U708" t="str">
            <v xml:space="preserve"> NPF</v>
          </cell>
          <cell r="V708" t="str">
            <v>ALL</v>
          </cell>
          <cell r="W708">
            <v>1</v>
          </cell>
          <cell r="AD708">
            <v>1</v>
          </cell>
        </row>
        <row r="709">
          <cell r="A709">
            <v>0</v>
          </cell>
          <cell r="B709" t="str">
            <v>ALL VRTS</v>
          </cell>
          <cell r="D709">
            <v>10</v>
          </cell>
          <cell r="I709" t="str">
            <v>S39</v>
          </cell>
          <cell r="L709" t="str">
            <v>V05</v>
          </cell>
          <cell r="N709">
            <v>0</v>
          </cell>
          <cell r="O709">
            <v>-1</v>
          </cell>
          <cell r="P709">
            <v>0</v>
          </cell>
          <cell r="Q709">
            <v>2004</v>
          </cell>
          <cell r="R709" t="str">
            <v>DEARBORN PLANT BUILD</v>
          </cell>
          <cell r="S709" t="str">
            <v>P221/P397</v>
          </cell>
          <cell r="T709" t="str">
            <v>AIR BAG LIGHT ON</v>
          </cell>
          <cell r="U709" t="str">
            <v>B1884 BROKEN WIRE</v>
          </cell>
          <cell r="V709" t="str">
            <v>ALL</v>
          </cell>
          <cell r="W709">
            <v>1</v>
          </cell>
          <cell r="AC709">
            <v>1</v>
          </cell>
        </row>
        <row r="710">
          <cell r="A710">
            <v>0</v>
          </cell>
          <cell r="B710" t="str">
            <v>ALL VRTS</v>
          </cell>
          <cell r="D710">
            <v>10</v>
          </cell>
          <cell r="I710" t="str">
            <v>S39</v>
          </cell>
          <cell r="L710" t="str">
            <v>V05</v>
          </cell>
          <cell r="N710">
            <v>0</v>
          </cell>
          <cell r="O710">
            <v>-1</v>
          </cell>
          <cell r="P710">
            <v>0</v>
          </cell>
          <cell r="Q710">
            <v>2004</v>
          </cell>
          <cell r="R710" t="str">
            <v>DEARBORN PLANT BUILD</v>
          </cell>
          <cell r="S710" t="str">
            <v>P221/P397</v>
          </cell>
          <cell r="T710" t="str">
            <v>AIR BAG LIGHT ON</v>
          </cell>
          <cell r="U710" t="str">
            <v>B1884 PLUG DISCONNECT</v>
          </cell>
          <cell r="V710" t="str">
            <v>ALL</v>
          </cell>
          <cell r="W710">
            <v>1</v>
          </cell>
          <cell r="AE710">
            <v>1</v>
          </cell>
        </row>
        <row r="711">
          <cell r="A711">
            <v>0</v>
          </cell>
          <cell r="B711" t="str">
            <v>ALL VRTS</v>
          </cell>
          <cell r="D711">
            <v>10</v>
          </cell>
          <cell r="I711" t="str">
            <v>S38</v>
          </cell>
          <cell r="L711" t="str">
            <v>V05</v>
          </cell>
          <cell r="N711">
            <v>0</v>
          </cell>
          <cell r="O711">
            <v>-1</v>
          </cell>
          <cell r="P711">
            <v>0</v>
          </cell>
          <cell r="Q711">
            <v>2004</v>
          </cell>
          <cell r="R711" t="str">
            <v>DEARBORN PLANT BUILD</v>
          </cell>
          <cell r="S711" t="str">
            <v>P221/P397</v>
          </cell>
          <cell r="T711" t="str">
            <v>AIR BAG LIGHT ON</v>
          </cell>
          <cell r="U711" t="str">
            <v>B2293 REPLACE CLOCK SPRING</v>
          </cell>
          <cell r="V711" t="str">
            <v>ALL</v>
          </cell>
          <cell r="W711">
            <v>1</v>
          </cell>
          <cell r="Z711">
            <v>1</v>
          </cell>
        </row>
        <row r="712">
          <cell r="A712">
            <v>0</v>
          </cell>
          <cell r="B712" t="str">
            <v>ALL VRTS</v>
          </cell>
          <cell r="D712">
            <v>10</v>
          </cell>
          <cell r="I712" t="str">
            <v>S39</v>
          </cell>
          <cell r="L712" t="str">
            <v>V05</v>
          </cell>
          <cell r="N712">
            <v>0</v>
          </cell>
          <cell r="O712">
            <v>-1</v>
          </cell>
          <cell r="P712">
            <v>0</v>
          </cell>
          <cell r="Q712">
            <v>2004</v>
          </cell>
          <cell r="R712" t="str">
            <v>DEARBORN PLANT BUILD</v>
          </cell>
          <cell r="S712" t="str">
            <v>P221/P397</v>
          </cell>
          <cell r="T712" t="str">
            <v>AIR BAG LIGHT ON</v>
          </cell>
          <cell r="U712" t="str">
            <v>B2691 REPAIR WIRE HARNESS-KINKED</v>
          </cell>
          <cell r="V712" t="str">
            <v>ALL</v>
          </cell>
          <cell r="W712">
            <v>1</v>
          </cell>
          <cell r="Z712">
            <v>1</v>
          </cell>
        </row>
        <row r="713">
          <cell r="A713">
            <v>0</v>
          </cell>
          <cell r="B713" t="str">
            <v>ALL VRTS</v>
          </cell>
          <cell r="D713">
            <v>10</v>
          </cell>
          <cell r="E713" t="str">
            <v>6500</v>
          </cell>
          <cell r="G713" t="str">
            <v>C4W20R</v>
          </cell>
          <cell r="I713" t="str">
            <v>S39</v>
          </cell>
          <cell r="L713" t="str">
            <v>V05</v>
          </cell>
          <cell r="N713">
            <v>0</v>
          </cell>
          <cell r="O713">
            <v>0</v>
          </cell>
          <cell r="P713">
            <v>-1</v>
          </cell>
          <cell r="Q713">
            <v>2004</v>
          </cell>
          <cell r="R713" t="str">
            <v>DEARBORN PLANT BUILD</v>
          </cell>
          <cell r="S713" t="str">
            <v>P221/P397</v>
          </cell>
          <cell r="T713" t="str">
            <v>AIR BAG LIGHT ON</v>
          </cell>
          <cell r="U713" t="str">
            <v>B2909 PINCHED WIRE</v>
          </cell>
          <cell r="V713" t="str">
            <v>ALL</v>
          </cell>
          <cell r="W713">
            <v>1</v>
          </cell>
          <cell r="AC713">
            <v>1</v>
          </cell>
        </row>
        <row r="714">
          <cell r="A714">
            <v>0</v>
          </cell>
          <cell r="B714" t="str">
            <v>ALL VRTS</v>
          </cell>
          <cell r="D714">
            <v>10</v>
          </cell>
          <cell r="I714" t="str">
            <v>S39</v>
          </cell>
          <cell r="L714" t="str">
            <v>V05</v>
          </cell>
          <cell r="N714">
            <v>0</v>
          </cell>
          <cell r="O714">
            <v>-1</v>
          </cell>
          <cell r="P714">
            <v>0</v>
          </cell>
          <cell r="Q714">
            <v>2004</v>
          </cell>
          <cell r="R714" t="str">
            <v>DEARBORN PLANT BUILD</v>
          </cell>
          <cell r="S714" t="str">
            <v>P221/P397</v>
          </cell>
          <cell r="T714" t="str">
            <v>AIR BAG LIGHT ON</v>
          </cell>
          <cell r="U714" t="str">
            <v>WIRE PINCH/IP</v>
          </cell>
          <cell r="V714" t="str">
            <v>ALL</v>
          </cell>
          <cell r="W714">
            <v>1</v>
          </cell>
          <cell r="AE714">
            <v>1</v>
          </cell>
        </row>
        <row r="715">
          <cell r="A715">
            <v>0</v>
          </cell>
          <cell r="B715" t="str">
            <v>ALL VRTS</v>
          </cell>
          <cell r="D715">
            <v>10</v>
          </cell>
          <cell r="I715" t="str">
            <v>E69</v>
          </cell>
          <cell r="J715" t="str">
            <v>D50</v>
          </cell>
          <cell r="L715" t="str">
            <v>V44</v>
          </cell>
          <cell r="N715">
            <v>0</v>
          </cell>
          <cell r="O715">
            <v>-1</v>
          </cell>
          <cell r="P715">
            <v>0</v>
          </cell>
          <cell r="Q715">
            <v>2004</v>
          </cell>
          <cell r="R715" t="str">
            <v>DEARBORN PLANT BUILD</v>
          </cell>
          <cell r="S715" t="str">
            <v>P221/P397</v>
          </cell>
          <cell r="T715" t="str">
            <v>ENGINE OIL LEVEL</v>
          </cell>
          <cell r="U715" t="str">
            <v>engine oil low during PDI insp.</v>
          </cell>
          <cell r="V715" t="str">
            <v>ALL</v>
          </cell>
          <cell r="W715">
            <v>10</v>
          </cell>
          <cell r="Y715">
            <v>1</v>
          </cell>
          <cell r="AB715">
            <v>2</v>
          </cell>
          <cell r="AC715">
            <v>1</v>
          </cell>
          <cell r="AD715">
            <v>2</v>
          </cell>
          <cell r="AE715">
            <v>4</v>
          </cell>
        </row>
        <row r="716">
          <cell r="A716">
            <v>0</v>
          </cell>
          <cell r="B716" t="str">
            <v>ALL VRTS</v>
          </cell>
          <cell r="D716">
            <v>10</v>
          </cell>
          <cell r="I716" t="str">
            <v>L29</v>
          </cell>
          <cell r="J716" t="str">
            <v>L26</v>
          </cell>
          <cell r="L716" t="str">
            <v>V77</v>
          </cell>
          <cell r="N716">
            <v>0</v>
          </cell>
          <cell r="O716">
            <v>-1</v>
          </cell>
          <cell r="P716">
            <v>0</v>
          </cell>
          <cell r="Q716">
            <v>2004</v>
          </cell>
          <cell r="R716" t="str">
            <v>DEARBORN PLANT BUILD</v>
          </cell>
          <cell r="S716" t="str">
            <v>P221/P397</v>
          </cell>
          <cell r="T716" t="str">
            <v>Fog Lights INOP</v>
          </cell>
          <cell r="U716" t="str">
            <v>Replace Fog Light.</v>
          </cell>
          <cell r="V716" t="str">
            <v>ALL</v>
          </cell>
          <cell r="W716">
            <v>5</v>
          </cell>
          <cell r="AA716">
            <v>1</v>
          </cell>
          <cell r="AB716">
            <v>2</v>
          </cell>
          <cell r="AE716">
            <v>2</v>
          </cell>
        </row>
        <row r="717">
          <cell r="A717">
            <v>0</v>
          </cell>
          <cell r="B717" t="str">
            <v>ALL VRTS</v>
          </cell>
          <cell r="D717">
            <v>10</v>
          </cell>
          <cell r="I717" t="str">
            <v>L25</v>
          </cell>
          <cell r="J717" t="str">
            <v>L29</v>
          </cell>
          <cell r="L717" t="str">
            <v>V77</v>
          </cell>
          <cell r="N717">
            <v>0</v>
          </cell>
          <cell r="O717">
            <v>-1</v>
          </cell>
          <cell r="P717">
            <v>0</v>
          </cell>
          <cell r="Q717">
            <v>2004</v>
          </cell>
          <cell r="R717" t="str">
            <v>DEARBORN PLANT BUILD</v>
          </cell>
          <cell r="S717" t="str">
            <v>P221/P397</v>
          </cell>
          <cell r="T717" t="str">
            <v>Fog Lights INOP</v>
          </cell>
          <cell r="U717" t="str">
            <v>Replace bulb</v>
          </cell>
          <cell r="V717" t="str">
            <v>ALL</v>
          </cell>
          <cell r="W717">
            <v>2</v>
          </cell>
          <cell r="AD717">
            <v>1</v>
          </cell>
          <cell r="AE717">
            <v>1</v>
          </cell>
        </row>
        <row r="718">
          <cell r="A718">
            <v>0</v>
          </cell>
          <cell r="B718" t="str">
            <v>ALL VRTS</v>
          </cell>
          <cell r="D718">
            <v>10</v>
          </cell>
          <cell r="I718" t="str">
            <v>L29</v>
          </cell>
          <cell r="L718" t="str">
            <v>V77</v>
          </cell>
          <cell r="N718">
            <v>0</v>
          </cell>
          <cell r="O718">
            <v>-1</v>
          </cell>
          <cell r="P718">
            <v>0</v>
          </cell>
          <cell r="Q718">
            <v>2004</v>
          </cell>
          <cell r="R718" t="str">
            <v>DEARBORN PLANT BUILD</v>
          </cell>
          <cell r="S718" t="str">
            <v>P221/P397</v>
          </cell>
          <cell r="T718" t="str">
            <v>Fog Lights INOP</v>
          </cell>
          <cell r="U718" t="str">
            <v>Assembly Replaced</v>
          </cell>
          <cell r="V718" t="str">
            <v>ALL</v>
          </cell>
          <cell r="W718">
            <v>1</v>
          </cell>
          <cell r="AC718">
            <v>1</v>
          </cell>
        </row>
        <row r="719">
          <cell r="A719">
            <v>0</v>
          </cell>
          <cell r="B719" t="str">
            <v>ALL VRTS</v>
          </cell>
          <cell r="D719">
            <v>10</v>
          </cell>
          <cell r="I719" t="str">
            <v>L26</v>
          </cell>
          <cell r="L719" t="str">
            <v>V77</v>
          </cell>
          <cell r="N719">
            <v>0</v>
          </cell>
          <cell r="O719">
            <v>-1</v>
          </cell>
          <cell r="P719">
            <v>0</v>
          </cell>
          <cell r="Q719">
            <v>2004</v>
          </cell>
          <cell r="R719" t="str">
            <v>DEARBORN PLANT BUILD</v>
          </cell>
          <cell r="S719" t="str">
            <v>P221/P397</v>
          </cell>
          <cell r="T719" t="str">
            <v>Fog Lights INOP</v>
          </cell>
          <cell r="U719" t="str">
            <v>Fuse blown</v>
          </cell>
          <cell r="V719" t="str">
            <v>ALL</v>
          </cell>
          <cell r="W719">
            <v>1</v>
          </cell>
          <cell r="AE719">
            <v>1</v>
          </cell>
        </row>
        <row r="720">
          <cell r="A720">
            <v>0</v>
          </cell>
          <cell r="B720" t="str">
            <v>ALL VRTS</v>
          </cell>
          <cell r="D720">
            <v>10</v>
          </cell>
          <cell r="I720" t="str">
            <v>L26</v>
          </cell>
          <cell r="L720" t="str">
            <v>V77</v>
          </cell>
          <cell r="N720">
            <v>0</v>
          </cell>
          <cell r="O720">
            <v>0</v>
          </cell>
          <cell r="P720">
            <v>-1</v>
          </cell>
          <cell r="Q720">
            <v>2004</v>
          </cell>
          <cell r="R720" t="str">
            <v>DEARBORN PLANT BUILD</v>
          </cell>
          <cell r="S720" t="str">
            <v>P221/P397</v>
          </cell>
          <cell r="T720" t="str">
            <v>Fog Lights INOP</v>
          </cell>
          <cell r="U720" t="str">
            <v>Pinched Wire.</v>
          </cell>
          <cell r="V720" t="str">
            <v>ALL</v>
          </cell>
          <cell r="W720">
            <v>1</v>
          </cell>
          <cell r="AB720">
            <v>1</v>
          </cell>
        </row>
        <row r="721">
          <cell r="A721">
            <v>0</v>
          </cell>
          <cell r="B721" t="str">
            <v>ALL VRTS</v>
          </cell>
          <cell r="C721" t="str">
            <v>X</v>
          </cell>
          <cell r="D721">
            <v>10</v>
          </cell>
          <cell r="E721" t="str">
            <v>6480</v>
          </cell>
          <cell r="G721" t="str">
            <v>C4E11L</v>
          </cell>
          <cell r="I721" t="str">
            <v>H04</v>
          </cell>
          <cell r="J721" t="str">
            <v>H20</v>
          </cell>
          <cell r="L721" t="str">
            <v>V21</v>
          </cell>
          <cell r="N721">
            <v>0</v>
          </cell>
          <cell r="O721">
            <v>0</v>
          </cell>
          <cell r="P721">
            <v>-1</v>
          </cell>
          <cell r="Q721">
            <v>2004</v>
          </cell>
          <cell r="R721" t="str">
            <v>DEARBORN PLANT BUILD</v>
          </cell>
          <cell r="S721" t="str">
            <v>P221/P397</v>
          </cell>
          <cell r="T721" t="str">
            <v>PARK BRAKE, INOP.</v>
          </cell>
          <cell r="U721" t="str">
            <v>PARK BRAKE INPROPERLY INSTALLED</v>
          </cell>
          <cell r="V721" t="str">
            <v>ALL</v>
          </cell>
          <cell r="W721">
            <v>9</v>
          </cell>
          <cell r="AA721">
            <v>1</v>
          </cell>
          <cell r="AB721">
            <v>2</v>
          </cell>
          <cell r="AC721">
            <v>1</v>
          </cell>
          <cell r="AD721">
            <v>2</v>
          </cell>
          <cell r="AE721">
            <v>3</v>
          </cell>
        </row>
        <row r="722">
          <cell r="A722">
            <v>0</v>
          </cell>
          <cell r="B722" t="str">
            <v>ALL VRTS</v>
          </cell>
          <cell r="C722" t="str">
            <v>X</v>
          </cell>
          <cell r="D722">
            <v>10</v>
          </cell>
          <cell r="I722" t="str">
            <v>H02</v>
          </cell>
          <cell r="L722" t="str">
            <v>V21</v>
          </cell>
          <cell r="N722">
            <v>0</v>
          </cell>
          <cell r="O722">
            <v>-1</v>
          </cell>
          <cell r="P722">
            <v>0</v>
          </cell>
          <cell r="Q722">
            <v>2004</v>
          </cell>
          <cell r="R722" t="str">
            <v>DEARBORN PLANT BUILD</v>
          </cell>
          <cell r="S722" t="str">
            <v>P221/P397</v>
          </cell>
          <cell r="T722" t="str">
            <v>PARK BRAKE, INOP.</v>
          </cell>
          <cell r="U722" t="str">
            <v>E BRAKE SHOES CAME LOOSE - FIXED OR REPLACED PARTS</v>
          </cell>
          <cell r="V722" t="str">
            <v>ALL</v>
          </cell>
          <cell r="W722">
            <v>1</v>
          </cell>
          <cell r="AC722">
            <v>1</v>
          </cell>
        </row>
        <row r="723">
          <cell r="A723">
            <v>0</v>
          </cell>
          <cell r="B723" t="str">
            <v>ALL VRTS</v>
          </cell>
          <cell r="C723" t="str">
            <v>X</v>
          </cell>
          <cell r="D723">
            <v>10</v>
          </cell>
          <cell r="E723" t="str">
            <v>7330</v>
          </cell>
          <cell r="G723" t="str">
            <v>m12</v>
          </cell>
          <cell r="I723" t="str">
            <v>C50</v>
          </cell>
          <cell r="L723" t="str">
            <v>V87</v>
          </cell>
          <cell r="N723">
            <v>0</v>
          </cell>
          <cell r="O723">
            <v>0</v>
          </cell>
          <cell r="P723">
            <v>-1</v>
          </cell>
          <cell r="Q723">
            <v>2004</v>
          </cell>
          <cell r="R723" t="str">
            <v>DEARBORN PLANT BUILD</v>
          </cell>
          <cell r="S723" t="str">
            <v>P221/P397</v>
          </cell>
          <cell r="T723" t="str">
            <v>STEERING, NOISE</v>
          </cell>
          <cell r="U723" t="str">
            <v>ALIGNMENT</v>
          </cell>
          <cell r="V723" t="str">
            <v>ALL</v>
          </cell>
          <cell r="W723">
            <v>1</v>
          </cell>
          <cell r="AE723">
            <v>1</v>
          </cell>
        </row>
        <row r="724">
          <cell r="A724">
            <v>0</v>
          </cell>
          <cell r="B724" t="str">
            <v>ALL VRTS</v>
          </cell>
          <cell r="C724" t="str">
            <v>X</v>
          </cell>
          <cell r="D724">
            <v>10</v>
          </cell>
          <cell r="I724" t="str">
            <v>N58</v>
          </cell>
          <cell r="L724" t="str">
            <v>V87</v>
          </cell>
          <cell r="N724">
            <v>0</v>
          </cell>
          <cell r="O724">
            <v>-1</v>
          </cell>
          <cell r="P724">
            <v>0</v>
          </cell>
          <cell r="Q724">
            <v>2004</v>
          </cell>
          <cell r="R724" t="str">
            <v>DEARBORN PLANT BUILD</v>
          </cell>
          <cell r="S724" t="str">
            <v>P221/P397</v>
          </cell>
          <cell r="T724" t="str">
            <v>STEERING, NOISE</v>
          </cell>
          <cell r="U724" t="str">
            <v>AXLE SHAFT - LUBED</v>
          </cell>
          <cell r="V724" t="str">
            <v>ALL</v>
          </cell>
          <cell r="W724">
            <v>1</v>
          </cell>
          <cell r="Z724">
            <v>1</v>
          </cell>
        </row>
        <row r="725">
          <cell r="A725">
            <v>0</v>
          </cell>
          <cell r="B725" t="str">
            <v>ALL VRTS</v>
          </cell>
          <cell r="C725" t="str">
            <v>X</v>
          </cell>
          <cell r="D725">
            <v>10</v>
          </cell>
          <cell r="E725" t="str">
            <v>6400</v>
          </cell>
          <cell r="G725" t="str">
            <v>C1W46B</v>
          </cell>
          <cell r="I725" t="str">
            <v>N58</v>
          </cell>
          <cell r="L725" t="str">
            <v>V87</v>
          </cell>
          <cell r="N725">
            <v>0</v>
          </cell>
          <cell r="O725">
            <v>0</v>
          </cell>
          <cell r="P725">
            <v>-1</v>
          </cell>
          <cell r="Q725">
            <v>2004</v>
          </cell>
          <cell r="R725" t="str">
            <v>DEARBORN PLANT BUILD</v>
          </cell>
          <cell r="S725" t="str">
            <v>P221/P397</v>
          </cell>
          <cell r="T725" t="str">
            <v>STEERING, NOISE</v>
          </cell>
          <cell r="U725" t="str">
            <v>DRIVE SHAFT REINDEXED</v>
          </cell>
          <cell r="V725" t="str">
            <v>ALL</v>
          </cell>
          <cell r="W725">
            <v>1</v>
          </cell>
          <cell r="Z725">
            <v>1</v>
          </cell>
        </row>
        <row r="726">
          <cell r="A726">
            <v>0</v>
          </cell>
          <cell r="B726" t="str">
            <v>ALL VRTS</v>
          </cell>
          <cell r="C726" t="str">
            <v>X</v>
          </cell>
          <cell r="D726">
            <v>10</v>
          </cell>
          <cell r="E726" t="str">
            <v>6370</v>
          </cell>
          <cell r="G726" t="str">
            <v>C1E13F - LOWER CONTROL ARM LOOSE (TL#1)</v>
          </cell>
          <cell r="I726" t="str">
            <v>E35</v>
          </cell>
          <cell r="L726" t="str">
            <v>V89</v>
          </cell>
          <cell r="N726">
            <v>0</v>
          </cell>
          <cell r="O726">
            <v>0</v>
          </cell>
          <cell r="P726">
            <v>-1</v>
          </cell>
          <cell r="Q726">
            <v>2004</v>
          </cell>
          <cell r="R726" t="str">
            <v>DEARBORN PLANT BUILD</v>
          </cell>
          <cell r="S726" t="str">
            <v>P221/P397</v>
          </cell>
          <cell r="T726" t="str">
            <v>STEERING, NOISE</v>
          </cell>
          <cell r="U726" t="str">
            <v>LOWER CONTROL ARM LOOSE - TIGHTENED</v>
          </cell>
          <cell r="V726" t="str">
            <v>ALL</v>
          </cell>
          <cell r="W726">
            <v>1</v>
          </cell>
          <cell r="AD726">
            <v>1</v>
          </cell>
        </row>
        <row r="727">
          <cell r="A727">
            <v>0</v>
          </cell>
          <cell r="B727" t="str">
            <v>ALL VRTS</v>
          </cell>
          <cell r="C727" t="str">
            <v>X</v>
          </cell>
          <cell r="D727">
            <v>10</v>
          </cell>
          <cell r="I727" t="str">
            <v>N58</v>
          </cell>
          <cell r="L727" t="str">
            <v>V87</v>
          </cell>
          <cell r="N727">
            <v>-1</v>
          </cell>
          <cell r="O727">
            <v>-1</v>
          </cell>
          <cell r="P727">
            <v>0</v>
          </cell>
          <cell r="Q727">
            <v>2004</v>
          </cell>
          <cell r="R727" t="str">
            <v>DEARBORN PLANT BUILD</v>
          </cell>
          <cell r="S727" t="str">
            <v>P221/P397</v>
          </cell>
          <cell r="T727" t="str">
            <v>STEERING, NOISE</v>
          </cell>
          <cell r="U727" t="str">
            <v>LUBED STEERING STOPS</v>
          </cell>
          <cell r="V727" t="str">
            <v>ALL</v>
          </cell>
          <cell r="W727">
            <v>1</v>
          </cell>
          <cell r="AE727">
            <v>1</v>
          </cell>
        </row>
        <row r="728">
          <cell r="A728">
            <v>0</v>
          </cell>
          <cell r="B728" t="str">
            <v>ALL VRTS</v>
          </cell>
          <cell r="C728" t="str">
            <v>X</v>
          </cell>
          <cell r="D728">
            <v>10</v>
          </cell>
          <cell r="I728" t="str">
            <v>N58</v>
          </cell>
          <cell r="L728" t="str">
            <v>V87</v>
          </cell>
          <cell r="N728">
            <v>-1</v>
          </cell>
          <cell r="O728">
            <v>-1</v>
          </cell>
          <cell r="P728">
            <v>0</v>
          </cell>
          <cell r="Q728">
            <v>2004</v>
          </cell>
          <cell r="R728" t="str">
            <v>DEARBORN PLANT BUILD</v>
          </cell>
          <cell r="S728" t="str">
            <v>P221/P397</v>
          </cell>
          <cell r="T728" t="str">
            <v>STEERING, NOISE</v>
          </cell>
          <cell r="U728" t="str">
            <v>npf</v>
          </cell>
          <cell r="V728" t="str">
            <v>ALL</v>
          </cell>
          <cell r="W728">
            <v>1</v>
          </cell>
          <cell r="AD728">
            <v>1</v>
          </cell>
        </row>
        <row r="729">
          <cell r="A729">
            <v>0</v>
          </cell>
          <cell r="B729" t="str">
            <v>ALL VRTS</v>
          </cell>
          <cell r="C729" t="str">
            <v>X</v>
          </cell>
          <cell r="D729">
            <v>10</v>
          </cell>
          <cell r="I729" t="str">
            <v>N58</v>
          </cell>
          <cell r="L729" t="str">
            <v>V87</v>
          </cell>
          <cell r="N729">
            <v>0</v>
          </cell>
          <cell r="O729">
            <v>-1</v>
          </cell>
          <cell r="P729">
            <v>0</v>
          </cell>
          <cell r="Q729">
            <v>2004</v>
          </cell>
          <cell r="R729" t="str">
            <v>DEARBORN PLANT BUILD</v>
          </cell>
          <cell r="S729" t="str">
            <v>P221/P397</v>
          </cell>
          <cell r="T729" t="str">
            <v>STEERING, NOISE</v>
          </cell>
          <cell r="U729" t="str">
            <v>POWER STEERING PRESSURE LINE - REPLACED</v>
          </cell>
          <cell r="V729" t="str">
            <v>ALL</v>
          </cell>
          <cell r="W729">
            <v>1</v>
          </cell>
          <cell r="AD729">
            <v>1</v>
          </cell>
        </row>
        <row r="730">
          <cell r="A730">
            <v>0</v>
          </cell>
          <cell r="B730" t="str">
            <v>ALL VRTS</v>
          </cell>
          <cell r="C730" t="str">
            <v>X</v>
          </cell>
          <cell r="D730">
            <v>10</v>
          </cell>
          <cell r="I730" t="str">
            <v>N58</v>
          </cell>
          <cell r="L730" t="str">
            <v>V87</v>
          </cell>
          <cell r="N730">
            <v>0</v>
          </cell>
          <cell r="O730">
            <v>-1</v>
          </cell>
          <cell r="P730">
            <v>0</v>
          </cell>
          <cell r="Q730">
            <v>2004</v>
          </cell>
          <cell r="R730" t="str">
            <v>DEARBORN PLANT BUILD</v>
          </cell>
          <cell r="S730" t="str">
            <v>P221/P397</v>
          </cell>
          <cell r="T730" t="str">
            <v>STEERING, NOISE</v>
          </cell>
          <cell r="U730" t="str">
            <v>POWER STEERING PUMP- REPLACED</v>
          </cell>
          <cell r="V730" t="str">
            <v>ALL</v>
          </cell>
          <cell r="W730">
            <v>1</v>
          </cell>
          <cell r="AE730">
            <v>1</v>
          </cell>
        </row>
        <row r="731">
          <cell r="A731">
            <v>0</v>
          </cell>
          <cell r="B731" t="str">
            <v>ALL VRTS</v>
          </cell>
          <cell r="C731" t="str">
            <v>X</v>
          </cell>
          <cell r="D731">
            <v>10</v>
          </cell>
          <cell r="I731" t="str">
            <v>L68</v>
          </cell>
          <cell r="L731" t="str">
            <v>V87</v>
          </cell>
          <cell r="N731">
            <v>0</v>
          </cell>
          <cell r="O731">
            <v>-1</v>
          </cell>
          <cell r="P731">
            <v>0</v>
          </cell>
          <cell r="Q731">
            <v>2004</v>
          </cell>
          <cell r="R731" t="str">
            <v>DEARBORN PLANT BUILD</v>
          </cell>
          <cell r="S731" t="str">
            <v>P221/P397</v>
          </cell>
          <cell r="T731" t="str">
            <v>STEERING, NOISE</v>
          </cell>
          <cell r="U731" t="str">
            <v>RACK &amp; PINION - REPLACED</v>
          </cell>
          <cell r="V731" t="str">
            <v>ALL</v>
          </cell>
          <cell r="W731">
            <v>1</v>
          </cell>
          <cell r="AD731">
            <v>1</v>
          </cell>
        </row>
        <row r="732">
          <cell r="A732">
            <v>0</v>
          </cell>
          <cell r="B732" t="str">
            <v>ALL VRTS</v>
          </cell>
          <cell r="C732" t="str">
            <v>X</v>
          </cell>
          <cell r="D732">
            <v>10</v>
          </cell>
          <cell r="E732" t="str">
            <v>6370</v>
          </cell>
          <cell r="G732" t="str">
            <v>C1E11F</v>
          </cell>
          <cell r="I732" t="str">
            <v>C50</v>
          </cell>
          <cell r="L732" t="str">
            <v>V89</v>
          </cell>
          <cell r="N732">
            <v>0</v>
          </cell>
          <cell r="O732">
            <v>0</v>
          </cell>
          <cell r="P732">
            <v>-1</v>
          </cell>
          <cell r="Q732">
            <v>2004</v>
          </cell>
          <cell r="R732" t="str">
            <v>DEARBORN PLANT BUILD</v>
          </cell>
          <cell r="S732" t="str">
            <v>P221/P397</v>
          </cell>
          <cell r="T732" t="str">
            <v>STEERING, NOISE</v>
          </cell>
          <cell r="U732" t="str">
            <v>ring &amp; pinion loose</v>
          </cell>
          <cell r="V732" t="str">
            <v>ALL</v>
          </cell>
          <cell r="W732">
            <v>1</v>
          </cell>
          <cell r="AE732">
            <v>1</v>
          </cell>
        </row>
        <row r="733">
          <cell r="A733">
            <v>0</v>
          </cell>
          <cell r="B733" t="str">
            <v>ALL VRTS</v>
          </cell>
          <cell r="D733">
            <v>9</v>
          </cell>
          <cell r="I733" t="str">
            <v>T50</v>
          </cell>
          <cell r="L733" t="str">
            <v>V71</v>
          </cell>
          <cell r="N733">
            <v>0</v>
          </cell>
          <cell r="O733">
            <v>-1</v>
          </cell>
          <cell r="P733">
            <v>0</v>
          </cell>
          <cell r="Q733">
            <v>2004</v>
          </cell>
          <cell r="R733" t="str">
            <v>DEARBORN PLANT BUILD</v>
          </cell>
          <cell r="S733" t="str">
            <v>P221/P397</v>
          </cell>
          <cell r="T733" t="str">
            <v>CENTER CONSOLE</v>
          </cell>
          <cell r="U733" t="str">
            <v>CUPHOLDER LOOSE</v>
          </cell>
          <cell r="V733" t="str">
            <v>ALL</v>
          </cell>
          <cell r="W733">
            <v>2</v>
          </cell>
          <cell r="AA733">
            <v>1</v>
          </cell>
          <cell r="AD733">
            <v>1</v>
          </cell>
        </row>
        <row r="734">
          <cell r="A734">
            <v>0</v>
          </cell>
          <cell r="B734" t="str">
            <v>ALL VRTS</v>
          </cell>
          <cell r="D734">
            <v>9</v>
          </cell>
          <cell r="I734" t="str">
            <v>B92</v>
          </cell>
          <cell r="L734" t="str">
            <v>V71</v>
          </cell>
          <cell r="N734">
            <v>0</v>
          </cell>
          <cell r="O734">
            <v>-1</v>
          </cell>
          <cell r="P734">
            <v>0</v>
          </cell>
          <cell r="Q734">
            <v>2004</v>
          </cell>
          <cell r="R734" t="str">
            <v>DEARBORN PLANT BUILD</v>
          </cell>
          <cell r="S734" t="str">
            <v>P221/P397</v>
          </cell>
          <cell r="T734" t="str">
            <v>CENTER CONSOLE</v>
          </cell>
          <cell r="U734" t="str">
            <v>DISCOLORED</v>
          </cell>
          <cell r="V734" t="str">
            <v>ALL</v>
          </cell>
          <cell r="W734">
            <v>1</v>
          </cell>
          <cell r="AD734">
            <v>1</v>
          </cell>
        </row>
        <row r="735">
          <cell r="A735">
            <v>0</v>
          </cell>
          <cell r="B735" t="str">
            <v>ALL VRTS</v>
          </cell>
          <cell r="D735">
            <v>9</v>
          </cell>
          <cell r="E735" t="str">
            <v>6540</v>
          </cell>
          <cell r="G735" t="str">
            <v>C5E19L</v>
          </cell>
          <cell r="I735" t="str">
            <v>B74</v>
          </cell>
          <cell r="L735" t="str">
            <v>V74</v>
          </cell>
          <cell r="N735">
            <v>0</v>
          </cell>
          <cell r="O735">
            <v>0</v>
          </cell>
          <cell r="P735">
            <v>-1</v>
          </cell>
          <cell r="Q735">
            <v>2004</v>
          </cell>
          <cell r="R735" t="str">
            <v>DEARBORN PLANT BUILD</v>
          </cell>
          <cell r="S735" t="str">
            <v>P221/P397</v>
          </cell>
          <cell r="T735" t="str">
            <v>CENTER CONSOLE</v>
          </cell>
          <cell r="U735" t="str">
            <v>LOOSE,TRIM</v>
          </cell>
          <cell r="V735" t="str">
            <v>ALL</v>
          </cell>
          <cell r="W735">
            <v>1</v>
          </cell>
          <cell r="AC735">
            <v>1</v>
          </cell>
        </row>
        <row r="736">
          <cell r="A736">
            <v>0</v>
          </cell>
          <cell r="B736" t="str">
            <v>ALL VRTS</v>
          </cell>
          <cell r="D736">
            <v>9</v>
          </cell>
          <cell r="E736" t="str">
            <v>6520</v>
          </cell>
          <cell r="G736" t="str">
            <v>C5E05L</v>
          </cell>
          <cell r="I736" t="str">
            <v>B92</v>
          </cell>
          <cell r="L736" t="str">
            <v>V71</v>
          </cell>
          <cell r="N736">
            <v>0</v>
          </cell>
          <cell r="O736">
            <v>0</v>
          </cell>
          <cell r="P736">
            <v>-1</v>
          </cell>
          <cell r="Q736">
            <v>2004</v>
          </cell>
          <cell r="R736" t="str">
            <v>DEARBORN PLANT BUILD</v>
          </cell>
          <cell r="S736" t="str">
            <v>P221/P397</v>
          </cell>
          <cell r="T736" t="str">
            <v>CENTER CONSOLE</v>
          </cell>
          <cell r="U736" t="str">
            <v>MISBUILD WRONG COLOR</v>
          </cell>
          <cell r="V736" t="str">
            <v>ALL</v>
          </cell>
          <cell r="W736">
            <v>1</v>
          </cell>
          <cell r="AE736">
            <v>1</v>
          </cell>
        </row>
        <row r="737">
          <cell r="A737">
            <v>0</v>
          </cell>
          <cell r="B737" t="str">
            <v>ALL VRTS</v>
          </cell>
          <cell r="D737">
            <v>9</v>
          </cell>
          <cell r="E737" t="str">
            <v>6530</v>
          </cell>
          <cell r="G737" t="str">
            <v>C5E07L</v>
          </cell>
          <cell r="I737" t="str">
            <v>B95</v>
          </cell>
          <cell r="L737" t="str">
            <v>V71</v>
          </cell>
          <cell r="N737">
            <v>0</v>
          </cell>
          <cell r="O737">
            <v>0</v>
          </cell>
          <cell r="P737">
            <v>-1</v>
          </cell>
          <cell r="Q737">
            <v>2004</v>
          </cell>
          <cell r="R737" t="str">
            <v>DEARBORN PLANT BUILD</v>
          </cell>
          <cell r="S737" t="str">
            <v>P221/P397</v>
          </cell>
          <cell r="T737" t="str">
            <v>CENTER CONSOLE</v>
          </cell>
          <cell r="U737" t="str">
            <v>MISSING POWER OUTLET</v>
          </cell>
          <cell r="V737" t="str">
            <v>ALL</v>
          </cell>
          <cell r="W737">
            <v>1</v>
          </cell>
          <cell r="AA737">
            <v>1</v>
          </cell>
        </row>
        <row r="738">
          <cell r="A738">
            <v>0</v>
          </cell>
          <cell r="B738" t="str">
            <v>ALL VRTS</v>
          </cell>
          <cell r="D738">
            <v>9</v>
          </cell>
          <cell r="E738" t="str">
            <v>6520</v>
          </cell>
          <cell r="G738" t="str">
            <v>C5E05L</v>
          </cell>
          <cell r="I738" t="str">
            <v>B91</v>
          </cell>
          <cell r="L738" t="str">
            <v>V71</v>
          </cell>
          <cell r="N738">
            <v>0</v>
          </cell>
          <cell r="O738">
            <v>-1</v>
          </cell>
          <cell r="P738">
            <v>-1</v>
          </cell>
          <cell r="Q738">
            <v>2004</v>
          </cell>
          <cell r="R738" t="str">
            <v>DEARBORN PLANT BUILD</v>
          </cell>
          <cell r="S738" t="str">
            <v>P221/P397</v>
          </cell>
          <cell r="T738" t="str">
            <v>CENTER CONSOLE</v>
          </cell>
          <cell r="U738" t="str">
            <v>SHIFT LEVER SCRATCHED</v>
          </cell>
          <cell r="V738" t="str">
            <v>ALL</v>
          </cell>
          <cell r="W738">
            <v>1</v>
          </cell>
          <cell r="AD738">
            <v>1</v>
          </cell>
        </row>
        <row r="739">
          <cell r="A739">
            <v>0</v>
          </cell>
          <cell r="B739" t="str">
            <v>ALL VRTS</v>
          </cell>
          <cell r="D739">
            <v>9</v>
          </cell>
          <cell r="I739" t="str">
            <v>B91</v>
          </cell>
          <cell r="L739" t="str">
            <v>V71</v>
          </cell>
          <cell r="N739">
            <v>0</v>
          </cell>
          <cell r="O739">
            <v>-1</v>
          </cell>
          <cell r="P739">
            <v>0</v>
          </cell>
          <cell r="Q739">
            <v>2004</v>
          </cell>
          <cell r="R739" t="str">
            <v>DEARBORN PLANT BUILD</v>
          </cell>
          <cell r="S739" t="str">
            <v>P221/P397</v>
          </cell>
          <cell r="T739" t="str">
            <v>CENTER CONSOLE</v>
          </cell>
          <cell r="U739" t="str">
            <v>TRIM BROKEN</v>
          </cell>
          <cell r="V739" t="str">
            <v>ALL</v>
          </cell>
          <cell r="W739">
            <v>1</v>
          </cell>
          <cell r="AC739">
            <v>1</v>
          </cell>
        </row>
        <row r="740">
          <cell r="A740">
            <v>0</v>
          </cell>
          <cell r="B740" t="str">
            <v>ALL VRTS</v>
          </cell>
          <cell r="D740">
            <v>9</v>
          </cell>
          <cell r="E740" t="str">
            <v>6540</v>
          </cell>
          <cell r="G740" t="str">
            <v>C5E19L</v>
          </cell>
          <cell r="I740" t="str">
            <v>T54</v>
          </cell>
          <cell r="L740" t="str">
            <v>V74</v>
          </cell>
          <cell r="N740">
            <v>0</v>
          </cell>
          <cell r="O740">
            <v>0</v>
          </cell>
          <cell r="P740">
            <v>-1</v>
          </cell>
          <cell r="Q740">
            <v>2004</v>
          </cell>
          <cell r="R740" t="str">
            <v>DEARBORN PLANT BUILD</v>
          </cell>
          <cell r="S740" t="str">
            <v>P221/P397</v>
          </cell>
          <cell r="T740" t="str">
            <v>CENTER CONSOLE</v>
          </cell>
          <cell r="U740" t="str">
            <v>TRIM MISSING</v>
          </cell>
          <cell r="V740" t="str">
            <v>ALL</v>
          </cell>
          <cell r="W740">
            <v>1</v>
          </cell>
          <cell r="AE740">
            <v>1</v>
          </cell>
        </row>
        <row r="741">
          <cell r="A741">
            <v>0</v>
          </cell>
          <cell r="B741" t="str">
            <v>ALL VRTS</v>
          </cell>
          <cell r="D741">
            <v>9</v>
          </cell>
          <cell r="I741" t="str">
            <v>M05</v>
          </cell>
          <cell r="J741" t="str">
            <v>B66</v>
          </cell>
          <cell r="L741" t="str">
            <v>V13</v>
          </cell>
          <cell r="M741" t="str">
            <v>V75</v>
          </cell>
          <cell r="N741">
            <v>0</v>
          </cell>
          <cell r="O741">
            <v>-1</v>
          </cell>
          <cell r="P741">
            <v>0</v>
          </cell>
          <cell r="Q741">
            <v>2004</v>
          </cell>
          <cell r="R741" t="str">
            <v>DEARBORN PLANT BUILD</v>
          </cell>
          <cell r="S741" t="str">
            <v>P221/P397</v>
          </cell>
          <cell r="T741" t="str">
            <v>Door Mirror/ defective</v>
          </cell>
          <cell r="U741" t="str">
            <v>Door Mirror replaced</v>
          </cell>
          <cell r="V741" t="str">
            <v>ALL</v>
          </cell>
          <cell r="W741">
            <v>6</v>
          </cell>
          <cell r="AC741">
            <v>3</v>
          </cell>
          <cell r="AD741">
            <v>2</v>
          </cell>
          <cell r="AE741">
            <v>1</v>
          </cell>
        </row>
        <row r="742">
          <cell r="A742">
            <v>0</v>
          </cell>
          <cell r="B742" t="str">
            <v>ALL VRTS</v>
          </cell>
          <cell r="D742">
            <v>9</v>
          </cell>
          <cell r="I742" t="str">
            <v>M05</v>
          </cell>
          <cell r="J742" t="str">
            <v>M10</v>
          </cell>
          <cell r="L742" t="str">
            <v>V13</v>
          </cell>
          <cell r="N742">
            <v>0</v>
          </cell>
          <cell r="O742">
            <v>-1</v>
          </cell>
          <cell r="P742">
            <v>0</v>
          </cell>
          <cell r="Q742">
            <v>2004</v>
          </cell>
          <cell r="R742" t="str">
            <v>DEARBORN PLANT BUILD</v>
          </cell>
          <cell r="S742" t="str">
            <v>P221/P397</v>
          </cell>
          <cell r="T742" t="str">
            <v>Door Mirror/ defective</v>
          </cell>
          <cell r="U742" t="str">
            <v>Transport damage</v>
          </cell>
          <cell r="V742" t="str">
            <v>ALL</v>
          </cell>
          <cell r="W742">
            <v>3</v>
          </cell>
          <cell r="AD742">
            <v>2</v>
          </cell>
          <cell r="AE742">
            <v>1</v>
          </cell>
        </row>
        <row r="743">
          <cell r="A743">
            <v>0</v>
          </cell>
          <cell r="B743" t="str">
            <v>ALL VRTS</v>
          </cell>
          <cell r="D743">
            <v>9</v>
          </cell>
          <cell r="I743" t="str">
            <v>A99</v>
          </cell>
          <cell r="L743" t="str">
            <v>V99</v>
          </cell>
          <cell r="N743">
            <v>0</v>
          </cell>
          <cell r="O743">
            <v>-1</v>
          </cell>
          <cell r="P743">
            <v>0</v>
          </cell>
          <cell r="Q743">
            <v>2004</v>
          </cell>
          <cell r="R743" t="str">
            <v>DEARBORN PLANT BUILD</v>
          </cell>
          <cell r="S743" t="str">
            <v>P221/P397</v>
          </cell>
          <cell r="T743" t="str">
            <v>Transport damage</v>
          </cell>
          <cell r="U743" t="str">
            <v>Transport damage</v>
          </cell>
          <cell r="V743" t="str">
            <v>ALL</v>
          </cell>
          <cell r="W743">
            <v>6</v>
          </cell>
          <cell r="Z743">
            <v>1</v>
          </cell>
          <cell r="AC743">
            <v>4</v>
          </cell>
          <cell r="AE743">
            <v>1</v>
          </cell>
        </row>
        <row r="744">
          <cell r="A744">
            <v>0</v>
          </cell>
          <cell r="B744" t="str">
            <v>ALL VRTS</v>
          </cell>
          <cell r="D744">
            <v>9</v>
          </cell>
          <cell r="I744" t="str">
            <v>A99</v>
          </cell>
          <cell r="L744" t="str">
            <v>V99</v>
          </cell>
          <cell r="N744">
            <v>0</v>
          </cell>
          <cell r="O744">
            <v>-1</v>
          </cell>
          <cell r="P744">
            <v>0</v>
          </cell>
          <cell r="Q744">
            <v>2004</v>
          </cell>
          <cell r="R744" t="str">
            <v>DEARBORN PLANT BUILD</v>
          </cell>
          <cell r="S744" t="str">
            <v>P221/P397</v>
          </cell>
          <cell r="T744" t="str">
            <v>Transport damage</v>
          </cell>
          <cell r="U744" t="str">
            <v>MIRROR ASSY  REPLACED</v>
          </cell>
          <cell r="V744" t="str">
            <v>ALL</v>
          </cell>
          <cell r="W744">
            <v>1</v>
          </cell>
          <cell r="AD744">
            <v>1</v>
          </cell>
        </row>
        <row r="745">
          <cell r="A745">
            <v>0</v>
          </cell>
          <cell r="B745" t="str">
            <v>ALL VRTS</v>
          </cell>
          <cell r="D745">
            <v>9</v>
          </cell>
          <cell r="I745" t="str">
            <v>A99</v>
          </cell>
          <cell r="L745" t="str">
            <v>V99</v>
          </cell>
          <cell r="N745">
            <v>0</v>
          </cell>
          <cell r="O745">
            <v>-1</v>
          </cell>
          <cell r="P745">
            <v>0</v>
          </cell>
          <cell r="Q745">
            <v>2004</v>
          </cell>
          <cell r="R745" t="str">
            <v>DEARBORN PLANT BUILD</v>
          </cell>
          <cell r="S745" t="str">
            <v>P221/P397</v>
          </cell>
          <cell r="T745" t="str">
            <v>Transport damage</v>
          </cell>
          <cell r="U745" t="str">
            <v>running board replaced</v>
          </cell>
          <cell r="V745" t="str">
            <v>ALL</v>
          </cell>
          <cell r="W745">
            <v>1</v>
          </cell>
          <cell r="AA745">
            <v>1</v>
          </cell>
        </row>
        <row r="746">
          <cell r="A746">
            <v>0</v>
          </cell>
          <cell r="B746" t="str">
            <v>ALL VRTS</v>
          </cell>
          <cell r="D746">
            <v>9</v>
          </cell>
          <cell r="I746" t="str">
            <v>A99</v>
          </cell>
          <cell r="L746" t="str">
            <v>V99</v>
          </cell>
          <cell r="N746">
            <v>0</v>
          </cell>
          <cell r="O746">
            <v>-1</v>
          </cell>
          <cell r="P746">
            <v>0</v>
          </cell>
          <cell r="Q746">
            <v>2004</v>
          </cell>
          <cell r="R746" t="str">
            <v>DEARBORN PLANT BUILD</v>
          </cell>
          <cell r="S746" t="str">
            <v>P221/P397</v>
          </cell>
          <cell r="T746" t="str">
            <v>Transport damage</v>
          </cell>
          <cell r="U746" t="str">
            <v>Shield replaced</v>
          </cell>
          <cell r="V746" t="str">
            <v>ALL</v>
          </cell>
          <cell r="W746">
            <v>1</v>
          </cell>
          <cell r="AD746">
            <v>1</v>
          </cell>
        </row>
        <row r="747">
          <cell r="A747">
            <v>0</v>
          </cell>
          <cell r="B747" t="str">
            <v>ALL VRTS</v>
          </cell>
          <cell r="D747">
            <v>8</v>
          </cell>
          <cell r="I747" t="str">
            <v>F06</v>
          </cell>
          <cell r="J747" t="str">
            <v>F19</v>
          </cell>
          <cell r="L747" t="str">
            <v>V33</v>
          </cell>
          <cell r="N747">
            <v>0</v>
          </cell>
          <cell r="O747">
            <v>0</v>
          </cell>
          <cell r="P747">
            <v>-1</v>
          </cell>
          <cell r="Q747">
            <v>2004</v>
          </cell>
          <cell r="R747" t="str">
            <v>DEARBORN PLANT BUILD</v>
          </cell>
          <cell r="S747" t="str">
            <v>P221/P397</v>
          </cell>
          <cell r="T747" t="str">
            <v>Chipped Paint</v>
          </cell>
          <cell r="U747" t="str">
            <v>L/S Door</v>
          </cell>
          <cell r="V747" t="str">
            <v>ALL</v>
          </cell>
          <cell r="W747">
            <v>2</v>
          </cell>
          <cell r="AC747">
            <v>1</v>
          </cell>
          <cell r="AD747">
            <v>1</v>
          </cell>
        </row>
        <row r="748">
          <cell r="A748">
            <v>0</v>
          </cell>
          <cell r="B748" t="str">
            <v>ALL VRTS</v>
          </cell>
          <cell r="D748">
            <v>8</v>
          </cell>
          <cell r="I748" t="str">
            <v>F04</v>
          </cell>
          <cell r="J748" t="str">
            <v>F19</v>
          </cell>
          <cell r="L748" t="str">
            <v>V33</v>
          </cell>
          <cell r="N748">
            <v>0</v>
          </cell>
          <cell r="O748">
            <v>0</v>
          </cell>
          <cell r="P748">
            <v>-1</v>
          </cell>
          <cell r="Q748">
            <v>2004</v>
          </cell>
          <cell r="R748" t="str">
            <v>DEARBORN PLANT BUILD</v>
          </cell>
          <cell r="S748" t="str">
            <v>P221/P397</v>
          </cell>
          <cell r="T748" t="str">
            <v>Chipped Paint</v>
          </cell>
          <cell r="U748" t="str">
            <v>R/S Front Door</v>
          </cell>
          <cell r="V748" t="str">
            <v>ALL</v>
          </cell>
          <cell r="W748">
            <v>2</v>
          </cell>
          <cell r="AC748">
            <v>1</v>
          </cell>
          <cell r="AD748">
            <v>1</v>
          </cell>
        </row>
        <row r="749">
          <cell r="A749">
            <v>0</v>
          </cell>
          <cell r="B749" t="str">
            <v>ALL VRTS</v>
          </cell>
          <cell r="D749">
            <v>8</v>
          </cell>
          <cell r="I749" t="str">
            <v>F19</v>
          </cell>
          <cell r="L749" t="str">
            <v>V33</v>
          </cell>
          <cell r="N749">
            <v>0</v>
          </cell>
          <cell r="O749">
            <v>0</v>
          </cell>
          <cell r="P749">
            <v>-1</v>
          </cell>
          <cell r="Q749">
            <v>2004</v>
          </cell>
          <cell r="R749" t="str">
            <v>DEARBORN PLANT BUILD</v>
          </cell>
          <cell r="S749" t="str">
            <v>P221/P397</v>
          </cell>
          <cell r="T749" t="str">
            <v>Chipped Paint</v>
          </cell>
          <cell r="U749" t="str">
            <v>L/S Front Door Bottom</v>
          </cell>
          <cell r="V749" t="str">
            <v>ALL</v>
          </cell>
          <cell r="W749">
            <v>1</v>
          </cell>
          <cell r="AB749">
            <v>1</v>
          </cell>
        </row>
        <row r="750">
          <cell r="A750">
            <v>0</v>
          </cell>
          <cell r="B750" t="str">
            <v>ALL VRTS</v>
          </cell>
          <cell r="D750">
            <v>8</v>
          </cell>
          <cell r="I750" t="str">
            <v>F19</v>
          </cell>
          <cell r="L750" t="str">
            <v>V33</v>
          </cell>
          <cell r="N750">
            <v>0</v>
          </cell>
          <cell r="O750">
            <v>0</v>
          </cell>
          <cell r="P750">
            <v>-1</v>
          </cell>
          <cell r="Q750">
            <v>2004</v>
          </cell>
          <cell r="R750" t="str">
            <v>DEARBORN PLANT BUILD</v>
          </cell>
          <cell r="S750" t="str">
            <v>P221/P397</v>
          </cell>
          <cell r="T750" t="str">
            <v>Chipped Paint</v>
          </cell>
          <cell r="U750" t="str">
            <v>L/S Rear Door</v>
          </cell>
          <cell r="V750" t="str">
            <v>ALL</v>
          </cell>
          <cell r="W750">
            <v>1</v>
          </cell>
          <cell r="AA750">
            <v>1</v>
          </cell>
        </row>
        <row r="751">
          <cell r="A751">
            <v>0</v>
          </cell>
          <cell r="B751" t="str">
            <v>ALL VRTS</v>
          </cell>
          <cell r="D751">
            <v>8</v>
          </cell>
          <cell r="I751" t="str">
            <v>F19</v>
          </cell>
          <cell r="L751" t="str">
            <v>V33</v>
          </cell>
          <cell r="N751">
            <v>0</v>
          </cell>
          <cell r="O751">
            <v>0</v>
          </cell>
          <cell r="P751">
            <v>-1</v>
          </cell>
          <cell r="Q751">
            <v>2004</v>
          </cell>
          <cell r="R751" t="str">
            <v>DEARBORN PLANT BUILD</v>
          </cell>
          <cell r="S751" t="str">
            <v>P221/P397</v>
          </cell>
          <cell r="T751" t="str">
            <v>Chipped Paint</v>
          </cell>
          <cell r="U751" t="str">
            <v>R/S Bed</v>
          </cell>
          <cell r="V751" t="str">
            <v>ALL</v>
          </cell>
          <cell r="W751">
            <v>1</v>
          </cell>
          <cell r="AB751">
            <v>1</v>
          </cell>
        </row>
        <row r="752">
          <cell r="A752">
            <v>0</v>
          </cell>
          <cell r="B752" t="str">
            <v>ALL VRTS</v>
          </cell>
          <cell r="D752">
            <v>8</v>
          </cell>
          <cell r="I752" t="str">
            <v>F19</v>
          </cell>
          <cell r="L752" t="str">
            <v>V33</v>
          </cell>
          <cell r="N752">
            <v>0</v>
          </cell>
          <cell r="O752">
            <v>0</v>
          </cell>
          <cell r="P752">
            <v>-1</v>
          </cell>
          <cell r="Q752">
            <v>2004</v>
          </cell>
          <cell r="R752" t="str">
            <v>DEARBORN PLANT BUILD</v>
          </cell>
          <cell r="S752" t="str">
            <v>P221/P397</v>
          </cell>
          <cell r="T752" t="str">
            <v>Chipped Paint</v>
          </cell>
          <cell r="U752" t="str">
            <v>R/S C Pillar</v>
          </cell>
          <cell r="V752" t="str">
            <v>ALL</v>
          </cell>
          <cell r="W752">
            <v>1</v>
          </cell>
          <cell r="AE752">
            <v>1</v>
          </cell>
        </row>
        <row r="753">
          <cell r="A753">
            <v>0</v>
          </cell>
          <cell r="B753" t="str">
            <v>ALL VRTS</v>
          </cell>
          <cell r="D753">
            <v>8</v>
          </cell>
          <cell r="E753" t="str">
            <v>34502C</v>
          </cell>
          <cell r="G753" t="str">
            <v>Metal Finishers</v>
          </cell>
          <cell r="I753" t="str">
            <v>B01</v>
          </cell>
          <cell r="L753" t="str">
            <v>V31</v>
          </cell>
          <cell r="N753">
            <v>0</v>
          </cell>
          <cell r="O753">
            <v>0</v>
          </cell>
          <cell r="P753">
            <v>-1</v>
          </cell>
          <cell r="Q753">
            <v>2004</v>
          </cell>
          <cell r="R753" t="str">
            <v>DEARBORN PLANT BUILD</v>
          </cell>
          <cell r="S753" t="str">
            <v>P221/P397</v>
          </cell>
          <cell r="T753" t="str">
            <v>Door - Surface LH Front</v>
          </cell>
          <cell r="U753" t="str">
            <v>dent</v>
          </cell>
          <cell r="V753" t="str">
            <v>ALL</v>
          </cell>
          <cell r="W753">
            <v>3</v>
          </cell>
          <cell r="Z753">
            <v>1</v>
          </cell>
          <cell r="AC753">
            <v>1</v>
          </cell>
          <cell r="AE753">
            <v>1</v>
          </cell>
        </row>
        <row r="754">
          <cell r="A754">
            <v>0</v>
          </cell>
          <cell r="B754" t="str">
            <v>ALL VRTS</v>
          </cell>
          <cell r="D754">
            <v>8</v>
          </cell>
          <cell r="E754" t="str">
            <v>34502C</v>
          </cell>
          <cell r="G754" t="str">
            <v>Metal Finishers</v>
          </cell>
          <cell r="I754" t="str">
            <v>B01</v>
          </cell>
          <cell r="L754" t="str">
            <v>V31</v>
          </cell>
          <cell r="N754">
            <v>0</v>
          </cell>
          <cell r="O754">
            <v>0</v>
          </cell>
          <cell r="P754">
            <v>-1</v>
          </cell>
          <cell r="Q754">
            <v>2004</v>
          </cell>
          <cell r="R754" t="str">
            <v>DEARBORN PLANT BUILD</v>
          </cell>
          <cell r="S754" t="str">
            <v>P221/P397</v>
          </cell>
          <cell r="T754" t="str">
            <v>Door - Surface LH Front</v>
          </cell>
          <cell r="U754" t="str">
            <v>Ding</v>
          </cell>
          <cell r="V754" t="str">
            <v>ALL</v>
          </cell>
          <cell r="W754">
            <v>3</v>
          </cell>
          <cell r="AD754">
            <v>3</v>
          </cell>
        </row>
        <row r="755">
          <cell r="A755">
            <v>0</v>
          </cell>
          <cell r="B755" t="str">
            <v>ALL VRTS</v>
          </cell>
          <cell r="D755">
            <v>8</v>
          </cell>
          <cell r="E755" t="str">
            <v>34502C</v>
          </cell>
          <cell r="G755" t="str">
            <v>Metal Finishers</v>
          </cell>
          <cell r="I755" t="str">
            <v>B01</v>
          </cell>
          <cell r="L755" t="str">
            <v>V31</v>
          </cell>
          <cell r="N755">
            <v>0</v>
          </cell>
          <cell r="O755">
            <v>0</v>
          </cell>
          <cell r="P755">
            <v>-1</v>
          </cell>
          <cell r="Q755">
            <v>2004</v>
          </cell>
          <cell r="R755" t="str">
            <v>DEARBORN PLANT BUILD</v>
          </cell>
          <cell r="S755" t="str">
            <v>P221/P397</v>
          </cell>
          <cell r="T755" t="str">
            <v>Door - Surface LH Front</v>
          </cell>
          <cell r="U755" t="str">
            <v xml:space="preserve"> Dent near handle</v>
          </cell>
          <cell r="V755" t="str">
            <v>ALL</v>
          </cell>
          <cell r="W755">
            <v>1</v>
          </cell>
          <cell r="AB755">
            <v>1</v>
          </cell>
        </row>
        <row r="756">
          <cell r="A756">
            <v>0</v>
          </cell>
          <cell r="B756" t="str">
            <v>ALL VRTS</v>
          </cell>
          <cell r="D756">
            <v>8</v>
          </cell>
          <cell r="E756" t="str">
            <v>34502C</v>
          </cell>
          <cell r="G756" t="str">
            <v>Metal Finishers</v>
          </cell>
          <cell r="I756" t="str">
            <v>B01</v>
          </cell>
          <cell r="L756" t="str">
            <v>V31</v>
          </cell>
          <cell r="N756">
            <v>0</v>
          </cell>
          <cell r="O756">
            <v>0</v>
          </cell>
          <cell r="P756">
            <v>-1</v>
          </cell>
          <cell r="Q756">
            <v>2004</v>
          </cell>
          <cell r="R756" t="str">
            <v>DEARBORN PLANT BUILD</v>
          </cell>
          <cell r="S756" t="str">
            <v>P221/P397</v>
          </cell>
          <cell r="T756" t="str">
            <v>Door - Surface LH Front</v>
          </cell>
          <cell r="U756" t="str">
            <v>wavy metal</v>
          </cell>
          <cell r="V756" t="str">
            <v>ALL</v>
          </cell>
          <cell r="W756">
            <v>1</v>
          </cell>
          <cell r="AD756">
            <v>1</v>
          </cell>
        </row>
        <row r="757">
          <cell r="A757">
            <v>0</v>
          </cell>
          <cell r="B757" t="str">
            <v>ALL VRTS</v>
          </cell>
          <cell r="D757">
            <v>8</v>
          </cell>
          <cell r="I757" t="str">
            <v>A18</v>
          </cell>
          <cell r="J757" t="str">
            <v>A06</v>
          </cell>
          <cell r="K757" t="str">
            <v>A16</v>
          </cell>
          <cell r="L757" t="str">
            <v>V81</v>
          </cell>
          <cell r="N757">
            <v>-1</v>
          </cell>
          <cell r="O757">
            <v>0</v>
          </cell>
          <cell r="P757">
            <v>0</v>
          </cell>
          <cell r="Q757">
            <v>2004</v>
          </cell>
          <cell r="R757" t="str">
            <v>DEARBORN PLANT BUILD</v>
          </cell>
          <cell r="S757" t="str">
            <v>P221/P397</v>
          </cell>
          <cell r="T757" t="str">
            <v>DVD INOP</v>
          </cell>
          <cell r="U757" t="str">
            <v>Wrong Body Loom 005.</v>
          </cell>
          <cell r="V757" t="str">
            <v>ALL</v>
          </cell>
          <cell r="W757">
            <v>4</v>
          </cell>
          <cell r="AB757">
            <v>2</v>
          </cell>
          <cell r="AC757">
            <v>1</v>
          </cell>
          <cell r="AD757">
            <v>1</v>
          </cell>
        </row>
        <row r="758">
          <cell r="A758">
            <v>0</v>
          </cell>
          <cell r="B758" t="str">
            <v>ALL VRTS</v>
          </cell>
          <cell r="D758">
            <v>8</v>
          </cell>
          <cell r="I758" t="str">
            <v>A18</v>
          </cell>
          <cell r="L758" t="str">
            <v>V81</v>
          </cell>
          <cell r="N758">
            <v>0</v>
          </cell>
          <cell r="O758">
            <v>-1</v>
          </cell>
          <cell r="P758">
            <v>0</v>
          </cell>
          <cell r="Q758">
            <v>2004</v>
          </cell>
          <cell r="R758" t="str">
            <v>DEARBORN PLANT BUILD</v>
          </cell>
          <cell r="S758" t="str">
            <v>P221/P397</v>
          </cell>
          <cell r="T758" t="str">
            <v>DVD INOP</v>
          </cell>
          <cell r="U758" t="str">
            <v>DVD Replaced</v>
          </cell>
          <cell r="V758" t="str">
            <v>ALL</v>
          </cell>
          <cell r="W758">
            <v>2</v>
          </cell>
          <cell r="AC758">
            <v>1</v>
          </cell>
          <cell r="AD758">
            <v>1</v>
          </cell>
        </row>
        <row r="759">
          <cell r="A759">
            <v>0</v>
          </cell>
          <cell r="B759" t="str">
            <v>ALL VRTS</v>
          </cell>
          <cell r="D759">
            <v>8</v>
          </cell>
          <cell r="I759" t="str">
            <v>A18</v>
          </cell>
          <cell r="L759" t="str">
            <v>V81</v>
          </cell>
          <cell r="N759">
            <v>0</v>
          </cell>
          <cell r="O759">
            <v>-1</v>
          </cell>
          <cell r="P759">
            <v>0</v>
          </cell>
          <cell r="Q759">
            <v>2004</v>
          </cell>
          <cell r="R759" t="str">
            <v>DEARBORN PLANT BUILD</v>
          </cell>
          <cell r="S759" t="str">
            <v>P221/P397</v>
          </cell>
          <cell r="T759" t="str">
            <v>DVD INOP</v>
          </cell>
          <cell r="U759" t="str">
            <v>Headliner Harness Trapped</v>
          </cell>
          <cell r="V759" t="str">
            <v>ALL</v>
          </cell>
          <cell r="W759">
            <v>1</v>
          </cell>
          <cell r="AD759">
            <v>1</v>
          </cell>
        </row>
        <row r="760">
          <cell r="A760">
            <v>0</v>
          </cell>
          <cell r="B760" t="str">
            <v>ALL VRTS</v>
          </cell>
          <cell r="D760">
            <v>8</v>
          </cell>
          <cell r="I760" t="str">
            <v>A07</v>
          </cell>
          <cell r="L760" t="str">
            <v>V81</v>
          </cell>
          <cell r="N760">
            <v>0</v>
          </cell>
          <cell r="O760">
            <v>-1</v>
          </cell>
          <cell r="P760">
            <v>0</v>
          </cell>
          <cell r="Q760">
            <v>2004</v>
          </cell>
          <cell r="R760" t="str">
            <v>DEARBORN PLANT BUILD</v>
          </cell>
          <cell r="S760" t="str">
            <v>P221/P397</v>
          </cell>
          <cell r="T760" t="str">
            <v>DVD INOP</v>
          </cell>
          <cell r="U760" t="str">
            <v>Radio Replaced. / Duplicate Claim.</v>
          </cell>
          <cell r="V760" t="str">
            <v>ALL</v>
          </cell>
          <cell r="W760">
            <v>1</v>
          </cell>
          <cell r="AC760">
            <v>1</v>
          </cell>
        </row>
        <row r="761">
          <cell r="A761">
            <v>0</v>
          </cell>
          <cell r="B761" t="str">
            <v>ALL VRTS</v>
          </cell>
          <cell r="D761">
            <v>8</v>
          </cell>
          <cell r="I761" t="str">
            <v>S27</v>
          </cell>
          <cell r="L761" t="str">
            <v>V05</v>
          </cell>
          <cell r="N761">
            <v>0</v>
          </cell>
          <cell r="O761">
            <v>-1</v>
          </cell>
          <cell r="P761">
            <v>0</v>
          </cell>
          <cell r="Q761">
            <v>2004</v>
          </cell>
          <cell r="R761" t="str">
            <v>DEARBORN PLANT BUILD</v>
          </cell>
          <cell r="S761" t="str">
            <v>P221/P397</v>
          </cell>
          <cell r="T761" t="str">
            <v>STEERING WHEEL</v>
          </cell>
          <cell r="U761" t="str">
            <v>BUTTONS INOP.-REPLACED</v>
          </cell>
          <cell r="V761" t="str">
            <v>ALL</v>
          </cell>
          <cell r="W761">
            <v>2</v>
          </cell>
          <cell r="Z761">
            <v>1</v>
          </cell>
          <cell r="AD761">
            <v>1</v>
          </cell>
        </row>
        <row r="762">
          <cell r="A762">
            <v>0</v>
          </cell>
          <cell r="B762" t="str">
            <v>ALL VRTS</v>
          </cell>
          <cell r="D762">
            <v>8</v>
          </cell>
          <cell r="E762" t="str">
            <v>5590</v>
          </cell>
          <cell r="G762" t="str">
            <v>T4W27L</v>
          </cell>
          <cell r="I762" t="str">
            <v>S27</v>
          </cell>
          <cell r="L762" t="str">
            <v>V05</v>
          </cell>
          <cell r="N762">
            <v>0</v>
          </cell>
          <cell r="O762">
            <v>-1</v>
          </cell>
          <cell r="P762">
            <v>-1</v>
          </cell>
          <cell r="Q762">
            <v>2004</v>
          </cell>
          <cell r="R762" t="str">
            <v>DEARBORN PLANT BUILD</v>
          </cell>
          <cell r="S762" t="str">
            <v>P221/P397</v>
          </cell>
          <cell r="T762" t="str">
            <v>STEERING WHEEL</v>
          </cell>
          <cell r="U762" t="str">
            <v>MARRED</v>
          </cell>
          <cell r="V762" t="str">
            <v>ALL</v>
          </cell>
          <cell r="W762">
            <v>2</v>
          </cell>
          <cell r="AA762">
            <v>1</v>
          </cell>
          <cell r="AD762">
            <v>1</v>
          </cell>
        </row>
        <row r="763">
          <cell r="A763">
            <v>0</v>
          </cell>
          <cell r="B763" t="str">
            <v>ALL VRTS</v>
          </cell>
          <cell r="D763">
            <v>8</v>
          </cell>
          <cell r="E763" t="str">
            <v>5590</v>
          </cell>
          <cell r="G763" t="str">
            <v>T4W27L</v>
          </cell>
          <cell r="H763" t="str">
            <v>T4W29L</v>
          </cell>
          <cell r="I763" t="str">
            <v>S27</v>
          </cell>
          <cell r="L763" t="str">
            <v>V05</v>
          </cell>
          <cell r="N763">
            <v>0</v>
          </cell>
          <cell r="O763">
            <v>0</v>
          </cell>
          <cell r="P763">
            <v>-1</v>
          </cell>
          <cell r="Q763">
            <v>2004</v>
          </cell>
          <cell r="R763" t="str">
            <v>DEARBORN PLANT BUILD</v>
          </cell>
          <cell r="S763" t="str">
            <v>P221/P397</v>
          </cell>
          <cell r="T763" t="str">
            <v>STEERING WHEEL</v>
          </cell>
          <cell r="U763" t="str">
            <v>MISBUILD</v>
          </cell>
          <cell r="V763" t="str">
            <v>ALL</v>
          </cell>
          <cell r="W763">
            <v>2</v>
          </cell>
          <cell r="AA763">
            <v>1</v>
          </cell>
          <cell r="AB763">
            <v>1</v>
          </cell>
        </row>
        <row r="764">
          <cell r="A764">
            <v>0</v>
          </cell>
          <cell r="B764" t="str">
            <v>ALL VRTS</v>
          </cell>
          <cell r="D764">
            <v>8</v>
          </cell>
          <cell r="I764" t="str">
            <v>S27</v>
          </cell>
          <cell r="L764" t="str">
            <v>V05</v>
          </cell>
          <cell r="N764">
            <v>0</v>
          </cell>
          <cell r="O764">
            <v>-1</v>
          </cell>
          <cell r="P764">
            <v>0</v>
          </cell>
          <cell r="Q764">
            <v>2004</v>
          </cell>
          <cell r="R764" t="str">
            <v>DEARBORN PLANT BUILD</v>
          </cell>
          <cell r="S764" t="str">
            <v>P221/P397</v>
          </cell>
          <cell r="T764" t="str">
            <v>STEERING WHEEL</v>
          </cell>
          <cell r="U764" t="str">
            <v>MATERIAL DEFECT</v>
          </cell>
          <cell r="V764" t="str">
            <v>ALL</v>
          </cell>
          <cell r="W764">
            <v>1</v>
          </cell>
          <cell r="AD764">
            <v>1</v>
          </cell>
        </row>
        <row r="765">
          <cell r="A765">
            <v>0</v>
          </cell>
          <cell r="B765" t="str">
            <v>ALL VRTS</v>
          </cell>
          <cell r="D765">
            <v>8</v>
          </cell>
          <cell r="I765" t="str">
            <v>S27</v>
          </cell>
          <cell r="L765" t="str">
            <v>V05</v>
          </cell>
          <cell r="N765">
            <v>0</v>
          </cell>
          <cell r="O765">
            <v>-1</v>
          </cell>
          <cell r="P765">
            <v>0</v>
          </cell>
          <cell r="Q765">
            <v>2004</v>
          </cell>
          <cell r="R765" t="str">
            <v>DEARBORN PLANT BUILD</v>
          </cell>
          <cell r="S765" t="str">
            <v>P221/P397</v>
          </cell>
          <cell r="T765" t="str">
            <v>STEERING WHEEL</v>
          </cell>
          <cell r="U765" t="str">
            <v>MOULDING/STITCHING LOOSE</v>
          </cell>
          <cell r="V765" t="str">
            <v>ALL</v>
          </cell>
          <cell r="W765">
            <v>1</v>
          </cell>
          <cell r="Z765">
            <v>1</v>
          </cell>
        </row>
        <row r="766">
          <cell r="A766">
            <v>0</v>
          </cell>
          <cell r="B766" t="str">
            <v>ALL VRTS</v>
          </cell>
          <cell r="D766">
            <v>7</v>
          </cell>
          <cell r="E766" t="str">
            <v>34602C</v>
          </cell>
          <cell r="G766" t="str">
            <v>Final Fitters</v>
          </cell>
          <cell r="I766" t="str">
            <v>B02</v>
          </cell>
          <cell r="J766" t="str">
            <v>B05</v>
          </cell>
          <cell r="K766" t="str">
            <v>B15</v>
          </cell>
          <cell r="L766" t="str">
            <v>V31</v>
          </cell>
          <cell r="N766">
            <v>0</v>
          </cell>
          <cell r="O766">
            <v>0</v>
          </cell>
          <cell r="P766">
            <v>-1</v>
          </cell>
          <cell r="Q766">
            <v>2004</v>
          </cell>
          <cell r="R766" t="str">
            <v>DEARBORN PLANT BUILD</v>
          </cell>
          <cell r="S766" t="str">
            <v>P221/P397</v>
          </cell>
          <cell r="T766" t="str">
            <v xml:space="preserve"> CC Door- Fit- Effort - LH Front</v>
          </cell>
          <cell r="U766" t="str">
            <v>Misaligned</v>
          </cell>
          <cell r="V766" t="str">
            <v>ALL</v>
          </cell>
          <cell r="W766">
            <v>5</v>
          </cell>
          <cell r="AB766">
            <v>1</v>
          </cell>
          <cell r="AC766">
            <v>1</v>
          </cell>
          <cell r="AD766">
            <v>2</v>
          </cell>
          <cell r="AE766">
            <v>1</v>
          </cell>
        </row>
        <row r="767">
          <cell r="A767">
            <v>0</v>
          </cell>
          <cell r="B767" t="str">
            <v>ALL VRTS</v>
          </cell>
          <cell r="D767">
            <v>7</v>
          </cell>
          <cell r="E767" t="str">
            <v>34502C</v>
          </cell>
          <cell r="F767" t="str">
            <v>34602C</v>
          </cell>
          <cell r="G767" t="str">
            <v>Final Fitters</v>
          </cell>
          <cell r="H767" t="str">
            <v>Metal Finishers</v>
          </cell>
          <cell r="I767" t="str">
            <v>B05</v>
          </cell>
          <cell r="L767" t="str">
            <v>V31</v>
          </cell>
          <cell r="N767">
            <v>0</v>
          </cell>
          <cell r="O767">
            <v>0</v>
          </cell>
          <cell r="P767">
            <v>-1</v>
          </cell>
          <cell r="Q767">
            <v>2004</v>
          </cell>
          <cell r="R767" t="str">
            <v>DEARBORN PLANT BUILD</v>
          </cell>
          <cell r="S767" t="str">
            <v>P221/P397</v>
          </cell>
          <cell r="T767" t="str">
            <v xml:space="preserve"> CC Door- Fit- Effort - LH Front</v>
          </cell>
          <cell r="U767" t="str">
            <v xml:space="preserve"> Striker adjust</v>
          </cell>
          <cell r="V767" t="str">
            <v>ALL</v>
          </cell>
          <cell r="W767">
            <v>2</v>
          </cell>
          <cell r="AB767">
            <v>1</v>
          </cell>
          <cell r="AD767">
            <v>1</v>
          </cell>
        </row>
        <row r="768">
          <cell r="A768">
            <v>0</v>
          </cell>
          <cell r="B768" t="str">
            <v>ALL VRTS</v>
          </cell>
          <cell r="D768">
            <v>7</v>
          </cell>
          <cell r="E768" t="str">
            <v>6360</v>
          </cell>
          <cell r="G768" t="str">
            <v>CEW44R</v>
          </cell>
          <cell r="I768" t="str">
            <v>E42</v>
          </cell>
          <cell r="J768" t="str">
            <v>E41</v>
          </cell>
          <cell r="L768" t="str">
            <v>V44</v>
          </cell>
          <cell r="N768">
            <v>0</v>
          </cell>
          <cell r="O768">
            <v>0</v>
          </cell>
          <cell r="P768">
            <v>-1</v>
          </cell>
          <cell r="Q768">
            <v>2004</v>
          </cell>
          <cell r="R768" t="str">
            <v>DEARBORN PLANT BUILD</v>
          </cell>
          <cell r="S768" t="str">
            <v>P221/P397</v>
          </cell>
          <cell r="T768" t="str">
            <v xml:space="preserve"> EXHAUST LEAK</v>
          </cell>
          <cell r="U768" t="str">
            <v>Re-align Exhaust to Y-Pipe</v>
          </cell>
          <cell r="V768" t="str">
            <v>ALL</v>
          </cell>
          <cell r="W768">
            <v>6</v>
          </cell>
          <cell r="Z768">
            <v>2</v>
          </cell>
          <cell r="AB768">
            <v>1</v>
          </cell>
          <cell r="AD768">
            <v>2</v>
          </cell>
          <cell r="AE768">
            <v>1</v>
          </cell>
        </row>
        <row r="769">
          <cell r="A769">
            <v>0</v>
          </cell>
          <cell r="B769" t="str">
            <v>ALL VRTS</v>
          </cell>
          <cell r="D769">
            <v>7</v>
          </cell>
          <cell r="I769" t="str">
            <v>E41</v>
          </cell>
          <cell r="L769" t="str">
            <v>V44</v>
          </cell>
          <cell r="N769">
            <v>-1</v>
          </cell>
          <cell r="O769">
            <v>-1</v>
          </cell>
          <cell r="P769">
            <v>0</v>
          </cell>
          <cell r="Q769">
            <v>2004</v>
          </cell>
          <cell r="R769" t="str">
            <v>DEARBORN PLANT BUILD</v>
          </cell>
          <cell r="S769" t="str">
            <v>P221/P397</v>
          </cell>
          <cell r="T769" t="str">
            <v xml:space="preserve"> EXHAUST LEAK</v>
          </cell>
          <cell r="U769" t="str">
            <v>npf</v>
          </cell>
          <cell r="V769" t="str">
            <v>ALL</v>
          </cell>
          <cell r="W769">
            <v>1</v>
          </cell>
          <cell r="AD769">
            <v>1</v>
          </cell>
        </row>
        <row r="770">
          <cell r="A770">
            <v>0</v>
          </cell>
          <cell r="B770" t="str">
            <v>ALL VRTS</v>
          </cell>
          <cell r="D770">
            <v>7</v>
          </cell>
          <cell r="I770" t="str">
            <v>A87</v>
          </cell>
          <cell r="L770" t="str">
            <v>V17</v>
          </cell>
          <cell r="N770">
            <v>0</v>
          </cell>
          <cell r="O770">
            <v>0</v>
          </cell>
          <cell r="P770">
            <v>-1</v>
          </cell>
          <cell r="Q770">
            <v>2004</v>
          </cell>
          <cell r="R770" t="str">
            <v>DEARBORN PLANT BUILD</v>
          </cell>
          <cell r="S770" t="str">
            <v>P221/P397</v>
          </cell>
          <cell r="T770" t="str">
            <v>Cigar INOP</v>
          </cell>
          <cell r="U770" t="str">
            <v>Open Circult 120, Fuse replaced.</v>
          </cell>
          <cell r="V770" t="str">
            <v>ALL</v>
          </cell>
          <cell r="W770">
            <v>2</v>
          </cell>
          <cell r="AC770">
            <v>1</v>
          </cell>
          <cell r="AD770">
            <v>1</v>
          </cell>
        </row>
        <row r="771">
          <cell r="A771">
            <v>0</v>
          </cell>
          <cell r="B771" t="str">
            <v>ALL VRTS</v>
          </cell>
          <cell r="D771">
            <v>7</v>
          </cell>
          <cell r="I771" t="str">
            <v>A87</v>
          </cell>
          <cell r="L771" t="str">
            <v>V17</v>
          </cell>
          <cell r="N771">
            <v>0</v>
          </cell>
          <cell r="O771">
            <v>-1</v>
          </cell>
          <cell r="P771">
            <v>0</v>
          </cell>
          <cell r="Q771">
            <v>2004</v>
          </cell>
          <cell r="R771" t="str">
            <v>DEARBORN PLANT BUILD</v>
          </cell>
          <cell r="S771" t="str">
            <v>P221/P397</v>
          </cell>
          <cell r="T771" t="str">
            <v>Cigar INOP</v>
          </cell>
          <cell r="U771" t="str">
            <v>Replace Cigar Lighter</v>
          </cell>
          <cell r="V771" t="str">
            <v>ALL</v>
          </cell>
          <cell r="W771">
            <v>2</v>
          </cell>
          <cell r="AC771">
            <v>1</v>
          </cell>
          <cell r="AD771">
            <v>1</v>
          </cell>
        </row>
        <row r="772">
          <cell r="A772">
            <v>0</v>
          </cell>
          <cell r="B772" t="str">
            <v>ALL VRTS</v>
          </cell>
          <cell r="D772">
            <v>7</v>
          </cell>
          <cell r="I772" t="str">
            <v>A85</v>
          </cell>
          <cell r="L772" t="str">
            <v>V17</v>
          </cell>
          <cell r="N772">
            <v>0</v>
          </cell>
          <cell r="O772">
            <v>-1</v>
          </cell>
          <cell r="P772">
            <v>0</v>
          </cell>
          <cell r="Q772">
            <v>2004</v>
          </cell>
          <cell r="R772" t="str">
            <v>DEARBORN PLANT BUILD</v>
          </cell>
          <cell r="S772" t="str">
            <v>P221/P397</v>
          </cell>
          <cell r="T772" t="str">
            <v>Cigar INOP</v>
          </cell>
          <cell r="U772" t="str">
            <v>Bad Element</v>
          </cell>
          <cell r="V772" t="str">
            <v>ALL</v>
          </cell>
          <cell r="W772">
            <v>1</v>
          </cell>
          <cell r="AD772">
            <v>1</v>
          </cell>
        </row>
        <row r="773">
          <cell r="A773">
            <v>0</v>
          </cell>
          <cell r="B773" t="str">
            <v>ALL VRTS</v>
          </cell>
          <cell r="D773">
            <v>7</v>
          </cell>
          <cell r="I773" t="str">
            <v>A87</v>
          </cell>
          <cell r="L773" t="str">
            <v>V17</v>
          </cell>
          <cell r="N773">
            <v>0</v>
          </cell>
          <cell r="O773">
            <v>0</v>
          </cell>
          <cell r="P773">
            <v>-1</v>
          </cell>
          <cell r="Q773">
            <v>2004</v>
          </cell>
          <cell r="R773" t="str">
            <v>DEARBORN PLANT BUILD</v>
          </cell>
          <cell r="S773" t="str">
            <v>P221/P397</v>
          </cell>
          <cell r="T773" t="str">
            <v>Cigar INOP</v>
          </cell>
          <cell r="U773" t="str">
            <v>Loose Fuse, secured fuse</v>
          </cell>
          <cell r="V773" t="str">
            <v>ALL</v>
          </cell>
          <cell r="W773">
            <v>1</v>
          </cell>
          <cell r="AE773">
            <v>1</v>
          </cell>
        </row>
        <row r="774">
          <cell r="A774">
            <v>0</v>
          </cell>
          <cell r="B774" t="str">
            <v>ALL VRTS</v>
          </cell>
          <cell r="D774">
            <v>7</v>
          </cell>
          <cell r="I774" t="str">
            <v>A87</v>
          </cell>
          <cell r="L774" t="str">
            <v>V17</v>
          </cell>
          <cell r="N774">
            <v>0</v>
          </cell>
          <cell r="O774">
            <v>0</v>
          </cell>
          <cell r="P774">
            <v>-1</v>
          </cell>
          <cell r="Q774">
            <v>2004</v>
          </cell>
          <cell r="R774" t="str">
            <v>DEARBORN PLANT BUILD</v>
          </cell>
          <cell r="S774" t="str">
            <v>P221/P397</v>
          </cell>
          <cell r="T774" t="str">
            <v>Cigar INOP</v>
          </cell>
          <cell r="U774" t="str">
            <v>Replaced Fuse</v>
          </cell>
          <cell r="V774" t="str">
            <v>ALL</v>
          </cell>
          <cell r="W774">
            <v>1</v>
          </cell>
          <cell r="AE774">
            <v>1</v>
          </cell>
        </row>
        <row r="775">
          <cell r="A775">
            <v>0</v>
          </cell>
          <cell r="B775" t="str">
            <v>ALL VRTS</v>
          </cell>
          <cell r="D775">
            <v>7</v>
          </cell>
          <cell r="E775" t="str">
            <v>Trim2 Team 4</v>
          </cell>
          <cell r="G775" t="str">
            <v>T2W35L</v>
          </cell>
          <cell r="I775" t="str">
            <v>L25</v>
          </cell>
          <cell r="L775" t="str">
            <v>V77</v>
          </cell>
          <cell r="N775">
            <v>0</v>
          </cell>
          <cell r="O775">
            <v>0</v>
          </cell>
          <cell r="P775">
            <v>-1</v>
          </cell>
          <cell r="Q775">
            <v>2004</v>
          </cell>
          <cell r="R775" t="str">
            <v>DEARBORN PLANT BUILD</v>
          </cell>
          <cell r="S775" t="str">
            <v>P221/P397</v>
          </cell>
          <cell r="T775" t="str">
            <v>Dome Light INOP.</v>
          </cell>
          <cell r="U775" t="str">
            <v>Repaired connector pins at c pillar</v>
          </cell>
          <cell r="V775" t="str">
            <v>ALL</v>
          </cell>
          <cell r="W775">
            <v>3</v>
          </cell>
          <cell r="Z775">
            <v>1</v>
          </cell>
          <cell r="AA775">
            <v>1</v>
          </cell>
          <cell r="AD775">
            <v>1</v>
          </cell>
        </row>
        <row r="776">
          <cell r="A776">
            <v>0</v>
          </cell>
          <cell r="B776" t="str">
            <v>ALL VRTS</v>
          </cell>
          <cell r="D776">
            <v>7</v>
          </cell>
          <cell r="I776" t="str">
            <v>L25</v>
          </cell>
          <cell r="L776" t="str">
            <v>V77</v>
          </cell>
          <cell r="N776">
            <v>0</v>
          </cell>
          <cell r="O776">
            <v>0</v>
          </cell>
          <cell r="P776">
            <v>-1</v>
          </cell>
          <cell r="Q776">
            <v>2004</v>
          </cell>
          <cell r="R776" t="str">
            <v>DEARBORN PLANT BUILD</v>
          </cell>
          <cell r="S776" t="str">
            <v>P221/P397</v>
          </cell>
          <cell r="T776" t="str">
            <v>Dome Light INOP.</v>
          </cell>
          <cell r="U776" t="str">
            <v>Bulb Loose, Reinstall Bulb</v>
          </cell>
          <cell r="V776" t="str">
            <v>ALL</v>
          </cell>
          <cell r="W776">
            <v>1</v>
          </cell>
          <cell r="AE776">
            <v>1</v>
          </cell>
        </row>
        <row r="777">
          <cell r="A777">
            <v>0</v>
          </cell>
          <cell r="B777" t="str">
            <v>ALL VRTS</v>
          </cell>
          <cell r="D777">
            <v>7</v>
          </cell>
          <cell r="I777" t="str">
            <v>L29</v>
          </cell>
          <cell r="L777" t="str">
            <v>V77</v>
          </cell>
          <cell r="N777">
            <v>0</v>
          </cell>
          <cell r="O777">
            <v>0</v>
          </cell>
          <cell r="P777">
            <v>-1</v>
          </cell>
          <cell r="Q777">
            <v>2004</v>
          </cell>
          <cell r="R777" t="str">
            <v>DEARBORN PLANT BUILD</v>
          </cell>
          <cell r="S777" t="str">
            <v>P221/P397</v>
          </cell>
          <cell r="T777" t="str">
            <v>Dome Light INOP.</v>
          </cell>
          <cell r="U777" t="str">
            <v>Replace Door Harness</v>
          </cell>
          <cell r="V777" t="str">
            <v>ALL</v>
          </cell>
          <cell r="W777">
            <v>1</v>
          </cell>
          <cell r="AB777">
            <v>1</v>
          </cell>
        </row>
        <row r="778">
          <cell r="A778">
            <v>0</v>
          </cell>
          <cell r="B778" t="str">
            <v>ALL VRTS</v>
          </cell>
          <cell r="D778">
            <v>7</v>
          </cell>
          <cell r="I778" t="str">
            <v>L26</v>
          </cell>
          <cell r="L778" t="str">
            <v>V77</v>
          </cell>
          <cell r="N778">
            <v>0</v>
          </cell>
          <cell r="O778">
            <v>-1</v>
          </cell>
          <cell r="P778">
            <v>-1</v>
          </cell>
          <cell r="Q778">
            <v>2004</v>
          </cell>
          <cell r="R778" t="str">
            <v>DEARBORN PLANT BUILD</v>
          </cell>
          <cell r="S778" t="str">
            <v>P221/P397</v>
          </cell>
          <cell r="T778" t="str">
            <v>Dome Light INOP.</v>
          </cell>
          <cell r="U778" t="str">
            <v>Replaced Bulb.</v>
          </cell>
          <cell r="V778" t="str">
            <v>ALL</v>
          </cell>
          <cell r="W778">
            <v>1</v>
          </cell>
          <cell r="AB778">
            <v>1</v>
          </cell>
        </row>
        <row r="779">
          <cell r="A779">
            <v>0</v>
          </cell>
          <cell r="B779" t="str">
            <v>ALL VRTS</v>
          </cell>
          <cell r="D779">
            <v>7</v>
          </cell>
          <cell r="I779" t="str">
            <v>L25</v>
          </cell>
          <cell r="L779" t="str">
            <v>V77</v>
          </cell>
          <cell r="N779">
            <v>0</v>
          </cell>
          <cell r="O779">
            <v>-1</v>
          </cell>
          <cell r="P779">
            <v>0</v>
          </cell>
          <cell r="Q779">
            <v>2004</v>
          </cell>
          <cell r="R779" t="str">
            <v>DEARBORN PLANT BUILD</v>
          </cell>
          <cell r="S779" t="str">
            <v>P221/P397</v>
          </cell>
          <cell r="T779" t="str">
            <v>Dome Light INOP.</v>
          </cell>
          <cell r="U779" t="str">
            <v>Terminal pushout on connector 238</v>
          </cell>
          <cell r="V779" t="str">
            <v>ALL</v>
          </cell>
          <cell r="W779">
            <v>1</v>
          </cell>
          <cell r="AC779">
            <v>1</v>
          </cell>
        </row>
        <row r="780">
          <cell r="A780">
            <v>0</v>
          </cell>
          <cell r="B780" t="str">
            <v>ALL VRTS</v>
          </cell>
          <cell r="D780">
            <v>7</v>
          </cell>
          <cell r="E780" t="str">
            <v>5330</v>
          </cell>
          <cell r="F780" t="str">
            <v>5340</v>
          </cell>
          <cell r="G780" t="str">
            <v>TDW26-R</v>
          </cell>
          <cell r="H780" t="str">
            <v>TED17-L</v>
          </cell>
          <cell r="I780" t="str">
            <v>L08</v>
          </cell>
          <cell r="J780" t="str">
            <v>L17</v>
          </cell>
          <cell r="L780" t="str">
            <v>V07</v>
          </cell>
          <cell r="N780">
            <v>0</v>
          </cell>
          <cell r="O780">
            <v>0</v>
          </cell>
          <cell r="P780">
            <v>-1</v>
          </cell>
          <cell r="Q780">
            <v>2004</v>
          </cell>
          <cell r="R780" t="str">
            <v>DEARBORN PLANT BUILD</v>
          </cell>
          <cell r="S780" t="str">
            <v>P221/P397</v>
          </cell>
          <cell r="T780" t="str">
            <v>DOOR HANDLE INOP</v>
          </cell>
          <cell r="U780" t="str">
            <v>LOCK ROD ASSEMBLY LOOSE</v>
          </cell>
          <cell r="V780" t="str">
            <v>ALL</v>
          </cell>
          <cell r="W780">
            <v>2</v>
          </cell>
          <cell r="AA780">
            <v>1</v>
          </cell>
          <cell r="AC780">
            <v>1</v>
          </cell>
        </row>
        <row r="781">
          <cell r="A781">
            <v>0</v>
          </cell>
          <cell r="B781" t="str">
            <v>ALL VRTS</v>
          </cell>
          <cell r="D781">
            <v>7</v>
          </cell>
          <cell r="E781" t="str">
            <v>5330</v>
          </cell>
          <cell r="G781" t="str">
            <v>TDE17-L</v>
          </cell>
          <cell r="H781" t="str">
            <v>TWD20-R</v>
          </cell>
          <cell r="I781" t="str">
            <v>L15</v>
          </cell>
          <cell r="J781" t="str">
            <v>L16</v>
          </cell>
          <cell r="L781" t="str">
            <v>V07</v>
          </cell>
          <cell r="N781">
            <v>0</v>
          </cell>
          <cell r="O781">
            <v>0</v>
          </cell>
          <cell r="P781">
            <v>-1</v>
          </cell>
          <cell r="Q781">
            <v>2004</v>
          </cell>
          <cell r="R781" t="str">
            <v>DEARBORN PLANT BUILD</v>
          </cell>
          <cell r="S781" t="str">
            <v>P221/P397</v>
          </cell>
          <cell r="T781" t="str">
            <v>DOOR HANDLE INOP</v>
          </cell>
          <cell r="U781" t="str">
            <v>REATTACH CABLE</v>
          </cell>
          <cell r="V781" t="str">
            <v>ALL</v>
          </cell>
          <cell r="W781">
            <v>2</v>
          </cell>
          <cell r="Z781">
            <v>1</v>
          </cell>
          <cell r="AB781">
            <v>1</v>
          </cell>
        </row>
        <row r="782">
          <cell r="A782">
            <v>0</v>
          </cell>
          <cell r="B782" t="str">
            <v>ALL VRTS</v>
          </cell>
          <cell r="D782">
            <v>7</v>
          </cell>
          <cell r="E782" t="str">
            <v>5330</v>
          </cell>
          <cell r="G782" t="str">
            <v>TDW20-L</v>
          </cell>
          <cell r="I782" t="str">
            <v>L15</v>
          </cell>
          <cell r="L782" t="str">
            <v>V07</v>
          </cell>
          <cell r="N782">
            <v>0</v>
          </cell>
          <cell r="O782">
            <v>0</v>
          </cell>
          <cell r="P782">
            <v>-1</v>
          </cell>
          <cell r="Q782">
            <v>2004</v>
          </cell>
          <cell r="R782" t="str">
            <v>DEARBORN PLANT BUILD</v>
          </cell>
          <cell r="S782" t="str">
            <v>P221/P397</v>
          </cell>
          <cell r="T782" t="str">
            <v>DOOR HANDLE INOP</v>
          </cell>
          <cell r="U782" t="str">
            <v>OUTSIDE DOOR HANDLE ROD LOOSE</v>
          </cell>
          <cell r="V782" t="str">
            <v>ALL</v>
          </cell>
          <cell r="W782">
            <v>1</v>
          </cell>
          <cell r="AE782">
            <v>1</v>
          </cell>
        </row>
        <row r="783">
          <cell r="A783">
            <v>0</v>
          </cell>
          <cell r="B783" t="str">
            <v>ALL VRTS</v>
          </cell>
          <cell r="D783">
            <v>7</v>
          </cell>
          <cell r="E783" t="str">
            <v>5330</v>
          </cell>
          <cell r="G783" t="str">
            <v>TWD20-R</v>
          </cell>
          <cell r="I783" t="str">
            <v>L18</v>
          </cell>
          <cell r="L783" t="str">
            <v>V07</v>
          </cell>
          <cell r="N783">
            <v>0</v>
          </cell>
          <cell r="O783">
            <v>0</v>
          </cell>
          <cell r="P783">
            <v>-1</v>
          </cell>
          <cell r="Q783">
            <v>2004</v>
          </cell>
          <cell r="R783" t="str">
            <v>DEARBORN PLANT BUILD</v>
          </cell>
          <cell r="S783" t="str">
            <v>P221/P397</v>
          </cell>
          <cell r="T783" t="str">
            <v>DOOR HANDLE INOP</v>
          </cell>
          <cell r="U783" t="str">
            <v>REINSTALL R/REAR DOOR HANDLE</v>
          </cell>
          <cell r="V783" t="str">
            <v>ALL</v>
          </cell>
          <cell r="W783">
            <v>1</v>
          </cell>
          <cell r="AD783">
            <v>1</v>
          </cell>
        </row>
        <row r="784">
          <cell r="A784">
            <v>0</v>
          </cell>
          <cell r="B784" t="str">
            <v>ALL VRTS</v>
          </cell>
          <cell r="D784">
            <v>7</v>
          </cell>
          <cell r="E784" t="str">
            <v>5330</v>
          </cell>
          <cell r="G784" t="str">
            <v>TDE17-L</v>
          </cell>
          <cell r="I784" t="str">
            <v>L15</v>
          </cell>
          <cell r="L784" t="str">
            <v>V07</v>
          </cell>
          <cell r="N784">
            <v>0</v>
          </cell>
          <cell r="O784">
            <v>0</v>
          </cell>
          <cell r="P784">
            <v>-1</v>
          </cell>
          <cell r="Q784">
            <v>2004</v>
          </cell>
          <cell r="R784" t="str">
            <v>DEARBORN PLANT BUILD</v>
          </cell>
          <cell r="S784" t="str">
            <v>P221/P397</v>
          </cell>
          <cell r="T784" t="str">
            <v>DOOR HANDLE INOP</v>
          </cell>
          <cell r="U784" t="str">
            <v>REPLACE ACUATOR CLIP</v>
          </cell>
          <cell r="V784" t="str">
            <v>ALL</v>
          </cell>
          <cell r="W784">
            <v>1</v>
          </cell>
          <cell r="AE784">
            <v>1</v>
          </cell>
        </row>
        <row r="785">
          <cell r="A785">
            <v>0</v>
          </cell>
          <cell r="B785" t="str">
            <v>ALL VRTS</v>
          </cell>
          <cell r="D785">
            <v>7</v>
          </cell>
          <cell r="I785" t="str">
            <v>L20</v>
          </cell>
          <cell r="L785" t="str">
            <v>V07</v>
          </cell>
          <cell r="N785">
            <v>0</v>
          </cell>
          <cell r="O785">
            <v>-1</v>
          </cell>
          <cell r="P785">
            <v>0</v>
          </cell>
          <cell r="Q785">
            <v>2004</v>
          </cell>
          <cell r="R785" t="str">
            <v>DEARBORN PLANT BUILD</v>
          </cell>
          <cell r="S785" t="str">
            <v>P221/P397</v>
          </cell>
          <cell r="T785" t="str">
            <v>KEYLESS ENTRY PAD FUNCTION</v>
          </cell>
          <cell r="U785" t="str">
            <v>KEYBOARD ACTUATOR INOP</v>
          </cell>
          <cell r="V785" t="str">
            <v>ALL</v>
          </cell>
          <cell r="W785">
            <v>2</v>
          </cell>
          <cell r="Y785">
            <v>2</v>
          </cell>
        </row>
        <row r="786">
          <cell r="A786">
            <v>0</v>
          </cell>
          <cell r="B786" t="str">
            <v>ALL VRTS</v>
          </cell>
          <cell r="D786">
            <v>7</v>
          </cell>
          <cell r="I786" t="str">
            <v>L07</v>
          </cell>
          <cell r="L786" t="str">
            <v>V07</v>
          </cell>
          <cell r="N786">
            <v>0</v>
          </cell>
          <cell r="O786">
            <v>0</v>
          </cell>
          <cell r="P786">
            <v>-1</v>
          </cell>
          <cell r="Q786">
            <v>2004</v>
          </cell>
          <cell r="R786" t="str">
            <v>DEARBORN PLANT BUILD</v>
          </cell>
          <cell r="S786" t="str">
            <v>P221/P397</v>
          </cell>
          <cell r="T786" t="str">
            <v>KEYLESS ENTRY PAD FUNCTION</v>
          </cell>
          <cell r="U786" t="str">
            <v>DOOR LOCK ACTUATOR UNPLUGGED</v>
          </cell>
          <cell r="V786" t="str">
            <v>ALL</v>
          </cell>
          <cell r="W786">
            <v>1</v>
          </cell>
          <cell r="AC786">
            <v>1</v>
          </cell>
        </row>
        <row r="787">
          <cell r="A787">
            <v>0</v>
          </cell>
          <cell r="B787" t="str">
            <v>ALL VRTS</v>
          </cell>
          <cell r="D787">
            <v>7</v>
          </cell>
          <cell r="I787" t="str">
            <v>L08</v>
          </cell>
          <cell r="L787" t="str">
            <v>V07</v>
          </cell>
          <cell r="N787">
            <v>0</v>
          </cell>
          <cell r="O787">
            <v>0</v>
          </cell>
          <cell r="P787">
            <v>-1</v>
          </cell>
          <cell r="Q787">
            <v>2004</v>
          </cell>
          <cell r="R787" t="str">
            <v>DEARBORN PLANT BUILD</v>
          </cell>
          <cell r="S787" t="str">
            <v>P221/P397</v>
          </cell>
          <cell r="T787" t="str">
            <v>KEYLESS ENTRY PAD FUNCTION</v>
          </cell>
          <cell r="U787" t="str">
            <v>KEYLESS ENTRY NOT CALLED FOR</v>
          </cell>
          <cell r="V787" t="str">
            <v>ALL</v>
          </cell>
          <cell r="W787">
            <v>1</v>
          </cell>
          <cell r="AB787">
            <v>1</v>
          </cell>
        </row>
        <row r="788">
          <cell r="A788">
            <v>0</v>
          </cell>
          <cell r="B788" t="str">
            <v>ALL VRTS</v>
          </cell>
          <cell r="D788">
            <v>7</v>
          </cell>
          <cell r="I788" t="str">
            <v>L20</v>
          </cell>
          <cell r="L788" t="str">
            <v>V07</v>
          </cell>
          <cell r="N788">
            <v>0</v>
          </cell>
          <cell r="O788">
            <v>-1</v>
          </cell>
          <cell r="P788">
            <v>0</v>
          </cell>
          <cell r="Q788">
            <v>2004</v>
          </cell>
          <cell r="R788" t="str">
            <v>DEARBORN PLANT BUILD</v>
          </cell>
          <cell r="S788" t="str">
            <v>P221/P397</v>
          </cell>
          <cell r="T788" t="str">
            <v>KEYLESS ENTRY PAD FUNCTION</v>
          </cell>
          <cell r="U788" t="str">
            <v>OPEN CIRCUIT</v>
          </cell>
          <cell r="V788" t="str">
            <v>ALL</v>
          </cell>
          <cell r="W788">
            <v>1</v>
          </cell>
          <cell r="AE788">
            <v>1</v>
          </cell>
        </row>
        <row r="789">
          <cell r="A789">
            <v>0</v>
          </cell>
          <cell r="B789" t="str">
            <v>ALL VRTS</v>
          </cell>
          <cell r="D789">
            <v>7</v>
          </cell>
          <cell r="I789" t="str">
            <v>L20</v>
          </cell>
          <cell r="L789" t="str">
            <v>V07</v>
          </cell>
          <cell r="N789">
            <v>0</v>
          </cell>
          <cell r="O789">
            <v>-1</v>
          </cell>
          <cell r="P789">
            <v>0</v>
          </cell>
          <cell r="Q789">
            <v>2004</v>
          </cell>
          <cell r="R789" t="str">
            <v>DEARBORN PLANT BUILD</v>
          </cell>
          <cell r="S789" t="str">
            <v>P221/P397</v>
          </cell>
          <cell r="T789" t="str">
            <v>KEYLESS ENTRY PAD FUNCTION</v>
          </cell>
          <cell r="U789" t="str">
            <v>REPLACE KEYPAD</v>
          </cell>
          <cell r="V789" t="str">
            <v>ALL</v>
          </cell>
          <cell r="W789">
            <v>1</v>
          </cell>
          <cell r="AD789">
            <v>1</v>
          </cell>
        </row>
        <row r="790">
          <cell r="A790">
            <v>0</v>
          </cell>
          <cell r="B790" t="str">
            <v>ALL VRTS</v>
          </cell>
          <cell r="D790">
            <v>7</v>
          </cell>
          <cell r="I790" t="str">
            <v>L19</v>
          </cell>
          <cell r="L790" t="str">
            <v>V07</v>
          </cell>
          <cell r="N790">
            <v>0</v>
          </cell>
          <cell r="O790">
            <v>-1</v>
          </cell>
          <cell r="P790">
            <v>0</v>
          </cell>
          <cell r="Q790">
            <v>2004</v>
          </cell>
          <cell r="R790" t="str">
            <v>DEARBORN PLANT BUILD</v>
          </cell>
          <cell r="S790" t="str">
            <v>P221/P397</v>
          </cell>
          <cell r="T790" t="str">
            <v>KEYLESS ENTRY PAD FUNCTION</v>
          </cell>
          <cell r="U790" t="str">
            <v>REPLACE SECURITY MODULE</v>
          </cell>
          <cell r="V790" t="str">
            <v>ALL</v>
          </cell>
          <cell r="W790">
            <v>1</v>
          </cell>
          <cell r="AE790">
            <v>1</v>
          </cell>
        </row>
        <row r="791">
          <cell r="A791">
            <v>0</v>
          </cell>
          <cell r="B791" t="str">
            <v>ALL VRTS</v>
          </cell>
          <cell r="D791">
            <v>7</v>
          </cell>
          <cell r="I791" t="str">
            <v>F11</v>
          </cell>
          <cell r="J791" t="str">
            <v>F12</v>
          </cell>
          <cell r="K791" t="str">
            <v>F15</v>
          </cell>
          <cell r="L791" t="str">
            <v>V33</v>
          </cell>
          <cell r="N791">
            <v>0</v>
          </cell>
          <cell r="O791">
            <v>0</v>
          </cell>
          <cell r="P791">
            <v>-1</v>
          </cell>
          <cell r="Q791">
            <v>2004</v>
          </cell>
          <cell r="R791" t="str">
            <v>DEARBORN PLANT BUILD</v>
          </cell>
          <cell r="S791" t="str">
            <v>P221/P397</v>
          </cell>
          <cell r="T791" t="str">
            <v>Rail Dust</v>
          </cell>
          <cell r="U791" t="str">
            <v>Entire Vehicle</v>
          </cell>
          <cell r="V791" t="str">
            <v>ALL</v>
          </cell>
          <cell r="W791">
            <v>4</v>
          </cell>
          <cell r="AC791">
            <v>1</v>
          </cell>
          <cell r="AD791">
            <v>3</v>
          </cell>
        </row>
        <row r="792">
          <cell r="A792">
            <v>0</v>
          </cell>
          <cell r="B792" t="str">
            <v>ALL VRTS</v>
          </cell>
          <cell r="D792">
            <v>7</v>
          </cell>
          <cell r="I792" t="str">
            <v>F12</v>
          </cell>
          <cell r="L792" t="str">
            <v>V33</v>
          </cell>
          <cell r="N792">
            <v>0</v>
          </cell>
          <cell r="O792">
            <v>-1</v>
          </cell>
          <cell r="P792">
            <v>-1</v>
          </cell>
          <cell r="Q792">
            <v>2004</v>
          </cell>
          <cell r="R792" t="str">
            <v>DEARBORN PLANT BUILD</v>
          </cell>
          <cell r="S792" t="str">
            <v>P221/P397</v>
          </cell>
          <cell r="T792" t="str">
            <v>Rail Dust</v>
          </cell>
          <cell r="U792" t="str">
            <v>Hood</v>
          </cell>
          <cell r="V792" t="str">
            <v>ALL</v>
          </cell>
          <cell r="W792">
            <v>2</v>
          </cell>
          <cell r="Z792">
            <v>1</v>
          </cell>
          <cell r="AA792">
            <v>1</v>
          </cell>
        </row>
        <row r="793">
          <cell r="A793">
            <v>0</v>
          </cell>
          <cell r="B793" t="str">
            <v>ALL VRTS</v>
          </cell>
          <cell r="D793">
            <v>7</v>
          </cell>
          <cell r="I793" t="str">
            <v>F11</v>
          </cell>
          <cell r="L793" t="str">
            <v>V33</v>
          </cell>
          <cell r="N793">
            <v>0</v>
          </cell>
          <cell r="O793">
            <v>0</v>
          </cell>
          <cell r="P793">
            <v>-1</v>
          </cell>
          <cell r="Q793">
            <v>2004</v>
          </cell>
          <cell r="R793" t="str">
            <v>DEARBORN PLANT BUILD</v>
          </cell>
          <cell r="S793" t="str">
            <v>P221/P397</v>
          </cell>
          <cell r="T793" t="str">
            <v>Rail Dust</v>
          </cell>
          <cell r="U793" t="str">
            <v>L/S Door</v>
          </cell>
          <cell r="V793" t="str">
            <v>ALL</v>
          </cell>
          <cell r="W793">
            <v>1</v>
          </cell>
          <cell r="AC793">
            <v>1</v>
          </cell>
        </row>
        <row r="794">
          <cell r="A794">
            <v>0</v>
          </cell>
          <cell r="B794" t="str">
            <v>ALL VRTS</v>
          </cell>
          <cell r="D794">
            <v>7</v>
          </cell>
          <cell r="I794" t="str">
            <v>L88</v>
          </cell>
          <cell r="L794" t="str">
            <v>V44</v>
          </cell>
          <cell r="N794">
            <v>-1</v>
          </cell>
          <cell r="O794">
            <v>-1</v>
          </cell>
          <cell r="P794">
            <v>0</v>
          </cell>
          <cell r="Q794">
            <v>2004</v>
          </cell>
          <cell r="R794" t="str">
            <v>DEARBORN PLANT BUILD</v>
          </cell>
          <cell r="S794" t="str">
            <v>P221/P397</v>
          </cell>
          <cell r="T794" t="str">
            <v>REAR AXLE LEAK</v>
          </cell>
          <cell r="U794" t="str">
            <v>Pinion seal leak</v>
          </cell>
          <cell r="V794" t="str">
            <v>ALL</v>
          </cell>
          <cell r="W794">
            <v>4</v>
          </cell>
          <cell r="AC794">
            <v>1</v>
          </cell>
          <cell r="AD794">
            <v>1</v>
          </cell>
          <cell r="AE794">
            <v>2</v>
          </cell>
        </row>
        <row r="795">
          <cell r="A795">
            <v>0</v>
          </cell>
          <cell r="B795" t="str">
            <v>ALL VRTS</v>
          </cell>
          <cell r="D795">
            <v>7</v>
          </cell>
          <cell r="I795" t="str">
            <v>L88</v>
          </cell>
          <cell r="L795" t="str">
            <v>V44</v>
          </cell>
          <cell r="N795">
            <v>0</v>
          </cell>
          <cell r="O795">
            <v>-1</v>
          </cell>
          <cell r="P795">
            <v>0</v>
          </cell>
          <cell r="Q795">
            <v>2004</v>
          </cell>
          <cell r="R795" t="str">
            <v>DEARBORN PLANT BUILD</v>
          </cell>
          <cell r="S795" t="str">
            <v>P221/P397</v>
          </cell>
          <cell r="T795" t="str">
            <v>REAR AXLE LEAK</v>
          </cell>
          <cell r="U795" t="str">
            <v>Axle fill plug/Loose</v>
          </cell>
          <cell r="V795" t="str">
            <v>ALL</v>
          </cell>
          <cell r="W795">
            <v>1</v>
          </cell>
          <cell r="AD795">
            <v>1</v>
          </cell>
        </row>
        <row r="796">
          <cell r="A796">
            <v>0</v>
          </cell>
          <cell r="B796" t="str">
            <v>ALL VRTS</v>
          </cell>
          <cell r="D796">
            <v>7</v>
          </cell>
          <cell r="I796" t="str">
            <v>L88</v>
          </cell>
          <cell r="L796" t="str">
            <v>V44</v>
          </cell>
          <cell r="N796">
            <v>0</v>
          </cell>
          <cell r="O796">
            <v>-1</v>
          </cell>
          <cell r="P796">
            <v>0</v>
          </cell>
          <cell r="Q796">
            <v>2004</v>
          </cell>
          <cell r="R796" t="str">
            <v>DEARBORN PLANT BUILD</v>
          </cell>
          <cell r="S796" t="str">
            <v>P221/P397</v>
          </cell>
          <cell r="T796" t="str">
            <v>REAR AXLE LEAK</v>
          </cell>
          <cell r="U796" t="str">
            <v>Rear Axle Seal</v>
          </cell>
          <cell r="V796" t="str">
            <v>ALL</v>
          </cell>
          <cell r="W796">
            <v>1</v>
          </cell>
          <cell r="AD796">
            <v>1</v>
          </cell>
        </row>
        <row r="797">
          <cell r="A797">
            <v>0</v>
          </cell>
          <cell r="B797" t="str">
            <v>ALL VRTS</v>
          </cell>
          <cell r="D797">
            <v>7</v>
          </cell>
          <cell r="I797" t="str">
            <v>L88</v>
          </cell>
          <cell r="L797" t="str">
            <v>V44</v>
          </cell>
          <cell r="N797">
            <v>-1</v>
          </cell>
          <cell r="O797">
            <v>-1</v>
          </cell>
          <cell r="P797">
            <v>0</v>
          </cell>
          <cell r="Q797">
            <v>2004</v>
          </cell>
          <cell r="R797" t="str">
            <v>DEARBORN PLANT BUILD</v>
          </cell>
          <cell r="S797" t="str">
            <v>P221/P397</v>
          </cell>
          <cell r="T797" t="str">
            <v>REAR AXLE LEAK</v>
          </cell>
          <cell r="U797" t="str">
            <v>Replaced rear diff cover seal</v>
          </cell>
          <cell r="V797" t="str">
            <v>ALL</v>
          </cell>
          <cell r="W797">
            <v>1</v>
          </cell>
          <cell r="AD797">
            <v>1</v>
          </cell>
        </row>
        <row r="798">
          <cell r="A798">
            <v>0</v>
          </cell>
          <cell r="B798" t="str">
            <v>ALL VRTS</v>
          </cell>
          <cell r="D798">
            <v>7</v>
          </cell>
          <cell r="E798" t="str">
            <v>34602C</v>
          </cell>
          <cell r="G798" t="str">
            <v>Final Fitters</v>
          </cell>
          <cell r="I798" t="str">
            <v>B02</v>
          </cell>
          <cell r="L798" t="str">
            <v>V31</v>
          </cell>
          <cell r="N798">
            <v>0</v>
          </cell>
          <cell r="O798">
            <v>0</v>
          </cell>
          <cell r="P798">
            <v>-1</v>
          </cell>
          <cell r="Q798">
            <v>2004</v>
          </cell>
          <cell r="R798" t="str">
            <v>DEARBORN PLANT BUILD</v>
          </cell>
          <cell r="S798" t="str">
            <v>P221/P397</v>
          </cell>
          <cell r="T798" t="str">
            <v>SC Door - Fit - Effort - LH Rear</v>
          </cell>
          <cell r="U798" t="str">
            <v>Misaligned</v>
          </cell>
          <cell r="V798" t="str">
            <v>ALL</v>
          </cell>
          <cell r="W798">
            <v>4</v>
          </cell>
          <cell r="AD798">
            <v>3</v>
          </cell>
          <cell r="AE798">
            <v>1</v>
          </cell>
        </row>
        <row r="799">
          <cell r="A799">
            <v>0</v>
          </cell>
          <cell r="B799" t="str">
            <v>ALL VRTS</v>
          </cell>
          <cell r="D799">
            <v>7</v>
          </cell>
          <cell r="E799" t="str">
            <v>34602C</v>
          </cell>
          <cell r="G799" t="str">
            <v>Final Fitters</v>
          </cell>
          <cell r="I799" t="str">
            <v>B05</v>
          </cell>
          <cell r="J799" t="str">
            <v>B15</v>
          </cell>
          <cell r="L799" t="str">
            <v>V31</v>
          </cell>
          <cell r="N799">
            <v>0</v>
          </cell>
          <cell r="O799">
            <v>0</v>
          </cell>
          <cell r="P799">
            <v>-1</v>
          </cell>
          <cell r="Q799">
            <v>2004</v>
          </cell>
          <cell r="R799" t="str">
            <v>DEARBORN PLANT BUILD</v>
          </cell>
          <cell r="S799" t="str">
            <v>P221/P397</v>
          </cell>
          <cell r="T799" t="str">
            <v>SC Door - Fit - Effort - LH Rear</v>
          </cell>
          <cell r="U799" t="str">
            <v xml:space="preserve"> Striker adjust</v>
          </cell>
          <cell r="V799" t="str">
            <v>ALL</v>
          </cell>
          <cell r="W799">
            <v>2</v>
          </cell>
          <cell r="AD799">
            <v>2</v>
          </cell>
        </row>
        <row r="800">
          <cell r="A800">
            <v>0</v>
          </cell>
          <cell r="B800" t="str">
            <v>ALL VRTS</v>
          </cell>
          <cell r="D800">
            <v>7</v>
          </cell>
          <cell r="E800" t="str">
            <v>34602C</v>
          </cell>
          <cell r="G800" t="str">
            <v>Final Fitters</v>
          </cell>
          <cell r="I800" t="str">
            <v>B15</v>
          </cell>
          <cell r="L800" t="str">
            <v>V31</v>
          </cell>
          <cell r="N800">
            <v>0</v>
          </cell>
          <cell r="O800">
            <v>0</v>
          </cell>
          <cell r="P800">
            <v>-1</v>
          </cell>
          <cell r="Q800">
            <v>2004</v>
          </cell>
          <cell r="R800" t="str">
            <v>DEARBORN PLANT BUILD</v>
          </cell>
          <cell r="S800" t="str">
            <v>P221/P397</v>
          </cell>
          <cell r="T800" t="str">
            <v>SC Door - Fit - Effort - LH Rear</v>
          </cell>
          <cell r="U800" t="str">
            <v>Adjusted</v>
          </cell>
          <cell r="V800" t="str">
            <v>ALL</v>
          </cell>
          <cell r="W800">
            <v>1</v>
          </cell>
          <cell r="AE800">
            <v>1</v>
          </cell>
        </row>
        <row r="801">
          <cell r="A801">
            <v>0</v>
          </cell>
          <cell r="B801" t="str">
            <v>ALL VRTS</v>
          </cell>
          <cell r="D801">
            <v>7</v>
          </cell>
          <cell r="E801" t="str">
            <v>5590-2-G</v>
          </cell>
          <cell r="F801" t="str">
            <v>unsure</v>
          </cell>
          <cell r="G801" t="str">
            <v>T4W31L</v>
          </cell>
          <cell r="H801" t="str">
            <v>TW04L</v>
          </cell>
          <cell r="I801" t="str">
            <v>N57</v>
          </cell>
          <cell r="J801" t="str">
            <v>N59</v>
          </cell>
          <cell r="L801" t="str">
            <v>V39</v>
          </cell>
          <cell r="N801">
            <v>0</v>
          </cell>
          <cell r="O801">
            <v>0</v>
          </cell>
          <cell r="P801">
            <v>-1</v>
          </cell>
          <cell r="Q801">
            <v>2004</v>
          </cell>
          <cell r="R801" t="str">
            <v>DEARBORN PLANT BUILD</v>
          </cell>
          <cell r="S801" t="str">
            <v>P221/P397</v>
          </cell>
          <cell r="T801" t="str">
            <v>Steering Column/Wheel Squeak/Rattle</v>
          </cell>
          <cell r="U801" t="str">
            <v>Loose Stock - Air Bag Bolt</v>
          </cell>
          <cell r="V801" t="str">
            <v>ALL</v>
          </cell>
          <cell r="W801">
            <v>4</v>
          </cell>
          <cell r="Y801">
            <v>1</v>
          </cell>
          <cell r="AA801">
            <v>1</v>
          </cell>
          <cell r="AC801">
            <v>1</v>
          </cell>
          <cell r="AD801">
            <v>1</v>
          </cell>
        </row>
        <row r="802">
          <cell r="A802">
            <v>0</v>
          </cell>
          <cell r="B802" t="str">
            <v>ALL VRTS</v>
          </cell>
          <cell r="D802">
            <v>7</v>
          </cell>
          <cell r="I802" t="str">
            <v>N57</v>
          </cell>
          <cell r="L802" t="str">
            <v>V39</v>
          </cell>
          <cell r="N802">
            <v>0</v>
          </cell>
          <cell r="O802">
            <v>0</v>
          </cell>
          <cell r="P802">
            <v>-1</v>
          </cell>
          <cell r="Q802">
            <v>2004</v>
          </cell>
          <cell r="R802" t="str">
            <v>DEARBORN PLANT BUILD</v>
          </cell>
          <cell r="S802" t="str">
            <v>P221/P397</v>
          </cell>
          <cell r="T802" t="str">
            <v>Steering Column/Wheel Squeak/Rattle</v>
          </cell>
          <cell r="U802" t="str">
            <v>Clockspring Rattle</v>
          </cell>
          <cell r="V802" t="str">
            <v>ALL</v>
          </cell>
          <cell r="W802">
            <v>1</v>
          </cell>
          <cell r="AC802">
            <v>1</v>
          </cell>
        </row>
        <row r="803">
          <cell r="A803">
            <v>0</v>
          </cell>
          <cell r="B803" t="str">
            <v>ALL VRTS</v>
          </cell>
          <cell r="D803">
            <v>7</v>
          </cell>
          <cell r="I803" t="str">
            <v>N57</v>
          </cell>
          <cell r="L803" t="str">
            <v>V39</v>
          </cell>
          <cell r="N803">
            <v>0</v>
          </cell>
          <cell r="O803">
            <v>-1</v>
          </cell>
          <cell r="P803">
            <v>0</v>
          </cell>
          <cell r="Q803">
            <v>2004</v>
          </cell>
          <cell r="R803" t="str">
            <v>DEARBORN PLANT BUILD</v>
          </cell>
          <cell r="S803" t="str">
            <v>P221/P397</v>
          </cell>
          <cell r="T803" t="str">
            <v>Steering Column/Wheel Squeak/Rattle</v>
          </cell>
          <cell r="U803" t="str">
            <v>Steering Column Transfer Clocks</v>
          </cell>
          <cell r="V803" t="str">
            <v>ALL</v>
          </cell>
          <cell r="W803">
            <v>1</v>
          </cell>
          <cell r="AC803">
            <v>1</v>
          </cell>
        </row>
        <row r="804">
          <cell r="A804">
            <v>0</v>
          </cell>
          <cell r="B804" t="str">
            <v>ALL VRTS</v>
          </cell>
          <cell r="D804">
            <v>7</v>
          </cell>
          <cell r="I804" t="str">
            <v>N57</v>
          </cell>
          <cell r="L804" t="str">
            <v>V39</v>
          </cell>
          <cell r="N804">
            <v>0</v>
          </cell>
          <cell r="O804">
            <v>0</v>
          </cell>
          <cell r="P804">
            <v>-1</v>
          </cell>
          <cell r="Q804">
            <v>2004</v>
          </cell>
          <cell r="R804" t="str">
            <v>DEARBORN PLANT BUILD</v>
          </cell>
          <cell r="S804" t="str">
            <v>P221/P397</v>
          </cell>
          <cell r="T804" t="str">
            <v>Steering Column/Wheel Squeak/Rattle</v>
          </cell>
          <cell r="U804" t="str">
            <v>Tilt Level not clipped</v>
          </cell>
          <cell r="V804" t="str">
            <v>ALL</v>
          </cell>
          <cell r="W804">
            <v>1</v>
          </cell>
          <cell r="AD804">
            <v>1</v>
          </cell>
        </row>
        <row r="805">
          <cell r="A805">
            <v>0</v>
          </cell>
          <cell r="B805" t="str">
            <v>ALL VRTS</v>
          </cell>
          <cell r="D805">
            <v>7</v>
          </cell>
          <cell r="I805" t="str">
            <v>L15</v>
          </cell>
          <cell r="L805" t="str">
            <v>V09</v>
          </cell>
          <cell r="N805">
            <v>0</v>
          </cell>
          <cell r="O805">
            <v>-1</v>
          </cell>
          <cell r="P805">
            <v>0</v>
          </cell>
          <cell r="Q805">
            <v>2004</v>
          </cell>
          <cell r="R805" t="str">
            <v>DEARBORN PLANT BUILD</v>
          </cell>
          <cell r="S805" t="str">
            <v>P221/P397</v>
          </cell>
          <cell r="T805" t="str">
            <v>SUN ROOF FUNCTION</v>
          </cell>
          <cell r="U805" t="str">
            <v>ADJUST GLASS</v>
          </cell>
          <cell r="V805" t="str">
            <v>ALL</v>
          </cell>
          <cell r="W805">
            <v>1</v>
          </cell>
          <cell r="AE805">
            <v>1</v>
          </cell>
        </row>
        <row r="806">
          <cell r="A806">
            <v>0</v>
          </cell>
          <cell r="B806" t="str">
            <v>ALL VRTS</v>
          </cell>
          <cell r="D806">
            <v>7</v>
          </cell>
          <cell r="I806" t="str">
            <v>J04</v>
          </cell>
          <cell r="L806" t="str">
            <v>V09</v>
          </cell>
          <cell r="N806">
            <v>0</v>
          </cell>
          <cell r="O806">
            <v>0</v>
          </cell>
          <cell r="P806">
            <v>-1</v>
          </cell>
          <cell r="Q806">
            <v>2004</v>
          </cell>
          <cell r="R806" t="str">
            <v>DEARBORN PLANT BUILD</v>
          </cell>
          <cell r="S806" t="str">
            <v>P221/P397</v>
          </cell>
          <cell r="T806" t="str">
            <v>SUN ROOF FUNCTION</v>
          </cell>
          <cell r="U806" t="str">
            <v>ADJUST SUNROOF TO OPENING</v>
          </cell>
          <cell r="V806" t="str">
            <v>ALL</v>
          </cell>
          <cell r="W806">
            <v>1</v>
          </cell>
          <cell r="AE806">
            <v>1</v>
          </cell>
        </row>
        <row r="807">
          <cell r="A807">
            <v>0</v>
          </cell>
          <cell r="B807" t="str">
            <v>ALL VRTS</v>
          </cell>
          <cell r="D807">
            <v>7</v>
          </cell>
          <cell r="I807" t="str">
            <v>J04</v>
          </cell>
          <cell r="L807" t="str">
            <v>V09</v>
          </cell>
          <cell r="N807">
            <v>0</v>
          </cell>
          <cell r="O807">
            <v>-1</v>
          </cell>
          <cell r="P807">
            <v>0</v>
          </cell>
          <cell r="Q807">
            <v>2004</v>
          </cell>
          <cell r="R807" t="str">
            <v>DEARBORN PLANT BUILD</v>
          </cell>
          <cell r="S807" t="str">
            <v>P221/P397</v>
          </cell>
          <cell r="T807" t="str">
            <v>SUN ROOF FUNCTION</v>
          </cell>
          <cell r="U807" t="str">
            <v>REPAIR SUNROOF RAIL ASSEMBLY</v>
          </cell>
          <cell r="V807" t="str">
            <v>ALL</v>
          </cell>
          <cell r="W807">
            <v>1</v>
          </cell>
          <cell r="AD807">
            <v>1</v>
          </cell>
        </row>
        <row r="808">
          <cell r="A808">
            <v>0</v>
          </cell>
          <cell r="B808" t="str">
            <v>ALL VRTS</v>
          </cell>
          <cell r="D808">
            <v>7</v>
          </cell>
          <cell r="I808" t="str">
            <v>J04</v>
          </cell>
          <cell r="L808" t="str">
            <v>V09</v>
          </cell>
          <cell r="N808">
            <v>0</v>
          </cell>
          <cell r="O808">
            <v>-1</v>
          </cell>
          <cell r="P808">
            <v>0</v>
          </cell>
          <cell r="Q808">
            <v>2004</v>
          </cell>
          <cell r="R808" t="str">
            <v>DEARBORN PLANT BUILD</v>
          </cell>
          <cell r="S808" t="str">
            <v>P221/P397</v>
          </cell>
          <cell r="T808" t="str">
            <v>SUN ROOF FUNCTION</v>
          </cell>
          <cell r="U808" t="str">
            <v>REPLACE GLASS ASSEMBLY</v>
          </cell>
          <cell r="V808" t="str">
            <v>ALL</v>
          </cell>
          <cell r="W808">
            <v>1</v>
          </cell>
          <cell r="AE808">
            <v>1</v>
          </cell>
        </row>
        <row r="809">
          <cell r="A809">
            <v>0</v>
          </cell>
          <cell r="B809" t="str">
            <v>ALL VRTS</v>
          </cell>
          <cell r="D809">
            <v>7</v>
          </cell>
          <cell r="I809" t="str">
            <v>J03</v>
          </cell>
          <cell r="L809" t="str">
            <v>V09</v>
          </cell>
          <cell r="N809">
            <v>0</v>
          </cell>
          <cell r="O809">
            <v>-1</v>
          </cell>
          <cell r="P809">
            <v>0</v>
          </cell>
          <cell r="Q809">
            <v>2004</v>
          </cell>
          <cell r="R809" t="str">
            <v>DEARBORN PLANT BUILD</v>
          </cell>
          <cell r="S809" t="str">
            <v>P221/P397</v>
          </cell>
          <cell r="T809" t="str">
            <v>SUN ROOF FUNCTION</v>
          </cell>
          <cell r="U809" t="str">
            <v>REPLACE SUNROOF RATTLES</v>
          </cell>
          <cell r="V809" t="str">
            <v>ALL</v>
          </cell>
          <cell r="W809">
            <v>1</v>
          </cell>
          <cell r="AE809">
            <v>1</v>
          </cell>
        </row>
        <row r="810">
          <cell r="A810">
            <v>0</v>
          </cell>
          <cell r="B810" t="str">
            <v>ALL VRTS</v>
          </cell>
          <cell r="D810">
            <v>7</v>
          </cell>
          <cell r="I810" t="str">
            <v>J04</v>
          </cell>
          <cell r="L810" t="str">
            <v>V09</v>
          </cell>
          <cell r="N810">
            <v>0</v>
          </cell>
          <cell r="O810">
            <v>-1</v>
          </cell>
          <cell r="P810">
            <v>0</v>
          </cell>
          <cell r="Q810">
            <v>2004</v>
          </cell>
          <cell r="R810" t="str">
            <v>DEARBORN PLANT BUILD</v>
          </cell>
          <cell r="S810" t="str">
            <v>P221/P397</v>
          </cell>
          <cell r="T810" t="str">
            <v>SUN ROOF FUNCTION</v>
          </cell>
          <cell r="U810" t="str">
            <v>RETIME MOTOR</v>
          </cell>
          <cell r="V810" t="str">
            <v>ALL</v>
          </cell>
          <cell r="W810">
            <v>1</v>
          </cell>
          <cell r="AE810">
            <v>1</v>
          </cell>
        </row>
        <row r="811">
          <cell r="A811">
            <v>0</v>
          </cell>
          <cell r="B811" t="str">
            <v>ALL VRTS</v>
          </cell>
          <cell r="D811">
            <v>7</v>
          </cell>
          <cell r="E811" t="str">
            <v>5480</v>
          </cell>
          <cell r="G811" t="str">
            <v>T212RB</v>
          </cell>
          <cell r="I811" t="str">
            <v>J04</v>
          </cell>
          <cell r="L811" t="str">
            <v>V09</v>
          </cell>
          <cell r="N811">
            <v>0</v>
          </cell>
          <cell r="O811">
            <v>0</v>
          </cell>
          <cell r="P811">
            <v>-1</v>
          </cell>
          <cell r="Q811">
            <v>2004</v>
          </cell>
          <cell r="R811" t="str">
            <v>DEARBORN PLANT BUILD</v>
          </cell>
          <cell r="S811" t="str">
            <v>P221/P397</v>
          </cell>
          <cell r="T811" t="str">
            <v>SUN ROOF FUNCTION</v>
          </cell>
          <cell r="U811" t="str">
            <v>SUNROOF TRACK FASTENERS MISSING</v>
          </cell>
          <cell r="V811" t="str">
            <v>ALL</v>
          </cell>
          <cell r="W811">
            <v>1</v>
          </cell>
          <cell r="AE811">
            <v>1</v>
          </cell>
        </row>
        <row r="812">
          <cell r="A812">
            <v>0</v>
          </cell>
          <cell r="B812" t="str">
            <v>ALL VRTS</v>
          </cell>
          <cell r="D812">
            <v>7</v>
          </cell>
          <cell r="I812" t="str">
            <v>L26</v>
          </cell>
          <cell r="L812" t="str">
            <v>V77</v>
          </cell>
          <cell r="N812">
            <v>0</v>
          </cell>
          <cell r="O812">
            <v>-1</v>
          </cell>
          <cell r="P812">
            <v>-1</v>
          </cell>
          <cell r="Q812">
            <v>2004</v>
          </cell>
          <cell r="R812" t="str">
            <v>DEARBORN PLANT BUILD</v>
          </cell>
          <cell r="S812" t="str">
            <v>P221/P397</v>
          </cell>
          <cell r="T812" t="str">
            <v>Trailer Plug INOP</v>
          </cell>
          <cell r="U812" t="str">
            <v>Fuse blown</v>
          </cell>
          <cell r="V812" t="str">
            <v>ALL</v>
          </cell>
          <cell r="W812">
            <v>2</v>
          </cell>
          <cell r="AB812">
            <v>1</v>
          </cell>
          <cell r="AE812">
            <v>1</v>
          </cell>
        </row>
        <row r="813">
          <cell r="A813">
            <v>0</v>
          </cell>
          <cell r="B813" t="str">
            <v>ALL VRTS</v>
          </cell>
          <cell r="D813">
            <v>7</v>
          </cell>
          <cell r="I813" t="str">
            <v>L26</v>
          </cell>
          <cell r="L813" t="str">
            <v>V77</v>
          </cell>
          <cell r="N813">
            <v>0</v>
          </cell>
          <cell r="O813">
            <v>0</v>
          </cell>
          <cell r="P813">
            <v>-1</v>
          </cell>
          <cell r="Q813">
            <v>2004</v>
          </cell>
          <cell r="R813" t="str">
            <v>DEARBORN PLANT BUILD</v>
          </cell>
          <cell r="S813" t="str">
            <v>P221/P397</v>
          </cell>
          <cell r="T813" t="str">
            <v>Trailer Plug INOP</v>
          </cell>
          <cell r="U813" t="str">
            <v>Central Junction fuse 242 replaced.</v>
          </cell>
          <cell r="V813" t="str">
            <v>ALL</v>
          </cell>
          <cell r="W813">
            <v>1</v>
          </cell>
          <cell r="X813">
            <v>1</v>
          </cell>
        </row>
        <row r="814">
          <cell r="A814">
            <v>0</v>
          </cell>
          <cell r="B814" t="str">
            <v>ALL VRTS</v>
          </cell>
          <cell r="D814">
            <v>7</v>
          </cell>
          <cell r="I814" t="str">
            <v>L26</v>
          </cell>
          <cell r="L814" t="str">
            <v>V77</v>
          </cell>
          <cell r="N814">
            <v>0</v>
          </cell>
          <cell r="O814">
            <v>0</v>
          </cell>
          <cell r="P814">
            <v>-1</v>
          </cell>
          <cell r="Q814">
            <v>2004</v>
          </cell>
          <cell r="R814" t="str">
            <v>DEARBORN PLANT BUILD</v>
          </cell>
          <cell r="S814" t="str">
            <v>P221/P397</v>
          </cell>
          <cell r="T814" t="str">
            <v>Trailer Plug INOP</v>
          </cell>
          <cell r="U814" t="str">
            <v>npf</v>
          </cell>
          <cell r="V814" t="str">
            <v>ALL</v>
          </cell>
          <cell r="W814">
            <v>1</v>
          </cell>
          <cell r="AE814">
            <v>1</v>
          </cell>
        </row>
        <row r="815">
          <cell r="A815">
            <v>0</v>
          </cell>
          <cell r="B815" t="str">
            <v>ALL VRTS</v>
          </cell>
          <cell r="D815">
            <v>7</v>
          </cell>
          <cell r="I815" t="str">
            <v>L26</v>
          </cell>
          <cell r="L815" t="str">
            <v>V77</v>
          </cell>
          <cell r="N815">
            <v>0</v>
          </cell>
          <cell r="O815">
            <v>0</v>
          </cell>
          <cell r="P815">
            <v>-1</v>
          </cell>
          <cell r="Q815">
            <v>2004</v>
          </cell>
          <cell r="R815" t="str">
            <v>DEARBORN PLANT BUILD</v>
          </cell>
          <cell r="S815" t="str">
            <v>P221/P397</v>
          </cell>
          <cell r="T815" t="str">
            <v>Trailer Plug INOP</v>
          </cell>
          <cell r="U815" t="str">
            <v>Pinched Wire.</v>
          </cell>
          <cell r="V815" t="str">
            <v>ALL</v>
          </cell>
          <cell r="W815">
            <v>1</v>
          </cell>
          <cell r="AE815">
            <v>1</v>
          </cell>
        </row>
        <row r="816">
          <cell r="A816">
            <v>0</v>
          </cell>
          <cell r="B816" t="str">
            <v>ALL VRTS</v>
          </cell>
          <cell r="D816">
            <v>7</v>
          </cell>
          <cell r="I816" t="str">
            <v>L26</v>
          </cell>
          <cell r="L816" t="str">
            <v>V77</v>
          </cell>
          <cell r="N816">
            <v>0</v>
          </cell>
          <cell r="O816">
            <v>-1</v>
          </cell>
          <cell r="P816">
            <v>0</v>
          </cell>
          <cell r="Q816">
            <v>2004</v>
          </cell>
          <cell r="R816" t="str">
            <v>DEARBORN PLANT BUILD</v>
          </cell>
          <cell r="S816" t="str">
            <v>P221/P397</v>
          </cell>
          <cell r="T816" t="str">
            <v>Trailer Plug INOP</v>
          </cell>
          <cell r="U816" t="str">
            <v>Repaired wiring.</v>
          </cell>
          <cell r="V816" t="str">
            <v>ALL</v>
          </cell>
          <cell r="W816">
            <v>1</v>
          </cell>
          <cell r="AB816">
            <v>1</v>
          </cell>
        </row>
        <row r="817">
          <cell r="A817">
            <v>0</v>
          </cell>
          <cell r="B817" t="str">
            <v>ALL VRTS</v>
          </cell>
          <cell r="D817">
            <v>7</v>
          </cell>
          <cell r="I817" t="str">
            <v>L26</v>
          </cell>
          <cell r="L817" t="str">
            <v>V77</v>
          </cell>
          <cell r="N817">
            <v>0</v>
          </cell>
          <cell r="O817">
            <v>-1</v>
          </cell>
          <cell r="P817">
            <v>0</v>
          </cell>
          <cell r="Q817">
            <v>2004</v>
          </cell>
          <cell r="R817" t="str">
            <v>DEARBORN PLANT BUILD</v>
          </cell>
          <cell r="S817" t="str">
            <v>P221/P397</v>
          </cell>
          <cell r="T817" t="str">
            <v>Trailer Plug INOP</v>
          </cell>
          <cell r="U817" t="str">
            <v>Replace fuse.</v>
          </cell>
          <cell r="V817" t="str">
            <v>ALL</v>
          </cell>
          <cell r="W817">
            <v>1</v>
          </cell>
          <cell r="AD817">
            <v>1</v>
          </cell>
        </row>
        <row r="818">
          <cell r="A818">
            <v>0</v>
          </cell>
          <cell r="B818" t="str">
            <v>ALL VRTS</v>
          </cell>
          <cell r="D818">
            <v>7</v>
          </cell>
          <cell r="I818" t="str">
            <v>L26</v>
          </cell>
          <cell r="J818" t="str">
            <v>L30</v>
          </cell>
          <cell r="L818" t="str">
            <v>V77</v>
          </cell>
          <cell r="N818">
            <v>0</v>
          </cell>
          <cell r="O818">
            <v>-1</v>
          </cell>
          <cell r="P818">
            <v>0</v>
          </cell>
          <cell r="Q818">
            <v>2004</v>
          </cell>
          <cell r="R818" t="str">
            <v>DEARBORN PLANT BUILD</v>
          </cell>
          <cell r="S818" t="str">
            <v>P221/P397</v>
          </cell>
          <cell r="T818" t="str">
            <v>Turn Signal Inop</v>
          </cell>
          <cell r="U818" t="str">
            <v>Replaced Bulb.</v>
          </cell>
          <cell r="V818" t="str">
            <v>ALL</v>
          </cell>
          <cell r="W818">
            <v>3</v>
          </cell>
          <cell r="AB818">
            <v>2</v>
          </cell>
          <cell r="AC818">
            <v>1</v>
          </cell>
        </row>
        <row r="819">
          <cell r="A819">
            <v>0</v>
          </cell>
          <cell r="B819" t="str">
            <v>ALL VRTS</v>
          </cell>
          <cell r="D819">
            <v>7</v>
          </cell>
          <cell r="I819" t="str">
            <v>L30</v>
          </cell>
          <cell r="L819" t="str">
            <v>V77</v>
          </cell>
          <cell r="N819">
            <v>0</v>
          </cell>
          <cell r="O819">
            <v>0</v>
          </cell>
          <cell r="P819">
            <v>-1</v>
          </cell>
          <cell r="Q819">
            <v>2004</v>
          </cell>
          <cell r="R819" t="str">
            <v>DEARBORN PLANT BUILD</v>
          </cell>
          <cell r="S819" t="str">
            <v>P221/P397</v>
          </cell>
          <cell r="T819" t="str">
            <v>Turn Signal Inop</v>
          </cell>
          <cell r="U819" t="str">
            <v>Circuit C385 open repaired</v>
          </cell>
          <cell r="V819" t="str">
            <v>ALL</v>
          </cell>
          <cell r="W819">
            <v>1</v>
          </cell>
          <cell r="AD819">
            <v>1</v>
          </cell>
        </row>
        <row r="820">
          <cell r="A820">
            <v>0</v>
          </cell>
          <cell r="B820" t="str">
            <v>ALL VRTS</v>
          </cell>
          <cell r="D820">
            <v>7</v>
          </cell>
          <cell r="I820" t="str">
            <v>L30</v>
          </cell>
          <cell r="L820" t="str">
            <v>V77</v>
          </cell>
          <cell r="N820">
            <v>0</v>
          </cell>
          <cell r="O820">
            <v>-1</v>
          </cell>
          <cell r="P820">
            <v>0</v>
          </cell>
          <cell r="Q820">
            <v>2004</v>
          </cell>
          <cell r="R820" t="str">
            <v>DEARBORN PLANT BUILD</v>
          </cell>
          <cell r="S820" t="str">
            <v>P221/P397</v>
          </cell>
          <cell r="T820" t="str">
            <v>Turn Signal Inop</v>
          </cell>
          <cell r="U820" t="str">
            <v>Harness #14401 Repaired, replace bulb.</v>
          </cell>
          <cell r="V820" t="str">
            <v>ALL</v>
          </cell>
          <cell r="W820">
            <v>1</v>
          </cell>
          <cell r="AC820">
            <v>1</v>
          </cell>
        </row>
        <row r="821">
          <cell r="A821">
            <v>0</v>
          </cell>
          <cell r="B821" t="str">
            <v>ALL VRTS</v>
          </cell>
          <cell r="D821">
            <v>7</v>
          </cell>
          <cell r="I821" t="str">
            <v>L29</v>
          </cell>
          <cell r="L821" t="str">
            <v>V77</v>
          </cell>
          <cell r="N821">
            <v>0</v>
          </cell>
          <cell r="O821">
            <v>0</v>
          </cell>
          <cell r="P821">
            <v>-1</v>
          </cell>
          <cell r="Q821">
            <v>2004</v>
          </cell>
          <cell r="R821" t="str">
            <v>DEARBORN PLANT BUILD</v>
          </cell>
          <cell r="S821" t="str">
            <v>P221/P397</v>
          </cell>
          <cell r="T821" t="str">
            <v>Turn Signal Inop</v>
          </cell>
          <cell r="U821" t="str">
            <v>Repaired wiring.</v>
          </cell>
          <cell r="V821" t="str">
            <v>ALL</v>
          </cell>
          <cell r="W821">
            <v>1</v>
          </cell>
          <cell r="AD821">
            <v>1</v>
          </cell>
        </row>
        <row r="822">
          <cell r="A822">
            <v>0</v>
          </cell>
          <cell r="B822" t="str">
            <v>ALL VRTS</v>
          </cell>
          <cell r="D822">
            <v>7</v>
          </cell>
          <cell r="I822" t="str">
            <v>L30</v>
          </cell>
          <cell r="L822" t="str">
            <v>V77</v>
          </cell>
          <cell r="N822">
            <v>0</v>
          </cell>
          <cell r="O822">
            <v>-1</v>
          </cell>
          <cell r="P822">
            <v>0</v>
          </cell>
          <cell r="Q822">
            <v>2004</v>
          </cell>
          <cell r="R822" t="str">
            <v>DEARBORN PLANT BUILD</v>
          </cell>
          <cell r="S822" t="str">
            <v>P221/P397</v>
          </cell>
          <cell r="T822" t="str">
            <v>Turn Signal Inop</v>
          </cell>
          <cell r="U822" t="str">
            <v>Replace fuse.</v>
          </cell>
          <cell r="V822" t="str">
            <v>ALL</v>
          </cell>
          <cell r="W822">
            <v>1</v>
          </cell>
          <cell r="AE822">
            <v>1</v>
          </cell>
        </row>
        <row r="823">
          <cell r="A823">
            <v>0</v>
          </cell>
          <cell r="B823" t="str">
            <v>ALL VRTS</v>
          </cell>
          <cell r="D823">
            <v>6</v>
          </cell>
          <cell r="I823" t="str">
            <v>D13</v>
          </cell>
          <cell r="J823" t="str">
            <v>D10</v>
          </cell>
          <cell r="L823" t="str">
            <v>V40</v>
          </cell>
          <cell r="N823">
            <v>-1</v>
          </cell>
          <cell r="O823">
            <v>-1</v>
          </cell>
          <cell r="P823">
            <v>0</v>
          </cell>
          <cell r="Q823">
            <v>2004</v>
          </cell>
          <cell r="R823" t="str">
            <v>DEARBORN PLANT BUILD</v>
          </cell>
          <cell r="S823" t="str">
            <v>P221/P397</v>
          </cell>
          <cell r="T823" t="str">
            <v xml:space="preserve"> ROUGH IDLE</v>
          </cell>
          <cell r="U823" t="str">
            <v>npf</v>
          </cell>
          <cell r="V823" t="str">
            <v>ALL</v>
          </cell>
          <cell r="W823">
            <v>6</v>
          </cell>
          <cell r="Z823">
            <v>3</v>
          </cell>
          <cell r="AB823">
            <v>1</v>
          </cell>
          <cell r="AD823">
            <v>2</v>
          </cell>
        </row>
        <row r="824">
          <cell r="A824">
            <v>0</v>
          </cell>
          <cell r="B824" t="str">
            <v>ALL VRTS</v>
          </cell>
          <cell r="D824">
            <v>6</v>
          </cell>
          <cell r="I824" t="str">
            <v>G32</v>
          </cell>
          <cell r="L824" t="str">
            <v>V17</v>
          </cell>
          <cell r="N824">
            <v>0</v>
          </cell>
          <cell r="O824">
            <v>-1</v>
          </cell>
          <cell r="P824">
            <v>0</v>
          </cell>
          <cell r="Q824">
            <v>2004</v>
          </cell>
          <cell r="R824" t="str">
            <v>DEARBORN PLANT BUILD</v>
          </cell>
          <cell r="S824" t="str">
            <v>P221/P397</v>
          </cell>
          <cell r="T824" t="str">
            <v>Air Bag INOP</v>
          </cell>
          <cell r="U824" t="str">
            <v>Control Module , circuit repaired</v>
          </cell>
          <cell r="V824" t="str">
            <v>ALL</v>
          </cell>
          <cell r="W824">
            <v>2</v>
          </cell>
          <cell r="AD824">
            <v>2</v>
          </cell>
        </row>
        <row r="825">
          <cell r="A825">
            <v>0</v>
          </cell>
          <cell r="B825" t="str">
            <v>ALL VRTS</v>
          </cell>
          <cell r="D825">
            <v>6</v>
          </cell>
          <cell r="I825" t="str">
            <v>G32</v>
          </cell>
          <cell r="L825" t="str">
            <v>V17</v>
          </cell>
          <cell r="N825">
            <v>0</v>
          </cell>
          <cell r="O825">
            <v>0</v>
          </cell>
          <cell r="P825">
            <v>-1</v>
          </cell>
          <cell r="Q825">
            <v>2004</v>
          </cell>
          <cell r="R825" t="str">
            <v>DEARBORN PLANT BUILD</v>
          </cell>
          <cell r="S825" t="str">
            <v>P221/P397</v>
          </cell>
          <cell r="T825" t="str">
            <v>Air Bag INOP</v>
          </cell>
          <cell r="U825" t="str">
            <v>Wire, Pinched</v>
          </cell>
          <cell r="V825" t="str">
            <v>ALL</v>
          </cell>
          <cell r="W825">
            <v>2</v>
          </cell>
          <cell r="AD825">
            <v>1</v>
          </cell>
          <cell r="AE825">
            <v>1</v>
          </cell>
        </row>
        <row r="826">
          <cell r="A826">
            <v>0</v>
          </cell>
          <cell r="B826" t="str">
            <v>ALL VRTS</v>
          </cell>
          <cell r="D826">
            <v>6</v>
          </cell>
          <cell r="I826" t="str">
            <v>A85</v>
          </cell>
          <cell r="L826" t="str">
            <v>V17</v>
          </cell>
          <cell r="N826">
            <v>-1</v>
          </cell>
          <cell r="O826">
            <v>0</v>
          </cell>
          <cell r="P826">
            <v>0</v>
          </cell>
          <cell r="Q826">
            <v>2004</v>
          </cell>
          <cell r="R826" t="str">
            <v>DEARBORN PLANT BUILD</v>
          </cell>
          <cell r="S826" t="str">
            <v>P221/P397</v>
          </cell>
          <cell r="T826" t="str">
            <v>Air Bag INOP</v>
          </cell>
          <cell r="U826" t="str">
            <v>NPF.</v>
          </cell>
          <cell r="V826" t="str">
            <v>ALL</v>
          </cell>
          <cell r="W826">
            <v>1</v>
          </cell>
          <cell r="AD826">
            <v>1</v>
          </cell>
        </row>
        <row r="827">
          <cell r="A827">
            <v>0</v>
          </cell>
          <cell r="B827" t="str">
            <v>ALL VRTS</v>
          </cell>
          <cell r="D827">
            <v>6</v>
          </cell>
          <cell r="I827" t="str">
            <v>G32</v>
          </cell>
          <cell r="L827" t="str">
            <v>V17</v>
          </cell>
          <cell r="N827">
            <v>0</v>
          </cell>
          <cell r="O827">
            <v>-1</v>
          </cell>
          <cell r="P827">
            <v>0</v>
          </cell>
          <cell r="Q827">
            <v>2004</v>
          </cell>
          <cell r="R827" t="str">
            <v>DEARBORN PLANT BUILD</v>
          </cell>
          <cell r="S827" t="str">
            <v>P221/P397</v>
          </cell>
          <cell r="T827" t="str">
            <v>Air Bag INOP</v>
          </cell>
          <cell r="U827" t="str">
            <v>Replace RCM</v>
          </cell>
          <cell r="V827" t="str">
            <v>ALL</v>
          </cell>
          <cell r="W827">
            <v>1</v>
          </cell>
          <cell r="AD827">
            <v>1</v>
          </cell>
        </row>
        <row r="828">
          <cell r="A828">
            <v>0</v>
          </cell>
          <cell r="B828" t="str">
            <v>ALL VRTS</v>
          </cell>
          <cell r="D828">
            <v>6</v>
          </cell>
          <cell r="E828" t="str">
            <v>Trim 1 5440 -D</v>
          </cell>
          <cell r="F828" t="str">
            <v>Trim 1 5450 -D</v>
          </cell>
          <cell r="G828" t="str">
            <v>T1W07L</v>
          </cell>
          <cell r="H828" t="str">
            <v>T1E08R</v>
          </cell>
          <cell r="I828" t="str">
            <v>B63</v>
          </cell>
          <cell r="J828" t="str">
            <v>B66</v>
          </cell>
          <cell r="L828" t="str">
            <v>V75</v>
          </cell>
          <cell r="N828">
            <v>0</v>
          </cell>
          <cell r="O828">
            <v>0</v>
          </cell>
          <cell r="P828">
            <v>-1</v>
          </cell>
          <cell r="Q828">
            <v>2004</v>
          </cell>
          <cell r="R828" t="str">
            <v>DEARBORN PLANT BUILD</v>
          </cell>
          <cell r="S828" t="str">
            <v>P221/P397</v>
          </cell>
          <cell r="T828" t="str">
            <v>B PILLAR APPLIQUE / DEFECTIVE</v>
          </cell>
          <cell r="U828" t="str">
            <v>Door Applique Replaced</v>
          </cell>
          <cell r="V828" t="str">
            <v>ALL</v>
          </cell>
          <cell r="W828">
            <v>3</v>
          </cell>
          <cell r="AB828">
            <v>2</v>
          </cell>
          <cell r="AE828">
            <v>1</v>
          </cell>
        </row>
        <row r="829">
          <cell r="A829">
            <v>0</v>
          </cell>
          <cell r="B829" t="str">
            <v>ALL VRTS</v>
          </cell>
          <cell r="D829">
            <v>6</v>
          </cell>
          <cell r="E829" t="str">
            <v>Trim 1 5450 -D</v>
          </cell>
          <cell r="F829" t="str">
            <v>Trim 1 5440 -D</v>
          </cell>
          <cell r="G829" t="str">
            <v>T1W07L</v>
          </cell>
          <cell r="H829" t="str">
            <v>T1E02R</v>
          </cell>
          <cell r="I829" t="str">
            <v>B63</v>
          </cell>
          <cell r="J829" t="str">
            <v>B66</v>
          </cell>
          <cell r="L829" t="str">
            <v>V75</v>
          </cell>
          <cell r="N829">
            <v>0</v>
          </cell>
          <cell r="O829">
            <v>0</v>
          </cell>
          <cell r="P829">
            <v>-1</v>
          </cell>
          <cell r="Q829">
            <v>2004</v>
          </cell>
          <cell r="R829" t="str">
            <v>DEARBORN PLANT BUILD</v>
          </cell>
          <cell r="S829" t="str">
            <v>P221/P397</v>
          </cell>
          <cell r="T829" t="str">
            <v>B PILLAR APPLIQUE / DEFECTIVE</v>
          </cell>
          <cell r="U829" t="str">
            <v>B PILLAR APPLIQUE REPLACED</v>
          </cell>
          <cell r="V829" t="str">
            <v>ALL</v>
          </cell>
          <cell r="W829">
            <v>2</v>
          </cell>
          <cell r="AD829">
            <v>1</v>
          </cell>
          <cell r="AE829">
            <v>1</v>
          </cell>
        </row>
        <row r="830">
          <cell r="A830">
            <v>0</v>
          </cell>
          <cell r="B830" t="str">
            <v>ALL VRTS</v>
          </cell>
          <cell r="D830">
            <v>6</v>
          </cell>
          <cell r="E830" t="str">
            <v>Trim 1 5450 -D</v>
          </cell>
          <cell r="G830" t="str">
            <v>T1W07L</v>
          </cell>
          <cell r="I830" t="str">
            <v>B64</v>
          </cell>
          <cell r="L830" t="str">
            <v>V75</v>
          </cell>
          <cell r="N830">
            <v>0</v>
          </cell>
          <cell r="O830">
            <v>0</v>
          </cell>
          <cell r="P830">
            <v>-1</v>
          </cell>
          <cell r="Q830">
            <v>2004</v>
          </cell>
          <cell r="R830" t="str">
            <v>DEARBORN PLANT BUILD</v>
          </cell>
          <cell r="S830" t="str">
            <v>P221/P397</v>
          </cell>
          <cell r="T830" t="str">
            <v>B PILLAR APPLIQUE / DEFECTIVE</v>
          </cell>
          <cell r="U830" t="str">
            <v>SCRATCHED</v>
          </cell>
          <cell r="V830" t="str">
            <v>ALL</v>
          </cell>
          <cell r="W830">
            <v>1</v>
          </cell>
          <cell r="AD830">
            <v>1</v>
          </cell>
        </row>
        <row r="831">
          <cell r="A831">
            <v>0</v>
          </cell>
          <cell r="B831" t="str">
            <v>ALL VRTS</v>
          </cell>
          <cell r="D831">
            <v>6</v>
          </cell>
          <cell r="E831" t="str">
            <v>34502C</v>
          </cell>
          <cell r="G831" t="str">
            <v>Metal Finishers</v>
          </cell>
          <cell r="I831" t="str">
            <v>B01</v>
          </cell>
          <cell r="L831" t="str">
            <v>V31</v>
          </cell>
          <cell r="N831">
            <v>0</v>
          </cell>
          <cell r="O831">
            <v>0</v>
          </cell>
          <cell r="P831">
            <v>-1</v>
          </cell>
          <cell r="Q831">
            <v>2004</v>
          </cell>
          <cell r="R831" t="str">
            <v>DEARBORN PLANT BUILD</v>
          </cell>
          <cell r="S831" t="str">
            <v>P221/P397</v>
          </cell>
          <cell r="T831" t="str">
            <v>Box - Surface</v>
          </cell>
          <cell r="U831" t="str">
            <v>Ding</v>
          </cell>
          <cell r="V831" t="str">
            <v>ALL</v>
          </cell>
          <cell r="W831">
            <v>3</v>
          </cell>
          <cell r="AD831">
            <v>3</v>
          </cell>
        </row>
        <row r="832">
          <cell r="A832">
            <v>0</v>
          </cell>
          <cell r="B832" t="str">
            <v>ALL VRTS</v>
          </cell>
          <cell r="D832">
            <v>6</v>
          </cell>
          <cell r="E832" t="str">
            <v>34502C</v>
          </cell>
          <cell r="G832" t="str">
            <v>Metal Finishers</v>
          </cell>
          <cell r="I832" t="str">
            <v>B01</v>
          </cell>
          <cell r="L832" t="str">
            <v>V31</v>
          </cell>
          <cell r="N832">
            <v>0</v>
          </cell>
          <cell r="O832">
            <v>0</v>
          </cell>
          <cell r="P832">
            <v>-1</v>
          </cell>
          <cell r="Q832">
            <v>2004</v>
          </cell>
          <cell r="R832" t="str">
            <v>DEARBORN PLANT BUILD</v>
          </cell>
          <cell r="S832" t="str">
            <v>P221/P397</v>
          </cell>
          <cell r="T832" t="str">
            <v>Box - Surface</v>
          </cell>
          <cell r="U832" t="str">
            <v>DAMAGED</v>
          </cell>
          <cell r="V832" t="str">
            <v>ALL</v>
          </cell>
          <cell r="W832">
            <v>1</v>
          </cell>
          <cell r="AE832">
            <v>1</v>
          </cell>
        </row>
        <row r="833">
          <cell r="A833">
            <v>0</v>
          </cell>
          <cell r="B833" t="str">
            <v>ALL VRTS</v>
          </cell>
          <cell r="D833">
            <v>6</v>
          </cell>
          <cell r="E833" t="str">
            <v>34502C</v>
          </cell>
          <cell r="G833" t="str">
            <v>Metal Finishers</v>
          </cell>
          <cell r="I833" t="str">
            <v>B01</v>
          </cell>
          <cell r="L833" t="str">
            <v>V31</v>
          </cell>
          <cell r="N833">
            <v>0</v>
          </cell>
          <cell r="O833">
            <v>0</v>
          </cell>
          <cell r="P833">
            <v>-1</v>
          </cell>
          <cell r="Q833">
            <v>2004</v>
          </cell>
          <cell r="R833" t="str">
            <v>DEARBORN PLANT BUILD</v>
          </cell>
          <cell r="S833" t="str">
            <v>P221/P397</v>
          </cell>
          <cell r="T833" t="str">
            <v>Box - Surface</v>
          </cell>
          <cell r="U833" t="str">
            <v>RS ding</v>
          </cell>
          <cell r="V833" t="str">
            <v>ALL</v>
          </cell>
          <cell r="W833">
            <v>1</v>
          </cell>
          <cell r="AD833">
            <v>1</v>
          </cell>
        </row>
        <row r="834">
          <cell r="A834">
            <v>0</v>
          </cell>
          <cell r="B834" t="str">
            <v>ALL VRTS</v>
          </cell>
          <cell r="D834">
            <v>6</v>
          </cell>
          <cell r="E834" t="str">
            <v>34502C</v>
          </cell>
          <cell r="G834" t="str">
            <v>Metal Finishers</v>
          </cell>
          <cell r="I834" t="str">
            <v>B01</v>
          </cell>
          <cell r="L834" t="str">
            <v>V31</v>
          </cell>
          <cell r="N834">
            <v>0</v>
          </cell>
          <cell r="O834">
            <v>0</v>
          </cell>
          <cell r="P834">
            <v>-1</v>
          </cell>
          <cell r="Q834">
            <v>2004</v>
          </cell>
          <cell r="R834" t="str">
            <v>DEARBORN PLANT BUILD</v>
          </cell>
          <cell r="S834" t="str">
            <v>P221/P397</v>
          </cell>
          <cell r="T834" t="str">
            <v>Box - Surface</v>
          </cell>
          <cell r="U834" t="str">
            <v>wavy metal</v>
          </cell>
          <cell r="V834" t="str">
            <v>ALL</v>
          </cell>
          <cell r="W834">
            <v>1</v>
          </cell>
          <cell r="AC834">
            <v>1</v>
          </cell>
        </row>
        <row r="835">
          <cell r="A835">
            <v>0</v>
          </cell>
          <cell r="B835" t="str">
            <v>ALL VRTS</v>
          </cell>
          <cell r="C835" t="str">
            <v>X</v>
          </cell>
          <cell r="D835">
            <v>6</v>
          </cell>
          <cell r="I835" t="str">
            <v>H20</v>
          </cell>
          <cell r="L835" t="str">
            <v>V21</v>
          </cell>
          <cell r="N835">
            <v>-1</v>
          </cell>
          <cell r="O835">
            <v>-1</v>
          </cell>
          <cell r="P835">
            <v>0</v>
          </cell>
          <cell r="Q835">
            <v>2004</v>
          </cell>
          <cell r="R835" t="str">
            <v>DEARBORN PLANT BUILD</v>
          </cell>
          <cell r="S835" t="str">
            <v>P221/P397</v>
          </cell>
          <cell r="T835" t="str">
            <v>BRAKES, EXCESSIVE DUST</v>
          </cell>
          <cell r="U835" t="str">
            <v>npf</v>
          </cell>
          <cell r="V835" t="str">
            <v>ALL</v>
          </cell>
          <cell r="W835">
            <v>3</v>
          </cell>
          <cell r="AB835">
            <v>1</v>
          </cell>
          <cell r="AC835">
            <v>1</v>
          </cell>
          <cell r="AD835">
            <v>1</v>
          </cell>
        </row>
        <row r="836">
          <cell r="A836">
            <v>0</v>
          </cell>
          <cell r="B836" t="str">
            <v>ALL VRTS</v>
          </cell>
          <cell r="C836" t="str">
            <v>X</v>
          </cell>
          <cell r="D836">
            <v>6</v>
          </cell>
          <cell r="I836" t="str">
            <v>H20</v>
          </cell>
          <cell r="L836" t="str">
            <v>V21</v>
          </cell>
          <cell r="N836">
            <v>-1</v>
          </cell>
          <cell r="O836">
            <v>-1</v>
          </cell>
          <cell r="P836">
            <v>0</v>
          </cell>
          <cell r="Q836">
            <v>2004</v>
          </cell>
          <cell r="R836" t="str">
            <v>DEARBORN PLANT BUILD</v>
          </cell>
          <cell r="S836" t="str">
            <v>P221/P397</v>
          </cell>
          <cell r="T836" t="str">
            <v>BRAKES, EXCESSIVE DUST</v>
          </cell>
          <cell r="U836" t="str">
            <v>ROTORS  OUT OF ROUND - TURNED</v>
          </cell>
          <cell r="V836" t="str">
            <v>ALL</v>
          </cell>
          <cell r="W836">
            <v>2</v>
          </cell>
          <cell r="AD836">
            <v>1</v>
          </cell>
          <cell r="AE836">
            <v>1</v>
          </cell>
        </row>
        <row r="837">
          <cell r="A837">
            <v>0</v>
          </cell>
          <cell r="B837" t="str">
            <v>ALL VRTS</v>
          </cell>
          <cell r="C837" t="str">
            <v>X</v>
          </cell>
          <cell r="D837">
            <v>6</v>
          </cell>
          <cell r="I837" t="str">
            <v>H02</v>
          </cell>
          <cell r="L837" t="str">
            <v>V21</v>
          </cell>
          <cell r="N837">
            <v>-1</v>
          </cell>
          <cell r="O837">
            <v>-1</v>
          </cell>
          <cell r="P837">
            <v>0</v>
          </cell>
          <cell r="Q837">
            <v>2004</v>
          </cell>
          <cell r="R837" t="str">
            <v>DEARBORN PLANT BUILD</v>
          </cell>
          <cell r="S837" t="str">
            <v>P221/P397</v>
          </cell>
          <cell r="T837" t="str">
            <v>BRAKES, EXCESSIVE DUST</v>
          </cell>
          <cell r="U837" t="str">
            <v>FRONT BRAKE PADS - REPLACED</v>
          </cell>
          <cell r="V837" t="str">
            <v>ALL</v>
          </cell>
          <cell r="W837">
            <v>1</v>
          </cell>
          <cell r="AB837">
            <v>1</v>
          </cell>
        </row>
        <row r="838">
          <cell r="A838">
            <v>0</v>
          </cell>
          <cell r="B838" t="str">
            <v>ALL VRTS</v>
          </cell>
          <cell r="C838" t="str">
            <v>X</v>
          </cell>
          <cell r="D838">
            <v>6</v>
          </cell>
          <cell r="I838" t="str">
            <v>H19</v>
          </cell>
          <cell r="L838" t="str">
            <v>V21</v>
          </cell>
          <cell r="N838">
            <v>0</v>
          </cell>
          <cell r="O838">
            <v>-1</v>
          </cell>
          <cell r="P838">
            <v>0</v>
          </cell>
          <cell r="Q838">
            <v>2004</v>
          </cell>
          <cell r="R838" t="str">
            <v>DEARBORN PLANT BUILD</v>
          </cell>
          <cell r="S838" t="str">
            <v>P221/P397</v>
          </cell>
          <cell r="T838" t="str">
            <v>BRAKES,ABS LIGHT ON</v>
          </cell>
          <cell r="U838" t="str">
            <v>HCU REPLACED</v>
          </cell>
          <cell r="V838" t="str">
            <v>ALL</v>
          </cell>
          <cell r="W838">
            <v>2</v>
          </cell>
          <cell r="Y838">
            <v>1</v>
          </cell>
          <cell r="AA838">
            <v>1</v>
          </cell>
        </row>
        <row r="839">
          <cell r="A839">
            <v>0</v>
          </cell>
          <cell r="B839" t="str">
            <v>ALL VRTS</v>
          </cell>
          <cell r="C839" t="str">
            <v>X</v>
          </cell>
          <cell r="D839">
            <v>6</v>
          </cell>
          <cell r="I839" t="str">
            <v>H19</v>
          </cell>
          <cell r="L839" t="str">
            <v>V21</v>
          </cell>
          <cell r="N839">
            <v>0</v>
          </cell>
          <cell r="O839">
            <v>-1</v>
          </cell>
          <cell r="P839">
            <v>0</v>
          </cell>
          <cell r="Q839">
            <v>2004</v>
          </cell>
          <cell r="R839" t="str">
            <v>DEARBORN PLANT BUILD</v>
          </cell>
          <cell r="S839" t="str">
            <v>P221/P397</v>
          </cell>
          <cell r="T839" t="str">
            <v>BRAKES,ABS LIGHT ON</v>
          </cell>
          <cell r="U839" t="str">
            <v>BRAKE ANTI - LOCK SENSOR - REPLACED</v>
          </cell>
          <cell r="V839" t="str">
            <v>ALL</v>
          </cell>
          <cell r="W839">
            <v>1</v>
          </cell>
          <cell r="AC839">
            <v>1</v>
          </cell>
        </row>
        <row r="840">
          <cell r="A840">
            <v>0</v>
          </cell>
          <cell r="B840" t="str">
            <v>ALL VRTS</v>
          </cell>
          <cell r="C840" t="str">
            <v>X</v>
          </cell>
          <cell r="D840">
            <v>6</v>
          </cell>
          <cell r="E840" t="str">
            <v>6440</v>
          </cell>
          <cell r="G840" t="str">
            <v>C2E45F</v>
          </cell>
          <cell r="I840" t="str">
            <v>L63</v>
          </cell>
          <cell r="L840" t="str">
            <v>V21</v>
          </cell>
          <cell r="N840">
            <v>0</v>
          </cell>
          <cell r="O840">
            <v>0</v>
          </cell>
          <cell r="P840">
            <v>-1</v>
          </cell>
          <cell r="Q840">
            <v>2004</v>
          </cell>
          <cell r="R840" t="str">
            <v>DEARBORN PLANT BUILD</v>
          </cell>
          <cell r="S840" t="str">
            <v>P221/P397</v>
          </cell>
          <cell r="T840" t="str">
            <v>BRAKES,ABS LIGHT ON</v>
          </cell>
          <cell r="U840" t="str">
            <v>BRAKE LINE LOOSE - TIGHTENED</v>
          </cell>
          <cell r="V840" t="str">
            <v>ALL</v>
          </cell>
          <cell r="W840">
            <v>1</v>
          </cell>
          <cell r="AC840">
            <v>1</v>
          </cell>
        </row>
        <row r="841">
          <cell r="A841">
            <v>0</v>
          </cell>
          <cell r="B841" t="str">
            <v>ALL VRTS</v>
          </cell>
          <cell r="C841" t="str">
            <v>X</v>
          </cell>
          <cell r="D841">
            <v>6</v>
          </cell>
          <cell r="I841" t="str">
            <v>H19</v>
          </cell>
          <cell r="L841" t="str">
            <v>V21</v>
          </cell>
          <cell r="N841">
            <v>0</v>
          </cell>
          <cell r="O841">
            <v>-1</v>
          </cell>
          <cell r="P841">
            <v>0</v>
          </cell>
          <cell r="Q841">
            <v>2004</v>
          </cell>
          <cell r="R841" t="str">
            <v>DEARBORN PLANT BUILD</v>
          </cell>
          <cell r="S841" t="str">
            <v>P221/P397</v>
          </cell>
          <cell r="T841" t="str">
            <v>BRAKES,ABS LIGHT ON</v>
          </cell>
          <cell r="U841" t="str">
            <v>WHEEL SPEED SENSOR NOT CONNECTED - CONNECTED</v>
          </cell>
          <cell r="V841" t="str">
            <v>ALL</v>
          </cell>
          <cell r="W841">
            <v>1</v>
          </cell>
          <cell r="AD841">
            <v>1</v>
          </cell>
        </row>
        <row r="842">
          <cell r="A842">
            <v>0</v>
          </cell>
          <cell r="B842" t="str">
            <v>ALL VRTS</v>
          </cell>
          <cell r="C842" t="str">
            <v>X</v>
          </cell>
          <cell r="D842">
            <v>6</v>
          </cell>
          <cell r="I842" t="str">
            <v>H19</v>
          </cell>
          <cell r="L842" t="str">
            <v>V21</v>
          </cell>
          <cell r="N842">
            <v>0</v>
          </cell>
          <cell r="O842">
            <v>-1</v>
          </cell>
          <cell r="P842">
            <v>0</v>
          </cell>
          <cell r="Q842">
            <v>2004</v>
          </cell>
          <cell r="R842" t="str">
            <v>DEARBORN PLANT BUILD</v>
          </cell>
          <cell r="S842" t="str">
            <v>P221/P397</v>
          </cell>
          <cell r="T842" t="str">
            <v>BRAKES,ABS LIGHT ON</v>
          </cell>
          <cell r="U842" t="str">
            <v>WHEEL SPEED SENSOR -REPLACED</v>
          </cell>
          <cell r="V842" t="str">
            <v>ALL</v>
          </cell>
          <cell r="W842">
            <v>1</v>
          </cell>
          <cell r="AD842">
            <v>1</v>
          </cell>
        </row>
        <row r="843">
          <cell r="A843">
            <v>0</v>
          </cell>
          <cell r="B843" t="str">
            <v>ALL VRTS</v>
          </cell>
          <cell r="D843">
            <v>6</v>
          </cell>
          <cell r="E843" t="str">
            <v>34602C</v>
          </cell>
          <cell r="G843" t="str">
            <v>Final Fitters</v>
          </cell>
          <cell r="I843" t="str">
            <v>B02</v>
          </cell>
          <cell r="J843" t="str">
            <v>B15</v>
          </cell>
          <cell r="L843" t="str">
            <v>V31</v>
          </cell>
          <cell r="N843">
            <v>0</v>
          </cell>
          <cell r="O843">
            <v>0</v>
          </cell>
          <cell r="P843">
            <v>-1</v>
          </cell>
          <cell r="Q843">
            <v>2004</v>
          </cell>
          <cell r="R843" t="str">
            <v>DEARBORN PLANT BUILD</v>
          </cell>
          <cell r="S843" t="str">
            <v>P221/P397</v>
          </cell>
          <cell r="T843" t="str">
            <v>CC Door - Fit - Effort - RH Rear</v>
          </cell>
          <cell r="U843" t="str">
            <v>Misaligned</v>
          </cell>
          <cell r="V843" t="str">
            <v>ALL</v>
          </cell>
          <cell r="W843">
            <v>4</v>
          </cell>
          <cell r="AC843">
            <v>1</v>
          </cell>
          <cell r="AD843">
            <v>3</v>
          </cell>
        </row>
        <row r="844">
          <cell r="A844">
            <v>0</v>
          </cell>
          <cell r="B844" t="str">
            <v>ALL VRTS</v>
          </cell>
          <cell r="D844">
            <v>6</v>
          </cell>
          <cell r="E844" t="str">
            <v>34602C</v>
          </cell>
          <cell r="G844" t="str">
            <v>Final Fitters</v>
          </cell>
          <cell r="I844" t="str">
            <v>B15</v>
          </cell>
          <cell r="L844" t="str">
            <v>V31</v>
          </cell>
          <cell r="N844">
            <v>0</v>
          </cell>
          <cell r="O844">
            <v>0</v>
          </cell>
          <cell r="P844">
            <v>-1</v>
          </cell>
          <cell r="Q844">
            <v>2004</v>
          </cell>
          <cell r="R844" t="str">
            <v>DEARBORN PLANT BUILD</v>
          </cell>
          <cell r="S844" t="str">
            <v>P221/P397</v>
          </cell>
          <cell r="T844" t="str">
            <v>CC Door - Fit - Effort - RH Rear</v>
          </cell>
          <cell r="U844" t="str">
            <v xml:space="preserve"> Striker adjust</v>
          </cell>
          <cell r="V844" t="str">
            <v>ALL</v>
          </cell>
          <cell r="W844">
            <v>2</v>
          </cell>
          <cell r="AD844">
            <v>2</v>
          </cell>
        </row>
        <row r="845">
          <cell r="A845">
            <v>0</v>
          </cell>
          <cell r="B845" t="str">
            <v>ALL VRTS</v>
          </cell>
          <cell r="D845">
            <v>6</v>
          </cell>
          <cell r="E845" t="str">
            <v>34602C</v>
          </cell>
          <cell r="G845" t="str">
            <v>Final Fitters</v>
          </cell>
          <cell r="I845" t="str">
            <v>B02</v>
          </cell>
          <cell r="J845" t="str">
            <v>B05</v>
          </cell>
          <cell r="K845" t="str">
            <v>B15</v>
          </cell>
          <cell r="L845" t="str">
            <v>V31</v>
          </cell>
          <cell r="N845">
            <v>0</v>
          </cell>
          <cell r="O845">
            <v>0</v>
          </cell>
          <cell r="P845">
            <v>-1</v>
          </cell>
          <cell r="Q845">
            <v>2004</v>
          </cell>
          <cell r="R845" t="str">
            <v>DEARBORN PLANT BUILD</v>
          </cell>
          <cell r="S845" t="str">
            <v>P221/P397</v>
          </cell>
          <cell r="T845" t="str">
            <v>CC Door- Fit-Effort - LH Rear</v>
          </cell>
          <cell r="U845" t="str">
            <v xml:space="preserve"> Striker adjust</v>
          </cell>
          <cell r="V845" t="str">
            <v>ALL</v>
          </cell>
          <cell r="W845">
            <v>3</v>
          </cell>
          <cell r="AB845">
            <v>1</v>
          </cell>
          <cell r="AC845">
            <v>1</v>
          </cell>
          <cell r="AD845">
            <v>1</v>
          </cell>
        </row>
        <row r="846">
          <cell r="A846">
            <v>0</v>
          </cell>
          <cell r="B846" t="str">
            <v>ALL VRTS</v>
          </cell>
          <cell r="D846">
            <v>6</v>
          </cell>
          <cell r="E846" t="str">
            <v>34602C</v>
          </cell>
          <cell r="G846" t="str">
            <v>Final Fitters</v>
          </cell>
          <cell r="I846" t="str">
            <v>B05</v>
          </cell>
          <cell r="J846" t="str">
            <v>B15</v>
          </cell>
          <cell r="L846" t="str">
            <v>V31</v>
          </cell>
          <cell r="N846">
            <v>0</v>
          </cell>
          <cell r="O846">
            <v>0</v>
          </cell>
          <cell r="P846">
            <v>-1</v>
          </cell>
          <cell r="Q846">
            <v>2004</v>
          </cell>
          <cell r="R846" t="str">
            <v>DEARBORN PLANT BUILD</v>
          </cell>
          <cell r="S846" t="str">
            <v>P221/P397</v>
          </cell>
          <cell r="T846" t="str">
            <v>CC Door- Fit-Effort - LH Rear</v>
          </cell>
          <cell r="U846" t="str">
            <v>Misaligned</v>
          </cell>
          <cell r="V846" t="str">
            <v>ALL</v>
          </cell>
          <cell r="W846">
            <v>3</v>
          </cell>
          <cell r="AD846">
            <v>1</v>
          </cell>
          <cell r="AE846">
            <v>2</v>
          </cell>
        </row>
        <row r="847">
          <cell r="A847">
            <v>0</v>
          </cell>
          <cell r="B847" t="str">
            <v>ALL VRTS</v>
          </cell>
          <cell r="D847">
            <v>6</v>
          </cell>
          <cell r="E847" t="str">
            <v>5350</v>
          </cell>
          <cell r="G847" t="str">
            <v>TDE31-l</v>
          </cell>
          <cell r="I847" t="str">
            <v>L15</v>
          </cell>
          <cell r="J847" t="str">
            <v>L07</v>
          </cell>
          <cell r="L847" t="str">
            <v>V07</v>
          </cell>
          <cell r="N847">
            <v>-1</v>
          </cell>
          <cell r="O847">
            <v>0</v>
          </cell>
          <cell r="P847">
            <v>-1</v>
          </cell>
          <cell r="Q847">
            <v>2004</v>
          </cell>
          <cell r="R847" t="str">
            <v>DEARBORN PLANT BUILD</v>
          </cell>
          <cell r="S847" t="str">
            <v>P221/P397</v>
          </cell>
          <cell r="T847" t="str">
            <v>DOOR STRIKER RUSTY</v>
          </cell>
          <cell r="U847" t="str">
            <v>DOOR STRIKER RUSTY R&amp;L REAR</v>
          </cell>
          <cell r="V847" t="str">
            <v>ALL</v>
          </cell>
          <cell r="W847">
            <v>3</v>
          </cell>
          <cell r="Z847">
            <v>3</v>
          </cell>
        </row>
        <row r="848">
          <cell r="A848">
            <v>0</v>
          </cell>
          <cell r="B848" t="str">
            <v>ALL VRTS</v>
          </cell>
          <cell r="D848">
            <v>6</v>
          </cell>
          <cell r="I848" t="str">
            <v>L15</v>
          </cell>
          <cell r="L848" t="str">
            <v>V07</v>
          </cell>
          <cell r="N848">
            <v>0</v>
          </cell>
          <cell r="O848">
            <v>-1</v>
          </cell>
          <cell r="P848">
            <v>0</v>
          </cell>
          <cell r="Q848">
            <v>2004</v>
          </cell>
          <cell r="R848" t="str">
            <v>DEARBORN PLANT BUILD</v>
          </cell>
          <cell r="S848" t="str">
            <v>P221/P397</v>
          </cell>
          <cell r="T848" t="str">
            <v>DOOR STRIKER RUSTY</v>
          </cell>
          <cell r="U848" t="str">
            <v>DOOR STRIKER L&amp;R FRONT</v>
          </cell>
          <cell r="V848" t="str">
            <v>ALL</v>
          </cell>
          <cell r="W848">
            <v>1</v>
          </cell>
          <cell r="Z848">
            <v>1</v>
          </cell>
        </row>
        <row r="849">
          <cell r="A849">
            <v>0</v>
          </cell>
          <cell r="B849" t="str">
            <v>ALL VRTS</v>
          </cell>
          <cell r="D849">
            <v>6</v>
          </cell>
          <cell r="E849" t="str">
            <v>5350</v>
          </cell>
          <cell r="G849" t="str">
            <v>TDE31-I</v>
          </cell>
          <cell r="I849" t="str">
            <v>L15</v>
          </cell>
          <cell r="L849" t="str">
            <v>V07</v>
          </cell>
          <cell r="N849">
            <v>0</v>
          </cell>
          <cell r="O849">
            <v>0</v>
          </cell>
          <cell r="P849">
            <v>-1</v>
          </cell>
          <cell r="Q849">
            <v>2004</v>
          </cell>
          <cell r="R849" t="str">
            <v>DEARBORN PLANT BUILD</v>
          </cell>
          <cell r="S849" t="str">
            <v>P221/P397</v>
          </cell>
          <cell r="T849" t="str">
            <v>DOOR STRIKER RUSTY</v>
          </cell>
          <cell r="U849" t="str">
            <v>DOOR STRIKER RUSTY R&amp;L FRONT L REAR</v>
          </cell>
          <cell r="V849" t="str">
            <v>ALL</v>
          </cell>
          <cell r="W849">
            <v>1</v>
          </cell>
          <cell r="Y849">
            <v>1</v>
          </cell>
        </row>
        <row r="850">
          <cell r="A850">
            <v>0</v>
          </cell>
          <cell r="B850" t="str">
            <v>ALL VRTS</v>
          </cell>
          <cell r="D850">
            <v>6</v>
          </cell>
          <cell r="E850" t="str">
            <v>5350</v>
          </cell>
          <cell r="G850" t="str">
            <v>TDE31-I</v>
          </cell>
          <cell r="I850" t="str">
            <v>L15</v>
          </cell>
          <cell r="L850" t="str">
            <v>V07</v>
          </cell>
          <cell r="N850">
            <v>0</v>
          </cell>
          <cell r="O850">
            <v>-1</v>
          </cell>
          <cell r="P850">
            <v>0</v>
          </cell>
          <cell r="Q850">
            <v>2004</v>
          </cell>
          <cell r="R850" t="str">
            <v>DEARBORN PLANT BUILD</v>
          </cell>
          <cell r="S850" t="str">
            <v>P221/P397</v>
          </cell>
          <cell r="T850" t="str">
            <v>DOOR STRIKER RUSTY</v>
          </cell>
          <cell r="U850" t="str">
            <v>REPLACE STRIKER BOLTS</v>
          </cell>
          <cell r="V850" t="str">
            <v>ALL</v>
          </cell>
          <cell r="W850">
            <v>1</v>
          </cell>
          <cell r="Z850">
            <v>1</v>
          </cell>
        </row>
        <row r="851">
          <cell r="A851">
            <v>0</v>
          </cell>
          <cell r="B851" t="str">
            <v>ALL VRTS</v>
          </cell>
          <cell r="D851">
            <v>6</v>
          </cell>
          <cell r="E851" t="str">
            <v>5340</v>
          </cell>
          <cell r="G851" t="str">
            <v>TDW22R</v>
          </cell>
          <cell r="I851" t="str">
            <v>T90</v>
          </cell>
          <cell r="J851" t="str">
            <v>T53</v>
          </cell>
          <cell r="L851" t="str">
            <v>V74</v>
          </cell>
          <cell r="N851">
            <v>0</v>
          </cell>
          <cell r="O851">
            <v>0</v>
          </cell>
          <cell r="P851">
            <v>-1</v>
          </cell>
          <cell r="Q851">
            <v>2004</v>
          </cell>
          <cell r="R851" t="str">
            <v>DEARBORN PLANT BUILD</v>
          </cell>
          <cell r="S851" t="str">
            <v>P221/P397</v>
          </cell>
          <cell r="T851" t="str">
            <v>DOORS</v>
          </cell>
          <cell r="U851" t="str">
            <v>WINDOW MOULDING</v>
          </cell>
          <cell r="V851" t="str">
            <v>ALL</v>
          </cell>
          <cell r="W851">
            <v>3</v>
          </cell>
          <cell r="AB851">
            <v>1</v>
          </cell>
          <cell r="AC851">
            <v>1</v>
          </cell>
          <cell r="AE851">
            <v>1</v>
          </cell>
        </row>
        <row r="852">
          <cell r="A852">
            <v>0</v>
          </cell>
          <cell r="B852" t="str">
            <v>ALL VRTS</v>
          </cell>
          <cell r="D852">
            <v>6</v>
          </cell>
          <cell r="E852" t="str">
            <v>5340</v>
          </cell>
          <cell r="F852" t="str">
            <v>5350</v>
          </cell>
          <cell r="G852" t="str">
            <v>TDE21L</v>
          </cell>
          <cell r="H852" t="str">
            <v>TDE23L</v>
          </cell>
          <cell r="I852" t="str">
            <v>T53</v>
          </cell>
          <cell r="L852" t="str">
            <v>V74</v>
          </cell>
          <cell r="N852">
            <v>0</v>
          </cell>
          <cell r="O852">
            <v>0</v>
          </cell>
          <cell r="P852">
            <v>-1</v>
          </cell>
          <cell r="Q852">
            <v>2004</v>
          </cell>
          <cell r="R852" t="str">
            <v>DEARBORN PLANT BUILD</v>
          </cell>
          <cell r="S852" t="str">
            <v>P221/P397</v>
          </cell>
          <cell r="T852" t="str">
            <v>DOORS</v>
          </cell>
          <cell r="U852" t="str">
            <v>LOOSE,TRIM</v>
          </cell>
          <cell r="V852" t="str">
            <v>ALL</v>
          </cell>
          <cell r="W852">
            <v>2</v>
          </cell>
          <cell r="AC852">
            <v>2</v>
          </cell>
        </row>
        <row r="853">
          <cell r="A853">
            <v>0</v>
          </cell>
          <cell r="B853" t="str">
            <v>ALL VRTS</v>
          </cell>
          <cell r="D853">
            <v>6</v>
          </cell>
          <cell r="E853" t="str">
            <v>5310</v>
          </cell>
          <cell r="G853" t="str">
            <v>TDW03L</v>
          </cell>
          <cell r="I853" t="str">
            <v>T90</v>
          </cell>
          <cell r="L853" t="str">
            <v>V74</v>
          </cell>
          <cell r="N853">
            <v>0</v>
          </cell>
          <cell r="O853">
            <v>0</v>
          </cell>
          <cell r="P853">
            <v>-1</v>
          </cell>
          <cell r="Q853">
            <v>2004</v>
          </cell>
          <cell r="R853" t="str">
            <v>DEARBORN PLANT BUILD</v>
          </cell>
          <cell r="S853" t="str">
            <v>P221/P397</v>
          </cell>
          <cell r="T853" t="str">
            <v>DOORS</v>
          </cell>
          <cell r="U853" t="str">
            <v>BUMPER MISSING</v>
          </cell>
          <cell r="V853" t="str">
            <v>ALL</v>
          </cell>
          <cell r="W853">
            <v>1</v>
          </cell>
          <cell r="AB853">
            <v>1</v>
          </cell>
        </row>
        <row r="854">
          <cell r="A854">
            <v>0</v>
          </cell>
          <cell r="B854" t="str">
            <v>ALL VRTS</v>
          </cell>
          <cell r="D854">
            <v>6</v>
          </cell>
          <cell r="E854" t="str">
            <v>6500</v>
          </cell>
          <cell r="F854" t="str">
            <v>5510</v>
          </cell>
          <cell r="G854" t="str">
            <v>C4W20R</v>
          </cell>
          <cell r="H854" t="str">
            <v>C7E18R</v>
          </cell>
          <cell r="I854" t="str">
            <v>B73</v>
          </cell>
          <cell r="L854" t="str">
            <v>V74</v>
          </cell>
          <cell r="N854">
            <v>0</v>
          </cell>
          <cell r="O854">
            <v>0</v>
          </cell>
          <cell r="P854">
            <v>-1</v>
          </cell>
          <cell r="Q854">
            <v>2004</v>
          </cell>
          <cell r="R854" t="str">
            <v>DEARBORN PLANT BUILD</v>
          </cell>
          <cell r="S854" t="str">
            <v>P221/P397</v>
          </cell>
          <cell r="T854" t="str">
            <v>HEADLINER MISPOSITIONED</v>
          </cell>
          <cell r="U854" t="str">
            <v>AT STRIKER COVER</v>
          </cell>
          <cell r="V854" t="str">
            <v>ALL</v>
          </cell>
          <cell r="W854">
            <v>4</v>
          </cell>
          <cell r="Z854">
            <v>2</v>
          </cell>
          <cell r="AA854">
            <v>2</v>
          </cell>
        </row>
        <row r="855">
          <cell r="A855">
            <v>0</v>
          </cell>
          <cell r="B855" t="str">
            <v>ALL VRTS</v>
          </cell>
          <cell r="D855">
            <v>6</v>
          </cell>
          <cell r="E855" t="str">
            <v>5510</v>
          </cell>
          <cell r="G855" t="str">
            <v>T2E32R/T2W31L</v>
          </cell>
          <cell r="I855" t="str">
            <v>B73</v>
          </cell>
          <cell r="L855" t="str">
            <v>V74</v>
          </cell>
          <cell r="N855">
            <v>0</v>
          </cell>
          <cell r="O855">
            <v>-1</v>
          </cell>
          <cell r="P855">
            <v>-1</v>
          </cell>
          <cell r="Q855">
            <v>2004</v>
          </cell>
          <cell r="R855" t="str">
            <v>DEARBORN PLANT BUILD</v>
          </cell>
          <cell r="S855" t="str">
            <v>P221/P397</v>
          </cell>
          <cell r="T855" t="str">
            <v>HEADLINER MISPOSITIONED</v>
          </cell>
          <cell r="U855" t="str">
            <v>AT LEFT FRONT WEATHERSTRIP</v>
          </cell>
          <cell r="V855" t="str">
            <v>ALL</v>
          </cell>
          <cell r="W855">
            <v>1</v>
          </cell>
          <cell r="AA855">
            <v>1</v>
          </cell>
        </row>
        <row r="856">
          <cell r="A856">
            <v>0</v>
          </cell>
          <cell r="B856" t="str">
            <v>ALL VRTS</v>
          </cell>
          <cell r="D856">
            <v>6</v>
          </cell>
          <cell r="E856" t="str">
            <v>5510</v>
          </cell>
          <cell r="G856" t="str">
            <v>T2E34R</v>
          </cell>
          <cell r="I856" t="str">
            <v>B73</v>
          </cell>
          <cell r="L856" t="str">
            <v>V74</v>
          </cell>
          <cell r="N856">
            <v>0</v>
          </cell>
          <cell r="O856">
            <v>0</v>
          </cell>
          <cell r="P856">
            <v>-1</v>
          </cell>
          <cell r="Q856">
            <v>2004</v>
          </cell>
          <cell r="R856" t="str">
            <v>DEARBORN PLANT BUILD</v>
          </cell>
          <cell r="S856" t="str">
            <v>P221/P397</v>
          </cell>
          <cell r="T856" t="str">
            <v>HEADLINER MISPOSITIONED</v>
          </cell>
          <cell r="U856" t="str">
            <v>RIGHT SIDE WEATHERSTRIPS</v>
          </cell>
          <cell r="V856" t="str">
            <v>ALL</v>
          </cell>
          <cell r="W856">
            <v>1</v>
          </cell>
          <cell r="AE856">
            <v>1</v>
          </cell>
        </row>
        <row r="857">
          <cell r="A857">
            <v>0</v>
          </cell>
          <cell r="B857" t="str">
            <v>ALL VRTS</v>
          </cell>
          <cell r="D857">
            <v>6</v>
          </cell>
          <cell r="I857" t="str">
            <v>A85</v>
          </cell>
          <cell r="L857" t="str">
            <v>V19</v>
          </cell>
          <cell r="N857">
            <v>0</v>
          </cell>
          <cell r="O857">
            <v>0</v>
          </cell>
          <cell r="P857">
            <v>-1</v>
          </cell>
          <cell r="Q857">
            <v>2004</v>
          </cell>
          <cell r="R857" t="str">
            <v>DEARBORN PLANT BUILD</v>
          </cell>
          <cell r="S857" t="str">
            <v>P221/P397</v>
          </cell>
          <cell r="T857" t="str">
            <v>Keyless Remote INOP</v>
          </cell>
          <cell r="U857" t="str">
            <v>No Codes in PCM</v>
          </cell>
          <cell r="V857" t="str">
            <v>ALL</v>
          </cell>
          <cell r="W857">
            <v>2</v>
          </cell>
          <cell r="AD857">
            <v>2</v>
          </cell>
        </row>
        <row r="858">
          <cell r="A858">
            <v>0</v>
          </cell>
          <cell r="B858" t="str">
            <v>ALL VRTS</v>
          </cell>
          <cell r="D858">
            <v>6</v>
          </cell>
          <cell r="I858" t="str">
            <v>A85</v>
          </cell>
          <cell r="L858" t="str">
            <v>V19</v>
          </cell>
          <cell r="N858">
            <v>0</v>
          </cell>
          <cell r="O858">
            <v>-1</v>
          </cell>
          <cell r="P858">
            <v>-1</v>
          </cell>
          <cell r="Q858">
            <v>2004</v>
          </cell>
          <cell r="R858" t="str">
            <v>DEARBORN PLANT BUILD</v>
          </cell>
          <cell r="S858" t="str">
            <v>P221/P397</v>
          </cell>
          <cell r="T858" t="str">
            <v>Keyless Remote INOP</v>
          </cell>
          <cell r="U858" t="str">
            <v>Replaced Keyless Entry Transmitter</v>
          </cell>
          <cell r="V858" t="str">
            <v>ALL</v>
          </cell>
          <cell r="W858">
            <v>2</v>
          </cell>
          <cell r="AD858">
            <v>2</v>
          </cell>
        </row>
        <row r="859">
          <cell r="A859">
            <v>0</v>
          </cell>
          <cell r="B859" t="str">
            <v>ALL VRTS</v>
          </cell>
          <cell r="D859">
            <v>6</v>
          </cell>
          <cell r="I859" t="str">
            <v>A85</v>
          </cell>
          <cell r="L859" t="str">
            <v>V19</v>
          </cell>
          <cell r="N859">
            <v>-1</v>
          </cell>
          <cell r="O859">
            <v>0</v>
          </cell>
          <cell r="P859">
            <v>0</v>
          </cell>
          <cell r="Q859">
            <v>2004</v>
          </cell>
          <cell r="R859" t="str">
            <v>DEARBORN PLANT BUILD</v>
          </cell>
          <cell r="S859" t="str">
            <v>P221/P397</v>
          </cell>
          <cell r="T859" t="str">
            <v>Keyless Remote INOP</v>
          </cell>
          <cell r="U859" t="str">
            <v>Customer Percetion</v>
          </cell>
          <cell r="V859" t="str">
            <v>ALL</v>
          </cell>
          <cell r="W859">
            <v>1</v>
          </cell>
          <cell r="AC859">
            <v>1</v>
          </cell>
        </row>
        <row r="860">
          <cell r="A860">
            <v>0</v>
          </cell>
          <cell r="B860" t="str">
            <v>ALL VRTS</v>
          </cell>
          <cell r="D860">
            <v>6</v>
          </cell>
          <cell r="I860" t="str">
            <v>A85</v>
          </cell>
          <cell r="L860" t="str">
            <v>V19</v>
          </cell>
          <cell r="N860">
            <v>0</v>
          </cell>
          <cell r="O860">
            <v>-1</v>
          </cell>
          <cell r="P860">
            <v>0</v>
          </cell>
          <cell r="Q860">
            <v>2004</v>
          </cell>
          <cell r="R860" t="str">
            <v>DEARBORN PLANT BUILD</v>
          </cell>
          <cell r="S860" t="str">
            <v>P221/P397</v>
          </cell>
          <cell r="T860" t="str">
            <v>Keyless Remote INOP</v>
          </cell>
          <cell r="U860" t="str">
            <v>Replaced Body Control Module</v>
          </cell>
          <cell r="V860" t="str">
            <v>ALL</v>
          </cell>
          <cell r="W860">
            <v>1</v>
          </cell>
          <cell r="AD860">
            <v>1</v>
          </cell>
        </row>
        <row r="861">
          <cell r="A861">
            <v>0</v>
          </cell>
          <cell r="B861" t="str">
            <v>ALL VRTS</v>
          </cell>
          <cell r="D861">
            <v>6</v>
          </cell>
          <cell r="E861" t="str">
            <v>34502C</v>
          </cell>
          <cell r="G861" t="str">
            <v>Metal Finishers</v>
          </cell>
          <cell r="I861" t="str">
            <v>B01</v>
          </cell>
          <cell r="L861" t="str">
            <v>V31</v>
          </cell>
          <cell r="N861">
            <v>-1</v>
          </cell>
          <cell r="O861">
            <v>0</v>
          </cell>
          <cell r="P861">
            <v>0</v>
          </cell>
          <cell r="Q861">
            <v>2004</v>
          </cell>
          <cell r="R861" t="str">
            <v>DEARBORN PLANT BUILD</v>
          </cell>
          <cell r="S861" t="str">
            <v>P221/P397</v>
          </cell>
          <cell r="T861" t="str">
            <v>Roof - Surface</v>
          </cell>
          <cell r="U861" t="str">
            <v>dent</v>
          </cell>
          <cell r="V861" t="str">
            <v>ALL</v>
          </cell>
          <cell r="W861">
            <v>6</v>
          </cell>
          <cell r="AB861">
            <v>1</v>
          </cell>
          <cell r="AC861">
            <v>4</v>
          </cell>
          <cell r="AD861">
            <v>1</v>
          </cell>
        </row>
        <row r="862">
          <cell r="A862">
            <v>0</v>
          </cell>
          <cell r="B862" t="str">
            <v>ALL VRTS</v>
          </cell>
          <cell r="D862">
            <v>6</v>
          </cell>
          <cell r="E862" t="str">
            <v>Trim Box 5390-2-B</v>
          </cell>
          <cell r="F862" t="str">
            <v>Box Line 5400-2-B</v>
          </cell>
          <cell r="G862" t="str">
            <v>TBE16B</v>
          </cell>
          <cell r="H862" t="str">
            <v>TBE 26B</v>
          </cell>
          <cell r="I862" t="str">
            <v>B64</v>
          </cell>
          <cell r="J862" t="str">
            <v>B66</v>
          </cell>
          <cell r="L862" t="str">
            <v>V75</v>
          </cell>
          <cell r="N862">
            <v>0</v>
          </cell>
          <cell r="O862">
            <v>0</v>
          </cell>
          <cell r="P862">
            <v>-1</v>
          </cell>
          <cell r="Q862">
            <v>2004</v>
          </cell>
          <cell r="R862" t="str">
            <v>DEARBORN PLANT BUILD</v>
          </cell>
          <cell r="S862" t="str">
            <v>P221/P397</v>
          </cell>
          <cell r="T862" t="str">
            <v>TAILGATE MOLDING / WARPED</v>
          </cell>
          <cell r="U862" t="str">
            <v>REPLACE</v>
          </cell>
          <cell r="V862" t="str">
            <v>ALL</v>
          </cell>
          <cell r="W862">
            <v>3</v>
          </cell>
          <cell r="AC862">
            <v>1</v>
          </cell>
          <cell r="AD862">
            <v>2</v>
          </cell>
        </row>
        <row r="863">
          <cell r="A863">
            <v>0</v>
          </cell>
          <cell r="B863" t="str">
            <v>ALL VRTS</v>
          </cell>
          <cell r="D863">
            <v>6</v>
          </cell>
          <cell r="E863" t="str">
            <v>Trim Box 5390-2-B</v>
          </cell>
          <cell r="G863" t="str">
            <v>TBE16B</v>
          </cell>
          <cell r="I863" t="str">
            <v>B62</v>
          </cell>
          <cell r="J863" t="str">
            <v>B63</v>
          </cell>
          <cell r="K863" t="str">
            <v>B64</v>
          </cell>
          <cell r="L863" t="str">
            <v>V75</v>
          </cell>
          <cell r="N863">
            <v>0</v>
          </cell>
          <cell r="O863">
            <v>0</v>
          </cell>
          <cell r="P863">
            <v>-1</v>
          </cell>
          <cell r="Q863">
            <v>2004</v>
          </cell>
          <cell r="R863" t="str">
            <v>DEARBORN PLANT BUILD</v>
          </cell>
          <cell r="S863" t="str">
            <v>P221/P397</v>
          </cell>
          <cell r="T863" t="str">
            <v>TAILGATE MOLDING / WARPED</v>
          </cell>
          <cell r="U863" t="str">
            <v>replaced tailgate mldg</v>
          </cell>
          <cell r="V863" t="str">
            <v>ALL</v>
          </cell>
          <cell r="W863">
            <v>3</v>
          </cell>
          <cell r="Z863">
            <v>1</v>
          </cell>
          <cell r="AA863">
            <v>1</v>
          </cell>
          <cell r="AD863">
            <v>1</v>
          </cell>
        </row>
        <row r="864">
          <cell r="A864">
            <v>0</v>
          </cell>
          <cell r="B864" t="str">
            <v>ALL VRTS</v>
          </cell>
          <cell r="D864">
            <v>6</v>
          </cell>
          <cell r="I864" t="str">
            <v>C27</v>
          </cell>
          <cell r="L864" t="str">
            <v>V19</v>
          </cell>
          <cell r="N864">
            <v>0</v>
          </cell>
          <cell r="O864">
            <v>0</v>
          </cell>
          <cell r="P864">
            <v>-1</v>
          </cell>
          <cell r="Q864">
            <v>2004</v>
          </cell>
          <cell r="R864" t="str">
            <v>DEARBORN PLANT BUILD</v>
          </cell>
          <cell r="S864" t="str">
            <v>P221/P397</v>
          </cell>
          <cell r="T864" t="str">
            <v>Vehicle won't start.</v>
          </cell>
          <cell r="U864" t="str">
            <v>Connector C168 not seated</v>
          </cell>
          <cell r="V864" t="str">
            <v>ALL</v>
          </cell>
          <cell r="W864">
            <v>1</v>
          </cell>
          <cell r="AE864">
            <v>1</v>
          </cell>
        </row>
        <row r="865">
          <cell r="A865">
            <v>0</v>
          </cell>
          <cell r="B865" t="str">
            <v>ALL VRTS</v>
          </cell>
          <cell r="D865">
            <v>6</v>
          </cell>
          <cell r="I865" t="str">
            <v>C27</v>
          </cell>
          <cell r="L865" t="str">
            <v>V19</v>
          </cell>
          <cell r="N865">
            <v>0</v>
          </cell>
          <cell r="O865">
            <v>0</v>
          </cell>
          <cell r="P865">
            <v>-1</v>
          </cell>
          <cell r="Q865">
            <v>2004</v>
          </cell>
          <cell r="R865" t="str">
            <v>DEARBORN PLANT BUILD</v>
          </cell>
          <cell r="S865" t="str">
            <v>P221/P397</v>
          </cell>
          <cell r="T865" t="str">
            <v>Vehicle won't start.</v>
          </cell>
          <cell r="U865" t="str">
            <v>Harness Connector replaced</v>
          </cell>
          <cell r="V865" t="str">
            <v>ALL</v>
          </cell>
          <cell r="W865">
            <v>1</v>
          </cell>
          <cell r="AD865">
            <v>1</v>
          </cell>
        </row>
        <row r="866">
          <cell r="A866">
            <v>0</v>
          </cell>
          <cell r="B866" t="str">
            <v>ALL VRTS</v>
          </cell>
          <cell r="D866">
            <v>6</v>
          </cell>
          <cell r="I866" t="str">
            <v>A85</v>
          </cell>
          <cell r="L866" t="str">
            <v>V19</v>
          </cell>
          <cell r="N866">
            <v>-1</v>
          </cell>
          <cell r="O866">
            <v>0</v>
          </cell>
          <cell r="P866">
            <v>0</v>
          </cell>
          <cell r="Q866">
            <v>2004</v>
          </cell>
          <cell r="R866" t="str">
            <v>DEARBORN PLANT BUILD</v>
          </cell>
          <cell r="S866" t="str">
            <v>P221/P397</v>
          </cell>
          <cell r="T866" t="str">
            <v>Vehicle won't start.</v>
          </cell>
          <cell r="U866" t="str">
            <v>Inertia switch tripped.</v>
          </cell>
          <cell r="V866" t="str">
            <v>ALL</v>
          </cell>
          <cell r="W866">
            <v>1</v>
          </cell>
          <cell r="Z866">
            <v>1</v>
          </cell>
        </row>
        <row r="867">
          <cell r="A867">
            <v>0</v>
          </cell>
          <cell r="B867" t="str">
            <v>ALL VRTS</v>
          </cell>
          <cell r="D867">
            <v>6</v>
          </cell>
          <cell r="I867" t="str">
            <v>A85</v>
          </cell>
          <cell r="L867" t="str">
            <v>V19</v>
          </cell>
          <cell r="N867">
            <v>0</v>
          </cell>
          <cell r="O867">
            <v>0</v>
          </cell>
          <cell r="P867">
            <v>-1</v>
          </cell>
          <cell r="Q867">
            <v>2004</v>
          </cell>
          <cell r="R867" t="str">
            <v>DEARBORN PLANT BUILD</v>
          </cell>
          <cell r="S867" t="str">
            <v>P221/P397</v>
          </cell>
          <cell r="T867" t="str">
            <v>Vehicle won't start.</v>
          </cell>
          <cell r="U867" t="str">
            <v>Interlock connecter not plugged in.</v>
          </cell>
          <cell r="V867" t="str">
            <v>ALL</v>
          </cell>
          <cell r="W867">
            <v>1</v>
          </cell>
          <cell r="AB867">
            <v>1</v>
          </cell>
        </row>
        <row r="868">
          <cell r="A868">
            <v>0</v>
          </cell>
          <cell r="B868" t="str">
            <v>ALL VRTS</v>
          </cell>
          <cell r="D868">
            <v>6</v>
          </cell>
          <cell r="I868" t="str">
            <v>A85</v>
          </cell>
          <cell r="L868" t="str">
            <v>V19</v>
          </cell>
          <cell r="N868">
            <v>0</v>
          </cell>
          <cell r="O868">
            <v>-1</v>
          </cell>
          <cell r="P868">
            <v>0</v>
          </cell>
          <cell r="Q868">
            <v>2004</v>
          </cell>
          <cell r="R868" t="str">
            <v>DEARBORN PLANT BUILD</v>
          </cell>
          <cell r="S868" t="str">
            <v>P221/P397</v>
          </cell>
          <cell r="T868" t="str">
            <v>Vehicle won't start.</v>
          </cell>
          <cell r="U868" t="str">
            <v>PCM  Replaced.</v>
          </cell>
          <cell r="V868" t="str">
            <v>ALL</v>
          </cell>
          <cell r="W868">
            <v>1</v>
          </cell>
          <cell r="AD868">
            <v>1</v>
          </cell>
        </row>
        <row r="869">
          <cell r="A869">
            <v>0</v>
          </cell>
          <cell r="B869" t="str">
            <v>ALL VRTS</v>
          </cell>
          <cell r="D869">
            <v>6</v>
          </cell>
          <cell r="I869" t="str">
            <v>A85</v>
          </cell>
          <cell r="L869" t="str">
            <v>V19</v>
          </cell>
          <cell r="N869">
            <v>0</v>
          </cell>
          <cell r="O869">
            <v>-1</v>
          </cell>
          <cell r="P869">
            <v>0</v>
          </cell>
          <cell r="Q869">
            <v>2004</v>
          </cell>
          <cell r="R869" t="str">
            <v>DEARBORN PLANT BUILD</v>
          </cell>
          <cell r="S869" t="str">
            <v>P221/P397</v>
          </cell>
          <cell r="T869" t="str">
            <v>Vehicle won't start.</v>
          </cell>
          <cell r="U869" t="str">
            <v>Replaced PCM APP code</v>
          </cell>
          <cell r="V869" t="str">
            <v>ALL</v>
          </cell>
          <cell r="W869">
            <v>1</v>
          </cell>
          <cell r="AD869">
            <v>1</v>
          </cell>
        </row>
        <row r="870">
          <cell r="A870">
            <v>0</v>
          </cell>
          <cell r="B870" t="str">
            <v>ALL VRTS</v>
          </cell>
          <cell r="D870">
            <v>6</v>
          </cell>
          <cell r="I870" t="str">
            <v>G09</v>
          </cell>
          <cell r="J870" t="str">
            <v>N51</v>
          </cell>
          <cell r="L870" t="str">
            <v>V39</v>
          </cell>
          <cell r="N870">
            <v>0</v>
          </cell>
          <cell r="O870">
            <v>-1</v>
          </cell>
          <cell r="P870">
            <v>0</v>
          </cell>
          <cell r="Q870">
            <v>2004</v>
          </cell>
          <cell r="R870" t="str">
            <v>DEARBORN PLANT BUILD</v>
          </cell>
          <cell r="S870" t="str">
            <v>P221/P397</v>
          </cell>
          <cell r="T870" t="str">
            <v>Window Squeak/Rattle/Scrape</v>
          </cell>
          <cell r="U870" t="str">
            <v>Rear Backlite Assembly Track to Glass</v>
          </cell>
          <cell r="V870" t="str">
            <v>ALL</v>
          </cell>
          <cell r="W870">
            <v>2</v>
          </cell>
          <cell r="AD870">
            <v>2</v>
          </cell>
        </row>
        <row r="871">
          <cell r="A871">
            <v>0</v>
          </cell>
          <cell r="B871" t="str">
            <v>ALL VRTS</v>
          </cell>
          <cell r="D871">
            <v>6</v>
          </cell>
          <cell r="I871" t="str">
            <v>G09</v>
          </cell>
          <cell r="L871" t="str">
            <v>V39</v>
          </cell>
          <cell r="N871">
            <v>0</v>
          </cell>
          <cell r="O871">
            <v>-1</v>
          </cell>
          <cell r="P871">
            <v>0</v>
          </cell>
          <cell r="Q871">
            <v>2004</v>
          </cell>
          <cell r="R871" t="str">
            <v>DEARBORN PLANT BUILD</v>
          </cell>
          <cell r="S871" t="str">
            <v>P221/P397</v>
          </cell>
          <cell r="T871" t="str">
            <v>Window Squeak/Rattle/Scrape</v>
          </cell>
          <cell r="U871" t="str">
            <v>Door Glass - Lubed Track</v>
          </cell>
          <cell r="V871" t="str">
            <v>ALL</v>
          </cell>
          <cell r="W871">
            <v>1</v>
          </cell>
          <cell r="AD871">
            <v>1</v>
          </cell>
        </row>
        <row r="872">
          <cell r="A872">
            <v>0</v>
          </cell>
          <cell r="B872" t="str">
            <v>ALL VRTS</v>
          </cell>
          <cell r="D872">
            <v>6</v>
          </cell>
          <cell r="E872" t="str">
            <v>unsure</v>
          </cell>
          <cell r="G872" t="str">
            <v>TDE27L</v>
          </cell>
          <cell r="I872" t="str">
            <v>G09</v>
          </cell>
          <cell r="L872" t="str">
            <v>V39</v>
          </cell>
          <cell r="N872">
            <v>0</v>
          </cell>
          <cell r="O872">
            <v>0</v>
          </cell>
          <cell r="P872">
            <v>-1</v>
          </cell>
          <cell r="Q872">
            <v>2004</v>
          </cell>
          <cell r="R872" t="str">
            <v>DEARBORN PLANT BUILD</v>
          </cell>
          <cell r="S872" t="str">
            <v>P221/P397</v>
          </cell>
          <cell r="T872" t="str">
            <v>Window Squeak/Rattle/Scrape</v>
          </cell>
          <cell r="U872" t="str">
            <v>Door Glass Track misalign, and dry</v>
          </cell>
          <cell r="V872" t="str">
            <v>ALL</v>
          </cell>
          <cell r="W872">
            <v>1</v>
          </cell>
          <cell r="AB872">
            <v>1</v>
          </cell>
        </row>
        <row r="873">
          <cell r="A873">
            <v>0</v>
          </cell>
          <cell r="B873" t="str">
            <v>ALL VRTS</v>
          </cell>
          <cell r="D873">
            <v>6</v>
          </cell>
          <cell r="I873" t="str">
            <v>G09</v>
          </cell>
          <cell r="L873" t="str">
            <v>V39</v>
          </cell>
          <cell r="N873">
            <v>0</v>
          </cell>
          <cell r="O873">
            <v>0</v>
          </cell>
          <cell r="P873">
            <v>-1</v>
          </cell>
          <cell r="Q873">
            <v>2004</v>
          </cell>
          <cell r="R873" t="str">
            <v>DEARBORN PLANT BUILD</v>
          </cell>
          <cell r="S873" t="str">
            <v>P221/P397</v>
          </cell>
          <cell r="T873" t="str">
            <v>Window Squeak/Rattle/Scrape</v>
          </cell>
          <cell r="U873" t="str">
            <v>Door Inner Massic Patch Loose</v>
          </cell>
          <cell r="V873" t="str">
            <v>ALL</v>
          </cell>
          <cell r="W873">
            <v>1</v>
          </cell>
          <cell r="AB873">
            <v>1</v>
          </cell>
        </row>
        <row r="874">
          <cell r="A874">
            <v>0</v>
          </cell>
          <cell r="B874" t="str">
            <v>ALL VRTS</v>
          </cell>
          <cell r="D874">
            <v>6</v>
          </cell>
          <cell r="I874" t="str">
            <v>G09</v>
          </cell>
          <cell r="L874" t="str">
            <v>V39</v>
          </cell>
          <cell r="N874">
            <v>0</v>
          </cell>
          <cell r="O874">
            <v>0</v>
          </cell>
          <cell r="P874">
            <v>-1</v>
          </cell>
          <cell r="Q874">
            <v>2004</v>
          </cell>
          <cell r="R874" t="str">
            <v>DEARBORN PLANT BUILD</v>
          </cell>
          <cell r="S874" t="str">
            <v>P221/P397</v>
          </cell>
          <cell r="T874" t="str">
            <v>Window Squeak/Rattle/Scrape</v>
          </cell>
          <cell r="U874" t="str">
            <v>Door Window Regulator Loose</v>
          </cell>
          <cell r="V874" t="str">
            <v>ALL</v>
          </cell>
          <cell r="W874">
            <v>1</v>
          </cell>
          <cell r="AB874">
            <v>1</v>
          </cell>
        </row>
        <row r="875">
          <cell r="A875">
            <v>0</v>
          </cell>
          <cell r="B875" t="str">
            <v>ALL VRTS</v>
          </cell>
          <cell r="D875">
            <v>5</v>
          </cell>
          <cell r="E875" t="str">
            <v>34602C</v>
          </cell>
          <cell r="G875" t="str">
            <v>Final Fitters</v>
          </cell>
          <cell r="I875" t="str">
            <v>B05</v>
          </cell>
          <cell r="J875" t="str">
            <v>B02</v>
          </cell>
          <cell r="L875" t="str">
            <v>V31</v>
          </cell>
          <cell r="N875">
            <v>0</v>
          </cell>
          <cell r="O875">
            <v>0</v>
          </cell>
          <cell r="P875">
            <v>-1</v>
          </cell>
          <cell r="Q875">
            <v>2004</v>
          </cell>
          <cell r="R875" t="str">
            <v>DEARBORN PLANT BUILD</v>
          </cell>
          <cell r="S875" t="str">
            <v>P221/P397</v>
          </cell>
          <cell r="T875" t="str">
            <v xml:space="preserve"> SC Door- Fit - Effort- RH Rear</v>
          </cell>
          <cell r="U875" t="str">
            <v xml:space="preserve"> Striker adjust</v>
          </cell>
          <cell r="V875" t="str">
            <v>ALL</v>
          </cell>
          <cell r="W875">
            <v>3</v>
          </cell>
          <cell r="Z875">
            <v>1</v>
          </cell>
          <cell r="AC875">
            <v>1</v>
          </cell>
          <cell r="AE875">
            <v>1</v>
          </cell>
        </row>
        <row r="876">
          <cell r="A876">
            <v>0</v>
          </cell>
          <cell r="B876" t="str">
            <v>ALL VRTS</v>
          </cell>
          <cell r="D876">
            <v>5</v>
          </cell>
          <cell r="E876" t="str">
            <v>34602C</v>
          </cell>
          <cell r="G876" t="str">
            <v>Final Fitters</v>
          </cell>
          <cell r="I876" t="str">
            <v>B19</v>
          </cell>
          <cell r="L876" t="str">
            <v>V31</v>
          </cell>
          <cell r="N876">
            <v>0</v>
          </cell>
          <cell r="O876">
            <v>0</v>
          </cell>
          <cell r="P876">
            <v>-1</v>
          </cell>
          <cell r="Q876">
            <v>2004</v>
          </cell>
          <cell r="R876" t="str">
            <v>DEARBORN PLANT BUILD</v>
          </cell>
          <cell r="S876" t="str">
            <v>P221/P397</v>
          </cell>
          <cell r="T876" t="str">
            <v xml:space="preserve"> SC Door- Fit - Effort- RH Rear</v>
          </cell>
          <cell r="U876" t="str">
            <v>Adjusted</v>
          </cell>
          <cell r="V876" t="str">
            <v>ALL</v>
          </cell>
          <cell r="W876">
            <v>1</v>
          </cell>
          <cell r="AE876">
            <v>1</v>
          </cell>
        </row>
        <row r="877">
          <cell r="A877">
            <v>0</v>
          </cell>
          <cell r="B877" t="str">
            <v>ALL VRTS</v>
          </cell>
          <cell r="D877">
            <v>5</v>
          </cell>
          <cell r="E877" t="str">
            <v>34602C</v>
          </cell>
          <cell r="G877" t="str">
            <v>Final Fitters</v>
          </cell>
          <cell r="I877" t="str">
            <v>B02</v>
          </cell>
          <cell r="L877" t="str">
            <v>V31</v>
          </cell>
          <cell r="N877">
            <v>0</v>
          </cell>
          <cell r="O877">
            <v>0</v>
          </cell>
          <cell r="P877">
            <v>-1</v>
          </cell>
          <cell r="Q877">
            <v>2004</v>
          </cell>
          <cell r="R877" t="str">
            <v>DEARBORN PLANT BUILD</v>
          </cell>
          <cell r="S877" t="str">
            <v>P221/P397</v>
          </cell>
          <cell r="T877" t="str">
            <v xml:space="preserve"> SC Door- Fit - Effort- RH Rear</v>
          </cell>
          <cell r="U877" t="str">
            <v>Adjusted door-repaired surface</v>
          </cell>
          <cell r="V877" t="str">
            <v>ALL</v>
          </cell>
          <cell r="W877">
            <v>1</v>
          </cell>
          <cell r="AB877">
            <v>1</v>
          </cell>
        </row>
        <row r="878">
          <cell r="A878">
            <v>0</v>
          </cell>
          <cell r="B878" t="str">
            <v>ALL VRTS</v>
          </cell>
          <cell r="D878">
            <v>5</v>
          </cell>
          <cell r="E878" t="str">
            <v>5350-2-A</v>
          </cell>
          <cell r="F878" t="str">
            <v>door line 5350-2-A</v>
          </cell>
          <cell r="G878" t="str">
            <v>TDW32R</v>
          </cell>
          <cell r="H878" t="str">
            <v>TDE32R</v>
          </cell>
          <cell r="I878" t="str">
            <v>B64</v>
          </cell>
          <cell r="L878" t="str">
            <v>V75</v>
          </cell>
          <cell r="N878">
            <v>0</v>
          </cell>
          <cell r="O878">
            <v>0</v>
          </cell>
          <cell r="P878">
            <v>-1</v>
          </cell>
          <cell r="Q878">
            <v>2004</v>
          </cell>
          <cell r="R878" t="str">
            <v>DEARBORN PLANT BUILD</v>
          </cell>
          <cell r="S878" t="str">
            <v>P221/P397</v>
          </cell>
          <cell r="T878" t="str">
            <v>BELT MOLDING / DEFECTIVE</v>
          </cell>
          <cell r="U878" t="str">
            <v>belt mldg replaced</v>
          </cell>
          <cell r="V878" t="str">
            <v>ALL</v>
          </cell>
          <cell r="W878">
            <v>2</v>
          </cell>
          <cell r="AC878">
            <v>1</v>
          </cell>
          <cell r="AE878">
            <v>1</v>
          </cell>
        </row>
        <row r="879">
          <cell r="A879">
            <v>0</v>
          </cell>
          <cell r="B879" t="str">
            <v>ALL VRTS</v>
          </cell>
          <cell r="D879">
            <v>5</v>
          </cell>
          <cell r="E879" t="str">
            <v>door line 5340-2-A</v>
          </cell>
          <cell r="F879" t="str">
            <v>door line 5350-2-A</v>
          </cell>
          <cell r="G879" t="str">
            <v>TDW24R</v>
          </cell>
          <cell r="H879" t="str">
            <v>TDW32R</v>
          </cell>
          <cell r="I879" t="str">
            <v>B62</v>
          </cell>
          <cell r="J879" t="str">
            <v>B66</v>
          </cell>
          <cell r="L879" t="str">
            <v>V75</v>
          </cell>
          <cell r="N879">
            <v>0</v>
          </cell>
          <cell r="O879">
            <v>0</v>
          </cell>
          <cell r="P879">
            <v>-1</v>
          </cell>
          <cell r="Q879">
            <v>2004</v>
          </cell>
          <cell r="R879" t="str">
            <v>DEARBORN PLANT BUILD</v>
          </cell>
          <cell r="S879" t="str">
            <v>P221/P397</v>
          </cell>
          <cell r="T879" t="str">
            <v>BELT MOLDING / DEFECTIVE</v>
          </cell>
          <cell r="U879" t="str">
            <v>WARPED</v>
          </cell>
          <cell r="V879" t="str">
            <v>ALL</v>
          </cell>
          <cell r="W879">
            <v>2</v>
          </cell>
          <cell r="Z879">
            <v>1</v>
          </cell>
          <cell r="AB879">
            <v>1</v>
          </cell>
        </row>
        <row r="880">
          <cell r="A880">
            <v>0</v>
          </cell>
          <cell r="B880" t="str">
            <v>ALL VRTS</v>
          </cell>
          <cell r="D880">
            <v>5</v>
          </cell>
          <cell r="E880" t="str">
            <v>door line 5340-2-A</v>
          </cell>
          <cell r="G880" t="str">
            <v>TDW24R</v>
          </cell>
          <cell r="I880" t="str">
            <v>B62</v>
          </cell>
          <cell r="L880" t="str">
            <v>V75</v>
          </cell>
          <cell r="N880">
            <v>0</v>
          </cell>
          <cell r="O880">
            <v>0</v>
          </cell>
          <cell r="P880">
            <v>-1</v>
          </cell>
          <cell r="Q880">
            <v>2004</v>
          </cell>
          <cell r="R880" t="str">
            <v>DEARBORN PLANT BUILD</v>
          </cell>
          <cell r="S880" t="str">
            <v>P221/P397</v>
          </cell>
          <cell r="T880" t="str">
            <v>BELT MOLDING / DEFECTIVE</v>
          </cell>
          <cell r="U880" t="str">
            <v>MISALIGNED</v>
          </cell>
          <cell r="V880" t="str">
            <v>ALL</v>
          </cell>
          <cell r="W880">
            <v>1</v>
          </cell>
          <cell r="AD880">
            <v>1</v>
          </cell>
        </row>
        <row r="881">
          <cell r="A881">
            <v>0</v>
          </cell>
          <cell r="B881" t="str">
            <v>ALL VRTS</v>
          </cell>
          <cell r="D881">
            <v>5</v>
          </cell>
          <cell r="E881" t="str">
            <v>34602C</v>
          </cell>
          <cell r="G881" t="str">
            <v>Final Fitters</v>
          </cell>
          <cell r="I881" t="str">
            <v>B02</v>
          </cell>
          <cell r="L881" t="str">
            <v>V31</v>
          </cell>
          <cell r="N881">
            <v>0</v>
          </cell>
          <cell r="O881">
            <v>0</v>
          </cell>
          <cell r="P881">
            <v>-1</v>
          </cell>
          <cell r="Q881">
            <v>2004</v>
          </cell>
          <cell r="R881" t="str">
            <v>DEARBORN PLANT BUILD</v>
          </cell>
          <cell r="S881" t="str">
            <v>P221/P397</v>
          </cell>
          <cell r="T881" t="str">
            <v>CC Door - Fit - Effort - RH Front</v>
          </cell>
          <cell r="U881" t="str">
            <v>Misaligned</v>
          </cell>
          <cell r="V881" t="str">
            <v>ALL</v>
          </cell>
          <cell r="W881">
            <v>3</v>
          </cell>
          <cell r="AD881">
            <v>3</v>
          </cell>
        </row>
        <row r="882">
          <cell r="A882">
            <v>0</v>
          </cell>
          <cell r="B882" t="str">
            <v>ALL VRTS</v>
          </cell>
          <cell r="D882">
            <v>5</v>
          </cell>
          <cell r="E882" t="str">
            <v>34602C</v>
          </cell>
          <cell r="G882" t="str">
            <v>Final Fitters</v>
          </cell>
          <cell r="I882" t="str">
            <v>B05</v>
          </cell>
          <cell r="L882" t="str">
            <v>V31</v>
          </cell>
          <cell r="N882">
            <v>0</v>
          </cell>
          <cell r="O882">
            <v>0</v>
          </cell>
          <cell r="P882">
            <v>-1</v>
          </cell>
          <cell r="Q882">
            <v>2004</v>
          </cell>
          <cell r="R882" t="str">
            <v>DEARBORN PLANT BUILD</v>
          </cell>
          <cell r="S882" t="str">
            <v>P221/P397</v>
          </cell>
          <cell r="T882" t="str">
            <v>CC Door - Fit - Effort - RH Front</v>
          </cell>
          <cell r="U882" t="str">
            <v xml:space="preserve"> Striker adjust</v>
          </cell>
          <cell r="V882" t="str">
            <v>ALL</v>
          </cell>
          <cell r="W882">
            <v>2</v>
          </cell>
          <cell r="AD882">
            <v>2</v>
          </cell>
        </row>
        <row r="883">
          <cell r="A883">
            <v>0</v>
          </cell>
          <cell r="B883" t="str">
            <v>ALL VRTS</v>
          </cell>
          <cell r="D883">
            <v>5</v>
          </cell>
          <cell r="I883" t="str">
            <v>L87</v>
          </cell>
          <cell r="L883" t="str">
            <v>V44</v>
          </cell>
          <cell r="N883">
            <v>0</v>
          </cell>
          <cell r="O883">
            <v>-1</v>
          </cell>
          <cell r="P883">
            <v>0</v>
          </cell>
          <cell r="Q883">
            <v>2004</v>
          </cell>
          <cell r="R883" t="str">
            <v>DEARBORN PLANT BUILD</v>
          </cell>
          <cell r="S883" t="str">
            <v>P221/P397</v>
          </cell>
          <cell r="T883" t="str">
            <v>COOLANT LEAK</v>
          </cell>
          <cell r="U883" t="str">
            <v>Radiator Defective</v>
          </cell>
          <cell r="V883" t="str">
            <v>ALL</v>
          </cell>
          <cell r="W883">
            <v>2</v>
          </cell>
          <cell r="AD883">
            <v>1</v>
          </cell>
          <cell r="AE883">
            <v>1</v>
          </cell>
        </row>
        <row r="884">
          <cell r="A884">
            <v>0</v>
          </cell>
          <cell r="B884" t="str">
            <v>ALL VRTS</v>
          </cell>
          <cell r="D884">
            <v>5</v>
          </cell>
          <cell r="E884" t="str">
            <v>5430</v>
          </cell>
          <cell r="G884" t="str">
            <v>T513M</v>
          </cell>
          <cell r="I884" t="str">
            <v>L87</v>
          </cell>
          <cell r="L884" t="str">
            <v>V44</v>
          </cell>
          <cell r="N884">
            <v>0</v>
          </cell>
          <cell r="O884">
            <v>0</v>
          </cell>
          <cell r="P884">
            <v>-1</v>
          </cell>
          <cell r="Q884">
            <v>2004</v>
          </cell>
          <cell r="R884" t="str">
            <v>DEARBORN PLANT BUILD</v>
          </cell>
          <cell r="S884" t="str">
            <v>P221/P397</v>
          </cell>
          <cell r="T884" t="str">
            <v>COOLANT LEAK</v>
          </cell>
          <cell r="U884" t="str">
            <v>Heater hose disconnected</v>
          </cell>
          <cell r="V884" t="str">
            <v>ALL</v>
          </cell>
          <cell r="W884">
            <v>1</v>
          </cell>
          <cell r="AE884">
            <v>1</v>
          </cell>
        </row>
        <row r="885">
          <cell r="A885">
            <v>0</v>
          </cell>
          <cell r="B885" t="str">
            <v>ALL VRTS</v>
          </cell>
          <cell r="D885">
            <v>5</v>
          </cell>
          <cell r="I885" t="str">
            <v>L87</v>
          </cell>
          <cell r="L885" t="str">
            <v>V44</v>
          </cell>
          <cell r="N885">
            <v>-1</v>
          </cell>
          <cell r="O885">
            <v>-1</v>
          </cell>
          <cell r="P885">
            <v>0</v>
          </cell>
          <cell r="Q885">
            <v>2004</v>
          </cell>
          <cell r="R885" t="str">
            <v>DEARBORN PLANT BUILD</v>
          </cell>
          <cell r="S885" t="str">
            <v>P221/P397</v>
          </cell>
          <cell r="T885" t="str">
            <v>COOLANT LEAK</v>
          </cell>
          <cell r="U885" t="str">
            <v>npf</v>
          </cell>
          <cell r="V885" t="str">
            <v>ALL</v>
          </cell>
          <cell r="W885">
            <v>1</v>
          </cell>
          <cell r="AD885">
            <v>1</v>
          </cell>
        </row>
        <row r="886">
          <cell r="A886">
            <v>0</v>
          </cell>
          <cell r="B886" t="str">
            <v>ALL VRTS</v>
          </cell>
          <cell r="D886">
            <v>5</v>
          </cell>
          <cell r="I886" t="str">
            <v>L87</v>
          </cell>
          <cell r="L886" t="str">
            <v>V44</v>
          </cell>
          <cell r="N886">
            <v>0</v>
          </cell>
          <cell r="O886">
            <v>-1</v>
          </cell>
          <cell r="P886">
            <v>0</v>
          </cell>
          <cell r="Q886">
            <v>2004</v>
          </cell>
          <cell r="R886" t="str">
            <v>DEARBORN PLANT BUILD</v>
          </cell>
          <cell r="S886" t="str">
            <v>P221/P397</v>
          </cell>
          <cell r="T886" t="str">
            <v>COOLANT LEAK</v>
          </cell>
          <cell r="U886" t="str">
            <v>replaced blockheater cord</v>
          </cell>
          <cell r="V886" t="str">
            <v>ALL</v>
          </cell>
          <cell r="W886">
            <v>1</v>
          </cell>
          <cell r="AC886">
            <v>1</v>
          </cell>
        </row>
        <row r="887">
          <cell r="A887">
            <v>0</v>
          </cell>
          <cell r="B887" t="str">
            <v>ALL VRTS</v>
          </cell>
          <cell r="D887">
            <v>5</v>
          </cell>
          <cell r="E887" t="str">
            <v>34502C</v>
          </cell>
          <cell r="G887" t="str">
            <v>Metal Finishers</v>
          </cell>
          <cell r="I887" t="str">
            <v>B01</v>
          </cell>
          <cell r="L887" t="str">
            <v>V31</v>
          </cell>
          <cell r="N887">
            <v>0</v>
          </cell>
          <cell r="O887">
            <v>0</v>
          </cell>
          <cell r="P887">
            <v>-1</v>
          </cell>
          <cell r="Q887">
            <v>2004</v>
          </cell>
          <cell r="R887" t="str">
            <v>DEARBORN PLANT BUILD</v>
          </cell>
          <cell r="S887" t="str">
            <v>P221/P397</v>
          </cell>
          <cell r="T887" t="str">
            <v>Door - Surface RH Front</v>
          </cell>
          <cell r="U887" t="str">
            <v>Ding</v>
          </cell>
          <cell r="V887" t="str">
            <v>ALL</v>
          </cell>
          <cell r="W887">
            <v>2</v>
          </cell>
          <cell r="AC887">
            <v>1</v>
          </cell>
          <cell r="AE887">
            <v>1</v>
          </cell>
        </row>
        <row r="888">
          <cell r="A888">
            <v>0</v>
          </cell>
          <cell r="B888" t="str">
            <v>ALL VRTS</v>
          </cell>
          <cell r="D888">
            <v>5</v>
          </cell>
          <cell r="E888" t="str">
            <v>34502C</v>
          </cell>
          <cell r="G888" t="str">
            <v>Metal Finishers</v>
          </cell>
          <cell r="I888" t="str">
            <v>B01</v>
          </cell>
          <cell r="L888" t="str">
            <v>V31</v>
          </cell>
          <cell r="N888">
            <v>0</v>
          </cell>
          <cell r="O888">
            <v>0</v>
          </cell>
          <cell r="P888">
            <v>-1</v>
          </cell>
          <cell r="Q888">
            <v>2004</v>
          </cell>
          <cell r="R888" t="str">
            <v>DEARBORN PLANT BUILD</v>
          </cell>
          <cell r="S888" t="str">
            <v>P221/P397</v>
          </cell>
          <cell r="T888" t="str">
            <v>Door - Surface RH Front</v>
          </cell>
          <cell r="U888" t="str">
            <v>wavy metal</v>
          </cell>
          <cell r="V888" t="str">
            <v>ALL</v>
          </cell>
          <cell r="W888">
            <v>1</v>
          </cell>
          <cell r="AD888">
            <v>1</v>
          </cell>
        </row>
        <row r="889">
          <cell r="A889">
            <v>0</v>
          </cell>
          <cell r="B889" t="str">
            <v>ALL VRTS</v>
          </cell>
          <cell r="D889">
            <v>5</v>
          </cell>
          <cell r="E889" t="str">
            <v>34502C</v>
          </cell>
          <cell r="G889" t="str">
            <v>Metal Finishers</v>
          </cell>
          <cell r="I889" t="str">
            <v>B01</v>
          </cell>
          <cell r="L889" t="str">
            <v>V31</v>
          </cell>
          <cell r="N889">
            <v>0</v>
          </cell>
          <cell r="O889">
            <v>0</v>
          </cell>
          <cell r="P889">
            <v>-1</v>
          </cell>
          <cell r="Q889">
            <v>2004</v>
          </cell>
          <cell r="R889" t="str">
            <v>DEARBORN PLANT BUILD</v>
          </cell>
          <cell r="S889" t="str">
            <v>P221/P397</v>
          </cell>
          <cell r="T889" t="str">
            <v>Door - Surface RH Front</v>
          </cell>
          <cell r="U889" t="str">
            <v>wavy metal / grind marks</v>
          </cell>
          <cell r="V889" t="str">
            <v>ALL</v>
          </cell>
          <cell r="W889">
            <v>1</v>
          </cell>
          <cell r="AC889">
            <v>1</v>
          </cell>
        </row>
        <row r="890">
          <cell r="A890">
            <v>0</v>
          </cell>
          <cell r="B890" t="str">
            <v>ALL VRTS</v>
          </cell>
          <cell r="D890">
            <v>5</v>
          </cell>
          <cell r="I890" t="str">
            <v>B01</v>
          </cell>
          <cell r="L890" t="str">
            <v>V31</v>
          </cell>
          <cell r="N890">
            <v>0</v>
          </cell>
          <cell r="O890">
            <v>-1</v>
          </cell>
          <cell r="P890">
            <v>0</v>
          </cell>
          <cell r="Q890">
            <v>2004</v>
          </cell>
          <cell r="R890" t="str">
            <v>DEARBORN PLANT BUILD</v>
          </cell>
          <cell r="S890" t="str">
            <v>P221/P397</v>
          </cell>
          <cell r="T890" t="str">
            <v>Door - Surface RH Front</v>
          </cell>
          <cell r="U890" t="str">
            <v>wavy metal around handle</v>
          </cell>
          <cell r="V890" t="str">
            <v>ALL</v>
          </cell>
          <cell r="W890">
            <v>1</v>
          </cell>
          <cell r="AB890">
            <v>1</v>
          </cell>
        </row>
        <row r="891">
          <cell r="A891">
            <v>0</v>
          </cell>
          <cell r="B891" t="str">
            <v>ALL VRTS</v>
          </cell>
          <cell r="D891">
            <v>5</v>
          </cell>
          <cell r="I891" t="str">
            <v>G29</v>
          </cell>
          <cell r="L891" t="str">
            <v>V83</v>
          </cell>
          <cell r="N891">
            <v>0</v>
          </cell>
          <cell r="O891">
            <v>0</v>
          </cell>
          <cell r="P891">
            <v>-1</v>
          </cell>
          <cell r="Q891">
            <v>2004</v>
          </cell>
          <cell r="R891" t="str">
            <v>DEARBORN PLANT BUILD</v>
          </cell>
          <cell r="S891" t="str">
            <v>P221/P397</v>
          </cell>
          <cell r="T891" t="str">
            <v>Engine Light on.</v>
          </cell>
          <cell r="U891" t="str">
            <v>Repair wire to Sensor</v>
          </cell>
          <cell r="V891" t="str">
            <v>ALL</v>
          </cell>
          <cell r="W891">
            <v>2</v>
          </cell>
          <cell r="AD891">
            <v>2</v>
          </cell>
        </row>
        <row r="892">
          <cell r="A892">
            <v>0</v>
          </cell>
          <cell r="B892" t="str">
            <v>ALL VRTS</v>
          </cell>
          <cell r="D892">
            <v>5</v>
          </cell>
          <cell r="I892" t="str">
            <v>G29</v>
          </cell>
          <cell r="L892" t="str">
            <v>V83</v>
          </cell>
          <cell r="N892">
            <v>0</v>
          </cell>
          <cell r="O892">
            <v>0</v>
          </cell>
          <cell r="P892">
            <v>-1</v>
          </cell>
          <cell r="Q892">
            <v>2004</v>
          </cell>
          <cell r="R892" t="str">
            <v>DEARBORN PLANT BUILD</v>
          </cell>
          <cell r="S892" t="str">
            <v>P221/P397</v>
          </cell>
          <cell r="T892" t="str">
            <v>Engine Light on.</v>
          </cell>
          <cell r="U892" t="str">
            <v>Connector #15525 to circuit C1107 not secured.</v>
          </cell>
          <cell r="V892" t="str">
            <v>ALL</v>
          </cell>
          <cell r="W892">
            <v>1</v>
          </cell>
          <cell r="AB892">
            <v>1</v>
          </cell>
        </row>
        <row r="893">
          <cell r="A893">
            <v>0</v>
          </cell>
          <cell r="B893" t="str">
            <v>ALL VRTS</v>
          </cell>
          <cell r="D893">
            <v>5</v>
          </cell>
          <cell r="I893" t="str">
            <v>A88</v>
          </cell>
          <cell r="L893" t="str">
            <v>V83</v>
          </cell>
          <cell r="N893">
            <v>-1</v>
          </cell>
          <cell r="O893">
            <v>-1</v>
          </cell>
          <cell r="P893">
            <v>0</v>
          </cell>
          <cell r="Q893">
            <v>2004</v>
          </cell>
          <cell r="R893" t="str">
            <v>DEARBORN PLANT BUILD</v>
          </cell>
          <cell r="S893" t="str">
            <v>P221/P397</v>
          </cell>
          <cell r="T893" t="str">
            <v>Engine Light on.</v>
          </cell>
          <cell r="U893" t="str">
            <v>Repaired wiring. 14A005/14405.</v>
          </cell>
          <cell r="V893" t="str">
            <v>ALL</v>
          </cell>
          <cell r="W893">
            <v>1</v>
          </cell>
          <cell r="Z893">
            <v>1</v>
          </cell>
        </row>
        <row r="894">
          <cell r="A894">
            <v>0</v>
          </cell>
          <cell r="B894" t="str">
            <v>ALL VRTS</v>
          </cell>
          <cell r="D894">
            <v>5</v>
          </cell>
          <cell r="I894" t="str">
            <v>G29</v>
          </cell>
          <cell r="L894" t="str">
            <v>V83</v>
          </cell>
          <cell r="N894">
            <v>0</v>
          </cell>
          <cell r="O894">
            <v>-1</v>
          </cell>
          <cell r="P894">
            <v>0</v>
          </cell>
          <cell r="Q894">
            <v>2004</v>
          </cell>
          <cell r="R894" t="str">
            <v>DEARBORN PLANT BUILD</v>
          </cell>
          <cell r="S894" t="str">
            <v>P221/P397</v>
          </cell>
          <cell r="T894" t="str">
            <v>Engine Light on.</v>
          </cell>
          <cell r="U894" t="str">
            <v>Replace Wiring Harness</v>
          </cell>
          <cell r="V894" t="str">
            <v>ALL</v>
          </cell>
          <cell r="W894">
            <v>1</v>
          </cell>
          <cell r="AE894">
            <v>1</v>
          </cell>
        </row>
        <row r="895">
          <cell r="A895">
            <v>0</v>
          </cell>
          <cell r="B895" t="str">
            <v>ALL VRTS</v>
          </cell>
          <cell r="D895">
            <v>5</v>
          </cell>
          <cell r="I895" t="str">
            <v>F12</v>
          </cell>
          <cell r="J895" t="str">
            <v>F30</v>
          </cell>
          <cell r="L895" t="str">
            <v>V33</v>
          </cell>
          <cell r="N895">
            <v>0</v>
          </cell>
          <cell r="O895">
            <v>0</v>
          </cell>
          <cell r="P895">
            <v>-1</v>
          </cell>
          <cell r="Q895">
            <v>2004</v>
          </cell>
          <cell r="R895" t="str">
            <v>DEARBORN PLANT BUILD</v>
          </cell>
          <cell r="S895" t="str">
            <v>P221/P397</v>
          </cell>
          <cell r="T895" t="str">
            <v>Mar</v>
          </cell>
          <cell r="U895" t="str">
            <v>L/S Rear Door</v>
          </cell>
          <cell r="V895" t="str">
            <v>ALL</v>
          </cell>
          <cell r="W895">
            <v>2</v>
          </cell>
          <cell r="AC895">
            <v>1</v>
          </cell>
          <cell r="AE895">
            <v>1</v>
          </cell>
        </row>
        <row r="896">
          <cell r="A896">
            <v>0</v>
          </cell>
          <cell r="B896" t="str">
            <v>ALL VRTS</v>
          </cell>
          <cell r="D896">
            <v>5</v>
          </cell>
          <cell r="I896" t="str">
            <v>F07</v>
          </cell>
          <cell r="L896" t="str">
            <v>V33</v>
          </cell>
          <cell r="N896">
            <v>0</v>
          </cell>
          <cell r="O896">
            <v>0</v>
          </cell>
          <cell r="P896">
            <v>-1</v>
          </cell>
          <cell r="Q896">
            <v>2004</v>
          </cell>
          <cell r="R896" t="str">
            <v>DEARBORN PLANT BUILD</v>
          </cell>
          <cell r="S896" t="str">
            <v>P221/P397</v>
          </cell>
          <cell r="T896" t="str">
            <v>Mar</v>
          </cell>
          <cell r="U896" t="str">
            <v>R/S Rear Door</v>
          </cell>
          <cell r="V896" t="str">
            <v>ALL</v>
          </cell>
          <cell r="W896">
            <v>2</v>
          </cell>
          <cell r="AC896">
            <v>1</v>
          </cell>
          <cell r="AD896">
            <v>1</v>
          </cell>
        </row>
        <row r="897">
          <cell r="A897">
            <v>0</v>
          </cell>
          <cell r="B897" t="str">
            <v>ALL VRTS</v>
          </cell>
          <cell r="D897">
            <v>5</v>
          </cell>
          <cell r="I897" t="str">
            <v>F20</v>
          </cell>
          <cell r="L897" t="str">
            <v>V33</v>
          </cell>
          <cell r="N897">
            <v>0</v>
          </cell>
          <cell r="O897">
            <v>0</v>
          </cell>
          <cell r="P897">
            <v>-1</v>
          </cell>
          <cell r="Q897">
            <v>2004</v>
          </cell>
          <cell r="R897" t="str">
            <v>DEARBORN PLANT BUILD</v>
          </cell>
          <cell r="S897" t="str">
            <v>P221/P397</v>
          </cell>
          <cell r="T897" t="str">
            <v>Mar</v>
          </cell>
          <cell r="U897" t="str">
            <v>L/S Front Door Bottom</v>
          </cell>
          <cell r="V897" t="str">
            <v>ALL</v>
          </cell>
          <cell r="W897">
            <v>1</v>
          </cell>
          <cell r="AB897">
            <v>1</v>
          </cell>
        </row>
        <row r="898">
          <cell r="A898">
            <v>0</v>
          </cell>
          <cell r="B898" t="str">
            <v>ALL VRTS</v>
          </cell>
          <cell r="D898">
            <v>5</v>
          </cell>
          <cell r="I898" t="str">
            <v>F06</v>
          </cell>
          <cell r="L898" t="str">
            <v>V33</v>
          </cell>
          <cell r="N898">
            <v>0</v>
          </cell>
          <cell r="O898">
            <v>0</v>
          </cell>
          <cell r="P898">
            <v>-1</v>
          </cell>
          <cell r="Q898">
            <v>2004</v>
          </cell>
          <cell r="R898" t="str">
            <v>DEARBORN PLANT BUILD</v>
          </cell>
          <cell r="S898" t="str">
            <v>P221/P397</v>
          </cell>
          <cell r="T898" t="str">
            <v>Peeled Paint</v>
          </cell>
          <cell r="U898" t="str">
            <v>L/S Bed</v>
          </cell>
          <cell r="V898" t="str">
            <v>ALL</v>
          </cell>
          <cell r="W898">
            <v>2</v>
          </cell>
          <cell r="Z898">
            <v>2</v>
          </cell>
        </row>
        <row r="899">
          <cell r="A899">
            <v>0</v>
          </cell>
          <cell r="B899" t="str">
            <v>ALL VRTS</v>
          </cell>
          <cell r="D899">
            <v>5</v>
          </cell>
          <cell r="I899" t="str">
            <v>F06</v>
          </cell>
          <cell r="L899" t="str">
            <v>V33</v>
          </cell>
          <cell r="N899">
            <v>0</v>
          </cell>
          <cell r="O899">
            <v>0</v>
          </cell>
          <cell r="P899">
            <v>-1</v>
          </cell>
          <cell r="Q899">
            <v>2004</v>
          </cell>
          <cell r="R899" t="str">
            <v>DEARBORN PLANT BUILD</v>
          </cell>
          <cell r="S899" t="str">
            <v>P221/P397</v>
          </cell>
          <cell r="T899" t="str">
            <v>Peeled Paint</v>
          </cell>
          <cell r="U899" t="str">
            <v>L/S Front Fender</v>
          </cell>
          <cell r="V899" t="str">
            <v>ALL</v>
          </cell>
          <cell r="W899">
            <v>1</v>
          </cell>
          <cell r="Z899">
            <v>1</v>
          </cell>
        </row>
        <row r="900">
          <cell r="A900">
            <v>0</v>
          </cell>
          <cell r="B900" t="str">
            <v>ALL VRTS</v>
          </cell>
          <cell r="D900">
            <v>5</v>
          </cell>
          <cell r="I900" t="str">
            <v>F06</v>
          </cell>
          <cell r="L900" t="str">
            <v>V33</v>
          </cell>
          <cell r="N900">
            <v>0</v>
          </cell>
          <cell r="O900">
            <v>0</v>
          </cell>
          <cell r="P900">
            <v>-1</v>
          </cell>
          <cell r="Q900">
            <v>2004</v>
          </cell>
          <cell r="R900" t="str">
            <v>DEARBORN PLANT BUILD</v>
          </cell>
          <cell r="S900" t="str">
            <v>P221/P397</v>
          </cell>
          <cell r="T900" t="str">
            <v>Peeled Paint</v>
          </cell>
          <cell r="U900" t="str">
            <v>PVC</v>
          </cell>
          <cell r="V900" t="str">
            <v>ALL</v>
          </cell>
          <cell r="W900">
            <v>1</v>
          </cell>
          <cell r="AD900">
            <v>1</v>
          </cell>
        </row>
        <row r="901">
          <cell r="A901">
            <v>0</v>
          </cell>
          <cell r="B901" t="str">
            <v>ALL VRTS</v>
          </cell>
          <cell r="D901">
            <v>5</v>
          </cell>
          <cell r="I901" t="str">
            <v>F06</v>
          </cell>
          <cell r="L901" t="str">
            <v>V33</v>
          </cell>
          <cell r="N901">
            <v>0</v>
          </cell>
          <cell r="O901">
            <v>0</v>
          </cell>
          <cell r="P901">
            <v>-1</v>
          </cell>
          <cell r="Q901">
            <v>2004</v>
          </cell>
          <cell r="R901" t="str">
            <v>DEARBORN PLANT BUILD</v>
          </cell>
          <cell r="S901" t="str">
            <v>P221/P397</v>
          </cell>
          <cell r="T901" t="str">
            <v>Peeled Paint</v>
          </cell>
          <cell r="U901" t="str">
            <v>UnderBody</v>
          </cell>
          <cell r="V901" t="str">
            <v>ALL</v>
          </cell>
          <cell r="W901">
            <v>1</v>
          </cell>
          <cell r="AC901">
            <v>1</v>
          </cell>
        </row>
        <row r="902">
          <cell r="A902">
            <v>0</v>
          </cell>
          <cell r="B902" t="str">
            <v>ALL VRTS</v>
          </cell>
          <cell r="D902">
            <v>5</v>
          </cell>
          <cell r="I902" t="str">
            <v>J04</v>
          </cell>
          <cell r="J902" t="str">
            <v>J03</v>
          </cell>
          <cell r="L902" t="str">
            <v>V09</v>
          </cell>
          <cell r="N902">
            <v>0</v>
          </cell>
          <cell r="O902">
            <v>-1</v>
          </cell>
          <cell r="P902">
            <v>-1</v>
          </cell>
          <cell r="Q902">
            <v>2004</v>
          </cell>
          <cell r="R902" t="str">
            <v>DEARBORN PLANT BUILD</v>
          </cell>
          <cell r="S902" t="str">
            <v>P221/P397</v>
          </cell>
          <cell r="T902" t="str">
            <v>SUNROOF GLASS</v>
          </cell>
          <cell r="U902" t="str">
            <v>ADJUST GLASS</v>
          </cell>
          <cell r="V902" t="str">
            <v>ALL</v>
          </cell>
          <cell r="W902">
            <v>4</v>
          </cell>
          <cell r="AA902">
            <v>1</v>
          </cell>
          <cell r="AB902">
            <v>1</v>
          </cell>
          <cell r="AD902">
            <v>1</v>
          </cell>
          <cell r="AE902">
            <v>1</v>
          </cell>
        </row>
        <row r="903">
          <cell r="A903">
            <v>0</v>
          </cell>
          <cell r="B903" t="str">
            <v>ALL VRTS</v>
          </cell>
          <cell r="D903">
            <v>5</v>
          </cell>
          <cell r="I903" t="str">
            <v>J04</v>
          </cell>
          <cell r="L903" t="str">
            <v>V09</v>
          </cell>
          <cell r="N903">
            <v>0</v>
          </cell>
          <cell r="O903">
            <v>-1</v>
          </cell>
          <cell r="P903">
            <v>0</v>
          </cell>
          <cell r="Q903">
            <v>2004</v>
          </cell>
          <cell r="R903" t="str">
            <v>DEARBORN PLANT BUILD</v>
          </cell>
          <cell r="S903" t="str">
            <v>P221/P397</v>
          </cell>
          <cell r="T903" t="str">
            <v>SUNROOF GLASS</v>
          </cell>
          <cell r="U903" t="str">
            <v>GLASS SEAL MISASSEMBELED</v>
          </cell>
          <cell r="V903" t="str">
            <v>ALL</v>
          </cell>
          <cell r="W903">
            <v>1</v>
          </cell>
          <cell r="AD903">
            <v>1</v>
          </cell>
        </row>
        <row r="904">
          <cell r="A904">
            <v>0</v>
          </cell>
          <cell r="B904" t="str">
            <v>ALL VRTS</v>
          </cell>
          <cell r="D904">
            <v>4</v>
          </cell>
          <cell r="I904" t="str">
            <v>L69</v>
          </cell>
          <cell r="L904" t="str">
            <v>V25</v>
          </cell>
          <cell r="N904">
            <v>0</v>
          </cell>
          <cell r="O904">
            <v>-1</v>
          </cell>
          <cell r="P904">
            <v>0</v>
          </cell>
          <cell r="Q904">
            <v>2004</v>
          </cell>
          <cell r="R904" t="str">
            <v>DEARBORN PLANT BUILD</v>
          </cell>
          <cell r="S904" t="str">
            <v>P221/P397</v>
          </cell>
          <cell r="T904" t="str">
            <v xml:space="preserve"> FUEL GAUGE TROUBLES</v>
          </cell>
          <cell r="U904" t="str">
            <v>intermittant open circuit in sending unit</v>
          </cell>
          <cell r="V904" t="str">
            <v>ALL</v>
          </cell>
          <cell r="W904">
            <v>2</v>
          </cell>
          <cell r="Z904">
            <v>1</v>
          </cell>
          <cell r="AB904">
            <v>1</v>
          </cell>
        </row>
        <row r="905">
          <cell r="A905">
            <v>0</v>
          </cell>
          <cell r="B905" t="str">
            <v>ALL VRTS</v>
          </cell>
          <cell r="D905">
            <v>4</v>
          </cell>
          <cell r="E905" t="str">
            <v>6440</v>
          </cell>
          <cell r="G905" t="str">
            <v>C2W36B</v>
          </cell>
          <cell r="I905" t="str">
            <v>L69</v>
          </cell>
          <cell r="L905" t="str">
            <v>V44</v>
          </cell>
          <cell r="N905">
            <v>0</v>
          </cell>
          <cell r="O905">
            <v>0</v>
          </cell>
          <cell r="P905">
            <v>-1</v>
          </cell>
          <cell r="Q905">
            <v>2004</v>
          </cell>
          <cell r="R905" t="str">
            <v>DEARBORN PLANT BUILD</v>
          </cell>
          <cell r="S905" t="str">
            <v>P221/P397</v>
          </cell>
          <cell r="T905" t="str">
            <v xml:space="preserve"> FUEL GAUGE TROUBLES</v>
          </cell>
          <cell r="U905" t="str">
            <v>Carbon Cannister disconnected</v>
          </cell>
          <cell r="V905" t="str">
            <v>ALL</v>
          </cell>
          <cell r="W905">
            <v>1</v>
          </cell>
          <cell r="AA905">
            <v>1</v>
          </cell>
        </row>
        <row r="906">
          <cell r="A906">
            <v>0</v>
          </cell>
          <cell r="B906" t="str">
            <v>ALL VRTS</v>
          </cell>
          <cell r="D906">
            <v>4</v>
          </cell>
          <cell r="I906" t="str">
            <v>L69</v>
          </cell>
          <cell r="L906" t="str">
            <v>V25</v>
          </cell>
          <cell r="N906">
            <v>-1</v>
          </cell>
          <cell r="O906">
            <v>-1</v>
          </cell>
          <cell r="P906">
            <v>0</v>
          </cell>
          <cell r="Q906">
            <v>2004</v>
          </cell>
          <cell r="R906" t="str">
            <v>DEARBORN PLANT BUILD</v>
          </cell>
          <cell r="S906" t="str">
            <v>P221/P397</v>
          </cell>
          <cell r="T906" t="str">
            <v xml:space="preserve"> FUEL GAUGE TROUBLES</v>
          </cell>
          <cell r="U906" t="str">
            <v>npf</v>
          </cell>
          <cell r="V906" t="str">
            <v>ALL</v>
          </cell>
          <cell r="W906">
            <v>1</v>
          </cell>
          <cell r="AD906">
            <v>1</v>
          </cell>
        </row>
        <row r="907">
          <cell r="A907">
            <v>0</v>
          </cell>
          <cell r="B907" t="str">
            <v>ALL VRTS</v>
          </cell>
          <cell r="D907">
            <v>4</v>
          </cell>
          <cell r="I907" t="str">
            <v>D42</v>
          </cell>
          <cell r="L907" t="str">
            <v>V41</v>
          </cell>
          <cell r="N907">
            <v>-1</v>
          </cell>
          <cell r="O907">
            <v>-1</v>
          </cell>
          <cell r="P907">
            <v>0</v>
          </cell>
          <cell r="Q907">
            <v>2004</v>
          </cell>
          <cell r="R907" t="str">
            <v>DEARBORN PLANT BUILD</v>
          </cell>
          <cell r="S907" t="str">
            <v>P221/P397</v>
          </cell>
          <cell r="T907" t="str">
            <v xml:space="preserve"> LOW ENG. PERFORMANCE</v>
          </cell>
          <cell r="U907" t="str">
            <v>performed EEC test NPF</v>
          </cell>
          <cell r="V907" t="str">
            <v>ALL</v>
          </cell>
          <cell r="W907">
            <v>3</v>
          </cell>
          <cell r="Z907">
            <v>2</v>
          </cell>
          <cell r="AA907">
            <v>1</v>
          </cell>
        </row>
        <row r="908">
          <cell r="A908">
            <v>0</v>
          </cell>
          <cell r="B908" t="str">
            <v>ALL VRTS</v>
          </cell>
          <cell r="D908">
            <v>4</v>
          </cell>
          <cell r="I908" t="str">
            <v>D42</v>
          </cell>
          <cell r="L908" t="str">
            <v>V41</v>
          </cell>
          <cell r="N908">
            <v>-1</v>
          </cell>
          <cell r="O908">
            <v>-1</v>
          </cell>
          <cell r="P908">
            <v>0</v>
          </cell>
          <cell r="Q908">
            <v>2004</v>
          </cell>
          <cell r="R908" t="str">
            <v>DEARBORN PLANT BUILD</v>
          </cell>
          <cell r="S908" t="str">
            <v>P221/P397</v>
          </cell>
          <cell r="T908" t="str">
            <v xml:space="preserve"> LOW ENG. PERFORMANCE</v>
          </cell>
          <cell r="U908" t="str">
            <v>Replaced Mass Air Sensor</v>
          </cell>
          <cell r="V908" t="str">
            <v>ALL</v>
          </cell>
          <cell r="W908">
            <v>1</v>
          </cell>
          <cell r="AE908">
            <v>1</v>
          </cell>
        </row>
        <row r="909">
          <cell r="A909">
            <v>0</v>
          </cell>
          <cell r="B909" t="str">
            <v>ALL VRTS</v>
          </cell>
          <cell r="D909">
            <v>4</v>
          </cell>
          <cell r="I909" t="str">
            <v>F12</v>
          </cell>
          <cell r="L909" t="str">
            <v>V33</v>
          </cell>
          <cell r="N909">
            <v>0</v>
          </cell>
          <cell r="O909">
            <v>0</v>
          </cell>
          <cell r="P909">
            <v>-1</v>
          </cell>
          <cell r="Q909">
            <v>2004</v>
          </cell>
          <cell r="R909" t="str">
            <v>DEARBORN PLANT BUILD</v>
          </cell>
          <cell r="S909" t="str">
            <v>P221/P397</v>
          </cell>
          <cell r="T909" t="str">
            <v>Acid Rain</v>
          </cell>
          <cell r="U909" t="str">
            <v>Entire Vehicle</v>
          </cell>
          <cell r="V909" t="str">
            <v>ALL</v>
          </cell>
          <cell r="W909">
            <v>3</v>
          </cell>
          <cell r="Z909">
            <v>1</v>
          </cell>
          <cell r="AC909">
            <v>1</v>
          </cell>
          <cell r="AD909">
            <v>1</v>
          </cell>
        </row>
        <row r="910">
          <cell r="A910">
            <v>0</v>
          </cell>
          <cell r="B910" t="str">
            <v>ALL VRTS</v>
          </cell>
          <cell r="D910">
            <v>4</v>
          </cell>
          <cell r="I910" t="str">
            <v>F12</v>
          </cell>
          <cell r="L910" t="str">
            <v>V33</v>
          </cell>
          <cell r="N910">
            <v>0</v>
          </cell>
          <cell r="O910">
            <v>0</v>
          </cell>
          <cell r="P910">
            <v>-1</v>
          </cell>
          <cell r="Q910">
            <v>2004</v>
          </cell>
          <cell r="R910" t="str">
            <v>DEARBORN PLANT BUILD</v>
          </cell>
          <cell r="S910" t="str">
            <v>P221/P397</v>
          </cell>
          <cell r="T910" t="str">
            <v>Acid Rain</v>
          </cell>
          <cell r="U910" t="str">
            <v>Hood</v>
          </cell>
          <cell r="V910" t="str">
            <v>ALL</v>
          </cell>
          <cell r="W910">
            <v>1</v>
          </cell>
          <cell r="AC910">
            <v>1</v>
          </cell>
        </row>
        <row r="911">
          <cell r="A911">
            <v>0</v>
          </cell>
          <cell r="B911" t="str">
            <v>ALL VRTS</v>
          </cell>
          <cell r="D911">
            <v>4</v>
          </cell>
          <cell r="I911" t="str">
            <v>C25</v>
          </cell>
          <cell r="L911" t="str">
            <v>V19</v>
          </cell>
          <cell r="N911">
            <v>0</v>
          </cell>
          <cell r="O911">
            <v>-1</v>
          </cell>
          <cell r="P911">
            <v>0</v>
          </cell>
          <cell r="Q911">
            <v>2004</v>
          </cell>
          <cell r="R911" t="str">
            <v>DEARBORN PLANT BUILD</v>
          </cell>
          <cell r="S911" t="str">
            <v>P221/P397</v>
          </cell>
          <cell r="T911" t="str">
            <v>Battery Light On</v>
          </cell>
          <cell r="U911" t="str">
            <v>Alternator Replaced.</v>
          </cell>
          <cell r="V911" t="str">
            <v>ALL</v>
          </cell>
          <cell r="W911">
            <v>1</v>
          </cell>
          <cell r="AD911">
            <v>1</v>
          </cell>
        </row>
        <row r="912">
          <cell r="A912">
            <v>0</v>
          </cell>
          <cell r="B912" t="str">
            <v>ALL VRTS</v>
          </cell>
          <cell r="D912">
            <v>4</v>
          </cell>
          <cell r="I912" t="str">
            <v>C27</v>
          </cell>
          <cell r="L912" t="str">
            <v>V19</v>
          </cell>
          <cell r="N912">
            <v>0</v>
          </cell>
          <cell r="O912">
            <v>-1</v>
          </cell>
          <cell r="P912">
            <v>0</v>
          </cell>
          <cell r="Q912">
            <v>2004</v>
          </cell>
          <cell r="R912" t="str">
            <v>DEARBORN PLANT BUILD</v>
          </cell>
          <cell r="S912" t="str">
            <v>P221/P397</v>
          </cell>
          <cell r="T912" t="str">
            <v>Battery Light On</v>
          </cell>
          <cell r="U912" t="str">
            <v>Battery Cable Bolt replaced.</v>
          </cell>
          <cell r="V912" t="str">
            <v>ALL</v>
          </cell>
          <cell r="W912">
            <v>1</v>
          </cell>
          <cell r="AD912">
            <v>1</v>
          </cell>
        </row>
        <row r="913">
          <cell r="A913">
            <v>0</v>
          </cell>
          <cell r="B913" t="str">
            <v>ALL VRTS</v>
          </cell>
          <cell r="D913">
            <v>4</v>
          </cell>
          <cell r="I913" t="str">
            <v>C27</v>
          </cell>
          <cell r="L913" t="str">
            <v>V19</v>
          </cell>
          <cell r="N913">
            <v>0</v>
          </cell>
          <cell r="O913">
            <v>-1</v>
          </cell>
          <cell r="P913">
            <v>0</v>
          </cell>
          <cell r="Q913">
            <v>2004</v>
          </cell>
          <cell r="R913" t="str">
            <v>DEARBORN PLANT BUILD</v>
          </cell>
          <cell r="S913" t="str">
            <v>P221/P397</v>
          </cell>
          <cell r="T913" t="str">
            <v>Battery Light On</v>
          </cell>
          <cell r="U913" t="str">
            <v>Defective Alternator - replaced</v>
          </cell>
          <cell r="V913" t="str">
            <v>ALL</v>
          </cell>
          <cell r="W913">
            <v>1</v>
          </cell>
          <cell r="AC913">
            <v>1</v>
          </cell>
        </row>
        <row r="914">
          <cell r="A914">
            <v>0</v>
          </cell>
          <cell r="B914" t="str">
            <v>ALL VRTS</v>
          </cell>
          <cell r="D914">
            <v>4</v>
          </cell>
          <cell r="I914" t="str">
            <v>C26</v>
          </cell>
          <cell r="L914" t="str">
            <v>V19</v>
          </cell>
          <cell r="N914">
            <v>0</v>
          </cell>
          <cell r="O914">
            <v>0</v>
          </cell>
          <cell r="P914">
            <v>-1</v>
          </cell>
          <cell r="Q914">
            <v>2004</v>
          </cell>
          <cell r="R914" t="str">
            <v>DEARBORN PLANT BUILD</v>
          </cell>
          <cell r="S914" t="str">
            <v>P221/P397</v>
          </cell>
          <cell r="T914" t="str">
            <v>Battery Light On</v>
          </cell>
          <cell r="U914" t="str">
            <v>Loose Wiring Connector on alternator</v>
          </cell>
          <cell r="V914" t="str">
            <v>ALL</v>
          </cell>
          <cell r="W914">
            <v>1</v>
          </cell>
          <cell r="AC914">
            <v>1</v>
          </cell>
        </row>
        <row r="915">
          <cell r="A915">
            <v>0</v>
          </cell>
          <cell r="B915" t="str">
            <v>ALL VRTS</v>
          </cell>
          <cell r="D915">
            <v>4</v>
          </cell>
          <cell r="E915" t="str">
            <v>Box Line 5400-2-B</v>
          </cell>
          <cell r="F915" t="str">
            <v>box Line 5410-2-B</v>
          </cell>
          <cell r="G915" t="str">
            <v>TBE38B</v>
          </cell>
          <cell r="H915" t="str">
            <v>TBE27F</v>
          </cell>
          <cell r="I915" t="str">
            <v>B64</v>
          </cell>
          <cell r="J915" t="str">
            <v>B66</v>
          </cell>
          <cell r="L915" t="str">
            <v>V75</v>
          </cell>
          <cell r="N915">
            <v>0</v>
          </cell>
          <cell r="O915">
            <v>0</v>
          </cell>
          <cell r="P915">
            <v>-1</v>
          </cell>
          <cell r="Q915">
            <v>2004</v>
          </cell>
          <cell r="R915" t="str">
            <v>DEARBORN PLANT BUILD</v>
          </cell>
          <cell r="S915" t="str">
            <v>P221/P397</v>
          </cell>
          <cell r="T915" t="str">
            <v>BED RAIL MOLDING / WARPED</v>
          </cell>
          <cell r="U915" t="str">
            <v>REPLACE</v>
          </cell>
          <cell r="V915" t="str">
            <v>ALL</v>
          </cell>
          <cell r="W915">
            <v>3</v>
          </cell>
          <cell r="AC915">
            <v>1</v>
          </cell>
          <cell r="AE915">
            <v>2</v>
          </cell>
        </row>
        <row r="916">
          <cell r="A916">
            <v>0</v>
          </cell>
          <cell r="B916" t="str">
            <v>ALL VRTS</v>
          </cell>
          <cell r="D916">
            <v>4</v>
          </cell>
          <cell r="E916" t="str">
            <v>Box Line 5400-2-B</v>
          </cell>
          <cell r="G916" t="str">
            <v>TBE 26B</v>
          </cell>
          <cell r="I916" t="str">
            <v>B66</v>
          </cell>
          <cell r="L916" t="str">
            <v>V75</v>
          </cell>
          <cell r="N916">
            <v>0</v>
          </cell>
          <cell r="O916">
            <v>0</v>
          </cell>
          <cell r="P916">
            <v>-1</v>
          </cell>
          <cell r="Q916">
            <v>2004</v>
          </cell>
          <cell r="R916" t="str">
            <v>DEARBORN PLANT BUILD</v>
          </cell>
          <cell r="S916" t="str">
            <v>P221/P397</v>
          </cell>
          <cell r="T916" t="str">
            <v>BED RAIL MOLDING / WARPED</v>
          </cell>
          <cell r="U916" t="str">
            <v>Molding replaced</v>
          </cell>
          <cell r="V916" t="str">
            <v>ALL</v>
          </cell>
          <cell r="W916">
            <v>1</v>
          </cell>
          <cell r="AD916">
            <v>1</v>
          </cell>
        </row>
        <row r="917">
          <cell r="A917">
            <v>0</v>
          </cell>
          <cell r="B917" t="str">
            <v>ALL VRTS</v>
          </cell>
          <cell r="D917">
            <v>4</v>
          </cell>
          <cell r="E917" t="str">
            <v>Chassis 2 6440-2-D</v>
          </cell>
          <cell r="G917" t="str">
            <v>C2W48-52B</v>
          </cell>
          <cell r="I917" t="str">
            <v>B07</v>
          </cell>
          <cell r="L917" t="str">
            <v>V75</v>
          </cell>
          <cell r="N917">
            <v>0</v>
          </cell>
          <cell r="O917">
            <v>0</v>
          </cell>
          <cell r="P917">
            <v>-1</v>
          </cell>
          <cell r="Q917">
            <v>2004</v>
          </cell>
          <cell r="R917" t="str">
            <v>DEARBORN PLANT BUILD</v>
          </cell>
          <cell r="S917" t="str">
            <v>P221/P397</v>
          </cell>
          <cell r="T917" t="str">
            <v>BUMPER / REAR / MISALIGNED</v>
          </cell>
          <cell r="U917" t="str">
            <v>REALIGNED</v>
          </cell>
          <cell r="V917" t="str">
            <v>ALL</v>
          </cell>
          <cell r="W917">
            <v>2</v>
          </cell>
          <cell r="AD917">
            <v>2</v>
          </cell>
        </row>
        <row r="918">
          <cell r="A918">
            <v>0</v>
          </cell>
          <cell r="B918" t="str">
            <v>ALL VRTS</v>
          </cell>
          <cell r="D918">
            <v>4</v>
          </cell>
          <cell r="E918" t="str">
            <v>Chassis 2 6440-2-D</v>
          </cell>
          <cell r="G918" t="str">
            <v>C2W48-52B</v>
          </cell>
          <cell r="I918" t="str">
            <v>B07</v>
          </cell>
          <cell r="L918" t="str">
            <v>V75</v>
          </cell>
          <cell r="N918">
            <v>0</v>
          </cell>
          <cell r="O918">
            <v>0</v>
          </cell>
          <cell r="P918">
            <v>-1</v>
          </cell>
          <cell r="Q918">
            <v>2004</v>
          </cell>
          <cell r="R918" t="str">
            <v>DEARBORN PLANT BUILD</v>
          </cell>
          <cell r="S918" t="str">
            <v>P221/P397</v>
          </cell>
          <cell r="T918" t="str">
            <v>BUMPER / REAR / MISALIGNED</v>
          </cell>
          <cell r="U918" t="str">
            <v>Bumper realigned</v>
          </cell>
          <cell r="V918" t="str">
            <v>ALL</v>
          </cell>
          <cell r="W918">
            <v>1</v>
          </cell>
          <cell r="AD918">
            <v>1</v>
          </cell>
        </row>
        <row r="919">
          <cell r="A919">
            <v>0</v>
          </cell>
          <cell r="B919" t="str">
            <v>ALL VRTS</v>
          </cell>
          <cell r="D919">
            <v>4</v>
          </cell>
          <cell r="E919" t="str">
            <v>Chassis 2 6440-2-D</v>
          </cell>
          <cell r="G919" t="str">
            <v>C2W48-52B</v>
          </cell>
          <cell r="I919" t="str">
            <v>B07</v>
          </cell>
          <cell r="L919" t="str">
            <v>V75</v>
          </cell>
          <cell r="N919">
            <v>0</v>
          </cell>
          <cell r="O919">
            <v>-1</v>
          </cell>
          <cell r="P919">
            <v>0</v>
          </cell>
          <cell r="Q919">
            <v>2004</v>
          </cell>
          <cell r="R919" t="str">
            <v>DEARBORN PLANT BUILD</v>
          </cell>
          <cell r="S919" t="str">
            <v>P221/P397</v>
          </cell>
          <cell r="T919" t="str">
            <v>BUMPER / REAR / MISALIGNED</v>
          </cell>
          <cell r="U919" t="str">
            <v>Replaced Bumper</v>
          </cell>
          <cell r="V919" t="str">
            <v>ALL</v>
          </cell>
          <cell r="W919">
            <v>1</v>
          </cell>
          <cell r="AA919">
            <v>1</v>
          </cell>
        </row>
        <row r="920">
          <cell r="A920">
            <v>0</v>
          </cell>
          <cell r="B920" t="str">
            <v>ALL VRTS</v>
          </cell>
          <cell r="D920">
            <v>4</v>
          </cell>
          <cell r="I920" t="str">
            <v>T15</v>
          </cell>
          <cell r="L920" t="str">
            <v>V74</v>
          </cell>
          <cell r="N920">
            <v>0</v>
          </cell>
          <cell r="O920">
            <v>-1</v>
          </cell>
          <cell r="P920">
            <v>0</v>
          </cell>
          <cell r="Q920">
            <v>2004</v>
          </cell>
          <cell r="R920" t="str">
            <v>DEARBORN PLANT BUILD</v>
          </cell>
          <cell r="S920" t="str">
            <v>P221/P397</v>
          </cell>
          <cell r="T920" t="str">
            <v>CARPET</v>
          </cell>
          <cell r="U920" t="str">
            <v>DEFECTIVE</v>
          </cell>
          <cell r="V920" t="str">
            <v>ALL</v>
          </cell>
          <cell r="W920">
            <v>1</v>
          </cell>
          <cell r="AD920">
            <v>1</v>
          </cell>
        </row>
        <row r="921">
          <cell r="A921">
            <v>0</v>
          </cell>
          <cell r="B921" t="str">
            <v>ALL VRTS</v>
          </cell>
          <cell r="D921">
            <v>4</v>
          </cell>
          <cell r="E921" t="str">
            <v>6490</v>
          </cell>
          <cell r="G921" t="str">
            <v>C4W16R</v>
          </cell>
          <cell r="I921" t="str">
            <v>B74</v>
          </cell>
          <cell r="L921" t="str">
            <v>V74</v>
          </cell>
          <cell r="N921">
            <v>0</v>
          </cell>
          <cell r="O921">
            <v>0</v>
          </cell>
          <cell r="P921">
            <v>-1</v>
          </cell>
          <cell r="Q921">
            <v>2004</v>
          </cell>
          <cell r="R921" t="str">
            <v>DEARBORN PLANT BUILD</v>
          </cell>
          <cell r="S921" t="str">
            <v>P221/P397</v>
          </cell>
          <cell r="T921" t="str">
            <v>CARPET</v>
          </cell>
          <cell r="U921" t="str">
            <v>HOLE</v>
          </cell>
          <cell r="V921" t="str">
            <v>ALL</v>
          </cell>
          <cell r="W921">
            <v>1</v>
          </cell>
          <cell r="AB921">
            <v>1</v>
          </cell>
        </row>
        <row r="922">
          <cell r="A922">
            <v>0</v>
          </cell>
          <cell r="B922" t="str">
            <v>ALL VRTS</v>
          </cell>
          <cell r="D922">
            <v>4</v>
          </cell>
          <cell r="E922" t="str">
            <v>6490</v>
          </cell>
          <cell r="G922" t="str">
            <v>C4E15L</v>
          </cell>
          <cell r="I922" t="str">
            <v>B74</v>
          </cell>
          <cell r="L922" t="str">
            <v>V74</v>
          </cell>
          <cell r="N922">
            <v>0</v>
          </cell>
          <cell r="O922">
            <v>0</v>
          </cell>
          <cell r="P922">
            <v>-1</v>
          </cell>
          <cell r="Q922">
            <v>2004</v>
          </cell>
          <cell r="R922" t="str">
            <v>DEARBORN PLANT BUILD</v>
          </cell>
          <cell r="S922" t="str">
            <v>P221/P397</v>
          </cell>
          <cell r="T922" t="str">
            <v>CARPET</v>
          </cell>
          <cell r="U922" t="str">
            <v>POOR FIT</v>
          </cell>
          <cell r="V922" t="str">
            <v>ALL</v>
          </cell>
          <cell r="W922">
            <v>1</v>
          </cell>
          <cell r="AB922">
            <v>1</v>
          </cell>
        </row>
        <row r="923">
          <cell r="A923">
            <v>0</v>
          </cell>
          <cell r="B923" t="str">
            <v>ALL VRTS</v>
          </cell>
          <cell r="D923">
            <v>4</v>
          </cell>
          <cell r="E923" t="str">
            <v>6490</v>
          </cell>
          <cell r="G923" t="str">
            <v>C4W16R</v>
          </cell>
          <cell r="I923" t="str">
            <v>B74</v>
          </cell>
          <cell r="L923" t="str">
            <v>V74</v>
          </cell>
          <cell r="N923">
            <v>0</v>
          </cell>
          <cell r="O923">
            <v>0</v>
          </cell>
          <cell r="P923">
            <v>-1</v>
          </cell>
          <cell r="Q923">
            <v>2004</v>
          </cell>
          <cell r="R923" t="str">
            <v>DEARBORN PLANT BUILD</v>
          </cell>
          <cell r="S923" t="str">
            <v>P221/P397</v>
          </cell>
          <cell r="T923" t="str">
            <v>CARPET</v>
          </cell>
          <cell r="U923" t="str">
            <v>WRONG</v>
          </cell>
          <cell r="V923" t="str">
            <v>ALL</v>
          </cell>
          <cell r="W923">
            <v>1</v>
          </cell>
          <cell r="AB923">
            <v>1</v>
          </cell>
        </row>
        <row r="924">
          <cell r="A924">
            <v>0</v>
          </cell>
          <cell r="B924" t="str">
            <v>ALL VRTS</v>
          </cell>
          <cell r="D924">
            <v>4</v>
          </cell>
          <cell r="I924" t="str">
            <v>L25</v>
          </cell>
          <cell r="L924" t="str">
            <v>V77</v>
          </cell>
          <cell r="N924">
            <v>0</v>
          </cell>
          <cell r="O924">
            <v>0</v>
          </cell>
          <cell r="P924">
            <v>-1</v>
          </cell>
          <cell r="Q924">
            <v>2004</v>
          </cell>
          <cell r="R924" t="str">
            <v>DEARBORN PLANT BUILD</v>
          </cell>
          <cell r="S924" t="str">
            <v>P221/P397</v>
          </cell>
          <cell r="T924" t="str">
            <v>Cluster Lights Inop</v>
          </cell>
          <cell r="U924" t="str">
            <v>Pinched Wire.</v>
          </cell>
          <cell r="V924" t="str">
            <v>ALL</v>
          </cell>
          <cell r="W924">
            <v>1</v>
          </cell>
          <cell r="AE924">
            <v>1</v>
          </cell>
        </row>
        <row r="925">
          <cell r="A925">
            <v>0</v>
          </cell>
          <cell r="B925" t="str">
            <v>ALL VRTS</v>
          </cell>
          <cell r="D925">
            <v>4</v>
          </cell>
          <cell r="I925" t="str">
            <v>L25</v>
          </cell>
          <cell r="L925" t="str">
            <v>V77</v>
          </cell>
          <cell r="N925">
            <v>0</v>
          </cell>
          <cell r="O925">
            <v>-1</v>
          </cell>
          <cell r="P925">
            <v>0</v>
          </cell>
          <cell r="Q925">
            <v>2004</v>
          </cell>
          <cell r="R925" t="str">
            <v>DEARBORN PLANT BUILD</v>
          </cell>
          <cell r="S925" t="str">
            <v>P221/P397</v>
          </cell>
          <cell r="T925" t="str">
            <v>Cluster Lights Inop</v>
          </cell>
          <cell r="U925" t="str">
            <v>Replace Cluster new module</v>
          </cell>
          <cell r="V925" t="str">
            <v>ALL</v>
          </cell>
          <cell r="W925">
            <v>1</v>
          </cell>
          <cell r="AE925">
            <v>1</v>
          </cell>
        </row>
        <row r="926">
          <cell r="A926">
            <v>0</v>
          </cell>
          <cell r="B926" t="str">
            <v>ALL VRTS</v>
          </cell>
          <cell r="D926">
            <v>4</v>
          </cell>
          <cell r="I926" t="str">
            <v>L25</v>
          </cell>
          <cell r="L926" t="str">
            <v>V77</v>
          </cell>
          <cell r="N926">
            <v>0</v>
          </cell>
          <cell r="O926">
            <v>0</v>
          </cell>
          <cell r="P926">
            <v>-1</v>
          </cell>
          <cell r="Q926">
            <v>2004</v>
          </cell>
          <cell r="R926" t="str">
            <v>DEARBORN PLANT BUILD</v>
          </cell>
          <cell r="S926" t="str">
            <v>P221/P397</v>
          </cell>
          <cell r="T926" t="str">
            <v>Cluster Lights Inop</v>
          </cell>
          <cell r="U926" t="str">
            <v>Replaced Headlamp Swith.</v>
          </cell>
          <cell r="V926" t="str">
            <v>ALL</v>
          </cell>
          <cell r="W926">
            <v>1</v>
          </cell>
          <cell r="AC926">
            <v>1</v>
          </cell>
        </row>
        <row r="927">
          <cell r="A927">
            <v>0</v>
          </cell>
          <cell r="B927" t="str">
            <v>ALL VRTS</v>
          </cell>
          <cell r="D927">
            <v>4</v>
          </cell>
          <cell r="I927" t="str">
            <v>L25</v>
          </cell>
          <cell r="L927" t="str">
            <v>V77</v>
          </cell>
          <cell r="N927">
            <v>0</v>
          </cell>
          <cell r="O927">
            <v>-1</v>
          </cell>
          <cell r="P927">
            <v>0</v>
          </cell>
          <cell r="Q927">
            <v>2004</v>
          </cell>
          <cell r="R927" t="str">
            <v>DEARBORN PLANT BUILD</v>
          </cell>
          <cell r="S927" t="str">
            <v>P221/P397</v>
          </cell>
          <cell r="T927" t="str">
            <v>Cluster Lights Inop</v>
          </cell>
          <cell r="U927" t="str">
            <v>Replaced PDJB.</v>
          </cell>
          <cell r="V927" t="str">
            <v>ALL</v>
          </cell>
          <cell r="W927">
            <v>1</v>
          </cell>
          <cell r="AD927">
            <v>1</v>
          </cell>
        </row>
        <row r="928">
          <cell r="A928">
            <v>0</v>
          </cell>
          <cell r="B928" t="str">
            <v>ALL VRTS</v>
          </cell>
          <cell r="D928">
            <v>4</v>
          </cell>
          <cell r="E928" t="str">
            <v>5330</v>
          </cell>
          <cell r="G928" t="str">
            <v>TDE17-L</v>
          </cell>
          <cell r="I928" t="str">
            <v>L06</v>
          </cell>
          <cell r="L928" t="str">
            <v>V07</v>
          </cell>
          <cell r="N928">
            <v>0</v>
          </cell>
          <cell r="O928">
            <v>0</v>
          </cell>
          <cell r="P928">
            <v>-1</v>
          </cell>
          <cell r="Q928">
            <v>2004</v>
          </cell>
          <cell r="R928" t="str">
            <v>DEARBORN PLANT BUILD</v>
          </cell>
          <cell r="S928" t="str">
            <v>P221/P397</v>
          </cell>
          <cell r="T928" t="str">
            <v>DOOR HARD TO OPEN</v>
          </cell>
          <cell r="U928" t="str">
            <v>ADJUST DOOR HANDLE ROD</v>
          </cell>
          <cell r="V928" t="str">
            <v>ALL</v>
          </cell>
          <cell r="W928">
            <v>1</v>
          </cell>
          <cell r="AB928">
            <v>1</v>
          </cell>
        </row>
        <row r="929">
          <cell r="A929">
            <v>0</v>
          </cell>
          <cell r="B929" t="str">
            <v>ALL VRTS</v>
          </cell>
          <cell r="D929">
            <v>4</v>
          </cell>
          <cell r="E929" t="str">
            <v>5350</v>
          </cell>
          <cell r="G929" t="str">
            <v>TDE31-I</v>
          </cell>
          <cell r="I929" t="str">
            <v>L07</v>
          </cell>
          <cell r="L929" t="str">
            <v>V07</v>
          </cell>
          <cell r="N929">
            <v>0</v>
          </cell>
          <cell r="O929">
            <v>0</v>
          </cell>
          <cell r="P929">
            <v>-1</v>
          </cell>
          <cell r="Q929">
            <v>2004</v>
          </cell>
          <cell r="R929" t="str">
            <v>DEARBORN PLANT BUILD</v>
          </cell>
          <cell r="S929" t="str">
            <v>P221/P397</v>
          </cell>
          <cell r="T929" t="str">
            <v>DOOR HARD TO OPEN</v>
          </cell>
          <cell r="U929" t="str">
            <v>ADJUST DOOR STRIKER D/S</v>
          </cell>
          <cell r="V929" t="str">
            <v>ALL</v>
          </cell>
          <cell r="W929">
            <v>1</v>
          </cell>
          <cell r="AA929">
            <v>1</v>
          </cell>
        </row>
        <row r="930">
          <cell r="A930">
            <v>0</v>
          </cell>
          <cell r="B930" t="str">
            <v>ALL VRTS</v>
          </cell>
          <cell r="D930">
            <v>4</v>
          </cell>
          <cell r="E930" t="str">
            <v>5330</v>
          </cell>
          <cell r="G930" t="str">
            <v>TDW18-R</v>
          </cell>
          <cell r="I930" t="str">
            <v>L16</v>
          </cell>
          <cell r="L930" t="str">
            <v>V07</v>
          </cell>
          <cell r="N930">
            <v>0</v>
          </cell>
          <cell r="O930">
            <v>0</v>
          </cell>
          <cell r="P930">
            <v>-1</v>
          </cell>
          <cell r="Q930">
            <v>2004</v>
          </cell>
          <cell r="R930" t="str">
            <v>DEARBORN PLANT BUILD</v>
          </cell>
          <cell r="S930" t="str">
            <v>P221/P397</v>
          </cell>
          <cell r="T930" t="str">
            <v>DOOR HARD TO OPEN</v>
          </cell>
          <cell r="U930" t="str">
            <v>LOCK ROD ASSEMBLY LOOSE</v>
          </cell>
          <cell r="V930" t="str">
            <v>ALL</v>
          </cell>
          <cell r="W930">
            <v>1</v>
          </cell>
          <cell r="AB930">
            <v>1</v>
          </cell>
        </row>
        <row r="931">
          <cell r="A931">
            <v>0</v>
          </cell>
          <cell r="B931" t="str">
            <v>ALL VRTS</v>
          </cell>
          <cell r="D931">
            <v>4</v>
          </cell>
          <cell r="E931" t="str">
            <v>5330</v>
          </cell>
          <cell r="G931" t="str">
            <v>TDE09-L</v>
          </cell>
          <cell r="I931" t="str">
            <v>L15</v>
          </cell>
          <cell r="L931" t="str">
            <v>V07</v>
          </cell>
          <cell r="N931">
            <v>0</v>
          </cell>
          <cell r="O931">
            <v>0</v>
          </cell>
          <cell r="P931">
            <v>-1</v>
          </cell>
          <cell r="Q931">
            <v>2004</v>
          </cell>
          <cell r="R931" t="str">
            <v>DEARBORN PLANT BUILD</v>
          </cell>
          <cell r="S931" t="str">
            <v>P221/P397</v>
          </cell>
          <cell r="T931" t="str">
            <v>DOOR HARD TO OPEN</v>
          </cell>
          <cell r="U931" t="str">
            <v>REPAIR BENT LATCH</v>
          </cell>
          <cell r="V931" t="str">
            <v>ALL</v>
          </cell>
          <cell r="W931">
            <v>1</v>
          </cell>
          <cell r="AD931">
            <v>1</v>
          </cell>
        </row>
        <row r="932">
          <cell r="A932">
            <v>0</v>
          </cell>
          <cell r="B932" t="str">
            <v>ALL VRTS</v>
          </cell>
          <cell r="D932">
            <v>4</v>
          </cell>
          <cell r="I932" t="str">
            <v>L07</v>
          </cell>
          <cell r="L932" t="str">
            <v>V07</v>
          </cell>
          <cell r="N932">
            <v>0</v>
          </cell>
          <cell r="O932">
            <v>0</v>
          </cell>
          <cell r="P932">
            <v>-1</v>
          </cell>
          <cell r="Q932">
            <v>2004</v>
          </cell>
          <cell r="R932" t="str">
            <v>DEARBORN PLANT BUILD</v>
          </cell>
          <cell r="S932" t="str">
            <v>P221/P397</v>
          </cell>
          <cell r="T932" t="str">
            <v>DOOR LOCK FUNCTION</v>
          </cell>
          <cell r="U932" t="str">
            <v>ADJUST LOCK ROD</v>
          </cell>
          <cell r="V932" t="str">
            <v>ALL</v>
          </cell>
          <cell r="W932">
            <v>1</v>
          </cell>
          <cell r="AD932">
            <v>1</v>
          </cell>
        </row>
        <row r="933">
          <cell r="A933">
            <v>0</v>
          </cell>
          <cell r="B933" t="str">
            <v>ALL VRTS</v>
          </cell>
          <cell r="D933">
            <v>4</v>
          </cell>
          <cell r="E933" t="str">
            <v>5340</v>
          </cell>
          <cell r="G933" t="str">
            <v>TDE31-L</v>
          </cell>
          <cell r="I933" t="str">
            <v>L06</v>
          </cell>
          <cell r="L933" t="str">
            <v>V07</v>
          </cell>
          <cell r="N933">
            <v>0</v>
          </cell>
          <cell r="O933">
            <v>0</v>
          </cell>
          <cell r="P933">
            <v>-1</v>
          </cell>
          <cell r="Q933">
            <v>2004</v>
          </cell>
          <cell r="R933" t="str">
            <v>DEARBORN PLANT BUILD</v>
          </cell>
          <cell r="S933" t="str">
            <v>P221/P397</v>
          </cell>
          <cell r="T933" t="str">
            <v>DOOR LOCK FUNCTION</v>
          </cell>
          <cell r="U933" t="str">
            <v>LOCK CYLINDER DAMAGE</v>
          </cell>
          <cell r="V933" t="str">
            <v>ALL</v>
          </cell>
          <cell r="W933">
            <v>1</v>
          </cell>
          <cell r="AE933">
            <v>1</v>
          </cell>
        </row>
        <row r="934">
          <cell r="A934">
            <v>0</v>
          </cell>
          <cell r="B934" t="str">
            <v>ALL VRTS</v>
          </cell>
          <cell r="D934">
            <v>4</v>
          </cell>
          <cell r="I934" t="str">
            <v>L17</v>
          </cell>
          <cell r="L934" t="str">
            <v>V07</v>
          </cell>
          <cell r="N934">
            <v>0</v>
          </cell>
          <cell r="O934">
            <v>-1</v>
          </cell>
          <cell r="P934">
            <v>0</v>
          </cell>
          <cell r="Q934">
            <v>2004</v>
          </cell>
          <cell r="R934" t="str">
            <v>DEARBORN PLANT BUILD</v>
          </cell>
          <cell r="S934" t="str">
            <v>P221/P397</v>
          </cell>
          <cell r="T934" t="str">
            <v>DOOR LOCK FUNCTION</v>
          </cell>
          <cell r="U934" t="str">
            <v>REPLACE ACUATOR</v>
          </cell>
          <cell r="V934" t="str">
            <v>ALL</v>
          </cell>
          <cell r="W934">
            <v>1</v>
          </cell>
          <cell r="AE934">
            <v>1</v>
          </cell>
        </row>
        <row r="935">
          <cell r="A935">
            <v>0</v>
          </cell>
          <cell r="B935" t="str">
            <v>ALL VRTS</v>
          </cell>
          <cell r="D935">
            <v>4</v>
          </cell>
          <cell r="I935" t="str">
            <v>L07</v>
          </cell>
          <cell r="L935" t="str">
            <v>V07</v>
          </cell>
          <cell r="N935">
            <v>0</v>
          </cell>
          <cell r="O935">
            <v>-1</v>
          </cell>
          <cell r="P935">
            <v>0</v>
          </cell>
          <cell r="Q935">
            <v>2004</v>
          </cell>
          <cell r="R935" t="str">
            <v>DEARBORN PLANT BUILD</v>
          </cell>
          <cell r="S935" t="str">
            <v>P221/P397</v>
          </cell>
          <cell r="T935" t="str">
            <v>DOOR LOCK FUNCTION</v>
          </cell>
          <cell r="U935" t="str">
            <v>REPLACE DOOR LOCK ACTUATOR</v>
          </cell>
          <cell r="V935" t="str">
            <v>ALL</v>
          </cell>
          <cell r="W935">
            <v>1</v>
          </cell>
          <cell r="AE935">
            <v>1</v>
          </cell>
        </row>
        <row r="936">
          <cell r="A936">
            <v>0</v>
          </cell>
          <cell r="B936" t="str">
            <v>ALL VRTS</v>
          </cell>
          <cell r="D936">
            <v>4</v>
          </cell>
          <cell r="I936" t="str">
            <v>B66</v>
          </cell>
          <cell r="L936" t="str">
            <v>V75</v>
          </cell>
          <cell r="N936">
            <v>0</v>
          </cell>
          <cell r="O936">
            <v>-1</v>
          </cell>
          <cell r="P936">
            <v>0</v>
          </cell>
          <cell r="Q936">
            <v>2004</v>
          </cell>
          <cell r="R936" t="str">
            <v>DEARBORN PLANT BUILD</v>
          </cell>
          <cell r="S936" t="str">
            <v>P221/P397</v>
          </cell>
          <cell r="T936" t="str">
            <v>GRILLE / PAINT PEELING</v>
          </cell>
          <cell r="U936" t="str">
            <v>REPLACE</v>
          </cell>
          <cell r="V936" t="str">
            <v>ALL</v>
          </cell>
          <cell r="W936">
            <v>3</v>
          </cell>
          <cell r="AE936">
            <v>3</v>
          </cell>
        </row>
        <row r="937">
          <cell r="A937">
            <v>0</v>
          </cell>
          <cell r="B937" t="str">
            <v>ALL VRTS</v>
          </cell>
          <cell r="D937">
            <v>4</v>
          </cell>
          <cell r="I937" t="str">
            <v>B66</v>
          </cell>
          <cell r="L937" t="str">
            <v>V75</v>
          </cell>
          <cell r="N937">
            <v>0</v>
          </cell>
          <cell r="O937">
            <v>-1</v>
          </cell>
          <cell r="P937">
            <v>0</v>
          </cell>
          <cell r="Q937">
            <v>2004</v>
          </cell>
          <cell r="R937" t="str">
            <v>DEARBORN PLANT BUILD</v>
          </cell>
          <cell r="S937" t="str">
            <v>P221/P397</v>
          </cell>
          <cell r="T937" t="str">
            <v>GRILLE / PAINT PEELING</v>
          </cell>
          <cell r="U937" t="str">
            <v>Grill replaced</v>
          </cell>
          <cell r="V937" t="str">
            <v>ALL</v>
          </cell>
          <cell r="W937">
            <v>1</v>
          </cell>
          <cell r="AE937">
            <v>1</v>
          </cell>
        </row>
        <row r="938">
          <cell r="A938">
            <v>0</v>
          </cell>
          <cell r="B938" t="str">
            <v>ALL VRTS</v>
          </cell>
          <cell r="D938">
            <v>4</v>
          </cell>
          <cell r="E938" t="str">
            <v>Trim 4 5590-2-G</v>
          </cell>
          <cell r="F938" t="str">
            <v>Trim 4 5690-2-G</v>
          </cell>
          <cell r="G938" t="str">
            <v>T4W19L</v>
          </cell>
          <cell r="H938" t="str">
            <v>T4E36R</v>
          </cell>
          <cell r="I938" t="str">
            <v>B63</v>
          </cell>
          <cell r="J938" t="str">
            <v>B66</v>
          </cell>
          <cell r="L938" t="str">
            <v>V75</v>
          </cell>
          <cell r="N938">
            <v>0</v>
          </cell>
          <cell r="O938">
            <v>0</v>
          </cell>
          <cell r="P938">
            <v>-1</v>
          </cell>
          <cell r="Q938">
            <v>2004</v>
          </cell>
          <cell r="R938" t="str">
            <v>DEARBORN PLANT BUILD</v>
          </cell>
          <cell r="S938" t="str">
            <v>P221/P397</v>
          </cell>
          <cell r="T938" t="str">
            <v>NAMEPLATE / FENDER / MISMATCH</v>
          </cell>
          <cell r="U938" t="str">
            <v>Operator Error</v>
          </cell>
          <cell r="V938" t="str">
            <v>ALL</v>
          </cell>
          <cell r="W938">
            <v>4</v>
          </cell>
          <cell r="AB938">
            <v>2</v>
          </cell>
          <cell r="AC938">
            <v>2</v>
          </cell>
        </row>
        <row r="939">
          <cell r="A939">
            <v>0</v>
          </cell>
          <cell r="B939" t="str">
            <v>ALL VRTS</v>
          </cell>
          <cell r="C939" t="str">
            <v>X</v>
          </cell>
          <cell r="D939">
            <v>4</v>
          </cell>
          <cell r="E939" t="str">
            <v>6360</v>
          </cell>
          <cell r="G939" t="str">
            <v>CEE37L</v>
          </cell>
          <cell r="I939" t="str">
            <v>H22</v>
          </cell>
          <cell r="J939" t="str">
            <v>L68</v>
          </cell>
          <cell r="L939" t="str">
            <v>V87</v>
          </cell>
          <cell r="N939">
            <v>0</v>
          </cell>
          <cell r="O939">
            <v>0</v>
          </cell>
          <cell r="P939">
            <v>-1</v>
          </cell>
          <cell r="Q939">
            <v>2004</v>
          </cell>
          <cell r="R939" t="str">
            <v>DEARBORN PLANT BUILD</v>
          </cell>
          <cell r="S939" t="str">
            <v>P221/P397</v>
          </cell>
          <cell r="T939" t="str">
            <v>P/S LOW</v>
          </cell>
          <cell r="U939" t="str">
            <v>COOLANT LINE LOOSE- TIGHTENED</v>
          </cell>
          <cell r="V939" t="str">
            <v>ALL</v>
          </cell>
          <cell r="W939">
            <v>2</v>
          </cell>
          <cell r="AB939">
            <v>1</v>
          </cell>
          <cell r="AD939">
            <v>1</v>
          </cell>
        </row>
        <row r="940">
          <cell r="A940">
            <v>0</v>
          </cell>
          <cell r="B940" t="str">
            <v>ALL VRTS</v>
          </cell>
          <cell r="C940" t="str">
            <v>X</v>
          </cell>
          <cell r="D940">
            <v>4</v>
          </cell>
          <cell r="E940" t="str">
            <v>6450</v>
          </cell>
          <cell r="G940" t="str">
            <v>C2E47F</v>
          </cell>
          <cell r="I940" t="str">
            <v>L68</v>
          </cell>
          <cell r="L940" t="str">
            <v>V87</v>
          </cell>
          <cell r="N940">
            <v>0</v>
          </cell>
          <cell r="O940">
            <v>-1</v>
          </cell>
          <cell r="P940">
            <v>-1</v>
          </cell>
          <cell r="Q940">
            <v>2004</v>
          </cell>
          <cell r="R940" t="str">
            <v>DEARBORN PLANT BUILD</v>
          </cell>
          <cell r="S940" t="str">
            <v>P221/P397</v>
          </cell>
          <cell r="T940" t="str">
            <v>P/S LOW</v>
          </cell>
          <cell r="U940" t="str">
            <v>POWER STEERING REFILLED</v>
          </cell>
          <cell r="V940" t="str">
            <v>ALL</v>
          </cell>
          <cell r="W940">
            <v>2</v>
          </cell>
          <cell r="AA940">
            <v>1</v>
          </cell>
          <cell r="AC940">
            <v>1</v>
          </cell>
        </row>
        <row r="941">
          <cell r="A941">
            <v>0</v>
          </cell>
          <cell r="B941" t="str">
            <v>ALL VRTS</v>
          </cell>
          <cell r="D941">
            <v>4</v>
          </cell>
          <cell r="E941" t="str">
            <v>T4 5580-2-G</v>
          </cell>
          <cell r="G941" t="str">
            <v>T4W01-09L</v>
          </cell>
          <cell r="I941" t="str">
            <v>M06</v>
          </cell>
          <cell r="L941" t="str">
            <v>V13</v>
          </cell>
          <cell r="N941">
            <v>0</v>
          </cell>
          <cell r="O941">
            <v>-1</v>
          </cell>
          <cell r="P941">
            <v>-1</v>
          </cell>
          <cell r="Q941">
            <v>2004</v>
          </cell>
          <cell r="R941" t="str">
            <v>DEARBORN PLANT BUILD</v>
          </cell>
          <cell r="S941" t="str">
            <v>P221/P397</v>
          </cell>
          <cell r="T941" t="str">
            <v>Rearview Mirror defective</v>
          </cell>
          <cell r="U941" t="str">
            <v>Replaced Mirror</v>
          </cell>
          <cell r="V941" t="str">
            <v>ALL</v>
          </cell>
          <cell r="W941">
            <v>4</v>
          </cell>
          <cell r="AC941">
            <v>2</v>
          </cell>
          <cell r="AD941">
            <v>2</v>
          </cell>
        </row>
        <row r="942">
          <cell r="A942">
            <v>0</v>
          </cell>
          <cell r="B942" t="str">
            <v>ALL VRTS</v>
          </cell>
          <cell r="D942">
            <v>4</v>
          </cell>
          <cell r="E942" t="str">
            <v>6540</v>
          </cell>
          <cell r="G942" t="str">
            <v>C5E23L</v>
          </cell>
          <cell r="H942" t="str">
            <v>C5W22R</v>
          </cell>
          <cell r="I942" t="str">
            <v>T53</v>
          </cell>
          <cell r="L942" t="str">
            <v>V74</v>
          </cell>
          <cell r="N942">
            <v>0</v>
          </cell>
          <cell r="O942">
            <v>-1</v>
          </cell>
          <cell r="P942">
            <v>-1</v>
          </cell>
          <cell r="Q942">
            <v>2004</v>
          </cell>
          <cell r="R942" t="str">
            <v>DEARBORN PLANT BUILD</v>
          </cell>
          <cell r="S942" t="str">
            <v>P221/P397</v>
          </cell>
          <cell r="T942" t="str">
            <v>SCUFF PLATES</v>
          </cell>
          <cell r="U942" t="str">
            <v>DAMAGED</v>
          </cell>
          <cell r="V942" t="str">
            <v>ALL</v>
          </cell>
          <cell r="W942">
            <v>3</v>
          </cell>
          <cell r="AC942">
            <v>1</v>
          </cell>
          <cell r="AD942">
            <v>1</v>
          </cell>
          <cell r="AE942">
            <v>1</v>
          </cell>
        </row>
        <row r="943">
          <cell r="A943">
            <v>0</v>
          </cell>
          <cell r="B943" t="str">
            <v>ALL VRTS</v>
          </cell>
          <cell r="D943">
            <v>4</v>
          </cell>
          <cell r="E943" t="str">
            <v>6540</v>
          </cell>
          <cell r="G943" t="str">
            <v>C5E23L</v>
          </cell>
          <cell r="I943" t="str">
            <v>T53</v>
          </cell>
          <cell r="L943" t="str">
            <v>V74</v>
          </cell>
          <cell r="N943">
            <v>0</v>
          </cell>
          <cell r="O943">
            <v>-1</v>
          </cell>
          <cell r="P943">
            <v>-1</v>
          </cell>
          <cell r="Q943">
            <v>2004</v>
          </cell>
          <cell r="R943" t="str">
            <v>DEARBORN PLANT BUILD</v>
          </cell>
          <cell r="S943" t="str">
            <v>P221/P397</v>
          </cell>
          <cell r="T943" t="str">
            <v>SCUFF PLATES</v>
          </cell>
          <cell r="U943" t="str">
            <v>DEFECTIVE</v>
          </cell>
          <cell r="V943" t="str">
            <v>ALL</v>
          </cell>
          <cell r="W943">
            <v>1</v>
          </cell>
          <cell r="AD943">
            <v>1</v>
          </cell>
        </row>
        <row r="944">
          <cell r="A944">
            <v>0</v>
          </cell>
          <cell r="B944" t="str">
            <v>ALL VRTS</v>
          </cell>
          <cell r="D944">
            <v>4</v>
          </cell>
          <cell r="I944" t="str">
            <v>A37</v>
          </cell>
          <cell r="L944" t="str">
            <v>V83</v>
          </cell>
          <cell r="N944">
            <v>0</v>
          </cell>
          <cell r="O944">
            <v>-1</v>
          </cell>
          <cell r="P944">
            <v>0</v>
          </cell>
          <cell r="Q944">
            <v>2004</v>
          </cell>
          <cell r="R944" t="str">
            <v>DEARBORN PLANT BUILD</v>
          </cell>
          <cell r="S944" t="str">
            <v>P221/P397</v>
          </cell>
          <cell r="T944" t="str">
            <v>Speedo INOP</v>
          </cell>
          <cell r="U944" t="str">
            <v>Re-set Speedometer.</v>
          </cell>
          <cell r="V944" t="str">
            <v>ALL</v>
          </cell>
          <cell r="W944">
            <v>2</v>
          </cell>
          <cell r="AD944">
            <v>1</v>
          </cell>
          <cell r="AE944">
            <v>1</v>
          </cell>
        </row>
        <row r="945">
          <cell r="A945">
            <v>0</v>
          </cell>
          <cell r="B945" t="str">
            <v>ALL VRTS</v>
          </cell>
          <cell r="D945">
            <v>4</v>
          </cell>
          <cell r="I945" t="str">
            <v>A37</v>
          </cell>
          <cell r="L945" t="str">
            <v>V83</v>
          </cell>
          <cell r="N945">
            <v>0</v>
          </cell>
          <cell r="O945">
            <v>-1</v>
          </cell>
          <cell r="P945">
            <v>0</v>
          </cell>
          <cell r="Q945">
            <v>2004</v>
          </cell>
          <cell r="R945" t="str">
            <v>DEARBORN PLANT BUILD</v>
          </cell>
          <cell r="S945" t="str">
            <v>P221/P397</v>
          </cell>
          <cell r="T945" t="str">
            <v>Speedo INOP</v>
          </cell>
          <cell r="U945" t="str">
            <v>Replaced Cluster.</v>
          </cell>
          <cell r="V945" t="str">
            <v>ALL</v>
          </cell>
          <cell r="W945">
            <v>1</v>
          </cell>
          <cell r="AE945">
            <v>1</v>
          </cell>
        </row>
        <row r="946">
          <cell r="A946">
            <v>0</v>
          </cell>
          <cell r="B946" t="str">
            <v>ALL VRTS</v>
          </cell>
          <cell r="D946">
            <v>4</v>
          </cell>
          <cell r="I946" t="str">
            <v>A37</v>
          </cell>
          <cell r="L946" t="str">
            <v>V83</v>
          </cell>
          <cell r="N946">
            <v>0</v>
          </cell>
          <cell r="O946">
            <v>-1</v>
          </cell>
          <cell r="P946">
            <v>0</v>
          </cell>
          <cell r="Q946">
            <v>2004</v>
          </cell>
          <cell r="R946" t="str">
            <v>DEARBORN PLANT BUILD</v>
          </cell>
          <cell r="S946" t="str">
            <v>P221/P397</v>
          </cell>
          <cell r="T946" t="str">
            <v>Speedo INOP</v>
          </cell>
          <cell r="U946" t="str">
            <v>Reprogram Cluster</v>
          </cell>
          <cell r="V946" t="str">
            <v>ALL</v>
          </cell>
          <cell r="W946">
            <v>1</v>
          </cell>
          <cell r="AD946">
            <v>1</v>
          </cell>
        </row>
        <row r="947">
          <cell r="A947">
            <v>0</v>
          </cell>
          <cell r="B947" t="str">
            <v>ALL VRTS</v>
          </cell>
          <cell r="C947" t="str">
            <v>X</v>
          </cell>
          <cell r="D947">
            <v>4</v>
          </cell>
          <cell r="I947" t="str">
            <v>TB6</v>
          </cell>
          <cell r="J947" t="str">
            <v>TB2</v>
          </cell>
          <cell r="L947" t="str">
            <v>V88</v>
          </cell>
          <cell r="N947">
            <v>0</v>
          </cell>
          <cell r="O947">
            <v>-1</v>
          </cell>
          <cell r="P947">
            <v>0</v>
          </cell>
          <cell r="Q947">
            <v>2004</v>
          </cell>
          <cell r="R947" t="str">
            <v>DEARBORN PLANT BUILD</v>
          </cell>
          <cell r="S947" t="str">
            <v>P221/P397</v>
          </cell>
          <cell r="T947" t="str">
            <v>TIRES, LEAK</v>
          </cell>
          <cell r="U947" t="str">
            <v>VALVE STEM - REPLACED</v>
          </cell>
          <cell r="V947" t="str">
            <v>ALL</v>
          </cell>
          <cell r="W947">
            <v>4</v>
          </cell>
          <cell r="AB947">
            <v>3</v>
          </cell>
          <cell r="AD947">
            <v>1</v>
          </cell>
        </row>
        <row r="948">
          <cell r="A948">
            <v>0</v>
          </cell>
          <cell r="B948" t="str">
            <v>ALL VRTS</v>
          </cell>
          <cell r="D948">
            <v>4</v>
          </cell>
          <cell r="E948" t="str">
            <v>6340</v>
          </cell>
          <cell r="G948" t="str">
            <v>CEE23L</v>
          </cell>
          <cell r="I948" t="str">
            <v>N18</v>
          </cell>
          <cell r="L948" t="str">
            <v>V49</v>
          </cell>
          <cell r="N948">
            <v>0</v>
          </cell>
          <cell r="O948">
            <v>0</v>
          </cell>
          <cell r="P948">
            <v>-1</v>
          </cell>
          <cell r="Q948">
            <v>2004</v>
          </cell>
          <cell r="R948" t="str">
            <v>DEARBORN PLANT BUILD</v>
          </cell>
          <cell r="S948" t="str">
            <v>P221/P397</v>
          </cell>
          <cell r="T948" t="str">
            <v>TRANS. NOISE</v>
          </cell>
          <cell r="U948" t="str">
            <v>Trans mount loose</v>
          </cell>
          <cell r="V948" t="str">
            <v>ALL</v>
          </cell>
          <cell r="W948">
            <v>3</v>
          </cell>
          <cell r="AD948">
            <v>3</v>
          </cell>
        </row>
        <row r="949">
          <cell r="A949">
            <v>0</v>
          </cell>
          <cell r="B949" t="str">
            <v>ALL VRTS</v>
          </cell>
          <cell r="D949">
            <v>4</v>
          </cell>
          <cell r="I949" t="str">
            <v>N18</v>
          </cell>
          <cell r="L949" t="str">
            <v>V49</v>
          </cell>
          <cell r="N949">
            <v>-1</v>
          </cell>
          <cell r="O949">
            <v>-1</v>
          </cell>
          <cell r="P949">
            <v>0</v>
          </cell>
          <cell r="Q949">
            <v>2004</v>
          </cell>
          <cell r="R949" t="str">
            <v>DEARBORN PLANT BUILD</v>
          </cell>
          <cell r="S949" t="str">
            <v>P221/P397</v>
          </cell>
          <cell r="T949" t="str">
            <v>TRANS. NOISE</v>
          </cell>
          <cell r="U949" t="str">
            <v>npf</v>
          </cell>
          <cell r="V949" t="str">
            <v>ALL</v>
          </cell>
          <cell r="W949">
            <v>1</v>
          </cell>
          <cell r="AD949">
            <v>1</v>
          </cell>
        </row>
        <row r="950">
          <cell r="A950">
            <v>0</v>
          </cell>
          <cell r="B950" t="str">
            <v>ALL VRTS</v>
          </cell>
          <cell r="D950">
            <v>4</v>
          </cell>
          <cell r="I950" t="str">
            <v>P67</v>
          </cell>
          <cell r="L950" t="str">
            <v>V48</v>
          </cell>
          <cell r="N950">
            <v>-1</v>
          </cell>
          <cell r="O950">
            <v>-1</v>
          </cell>
          <cell r="P950">
            <v>0</v>
          </cell>
          <cell r="Q950">
            <v>2004</v>
          </cell>
          <cell r="R950" t="str">
            <v>DEARBORN PLANT BUILD</v>
          </cell>
          <cell r="S950" t="str">
            <v>P221/P397</v>
          </cell>
          <cell r="T950" t="str">
            <v>TRANS.ERRATIC SHIFTING</v>
          </cell>
          <cell r="U950" t="str">
            <v>npf</v>
          </cell>
          <cell r="V950" t="str">
            <v>ALL</v>
          </cell>
          <cell r="W950">
            <v>2</v>
          </cell>
          <cell r="Y950">
            <v>1</v>
          </cell>
          <cell r="AA950">
            <v>1</v>
          </cell>
        </row>
        <row r="951">
          <cell r="A951">
            <v>0</v>
          </cell>
          <cell r="B951" t="str">
            <v>ALL VRTS</v>
          </cell>
          <cell r="D951">
            <v>4</v>
          </cell>
          <cell r="I951" t="str">
            <v>P69</v>
          </cell>
          <cell r="L951" t="str">
            <v>V48</v>
          </cell>
          <cell r="N951">
            <v>-1</v>
          </cell>
          <cell r="O951">
            <v>-1</v>
          </cell>
          <cell r="P951">
            <v>0</v>
          </cell>
          <cell r="Q951">
            <v>2004</v>
          </cell>
          <cell r="R951" t="str">
            <v>DEARBORN PLANT BUILD</v>
          </cell>
          <cell r="S951" t="str">
            <v>P221/P397</v>
          </cell>
          <cell r="T951" t="str">
            <v>TRANS.ERRATIC SHIFTING</v>
          </cell>
          <cell r="U951" t="str">
            <v>Reprogramed PCM</v>
          </cell>
          <cell r="V951" t="str">
            <v>ALL</v>
          </cell>
          <cell r="W951">
            <v>1</v>
          </cell>
          <cell r="AD951">
            <v>1</v>
          </cell>
        </row>
        <row r="952">
          <cell r="A952">
            <v>0</v>
          </cell>
          <cell r="B952" t="str">
            <v>ALL VRTS</v>
          </cell>
          <cell r="D952">
            <v>4</v>
          </cell>
          <cell r="I952" t="str">
            <v>P66</v>
          </cell>
          <cell r="L952" t="str">
            <v>V48</v>
          </cell>
          <cell r="N952">
            <v>0</v>
          </cell>
          <cell r="O952">
            <v>-1</v>
          </cell>
          <cell r="P952">
            <v>0</v>
          </cell>
          <cell r="Q952">
            <v>2004</v>
          </cell>
          <cell r="R952" t="str">
            <v>DEARBORN PLANT BUILD</v>
          </cell>
          <cell r="S952" t="str">
            <v>P221/P397</v>
          </cell>
          <cell r="T952" t="str">
            <v>TRANS.ERRATIC SHIFTING</v>
          </cell>
          <cell r="U952" t="str">
            <v>Trans Range Sensor</v>
          </cell>
          <cell r="V952" t="str">
            <v>ALL</v>
          </cell>
          <cell r="W952">
            <v>1</v>
          </cell>
          <cell r="AD952">
            <v>1</v>
          </cell>
        </row>
        <row r="953">
          <cell r="A953">
            <v>0</v>
          </cell>
          <cell r="B953" t="str">
            <v>ALL VRTS</v>
          </cell>
          <cell r="D953">
            <v>4</v>
          </cell>
          <cell r="I953" t="str">
            <v>R02</v>
          </cell>
          <cell r="L953" t="str">
            <v>V37</v>
          </cell>
          <cell r="N953">
            <v>-1</v>
          </cell>
          <cell r="O953">
            <v>-1</v>
          </cell>
          <cell r="P953">
            <v>-1</v>
          </cell>
          <cell r="Q953">
            <v>2004</v>
          </cell>
          <cell r="R953" t="str">
            <v>DEARBORN PLANT BUILD</v>
          </cell>
          <cell r="S953" t="str">
            <v>P221/P397</v>
          </cell>
          <cell r="T953" t="str">
            <v>WAter Leak Around Front Side Door/Window</v>
          </cell>
          <cell r="U953" t="str">
            <v>npf</v>
          </cell>
          <cell r="V953" t="str">
            <v>ALL</v>
          </cell>
          <cell r="W953">
            <v>2</v>
          </cell>
          <cell r="Z953">
            <v>1</v>
          </cell>
          <cell r="AB953">
            <v>1</v>
          </cell>
        </row>
        <row r="954">
          <cell r="A954">
            <v>0</v>
          </cell>
          <cell r="B954" t="str">
            <v>ALL VRTS</v>
          </cell>
          <cell r="D954">
            <v>4</v>
          </cell>
          <cell r="E954" t="str">
            <v>…</v>
          </cell>
          <cell r="G954" t="str">
            <v>T1E22R</v>
          </cell>
          <cell r="I954" t="str">
            <v>R02</v>
          </cell>
          <cell r="L954" t="str">
            <v>V37</v>
          </cell>
          <cell r="N954">
            <v>0</v>
          </cell>
          <cell r="O954">
            <v>0</v>
          </cell>
          <cell r="P954">
            <v>-1</v>
          </cell>
          <cell r="Q954">
            <v>2004</v>
          </cell>
          <cell r="R954" t="str">
            <v>DEARBORN PLANT BUILD</v>
          </cell>
          <cell r="S954" t="str">
            <v>P221/P397</v>
          </cell>
          <cell r="T954" t="str">
            <v>WAter Leak Around Front Side Door/Window</v>
          </cell>
          <cell r="U954" t="str">
            <v>DOP Primary Seal N/Seated</v>
          </cell>
          <cell r="V954" t="str">
            <v>ALL</v>
          </cell>
          <cell r="W954">
            <v>1</v>
          </cell>
          <cell r="AE954">
            <v>1</v>
          </cell>
        </row>
        <row r="955">
          <cell r="A955">
            <v>0</v>
          </cell>
          <cell r="B955" t="str">
            <v>ALL VRTS</v>
          </cell>
          <cell r="D955">
            <v>4</v>
          </cell>
          <cell r="E955" t="str">
            <v>unsure</v>
          </cell>
          <cell r="G955" t="str">
            <v>Sheet Metal</v>
          </cell>
          <cell r="I955" t="str">
            <v>R10</v>
          </cell>
          <cell r="L955" t="str">
            <v>V37</v>
          </cell>
          <cell r="N955">
            <v>0</v>
          </cell>
          <cell r="O955">
            <v>0</v>
          </cell>
          <cell r="P955">
            <v>-1</v>
          </cell>
          <cell r="Q955">
            <v>2004</v>
          </cell>
          <cell r="R955" t="str">
            <v>DEARBORN PLANT BUILD</v>
          </cell>
          <cell r="S955" t="str">
            <v>P221/P397</v>
          </cell>
          <cell r="T955" t="str">
            <v>WAter Leak Around Front Side Door/Window</v>
          </cell>
          <cell r="U955" t="str">
            <v>Drain Tube</v>
          </cell>
          <cell r="V955" t="str">
            <v>ALL</v>
          </cell>
          <cell r="W955">
            <v>1</v>
          </cell>
          <cell r="AD955">
            <v>1</v>
          </cell>
        </row>
        <row r="956">
          <cell r="A956">
            <v>0</v>
          </cell>
          <cell r="B956" t="str">
            <v>ALL VRTS</v>
          </cell>
          <cell r="D956">
            <v>4</v>
          </cell>
          <cell r="I956" t="str">
            <v>R01</v>
          </cell>
          <cell r="L956" t="str">
            <v>V37</v>
          </cell>
          <cell r="N956">
            <v>-1</v>
          </cell>
          <cell r="O956">
            <v>0</v>
          </cell>
          <cell r="P956">
            <v>0</v>
          </cell>
          <cell r="Q956">
            <v>2004</v>
          </cell>
          <cell r="R956" t="str">
            <v>DEARBORN PLANT BUILD</v>
          </cell>
          <cell r="S956" t="str">
            <v>P221/P397</v>
          </cell>
          <cell r="T956" t="str">
            <v>Water Leak Around Windshield</v>
          </cell>
          <cell r="U956" t="str">
            <v>AC Drain Tube Blocked</v>
          </cell>
          <cell r="V956" t="str">
            <v>ALL</v>
          </cell>
          <cell r="W956">
            <v>1</v>
          </cell>
          <cell r="AD956">
            <v>1</v>
          </cell>
        </row>
        <row r="957">
          <cell r="A957">
            <v>0</v>
          </cell>
          <cell r="B957" t="str">
            <v>ALL VRTS</v>
          </cell>
          <cell r="D957">
            <v>4</v>
          </cell>
          <cell r="I957" t="str">
            <v>R10</v>
          </cell>
          <cell r="L957" t="str">
            <v>V37</v>
          </cell>
          <cell r="N957">
            <v>0</v>
          </cell>
          <cell r="O957">
            <v>0</v>
          </cell>
          <cell r="P957">
            <v>-1</v>
          </cell>
          <cell r="Q957">
            <v>2004</v>
          </cell>
          <cell r="R957" t="str">
            <v>DEARBORN PLANT BUILD</v>
          </cell>
          <cell r="S957" t="str">
            <v>P221/P397</v>
          </cell>
          <cell r="T957" t="str">
            <v>Water Leak Around Windshield</v>
          </cell>
          <cell r="U957" t="str">
            <v>NPF</v>
          </cell>
          <cell r="V957" t="str">
            <v>ALL</v>
          </cell>
          <cell r="W957">
            <v>1</v>
          </cell>
          <cell r="AC957">
            <v>1</v>
          </cell>
        </row>
        <row r="958">
          <cell r="A958">
            <v>0</v>
          </cell>
          <cell r="B958" t="str">
            <v>ALL VRTS</v>
          </cell>
          <cell r="D958">
            <v>4</v>
          </cell>
          <cell r="I958" t="str">
            <v>R09</v>
          </cell>
          <cell r="L958" t="str">
            <v>V37</v>
          </cell>
          <cell r="N958">
            <v>0</v>
          </cell>
          <cell r="O958">
            <v>0</v>
          </cell>
          <cell r="P958">
            <v>-1</v>
          </cell>
          <cell r="Q958">
            <v>2004</v>
          </cell>
          <cell r="R958" t="str">
            <v>DEARBORN PLANT BUILD</v>
          </cell>
          <cell r="S958" t="str">
            <v>P221/P397</v>
          </cell>
          <cell r="T958" t="str">
            <v>Water Leak Around Windshield</v>
          </cell>
          <cell r="U958" t="str">
            <v>Roof Ditch Seam Water Leak Sealer missing</v>
          </cell>
          <cell r="V958" t="str">
            <v>ALL</v>
          </cell>
          <cell r="W958">
            <v>1</v>
          </cell>
          <cell r="AB958">
            <v>1</v>
          </cell>
        </row>
        <row r="959">
          <cell r="A959">
            <v>0</v>
          </cell>
          <cell r="B959" t="str">
            <v>ALL VRTS</v>
          </cell>
          <cell r="D959">
            <v>4</v>
          </cell>
          <cell r="I959" t="str">
            <v>R02</v>
          </cell>
          <cell r="L959" t="str">
            <v>V37</v>
          </cell>
          <cell r="N959">
            <v>0</v>
          </cell>
          <cell r="O959">
            <v>0</v>
          </cell>
          <cell r="P959">
            <v>-1</v>
          </cell>
          <cell r="Q959">
            <v>2004</v>
          </cell>
          <cell r="R959" t="str">
            <v>DEARBORN PLANT BUILD</v>
          </cell>
          <cell r="S959" t="str">
            <v>P221/P397</v>
          </cell>
          <cell r="T959" t="str">
            <v>Water Leak Around Windshield</v>
          </cell>
          <cell r="U959" t="str">
            <v>Sealer Skip</v>
          </cell>
          <cell r="V959" t="str">
            <v>ALL</v>
          </cell>
          <cell r="W959">
            <v>1</v>
          </cell>
          <cell r="AD959">
            <v>1</v>
          </cell>
        </row>
        <row r="960">
          <cell r="A960">
            <v>0</v>
          </cell>
          <cell r="B960" t="str">
            <v>ALL VRTS</v>
          </cell>
          <cell r="C960" t="str">
            <v>X</v>
          </cell>
          <cell r="D960">
            <v>4</v>
          </cell>
          <cell r="E960" t="str">
            <v>unsure</v>
          </cell>
          <cell r="G960" t="str">
            <v>T4W03L</v>
          </cell>
          <cell r="I960" t="str">
            <v>R21</v>
          </cell>
          <cell r="L960" t="str">
            <v>V11</v>
          </cell>
          <cell r="N960">
            <v>0</v>
          </cell>
          <cell r="O960">
            <v>0</v>
          </cell>
          <cell r="P960">
            <v>-1</v>
          </cell>
          <cell r="Q960">
            <v>2004</v>
          </cell>
          <cell r="R960" t="str">
            <v>DEARBORN PLANT BUILD</v>
          </cell>
          <cell r="S960" t="str">
            <v>P221/P397</v>
          </cell>
          <cell r="T960" t="str">
            <v>Wind Noise Around Windshield</v>
          </cell>
          <cell r="U960" t="str">
            <v>Sealer skips around Windshield</v>
          </cell>
          <cell r="V960" t="str">
            <v>ALL</v>
          </cell>
          <cell r="W960">
            <v>2</v>
          </cell>
          <cell r="AA960">
            <v>1</v>
          </cell>
          <cell r="AD960">
            <v>1</v>
          </cell>
        </row>
        <row r="961">
          <cell r="A961">
            <v>0</v>
          </cell>
          <cell r="B961" t="str">
            <v>ALL VRTS</v>
          </cell>
          <cell r="C961" t="str">
            <v>X</v>
          </cell>
          <cell r="D961">
            <v>4</v>
          </cell>
          <cell r="E961" t="str">
            <v>unsure</v>
          </cell>
          <cell r="G961" t="str">
            <v>T2W01L</v>
          </cell>
          <cell r="I961" t="str">
            <v>R30</v>
          </cell>
          <cell r="L961" t="str">
            <v>V11</v>
          </cell>
          <cell r="N961">
            <v>0</v>
          </cell>
          <cell r="O961">
            <v>0</v>
          </cell>
          <cell r="P961">
            <v>-1</v>
          </cell>
          <cell r="Q961">
            <v>2004</v>
          </cell>
          <cell r="R961" t="str">
            <v>DEARBORN PLANT BUILD</v>
          </cell>
          <cell r="S961" t="str">
            <v>P221/P397</v>
          </cell>
          <cell r="T961" t="str">
            <v>Wind Noise Around Windshield</v>
          </cell>
          <cell r="U961" t="str">
            <v>Cowl Leaf Screen N/Seated</v>
          </cell>
          <cell r="V961" t="str">
            <v>ALL</v>
          </cell>
          <cell r="W961">
            <v>1</v>
          </cell>
          <cell r="AD961">
            <v>1</v>
          </cell>
        </row>
        <row r="962">
          <cell r="A962">
            <v>0</v>
          </cell>
          <cell r="B962" t="str">
            <v>ALL VRTS</v>
          </cell>
          <cell r="C962" t="str">
            <v>X</v>
          </cell>
          <cell r="D962">
            <v>4</v>
          </cell>
          <cell r="I962" t="str">
            <v>R31</v>
          </cell>
          <cell r="L962" t="str">
            <v>V11</v>
          </cell>
          <cell r="N962">
            <v>0</v>
          </cell>
          <cell r="O962">
            <v>0</v>
          </cell>
          <cell r="P962">
            <v>-1</v>
          </cell>
          <cell r="Q962">
            <v>2004</v>
          </cell>
          <cell r="R962" t="str">
            <v>DEARBORN PLANT BUILD</v>
          </cell>
          <cell r="S962" t="str">
            <v>P221/P397</v>
          </cell>
          <cell r="T962" t="str">
            <v>Wind Noise Around Windshield</v>
          </cell>
          <cell r="U962" t="str">
            <v>Weatherstrip Loose</v>
          </cell>
          <cell r="V962" t="str">
            <v>ALL</v>
          </cell>
          <cell r="W962">
            <v>1</v>
          </cell>
          <cell r="AD962">
            <v>1</v>
          </cell>
        </row>
        <row r="963">
          <cell r="A963">
            <v>0</v>
          </cell>
          <cell r="B963" t="str">
            <v>ALL VRTS</v>
          </cell>
          <cell r="C963" t="str">
            <v>X</v>
          </cell>
          <cell r="D963">
            <v>3</v>
          </cell>
          <cell r="I963" t="str">
            <v>H62</v>
          </cell>
          <cell r="L963" t="str">
            <v>V89</v>
          </cell>
          <cell r="N963">
            <v>0</v>
          </cell>
          <cell r="O963">
            <v>-1</v>
          </cell>
          <cell r="P963">
            <v>0</v>
          </cell>
          <cell r="Q963">
            <v>2004</v>
          </cell>
          <cell r="R963" t="str">
            <v>DEARBORN PLANT BUILD</v>
          </cell>
          <cell r="S963" t="str">
            <v>P221/P397</v>
          </cell>
          <cell r="T963" t="str">
            <v xml:space="preserve"> DEFECTIVE TIRE</v>
          </cell>
          <cell r="U963" t="str">
            <v>TIRE REPLACED</v>
          </cell>
          <cell r="V963" t="str">
            <v>ALL</v>
          </cell>
          <cell r="W963">
            <v>2</v>
          </cell>
          <cell r="AB963">
            <v>1</v>
          </cell>
          <cell r="AD963">
            <v>1</v>
          </cell>
        </row>
        <row r="964">
          <cell r="A964">
            <v>0</v>
          </cell>
          <cell r="B964" t="str">
            <v>ALL VRTS</v>
          </cell>
          <cell r="C964" t="str">
            <v>X</v>
          </cell>
          <cell r="D964">
            <v>3</v>
          </cell>
          <cell r="E964" t="str">
            <v>7330</v>
          </cell>
          <cell r="G964" t="str">
            <v>m12</v>
          </cell>
          <cell r="I964" t="str">
            <v>H62</v>
          </cell>
          <cell r="L964" t="str">
            <v>V89</v>
          </cell>
          <cell r="N964">
            <v>0</v>
          </cell>
          <cell r="O964">
            <v>0</v>
          </cell>
          <cell r="P964">
            <v>-1</v>
          </cell>
          <cell r="Q964">
            <v>2004</v>
          </cell>
          <cell r="R964" t="str">
            <v>DEARBORN PLANT BUILD</v>
          </cell>
          <cell r="S964" t="str">
            <v>P221/P397</v>
          </cell>
          <cell r="T964" t="str">
            <v xml:space="preserve"> DEFECTIVE TIRE</v>
          </cell>
          <cell r="U964" t="str">
            <v>ALIGNMENT</v>
          </cell>
          <cell r="V964" t="str">
            <v>ALL</v>
          </cell>
          <cell r="W964">
            <v>1</v>
          </cell>
          <cell r="AE964">
            <v>1</v>
          </cell>
        </row>
        <row r="965">
          <cell r="A965">
            <v>0</v>
          </cell>
          <cell r="B965" t="str">
            <v>ALL VRTS</v>
          </cell>
          <cell r="D965">
            <v>3</v>
          </cell>
          <cell r="E965" t="str">
            <v>34602C</v>
          </cell>
          <cell r="G965" t="str">
            <v>Final Fitters</v>
          </cell>
          <cell r="I965" t="str">
            <v>B05</v>
          </cell>
          <cell r="L965" t="str">
            <v>V31</v>
          </cell>
          <cell r="N965">
            <v>0</v>
          </cell>
          <cell r="O965">
            <v>0</v>
          </cell>
          <cell r="P965">
            <v>-1</v>
          </cell>
          <cell r="Q965">
            <v>2004</v>
          </cell>
          <cell r="R965" t="str">
            <v>DEARBORN PLANT BUILD</v>
          </cell>
          <cell r="S965" t="str">
            <v>P221/P397</v>
          </cell>
          <cell r="T965" t="str">
            <v xml:space="preserve"> Tailgate - Fit - Effort</v>
          </cell>
          <cell r="U965" t="str">
            <v xml:space="preserve"> Striker adjust</v>
          </cell>
          <cell r="V965" t="str">
            <v>ALL</v>
          </cell>
          <cell r="W965">
            <v>2</v>
          </cell>
          <cell r="Z965">
            <v>1</v>
          </cell>
          <cell r="AC965">
            <v>1</v>
          </cell>
        </row>
        <row r="966">
          <cell r="A966">
            <v>0</v>
          </cell>
          <cell r="B966" t="str">
            <v>ALL VRTS</v>
          </cell>
          <cell r="D966">
            <v>3</v>
          </cell>
          <cell r="E966" t="str">
            <v>34602C</v>
          </cell>
          <cell r="G966" t="str">
            <v>Final Fitters</v>
          </cell>
          <cell r="I966" t="str">
            <v>B05</v>
          </cell>
          <cell r="L966" t="str">
            <v>V31</v>
          </cell>
          <cell r="N966">
            <v>0</v>
          </cell>
          <cell r="O966">
            <v>0</v>
          </cell>
          <cell r="P966">
            <v>-1</v>
          </cell>
          <cell r="Q966">
            <v>2004</v>
          </cell>
          <cell r="R966" t="str">
            <v>DEARBORN PLANT BUILD</v>
          </cell>
          <cell r="S966" t="str">
            <v>P221/P397</v>
          </cell>
          <cell r="T966" t="str">
            <v xml:space="preserve"> Tailgate - Fit - Effort</v>
          </cell>
          <cell r="U966" t="str">
            <v xml:space="preserve"> Adjust and lube latch</v>
          </cell>
          <cell r="V966" t="str">
            <v>ALL</v>
          </cell>
          <cell r="W966">
            <v>1</v>
          </cell>
          <cell r="AD966">
            <v>1</v>
          </cell>
        </row>
        <row r="967">
          <cell r="A967">
            <v>0</v>
          </cell>
          <cell r="B967" t="str">
            <v>ALL VRTS</v>
          </cell>
          <cell r="D967">
            <v>3</v>
          </cell>
          <cell r="I967" t="str">
            <v>A88</v>
          </cell>
          <cell r="L967" t="str">
            <v>V83</v>
          </cell>
          <cell r="N967">
            <v>0</v>
          </cell>
          <cell r="O967">
            <v>0</v>
          </cell>
          <cell r="P967">
            <v>-1</v>
          </cell>
          <cell r="Q967">
            <v>2004</v>
          </cell>
          <cell r="R967" t="str">
            <v>DEARBORN PLANT BUILD</v>
          </cell>
          <cell r="S967" t="str">
            <v>P221/P397</v>
          </cell>
          <cell r="T967" t="str">
            <v>ABS Light On</v>
          </cell>
          <cell r="U967" t="str">
            <v>Loose connection - ABS Module</v>
          </cell>
          <cell r="V967" t="str">
            <v>ALL</v>
          </cell>
          <cell r="W967">
            <v>1</v>
          </cell>
          <cell r="AB967">
            <v>1</v>
          </cell>
        </row>
        <row r="968">
          <cell r="A968">
            <v>0</v>
          </cell>
          <cell r="B968" t="str">
            <v>ALL VRTS</v>
          </cell>
          <cell r="D968">
            <v>3</v>
          </cell>
          <cell r="I968" t="str">
            <v>A85</v>
          </cell>
          <cell r="L968" t="str">
            <v>V83</v>
          </cell>
          <cell r="N968">
            <v>0</v>
          </cell>
          <cell r="O968">
            <v>0</v>
          </cell>
          <cell r="P968">
            <v>-1</v>
          </cell>
          <cell r="Q968">
            <v>2004</v>
          </cell>
          <cell r="R968" t="str">
            <v>DEARBORN PLANT BUILD</v>
          </cell>
          <cell r="S968" t="str">
            <v>P221/P397</v>
          </cell>
          <cell r="T968" t="str">
            <v>ABS Light On</v>
          </cell>
          <cell r="U968" t="str">
            <v>Open Circuit C1145 and Connector Repaired.</v>
          </cell>
          <cell r="V968" t="str">
            <v>ALL</v>
          </cell>
          <cell r="W968">
            <v>1</v>
          </cell>
          <cell r="AD968">
            <v>1</v>
          </cell>
        </row>
        <row r="969">
          <cell r="A969">
            <v>0</v>
          </cell>
          <cell r="B969" t="str">
            <v>ALL VRTS</v>
          </cell>
          <cell r="D969">
            <v>3</v>
          </cell>
          <cell r="I969" t="str">
            <v>G29</v>
          </cell>
          <cell r="L969" t="str">
            <v>V83</v>
          </cell>
          <cell r="N969">
            <v>0</v>
          </cell>
          <cell r="O969">
            <v>0</v>
          </cell>
          <cell r="P969">
            <v>-1</v>
          </cell>
          <cell r="Q969">
            <v>2004</v>
          </cell>
          <cell r="R969" t="str">
            <v>DEARBORN PLANT BUILD</v>
          </cell>
          <cell r="S969" t="str">
            <v>P221/P397</v>
          </cell>
          <cell r="T969" t="str">
            <v>ABS Light On</v>
          </cell>
          <cell r="U969" t="str">
            <v>Reprogram PCM</v>
          </cell>
          <cell r="V969" t="str">
            <v>ALL</v>
          </cell>
          <cell r="W969">
            <v>1</v>
          </cell>
          <cell r="AE969">
            <v>1</v>
          </cell>
        </row>
        <row r="970">
          <cell r="A970">
            <v>0</v>
          </cell>
          <cell r="B970" t="str">
            <v>ALL VRTS</v>
          </cell>
          <cell r="D970">
            <v>3</v>
          </cell>
          <cell r="I970" t="str">
            <v>B66</v>
          </cell>
          <cell r="L970" t="str">
            <v>V75</v>
          </cell>
          <cell r="N970">
            <v>0</v>
          </cell>
          <cell r="O970">
            <v>-1</v>
          </cell>
          <cell r="P970">
            <v>0</v>
          </cell>
          <cell r="Q970">
            <v>2004</v>
          </cell>
          <cell r="R970" t="str">
            <v>DEARBORN PLANT BUILD</v>
          </cell>
          <cell r="S970" t="str">
            <v>P221/P397</v>
          </cell>
          <cell r="T970" t="str">
            <v>B PILLAR APPLIQUE / DISCOLORED</v>
          </cell>
          <cell r="U970" t="str">
            <v>B PILLAR APPLIQUE REPLACED</v>
          </cell>
          <cell r="V970" t="str">
            <v>ALL</v>
          </cell>
          <cell r="W970">
            <v>1</v>
          </cell>
          <cell r="AD970">
            <v>1</v>
          </cell>
        </row>
        <row r="971">
          <cell r="A971">
            <v>0</v>
          </cell>
          <cell r="B971" t="str">
            <v>ALL VRTS</v>
          </cell>
          <cell r="D971">
            <v>3</v>
          </cell>
          <cell r="I971" t="str">
            <v>B62</v>
          </cell>
          <cell r="L971" t="str">
            <v>V75</v>
          </cell>
          <cell r="N971">
            <v>0</v>
          </cell>
          <cell r="O971">
            <v>-1</v>
          </cell>
          <cell r="P971">
            <v>0</v>
          </cell>
          <cell r="Q971">
            <v>2004</v>
          </cell>
          <cell r="R971" t="str">
            <v>DEARBORN PLANT BUILD</v>
          </cell>
          <cell r="S971" t="str">
            <v>P221/P397</v>
          </cell>
          <cell r="T971" t="str">
            <v>B PILLAR APPLIQUE / DISCOLORED</v>
          </cell>
          <cell r="U971" t="str">
            <v>Door Applique Replaced</v>
          </cell>
          <cell r="V971" t="str">
            <v>ALL</v>
          </cell>
          <cell r="W971">
            <v>1</v>
          </cell>
          <cell r="AD971">
            <v>1</v>
          </cell>
        </row>
        <row r="972">
          <cell r="A972">
            <v>0</v>
          </cell>
          <cell r="B972" t="str">
            <v>ALL VRTS</v>
          </cell>
          <cell r="D972">
            <v>3</v>
          </cell>
          <cell r="I972" t="str">
            <v>B66</v>
          </cell>
          <cell r="L972" t="str">
            <v>V75</v>
          </cell>
          <cell r="N972">
            <v>0</v>
          </cell>
          <cell r="O972">
            <v>-1</v>
          </cell>
          <cell r="P972">
            <v>0</v>
          </cell>
          <cell r="Q972">
            <v>2004</v>
          </cell>
          <cell r="R972" t="str">
            <v>DEARBORN PLANT BUILD</v>
          </cell>
          <cell r="S972" t="str">
            <v>P221/P397</v>
          </cell>
          <cell r="T972" t="str">
            <v>B PILLAR APPLIQUE / DISCOLORED</v>
          </cell>
          <cell r="U972" t="str">
            <v>REPLACE</v>
          </cell>
          <cell r="V972" t="str">
            <v>ALL</v>
          </cell>
          <cell r="W972">
            <v>1</v>
          </cell>
          <cell r="AD972">
            <v>1</v>
          </cell>
        </row>
        <row r="973">
          <cell r="A973">
            <v>0</v>
          </cell>
          <cell r="B973" t="str">
            <v>ALL VRTS</v>
          </cell>
          <cell r="D973">
            <v>3</v>
          </cell>
          <cell r="I973" t="str">
            <v>B66</v>
          </cell>
          <cell r="L973" t="str">
            <v>V75</v>
          </cell>
          <cell r="N973">
            <v>0</v>
          </cell>
          <cell r="O973">
            <v>-1</v>
          </cell>
          <cell r="P973">
            <v>0</v>
          </cell>
          <cell r="Q973">
            <v>2004</v>
          </cell>
          <cell r="R973" t="str">
            <v>DEARBORN PLANT BUILD</v>
          </cell>
          <cell r="S973" t="str">
            <v>P221/P397</v>
          </cell>
          <cell r="T973" t="str">
            <v>BED EXTENDER / DEFECTIVE</v>
          </cell>
          <cell r="U973" t="str">
            <v>BROKEN TABS</v>
          </cell>
          <cell r="V973" t="str">
            <v>ALL</v>
          </cell>
          <cell r="W973">
            <v>1</v>
          </cell>
          <cell r="AD973">
            <v>1</v>
          </cell>
        </row>
        <row r="974">
          <cell r="A974">
            <v>0</v>
          </cell>
          <cell r="B974" t="str">
            <v>ALL VRTS</v>
          </cell>
          <cell r="D974">
            <v>3</v>
          </cell>
          <cell r="I974" t="str">
            <v>B66</v>
          </cell>
          <cell r="L974" t="str">
            <v>V75</v>
          </cell>
          <cell r="N974">
            <v>0</v>
          </cell>
          <cell r="O974">
            <v>-1</v>
          </cell>
          <cell r="P974">
            <v>0</v>
          </cell>
          <cell r="Q974">
            <v>2004</v>
          </cell>
          <cell r="R974" t="str">
            <v>DEARBORN PLANT BUILD</v>
          </cell>
          <cell r="S974" t="str">
            <v>P221/P397</v>
          </cell>
          <cell r="T974" t="str">
            <v>BED EXTENDER / DEFECTIVE</v>
          </cell>
          <cell r="U974" t="str">
            <v>Replace Box Extender</v>
          </cell>
          <cell r="V974" t="str">
            <v>ALL</v>
          </cell>
          <cell r="W974">
            <v>1</v>
          </cell>
          <cell r="AD974">
            <v>1</v>
          </cell>
        </row>
        <row r="975">
          <cell r="A975">
            <v>0</v>
          </cell>
          <cell r="B975" t="str">
            <v>ALL VRTS</v>
          </cell>
          <cell r="D975">
            <v>3</v>
          </cell>
          <cell r="I975" t="str">
            <v>B66</v>
          </cell>
          <cell r="L975" t="str">
            <v>V75</v>
          </cell>
          <cell r="N975">
            <v>0</v>
          </cell>
          <cell r="O975">
            <v>-1</v>
          </cell>
          <cell r="P975">
            <v>0</v>
          </cell>
          <cell r="Q975">
            <v>2004</v>
          </cell>
          <cell r="R975" t="str">
            <v>DEARBORN PLANT BUILD</v>
          </cell>
          <cell r="S975" t="str">
            <v>P221/P397</v>
          </cell>
          <cell r="T975" t="str">
            <v>BED EXTENDER / DEFECTIVE</v>
          </cell>
          <cell r="U975" t="str">
            <v>RETAINING PIN BROKEN</v>
          </cell>
          <cell r="V975" t="str">
            <v>ALL</v>
          </cell>
          <cell r="W975">
            <v>1</v>
          </cell>
          <cell r="AD975">
            <v>1</v>
          </cell>
        </row>
        <row r="976">
          <cell r="A976">
            <v>0</v>
          </cell>
          <cell r="B976" t="str">
            <v>ALL VRTS</v>
          </cell>
          <cell r="D976">
            <v>3</v>
          </cell>
          <cell r="I976" t="str">
            <v>B62</v>
          </cell>
          <cell r="L976" t="str">
            <v>V75</v>
          </cell>
          <cell r="N976">
            <v>0</v>
          </cell>
          <cell r="O976">
            <v>-1</v>
          </cell>
          <cell r="P976">
            <v>0</v>
          </cell>
          <cell r="Q976">
            <v>2004</v>
          </cell>
          <cell r="R976" t="str">
            <v>DEARBORN PLANT BUILD</v>
          </cell>
          <cell r="S976" t="str">
            <v>P221/P397</v>
          </cell>
          <cell r="T976" t="str">
            <v>BED RAIL MOLDING / FLAWED</v>
          </cell>
          <cell r="U976" t="str">
            <v>DISCOLORED</v>
          </cell>
          <cell r="V976" t="str">
            <v>ALL</v>
          </cell>
          <cell r="W976">
            <v>1</v>
          </cell>
          <cell r="AE976">
            <v>1</v>
          </cell>
        </row>
        <row r="977">
          <cell r="A977">
            <v>0</v>
          </cell>
          <cell r="B977" t="str">
            <v>ALL VRTS</v>
          </cell>
          <cell r="D977">
            <v>3</v>
          </cell>
          <cell r="E977" t="str">
            <v>Box Line 5400-2-B</v>
          </cell>
          <cell r="G977" t="str">
            <v>TBW33F</v>
          </cell>
          <cell r="I977" t="str">
            <v>B64</v>
          </cell>
          <cell r="L977" t="str">
            <v>V75</v>
          </cell>
          <cell r="N977">
            <v>0</v>
          </cell>
          <cell r="O977">
            <v>0</v>
          </cell>
          <cell r="P977">
            <v>-1</v>
          </cell>
          <cell r="Q977">
            <v>2004</v>
          </cell>
          <cell r="R977" t="str">
            <v>DEARBORN PLANT BUILD</v>
          </cell>
          <cell r="S977" t="str">
            <v>P221/P397</v>
          </cell>
          <cell r="T977" t="str">
            <v>BED RAIL MOLDING / FLAWED</v>
          </cell>
          <cell r="U977" t="str">
            <v>Molding replaced</v>
          </cell>
          <cell r="V977" t="str">
            <v>ALL</v>
          </cell>
          <cell r="W977">
            <v>1</v>
          </cell>
          <cell r="Y977">
            <v>1</v>
          </cell>
        </row>
        <row r="978">
          <cell r="A978">
            <v>0</v>
          </cell>
          <cell r="B978" t="str">
            <v>ALL VRTS</v>
          </cell>
          <cell r="D978">
            <v>3</v>
          </cell>
          <cell r="E978" t="str">
            <v>Box Line 5400-2-B</v>
          </cell>
          <cell r="G978" t="str">
            <v>TBE 26B</v>
          </cell>
          <cell r="I978" t="str">
            <v>B62</v>
          </cell>
          <cell r="L978" t="str">
            <v>V75</v>
          </cell>
          <cell r="N978">
            <v>0</v>
          </cell>
          <cell r="O978">
            <v>0</v>
          </cell>
          <cell r="P978">
            <v>-1</v>
          </cell>
          <cell r="Q978">
            <v>2004</v>
          </cell>
          <cell r="R978" t="str">
            <v>DEARBORN PLANT BUILD</v>
          </cell>
          <cell r="S978" t="str">
            <v>P221/P397</v>
          </cell>
          <cell r="T978" t="str">
            <v>BED RAIL MOLDING / FLAWED</v>
          </cell>
          <cell r="U978" t="str">
            <v>REPLACE</v>
          </cell>
          <cell r="V978" t="str">
            <v>ALL</v>
          </cell>
          <cell r="W978">
            <v>1</v>
          </cell>
          <cell r="AE978">
            <v>1</v>
          </cell>
        </row>
        <row r="979">
          <cell r="A979">
            <v>0</v>
          </cell>
          <cell r="B979" t="str">
            <v>ALL VRTS</v>
          </cell>
          <cell r="C979" t="str">
            <v>X</v>
          </cell>
          <cell r="D979">
            <v>3</v>
          </cell>
          <cell r="I979" t="str">
            <v>H02</v>
          </cell>
          <cell r="L979" t="str">
            <v>V21</v>
          </cell>
          <cell r="N979">
            <v>0</v>
          </cell>
          <cell r="O979">
            <v>-1</v>
          </cell>
          <cell r="P979">
            <v>0</v>
          </cell>
          <cell r="Q979">
            <v>2004</v>
          </cell>
          <cell r="R979" t="str">
            <v>DEARBORN PLANT BUILD</v>
          </cell>
          <cell r="S979" t="str">
            <v>P221/P397</v>
          </cell>
          <cell r="T979" t="str">
            <v>BRAKES, GRAB OR LOCK-UP</v>
          </cell>
          <cell r="U979" t="str">
            <v>MASTER CYLINDER REPLACED</v>
          </cell>
          <cell r="V979" t="str">
            <v>ALL</v>
          </cell>
          <cell r="W979">
            <v>1</v>
          </cell>
          <cell r="AA979">
            <v>1</v>
          </cell>
        </row>
        <row r="980">
          <cell r="A980">
            <v>0</v>
          </cell>
          <cell r="B980" t="str">
            <v>ALL VRTS</v>
          </cell>
          <cell r="C980" t="str">
            <v>X</v>
          </cell>
          <cell r="D980">
            <v>3</v>
          </cell>
          <cell r="E980" t="str">
            <v>6490</v>
          </cell>
          <cell r="G980" t="str">
            <v>C4E25L</v>
          </cell>
          <cell r="I980" t="str">
            <v>H02</v>
          </cell>
          <cell r="L980" t="str">
            <v>V21</v>
          </cell>
          <cell r="N980">
            <v>0</v>
          </cell>
          <cell r="O980">
            <v>0</v>
          </cell>
          <cell r="P980">
            <v>-1</v>
          </cell>
          <cell r="Q980">
            <v>2004</v>
          </cell>
          <cell r="R980" t="str">
            <v>DEARBORN PLANT BUILD</v>
          </cell>
          <cell r="S980" t="str">
            <v>P221/P397</v>
          </cell>
          <cell r="T980" t="str">
            <v>BRAKES, GRAB OR LOCK-UP</v>
          </cell>
          <cell r="U980" t="str">
            <v>PADS &amp; ROTOR WET WITH TRANS FLUID - CLEANED &amp; SANDED</v>
          </cell>
          <cell r="V980" t="str">
            <v>ALL</v>
          </cell>
          <cell r="W980">
            <v>1</v>
          </cell>
          <cell r="AC980">
            <v>1</v>
          </cell>
        </row>
        <row r="981">
          <cell r="A981">
            <v>0</v>
          </cell>
          <cell r="B981" t="str">
            <v>ALL VRTS</v>
          </cell>
          <cell r="C981" t="str">
            <v>X</v>
          </cell>
          <cell r="D981">
            <v>3</v>
          </cell>
          <cell r="I981" t="str">
            <v>H02</v>
          </cell>
          <cell r="L981" t="str">
            <v>V21</v>
          </cell>
          <cell r="N981">
            <v>0</v>
          </cell>
          <cell r="O981">
            <v>-1</v>
          </cell>
          <cell r="P981">
            <v>0</v>
          </cell>
          <cell r="Q981">
            <v>2004</v>
          </cell>
          <cell r="R981" t="str">
            <v>DEARBORN PLANT BUILD</v>
          </cell>
          <cell r="S981" t="str">
            <v>P221/P397</v>
          </cell>
          <cell r="T981" t="str">
            <v>BRAKES, GRAB OR LOCK-UP</v>
          </cell>
          <cell r="U981" t="str">
            <v>POWER BOOSTER MC Rod REPLACED</v>
          </cell>
          <cell r="V981" t="str">
            <v>ALL</v>
          </cell>
          <cell r="W981">
            <v>1</v>
          </cell>
          <cell r="AA981">
            <v>1</v>
          </cell>
        </row>
        <row r="982">
          <cell r="A982">
            <v>0</v>
          </cell>
          <cell r="B982" t="str">
            <v>ALL VRTS</v>
          </cell>
          <cell r="D982">
            <v>3</v>
          </cell>
          <cell r="I982" t="str">
            <v>F07</v>
          </cell>
          <cell r="L982" t="str">
            <v>V33</v>
          </cell>
          <cell r="N982">
            <v>0</v>
          </cell>
          <cell r="O982">
            <v>0</v>
          </cell>
          <cell r="P982">
            <v>-1</v>
          </cell>
          <cell r="Q982">
            <v>2004</v>
          </cell>
          <cell r="R982" t="str">
            <v>DEARBORN PLANT BUILD</v>
          </cell>
          <cell r="S982" t="str">
            <v>P221/P397</v>
          </cell>
          <cell r="T982" t="str">
            <v>Bubbles/Blisters</v>
          </cell>
          <cell r="U982" t="str">
            <v>Inside Bed</v>
          </cell>
          <cell r="V982" t="str">
            <v>ALL</v>
          </cell>
          <cell r="W982">
            <v>1</v>
          </cell>
          <cell r="AD982">
            <v>1</v>
          </cell>
        </row>
        <row r="983">
          <cell r="A983">
            <v>0</v>
          </cell>
          <cell r="B983" t="str">
            <v>ALL VRTS</v>
          </cell>
          <cell r="D983">
            <v>3</v>
          </cell>
          <cell r="I983" t="str">
            <v>F07</v>
          </cell>
          <cell r="L983" t="str">
            <v>V33</v>
          </cell>
          <cell r="N983">
            <v>0</v>
          </cell>
          <cell r="O983">
            <v>0</v>
          </cell>
          <cell r="P983">
            <v>-1</v>
          </cell>
          <cell r="Q983">
            <v>2004</v>
          </cell>
          <cell r="R983" t="str">
            <v>DEARBORN PLANT BUILD</v>
          </cell>
          <cell r="S983" t="str">
            <v>P221/P397</v>
          </cell>
          <cell r="T983" t="str">
            <v>Bubbles/Blisters</v>
          </cell>
          <cell r="U983" t="str">
            <v>L/S Bed</v>
          </cell>
          <cell r="V983" t="str">
            <v>ALL</v>
          </cell>
          <cell r="W983">
            <v>1</v>
          </cell>
          <cell r="AA983">
            <v>1</v>
          </cell>
        </row>
        <row r="984">
          <cell r="A984">
            <v>0</v>
          </cell>
          <cell r="B984" t="str">
            <v>ALL VRTS</v>
          </cell>
          <cell r="D984">
            <v>3</v>
          </cell>
          <cell r="I984" t="str">
            <v>F07</v>
          </cell>
          <cell r="L984" t="str">
            <v>V33</v>
          </cell>
          <cell r="N984">
            <v>0</v>
          </cell>
          <cell r="O984">
            <v>0</v>
          </cell>
          <cell r="P984">
            <v>-1</v>
          </cell>
          <cell r="Q984">
            <v>2004</v>
          </cell>
          <cell r="R984" t="str">
            <v>DEARBORN PLANT BUILD</v>
          </cell>
          <cell r="S984" t="str">
            <v>P221/P397</v>
          </cell>
          <cell r="T984" t="str">
            <v>Bubbles/Blisters</v>
          </cell>
          <cell r="U984" t="str">
            <v>R/S Tailgate</v>
          </cell>
          <cell r="V984" t="str">
            <v>ALL</v>
          </cell>
          <cell r="W984">
            <v>1</v>
          </cell>
          <cell r="AD984">
            <v>1</v>
          </cell>
        </row>
        <row r="985">
          <cell r="A985">
            <v>0</v>
          </cell>
          <cell r="B985" t="str">
            <v>ALL VRTS</v>
          </cell>
          <cell r="D985">
            <v>3</v>
          </cell>
          <cell r="I985" t="str">
            <v>F41</v>
          </cell>
          <cell r="L985" t="str">
            <v>V75</v>
          </cell>
          <cell r="N985">
            <v>0</v>
          </cell>
          <cell r="O985">
            <v>-1</v>
          </cell>
          <cell r="P985">
            <v>0</v>
          </cell>
          <cell r="Q985">
            <v>2004</v>
          </cell>
          <cell r="R985" t="str">
            <v>DEARBORN PLANT BUILD</v>
          </cell>
          <cell r="S985" t="str">
            <v>P221/P397</v>
          </cell>
          <cell r="T985" t="str">
            <v>BUMPER / FRONT / DISCOLORED</v>
          </cell>
          <cell r="U985" t="str">
            <v>Bumper buffed</v>
          </cell>
          <cell r="V985" t="str">
            <v>ALL</v>
          </cell>
          <cell r="W985">
            <v>2</v>
          </cell>
          <cell r="AD985">
            <v>2</v>
          </cell>
        </row>
        <row r="986">
          <cell r="A986">
            <v>0</v>
          </cell>
          <cell r="B986" t="str">
            <v>ALL VRTS</v>
          </cell>
          <cell r="D986">
            <v>3</v>
          </cell>
          <cell r="I986" t="str">
            <v>F36</v>
          </cell>
          <cell r="L986" t="str">
            <v>V75</v>
          </cell>
          <cell r="N986">
            <v>0</v>
          </cell>
          <cell r="O986">
            <v>-1</v>
          </cell>
          <cell r="P986">
            <v>0</v>
          </cell>
          <cell r="Q986">
            <v>2004</v>
          </cell>
          <cell r="R986" t="str">
            <v>DEARBORN PLANT BUILD</v>
          </cell>
          <cell r="S986" t="str">
            <v>P221/P397</v>
          </cell>
          <cell r="T986" t="str">
            <v>BUMPER / FRONT / DISCOLORED</v>
          </cell>
          <cell r="U986" t="str">
            <v>REPLACE</v>
          </cell>
          <cell r="V986" t="str">
            <v>ALL</v>
          </cell>
          <cell r="W986">
            <v>1</v>
          </cell>
          <cell r="AD986">
            <v>1</v>
          </cell>
        </row>
        <row r="987">
          <cell r="A987">
            <v>0</v>
          </cell>
          <cell r="B987" t="str">
            <v>ALL VRTS</v>
          </cell>
          <cell r="C987" t="str">
            <v>X</v>
          </cell>
          <cell r="D987">
            <v>3</v>
          </cell>
          <cell r="I987" t="str">
            <v>H44</v>
          </cell>
          <cell r="L987" t="str">
            <v>V89</v>
          </cell>
          <cell r="N987">
            <v>0</v>
          </cell>
          <cell r="O987">
            <v>-1</v>
          </cell>
          <cell r="P987">
            <v>0</v>
          </cell>
          <cell r="Q987">
            <v>2004</v>
          </cell>
          <cell r="R987" t="str">
            <v>DEARBORN PLANT BUILD</v>
          </cell>
          <cell r="S987" t="str">
            <v>P221/P397</v>
          </cell>
          <cell r="T987" t="str">
            <v>Chassis Component</v>
          </cell>
          <cell r="U987" t="str">
            <v>FRONT STRUT DEFECTIVE - REPLACED</v>
          </cell>
          <cell r="V987" t="str">
            <v>ALL</v>
          </cell>
          <cell r="W987">
            <v>1</v>
          </cell>
          <cell r="AD987">
            <v>1</v>
          </cell>
        </row>
        <row r="988">
          <cell r="A988">
            <v>0</v>
          </cell>
          <cell r="B988" t="str">
            <v>ALL VRTS</v>
          </cell>
          <cell r="C988" t="str">
            <v>X</v>
          </cell>
          <cell r="D988">
            <v>3</v>
          </cell>
          <cell r="I988" t="str">
            <v>E35</v>
          </cell>
          <cell r="L988" t="str">
            <v>V89</v>
          </cell>
          <cell r="N988">
            <v>0</v>
          </cell>
          <cell r="O988">
            <v>-1</v>
          </cell>
          <cell r="P988">
            <v>0</v>
          </cell>
          <cell r="Q988">
            <v>2004</v>
          </cell>
          <cell r="R988" t="str">
            <v>DEARBORN PLANT BUILD</v>
          </cell>
          <cell r="S988" t="str">
            <v>P221/P397</v>
          </cell>
          <cell r="T988" t="str">
            <v>Chassis Component</v>
          </cell>
          <cell r="U988" t="str">
            <v>Spare Tire Winch - Replaced</v>
          </cell>
          <cell r="V988" t="str">
            <v>ALL</v>
          </cell>
          <cell r="W988">
            <v>1</v>
          </cell>
          <cell r="AC988">
            <v>1</v>
          </cell>
        </row>
        <row r="989">
          <cell r="A989">
            <v>0</v>
          </cell>
          <cell r="B989" t="str">
            <v>ALL VRTS</v>
          </cell>
          <cell r="C989" t="str">
            <v>X</v>
          </cell>
          <cell r="D989">
            <v>3</v>
          </cell>
          <cell r="E989" t="str">
            <v>6370</v>
          </cell>
          <cell r="G989" t="str">
            <v>C1E17F</v>
          </cell>
          <cell r="I989" t="str">
            <v>C50</v>
          </cell>
          <cell r="L989" t="str">
            <v>V89</v>
          </cell>
          <cell r="N989">
            <v>0</v>
          </cell>
          <cell r="O989">
            <v>0</v>
          </cell>
          <cell r="P989">
            <v>-1</v>
          </cell>
          <cell r="Q989">
            <v>2004</v>
          </cell>
          <cell r="R989" t="str">
            <v>DEARBORN PLANT BUILD</v>
          </cell>
          <cell r="S989" t="str">
            <v>P221/P397</v>
          </cell>
          <cell r="T989" t="str">
            <v>Chassis Component</v>
          </cell>
          <cell r="U989" t="str">
            <v>UPPER CTRL ARM CAME LOOSE - REPLACED</v>
          </cell>
          <cell r="V989" t="str">
            <v>ALL</v>
          </cell>
          <cell r="W989">
            <v>1</v>
          </cell>
          <cell r="AD989">
            <v>1</v>
          </cell>
        </row>
        <row r="990">
          <cell r="A990">
            <v>0</v>
          </cell>
          <cell r="B990" t="str">
            <v>ALL VRTS</v>
          </cell>
          <cell r="D990">
            <v>3</v>
          </cell>
          <cell r="I990" t="str">
            <v>F05</v>
          </cell>
          <cell r="J990" t="str">
            <v>F07</v>
          </cell>
          <cell r="L990" t="str">
            <v>V33</v>
          </cell>
          <cell r="N990">
            <v>0</v>
          </cell>
          <cell r="O990">
            <v>0</v>
          </cell>
          <cell r="P990">
            <v>-1</v>
          </cell>
          <cell r="Q990">
            <v>2004</v>
          </cell>
          <cell r="R990" t="str">
            <v>DEARBORN PLANT BUILD</v>
          </cell>
          <cell r="S990" t="str">
            <v>P221/P397</v>
          </cell>
          <cell r="T990" t="str">
            <v>Clearcoat Drips</v>
          </cell>
          <cell r="U990" t="str">
            <v>Tailgate Edges</v>
          </cell>
          <cell r="V990" t="str">
            <v>ALL</v>
          </cell>
          <cell r="W990">
            <v>2</v>
          </cell>
          <cell r="AC990">
            <v>1</v>
          </cell>
          <cell r="AD990">
            <v>1</v>
          </cell>
        </row>
        <row r="991">
          <cell r="A991">
            <v>0</v>
          </cell>
          <cell r="B991" t="str">
            <v>ALL VRTS</v>
          </cell>
          <cell r="D991">
            <v>3</v>
          </cell>
          <cell r="I991" t="str">
            <v>F07</v>
          </cell>
          <cell r="L991" t="str">
            <v>V33</v>
          </cell>
          <cell r="N991">
            <v>0</v>
          </cell>
          <cell r="O991">
            <v>0</v>
          </cell>
          <cell r="P991">
            <v>-1</v>
          </cell>
          <cell r="Q991">
            <v>2004</v>
          </cell>
          <cell r="R991" t="str">
            <v>DEARBORN PLANT BUILD</v>
          </cell>
          <cell r="S991" t="str">
            <v>P221/P397</v>
          </cell>
          <cell r="T991" t="str">
            <v>Clearcoat Drips</v>
          </cell>
          <cell r="U991" t="str">
            <v>Hood</v>
          </cell>
          <cell r="V991" t="str">
            <v>ALL</v>
          </cell>
          <cell r="W991">
            <v>1</v>
          </cell>
          <cell r="AD991">
            <v>1</v>
          </cell>
        </row>
        <row r="992">
          <cell r="A992">
            <v>0</v>
          </cell>
          <cell r="B992" t="str">
            <v>ALL VRTS</v>
          </cell>
          <cell r="D992">
            <v>3</v>
          </cell>
          <cell r="I992" t="str">
            <v>A85</v>
          </cell>
          <cell r="L992" t="str">
            <v>V17</v>
          </cell>
          <cell r="N992">
            <v>-1</v>
          </cell>
          <cell r="O992">
            <v>0</v>
          </cell>
          <cell r="P992">
            <v>0</v>
          </cell>
          <cell r="Q992">
            <v>2004</v>
          </cell>
          <cell r="R992" t="str">
            <v>DEARBORN PLANT BUILD</v>
          </cell>
          <cell r="S992" t="str">
            <v>P221/P397</v>
          </cell>
          <cell r="T992" t="str">
            <v>Compass INOP.</v>
          </cell>
          <cell r="U992" t="str">
            <v>Calibrate Compass</v>
          </cell>
          <cell r="V992" t="str">
            <v>ALL</v>
          </cell>
          <cell r="W992">
            <v>2</v>
          </cell>
          <cell r="AD992">
            <v>1</v>
          </cell>
          <cell r="AE992">
            <v>1</v>
          </cell>
        </row>
        <row r="993">
          <cell r="A993">
            <v>0</v>
          </cell>
          <cell r="B993" t="str">
            <v>ALL VRTS</v>
          </cell>
          <cell r="D993">
            <v>3</v>
          </cell>
          <cell r="I993" t="str">
            <v>A88</v>
          </cell>
          <cell r="L993" t="str">
            <v>V17</v>
          </cell>
          <cell r="N993">
            <v>0</v>
          </cell>
          <cell r="O993">
            <v>0</v>
          </cell>
          <cell r="P993">
            <v>-1</v>
          </cell>
          <cell r="Q993">
            <v>2004</v>
          </cell>
          <cell r="R993" t="str">
            <v>DEARBORN PLANT BUILD</v>
          </cell>
          <cell r="S993" t="str">
            <v>P221/P397</v>
          </cell>
          <cell r="T993" t="str">
            <v>Compass INOP.</v>
          </cell>
          <cell r="U993" t="str">
            <v>Replaced 954 Component.</v>
          </cell>
          <cell r="V993" t="str">
            <v>ALL</v>
          </cell>
          <cell r="W993">
            <v>1</v>
          </cell>
          <cell r="AA993">
            <v>1</v>
          </cell>
        </row>
        <row r="994">
          <cell r="A994">
            <v>0</v>
          </cell>
          <cell r="B994" t="str">
            <v>ALL VRTS</v>
          </cell>
          <cell r="D994">
            <v>3</v>
          </cell>
          <cell r="I994" t="str">
            <v>B63</v>
          </cell>
          <cell r="J994" t="str">
            <v>B66</v>
          </cell>
          <cell r="L994" t="str">
            <v>V75</v>
          </cell>
          <cell r="N994">
            <v>0</v>
          </cell>
          <cell r="O994">
            <v>-1</v>
          </cell>
          <cell r="P994">
            <v>-1</v>
          </cell>
          <cell r="Q994">
            <v>2004</v>
          </cell>
          <cell r="R994" t="str">
            <v>DEARBORN PLANT BUILD</v>
          </cell>
          <cell r="S994" t="str">
            <v>P221/P397</v>
          </cell>
          <cell r="T994" t="str">
            <v>Cowl Panel/ defective</v>
          </cell>
          <cell r="U994" t="str">
            <v>Replaced Cowl Panel</v>
          </cell>
          <cell r="V994" t="str">
            <v>ALL</v>
          </cell>
          <cell r="W994">
            <v>2</v>
          </cell>
          <cell r="AB994">
            <v>1</v>
          </cell>
          <cell r="AD994">
            <v>1</v>
          </cell>
        </row>
        <row r="995">
          <cell r="A995">
            <v>0</v>
          </cell>
          <cell r="B995" t="str">
            <v>ALL VRTS</v>
          </cell>
          <cell r="D995">
            <v>3</v>
          </cell>
          <cell r="I995" t="str">
            <v>B63</v>
          </cell>
          <cell r="L995" t="str">
            <v>V75</v>
          </cell>
          <cell r="N995">
            <v>0</v>
          </cell>
          <cell r="O995">
            <v>0</v>
          </cell>
          <cell r="P995">
            <v>-1</v>
          </cell>
          <cell r="Q995">
            <v>2004</v>
          </cell>
          <cell r="R995" t="str">
            <v>DEARBORN PLANT BUILD</v>
          </cell>
          <cell r="S995" t="str">
            <v>P221/P397</v>
          </cell>
          <cell r="T995" t="str">
            <v>Cowl Panel/ defective</v>
          </cell>
          <cell r="U995" t="str">
            <v>Cowl Reassembled</v>
          </cell>
          <cell r="V995" t="str">
            <v>ALL</v>
          </cell>
          <cell r="W995">
            <v>1</v>
          </cell>
          <cell r="AD995">
            <v>1</v>
          </cell>
        </row>
        <row r="996">
          <cell r="A996">
            <v>0</v>
          </cell>
          <cell r="B996" t="str">
            <v>ALL VRTS</v>
          </cell>
          <cell r="D996">
            <v>3</v>
          </cell>
          <cell r="E996" t="str">
            <v>Box Line 5400-2-B</v>
          </cell>
          <cell r="G996" t="str">
            <v>TBE 26B</v>
          </cell>
          <cell r="H996" t="str">
            <v>TBE27F</v>
          </cell>
          <cell r="I996" t="str">
            <v>B66</v>
          </cell>
          <cell r="L996" t="str">
            <v>V75</v>
          </cell>
          <cell r="N996">
            <v>0</v>
          </cell>
          <cell r="O996">
            <v>0</v>
          </cell>
          <cell r="P996">
            <v>-1</v>
          </cell>
          <cell r="Q996">
            <v>2004</v>
          </cell>
          <cell r="R996" t="str">
            <v>DEARBORN PLANT BUILD</v>
          </cell>
          <cell r="S996" t="str">
            <v>P221/P397</v>
          </cell>
          <cell r="T996" t="str">
            <v>DECAL / BOX / PEELING</v>
          </cell>
          <cell r="U996" t="str">
            <v>REPLACE</v>
          </cell>
          <cell r="V996" t="str">
            <v>ALL</v>
          </cell>
          <cell r="W996">
            <v>3</v>
          </cell>
          <cell r="AD996">
            <v>3</v>
          </cell>
        </row>
        <row r="997">
          <cell r="A997">
            <v>0</v>
          </cell>
          <cell r="B997" t="str">
            <v>ALL VRTS</v>
          </cell>
          <cell r="D997">
            <v>3</v>
          </cell>
          <cell r="E997" t="str">
            <v>34502C</v>
          </cell>
          <cell r="G997" t="str">
            <v>Metal Finishers</v>
          </cell>
          <cell r="I997" t="str">
            <v>B01</v>
          </cell>
          <cell r="L997" t="str">
            <v>V31</v>
          </cell>
          <cell r="N997">
            <v>0</v>
          </cell>
          <cell r="O997">
            <v>0</v>
          </cell>
          <cell r="P997">
            <v>-1</v>
          </cell>
          <cell r="Q997">
            <v>2004</v>
          </cell>
          <cell r="R997" t="str">
            <v>DEARBORN PLANT BUILD</v>
          </cell>
          <cell r="S997" t="str">
            <v>P221/P397</v>
          </cell>
          <cell r="T997" t="str">
            <v>Door - Surface LH Rear</v>
          </cell>
          <cell r="U997" t="str">
            <v>dent</v>
          </cell>
          <cell r="V997" t="str">
            <v>ALL</v>
          </cell>
          <cell r="W997">
            <v>3</v>
          </cell>
          <cell r="AD997">
            <v>1</v>
          </cell>
          <cell r="AE997">
            <v>2</v>
          </cell>
        </row>
        <row r="998">
          <cell r="A998">
            <v>0</v>
          </cell>
          <cell r="B998" t="str">
            <v>ALL VRTS</v>
          </cell>
          <cell r="D998">
            <v>3</v>
          </cell>
          <cell r="E998" t="str">
            <v>34502C</v>
          </cell>
          <cell r="G998" t="str">
            <v>Metal Finishers</v>
          </cell>
          <cell r="I998" t="str">
            <v>B01</v>
          </cell>
          <cell r="L998" t="str">
            <v>V31</v>
          </cell>
          <cell r="N998">
            <v>0</v>
          </cell>
          <cell r="O998">
            <v>0</v>
          </cell>
          <cell r="P998">
            <v>-1</v>
          </cell>
          <cell r="Q998">
            <v>2004</v>
          </cell>
          <cell r="R998" t="str">
            <v>DEARBORN PLANT BUILD</v>
          </cell>
          <cell r="S998" t="str">
            <v>P221/P397</v>
          </cell>
          <cell r="T998" t="str">
            <v>Door - Surface RH Rear</v>
          </cell>
          <cell r="U998" t="str">
            <v>wavy metal</v>
          </cell>
          <cell r="V998" t="str">
            <v>ALL</v>
          </cell>
          <cell r="W998">
            <v>2</v>
          </cell>
          <cell r="AC998">
            <v>1</v>
          </cell>
          <cell r="AE998">
            <v>1</v>
          </cell>
        </row>
        <row r="999">
          <cell r="A999">
            <v>0</v>
          </cell>
          <cell r="B999" t="str">
            <v>ALL VRTS</v>
          </cell>
          <cell r="D999">
            <v>3</v>
          </cell>
          <cell r="E999" t="str">
            <v>34502C</v>
          </cell>
          <cell r="G999" t="str">
            <v>Metal Finishers</v>
          </cell>
          <cell r="I999" t="str">
            <v>B19</v>
          </cell>
          <cell r="L999" t="str">
            <v>V31</v>
          </cell>
          <cell r="N999">
            <v>0</v>
          </cell>
          <cell r="O999">
            <v>0</v>
          </cell>
          <cell r="P999">
            <v>-1</v>
          </cell>
          <cell r="Q999">
            <v>2004</v>
          </cell>
          <cell r="R999" t="str">
            <v>DEARBORN PLANT BUILD</v>
          </cell>
          <cell r="S999" t="str">
            <v>P221/P397</v>
          </cell>
          <cell r="T999" t="str">
            <v>Door - Surface RH Rear</v>
          </cell>
          <cell r="U999" t="str">
            <v>Refinished</v>
          </cell>
          <cell r="V999" t="str">
            <v>ALL</v>
          </cell>
          <cell r="W999">
            <v>1</v>
          </cell>
          <cell r="AD999">
            <v>1</v>
          </cell>
        </row>
        <row r="1000">
          <cell r="A1000">
            <v>0</v>
          </cell>
          <cell r="B1000" t="str">
            <v>ALL VRTS</v>
          </cell>
          <cell r="D1000">
            <v>3</v>
          </cell>
          <cell r="I1000" t="str">
            <v>A85</v>
          </cell>
          <cell r="L1000" t="str">
            <v>V17</v>
          </cell>
          <cell r="N1000">
            <v>0</v>
          </cell>
          <cell r="O1000">
            <v>0</v>
          </cell>
          <cell r="P1000">
            <v>-1</v>
          </cell>
          <cell r="Q1000">
            <v>2004</v>
          </cell>
          <cell r="R1000" t="str">
            <v>DEARBORN PLANT BUILD</v>
          </cell>
          <cell r="S1000" t="str">
            <v>P221/P397</v>
          </cell>
          <cell r="T1000" t="str">
            <v>Door Ajar Switch INOP</v>
          </cell>
          <cell r="U1000" t="str">
            <v>Connector C2095 Reinstalled Repaired.</v>
          </cell>
          <cell r="V1000" t="str">
            <v>ALL</v>
          </cell>
          <cell r="W1000">
            <v>1</v>
          </cell>
          <cell r="AE1000">
            <v>1</v>
          </cell>
        </row>
        <row r="1001">
          <cell r="A1001">
            <v>0</v>
          </cell>
          <cell r="B1001" t="str">
            <v>ALL VRTS</v>
          </cell>
          <cell r="D1001">
            <v>3</v>
          </cell>
          <cell r="I1001" t="str">
            <v>G29</v>
          </cell>
          <cell r="L1001" t="str">
            <v>V17</v>
          </cell>
          <cell r="N1001">
            <v>0</v>
          </cell>
          <cell r="O1001">
            <v>-1</v>
          </cell>
          <cell r="P1001">
            <v>0</v>
          </cell>
          <cell r="Q1001">
            <v>2004</v>
          </cell>
          <cell r="R1001" t="str">
            <v>DEARBORN PLANT BUILD</v>
          </cell>
          <cell r="S1001" t="str">
            <v>P221/P397</v>
          </cell>
          <cell r="T1001" t="str">
            <v>Door Ajar Switch INOP</v>
          </cell>
          <cell r="U1001" t="str">
            <v>Switch , replaced.</v>
          </cell>
          <cell r="V1001" t="str">
            <v>ALL</v>
          </cell>
          <cell r="W1001">
            <v>1</v>
          </cell>
          <cell r="Z1001">
            <v>1</v>
          </cell>
        </row>
        <row r="1002">
          <cell r="A1002">
            <v>0</v>
          </cell>
          <cell r="B1002" t="str">
            <v>ALL VRTS</v>
          </cell>
          <cell r="D1002">
            <v>3</v>
          </cell>
          <cell r="I1002" t="str">
            <v>A88</v>
          </cell>
          <cell r="L1002" t="str">
            <v>V17</v>
          </cell>
          <cell r="N1002">
            <v>0</v>
          </cell>
          <cell r="O1002">
            <v>0</v>
          </cell>
          <cell r="P1002">
            <v>-1</v>
          </cell>
          <cell r="Q1002">
            <v>2004</v>
          </cell>
          <cell r="R1002" t="str">
            <v>DEARBORN PLANT BUILD</v>
          </cell>
          <cell r="S1002" t="str">
            <v>P221/P397</v>
          </cell>
          <cell r="T1002" t="str">
            <v>Door Ajar Switch INOP</v>
          </cell>
          <cell r="U1002" t="str">
            <v>Wiring Harness Loose</v>
          </cell>
          <cell r="V1002" t="str">
            <v>ALL</v>
          </cell>
          <cell r="W1002">
            <v>1</v>
          </cell>
          <cell r="AD1002">
            <v>1</v>
          </cell>
        </row>
        <row r="1003">
          <cell r="A1003">
            <v>0</v>
          </cell>
          <cell r="B1003" t="str">
            <v>ALL VRTS</v>
          </cell>
          <cell r="D1003">
            <v>3</v>
          </cell>
          <cell r="E1003" t="str">
            <v>5380-2-A</v>
          </cell>
          <cell r="G1003" t="str">
            <v>TDW19L/20R</v>
          </cell>
          <cell r="I1003" t="str">
            <v>B64</v>
          </cell>
          <cell r="L1003" t="str">
            <v>V75</v>
          </cell>
          <cell r="N1003">
            <v>0</v>
          </cell>
          <cell r="O1003">
            <v>0</v>
          </cell>
          <cell r="P1003">
            <v>-1</v>
          </cell>
          <cell r="Q1003">
            <v>2004</v>
          </cell>
          <cell r="R1003" t="str">
            <v>DEARBORN PLANT BUILD</v>
          </cell>
          <cell r="S1003" t="str">
            <v>P221/P397</v>
          </cell>
          <cell r="T1003" t="str">
            <v>DOOR HANDLE / POOR FIT</v>
          </cell>
          <cell r="U1003" t="str">
            <v>Adjusted</v>
          </cell>
          <cell r="V1003" t="str">
            <v>ALL</v>
          </cell>
          <cell r="W1003">
            <v>1</v>
          </cell>
          <cell r="AE1003">
            <v>1</v>
          </cell>
        </row>
        <row r="1004">
          <cell r="A1004">
            <v>0</v>
          </cell>
          <cell r="B1004" t="str">
            <v>ALL VRTS</v>
          </cell>
          <cell r="D1004">
            <v>3</v>
          </cell>
          <cell r="I1004" t="str">
            <v>B66</v>
          </cell>
          <cell r="L1004" t="str">
            <v>V75</v>
          </cell>
          <cell r="N1004">
            <v>0</v>
          </cell>
          <cell r="O1004">
            <v>-1</v>
          </cell>
          <cell r="P1004">
            <v>0</v>
          </cell>
          <cell r="Q1004">
            <v>2004</v>
          </cell>
          <cell r="R1004" t="str">
            <v>DEARBORN PLANT BUILD</v>
          </cell>
          <cell r="S1004" t="str">
            <v>P221/P397</v>
          </cell>
          <cell r="T1004" t="str">
            <v>DOOR HANDLE / POOR FIT</v>
          </cell>
          <cell r="U1004" t="str">
            <v>Door Handle replaced</v>
          </cell>
          <cell r="V1004" t="str">
            <v>ALL</v>
          </cell>
          <cell r="W1004">
            <v>1</v>
          </cell>
          <cell r="AC1004">
            <v>1</v>
          </cell>
        </row>
        <row r="1005">
          <cell r="A1005">
            <v>0</v>
          </cell>
          <cell r="B1005" t="str">
            <v>ALL VRTS</v>
          </cell>
          <cell r="D1005">
            <v>3</v>
          </cell>
          <cell r="E1005" t="str">
            <v>door line 5350-2-A</v>
          </cell>
          <cell r="G1005" t="str">
            <v>TDW32R</v>
          </cell>
          <cell r="I1005" t="str">
            <v>B64</v>
          </cell>
          <cell r="L1005" t="str">
            <v>V75</v>
          </cell>
          <cell r="N1005">
            <v>0</v>
          </cell>
          <cell r="O1005">
            <v>0</v>
          </cell>
          <cell r="P1005">
            <v>-1</v>
          </cell>
          <cell r="Q1005">
            <v>2004</v>
          </cell>
          <cell r="R1005" t="str">
            <v>DEARBORN PLANT BUILD</v>
          </cell>
          <cell r="S1005" t="str">
            <v>P221/P397</v>
          </cell>
          <cell r="T1005" t="str">
            <v>DOOR HANDLE / POOR FIT</v>
          </cell>
          <cell r="U1005" t="str">
            <v>Mldg reattached</v>
          </cell>
          <cell r="V1005" t="str">
            <v>ALL</v>
          </cell>
          <cell r="W1005">
            <v>1</v>
          </cell>
          <cell r="AD1005">
            <v>1</v>
          </cell>
        </row>
        <row r="1006">
          <cell r="A1006">
            <v>0</v>
          </cell>
          <cell r="B1006" t="str">
            <v>ALL VRTS</v>
          </cell>
          <cell r="C1006" t="str">
            <v>X</v>
          </cell>
          <cell r="D1006">
            <v>3</v>
          </cell>
          <cell r="E1006" t="str">
            <v>6390</v>
          </cell>
          <cell r="G1006" t="str">
            <v>C1E43F</v>
          </cell>
          <cell r="I1006" t="str">
            <v>E35</v>
          </cell>
          <cell r="L1006" t="str">
            <v>V89</v>
          </cell>
          <cell r="N1006">
            <v>0</v>
          </cell>
          <cell r="O1006">
            <v>0</v>
          </cell>
          <cell r="P1006">
            <v>-1</v>
          </cell>
          <cell r="Q1006">
            <v>2004</v>
          </cell>
          <cell r="R1006" t="str">
            <v>DEARBORN PLANT BUILD</v>
          </cell>
          <cell r="S1006" t="str">
            <v>P221/P397</v>
          </cell>
          <cell r="T1006" t="str">
            <v>Front end Noise</v>
          </cell>
          <cell r="U1006" t="str">
            <v>AXLE NUT RETAINER-TIGHTENED</v>
          </cell>
          <cell r="V1006" t="str">
            <v>ALL</v>
          </cell>
          <cell r="W1006">
            <v>1</v>
          </cell>
          <cell r="AA1006">
            <v>1</v>
          </cell>
        </row>
        <row r="1007">
          <cell r="A1007">
            <v>0</v>
          </cell>
          <cell r="B1007" t="str">
            <v>ALL VRTS</v>
          </cell>
          <cell r="C1007" t="str">
            <v>X</v>
          </cell>
          <cell r="D1007">
            <v>3</v>
          </cell>
          <cell r="E1007" t="str">
            <v>6400</v>
          </cell>
          <cell r="G1007" t="str">
            <v>C1E53FL</v>
          </cell>
          <cell r="I1007" t="str">
            <v>E35</v>
          </cell>
          <cell r="L1007" t="str">
            <v>V89</v>
          </cell>
          <cell r="N1007">
            <v>0</v>
          </cell>
          <cell r="O1007">
            <v>0</v>
          </cell>
          <cell r="P1007">
            <v>-1</v>
          </cell>
          <cell r="Q1007">
            <v>2004</v>
          </cell>
          <cell r="R1007" t="str">
            <v>DEARBORN PLANT BUILD</v>
          </cell>
          <cell r="S1007" t="str">
            <v>P221/P397</v>
          </cell>
          <cell r="T1007" t="str">
            <v>Front end Noise</v>
          </cell>
          <cell r="U1007" t="str">
            <v>TRANS SKID PLATE LOOSE - TIGHTENED</v>
          </cell>
          <cell r="V1007" t="str">
            <v>ALL</v>
          </cell>
          <cell r="W1007">
            <v>1</v>
          </cell>
          <cell r="AB1007">
            <v>1</v>
          </cell>
        </row>
        <row r="1008">
          <cell r="A1008">
            <v>0</v>
          </cell>
          <cell r="B1008" t="str">
            <v>ALL VRTS</v>
          </cell>
          <cell r="C1008" t="str">
            <v>X</v>
          </cell>
          <cell r="D1008">
            <v>3</v>
          </cell>
          <cell r="I1008" t="str">
            <v>C50</v>
          </cell>
          <cell r="L1008" t="str">
            <v>V89</v>
          </cell>
          <cell r="N1008">
            <v>0</v>
          </cell>
          <cell r="O1008">
            <v>0</v>
          </cell>
          <cell r="P1008">
            <v>-1</v>
          </cell>
          <cell r="Q1008">
            <v>2004</v>
          </cell>
          <cell r="R1008" t="str">
            <v>DEARBORN PLANT BUILD</v>
          </cell>
          <cell r="S1008" t="str">
            <v>P221/P397</v>
          </cell>
          <cell r="T1008" t="str">
            <v>Front end Noise</v>
          </cell>
          <cell r="U1008" t="str">
            <v>UPPER CTRL ARM CAME LOOSE - REPLACED</v>
          </cell>
          <cell r="V1008" t="str">
            <v>ALL</v>
          </cell>
          <cell r="W1008">
            <v>1</v>
          </cell>
          <cell r="AE1008">
            <v>1</v>
          </cell>
        </row>
        <row r="1009">
          <cell r="A1009">
            <v>0</v>
          </cell>
          <cell r="B1009" t="str">
            <v>ALL VRTS</v>
          </cell>
          <cell r="D1009">
            <v>3</v>
          </cell>
          <cell r="E1009" t="str">
            <v>door line 5350-2-A</v>
          </cell>
          <cell r="G1009" t="str">
            <v>TDW32R</v>
          </cell>
          <cell r="I1009" t="str">
            <v>B63</v>
          </cell>
          <cell r="L1009" t="str">
            <v>V75</v>
          </cell>
          <cell r="N1009">
            <v>0</v>
          </cell>
          <cell r="O1009">
            <v>0</v>
          </cell>
          <cell r="P1009">
            <v>-1</v>
          </cell>
          <cell r="Q1009">
            <v>2004</v>
          </cell>
          <cell r="R1009" t="str">
            <v>DEARBORN PLANT BUILD</v>
          </cell>
          <cell r="S1009" t="str">
            <v>P221/P397</v>
          </cell>
          <cell r="T1009" t="str">
            <v>Frt Door Window Mldg/ defective</v>
          </cell>
          <cell r="U1009" t="str">
            <v>Mldg reattached</v>
          </cell>
          <cell r="V1009" t="str">
            <v>ALL</v>
          </cell>
          <cell r="W1009">
            <v>1</v>
          </cell>
          <cell r="AD1009">
            <v>1</v>
          </cell>
        </row>
        <row r="1010">
          <cell r="A1010">
            <v>0</v>
          </cell>
          <cell r="B1010" t="str">
            <v>ALL VRTS</v>
          </cell>
          <cell r="D1010">
            <v>3</v>
          </cell>
          <cell r="E1010" t="str">
            <v>door line 5350-2-A</v>
          </cell>
          <cell r="G1010" t="str">
            <v>TDW32R</v>
          </cell>
          <cell r="I1010" t="str">
            <v>B63</v>
          </cell>
          <cell r="L1010" t="str">
            <v>V75</v>
          </cell>
          <cell r="N1010">
            <v>0</v>
          </cell>
          <cell r="O1010">
            <v>0</v>
          </cell>
          <cell r="P1010">
            <v>-1</v>
          </cell>
          <cell r="Q1010">
            <v>2004</v>
          </cell>
          <cell r="R1010" t="str">
            <v>DEARBORN PLANT BUILD</v>
          </cell>
          <cell r="S1010" t="str">
            <v>P221/P397</v>
          </cell>
          <cell r="T1010" t="str">
            <v>Frt Door Window Mldg/ defective</v>
          </cell>
          <cell r="U1010" t="str">
            <v>Molding replaced</v>
          </cell>
          <cell r="V1010" t="str">
            <v>ALL</v>
          </cell>
          <cell r="W1010">
            <v>1</v>
          </cell>
          <cell r="AE1010">
            <v>1</v>
          </cell>
        </row>
        <row r="1011">
          <cell r="A1011">
            <v>0</v>
          </cell>
          <cell r="B1011" t="str">
            <v>ALL VRTS</v>
          </cell>
          <cell r="D1011">
            <v>3</v>
          </cell>
          <cell r="E1011" t="str">
            <v>door line 5350-2-A</v>
          </cell>
          <cell r="G1011" t="str">
            <v>TDW32R</v>
          </cell>
          <cell r="I1011" t="str">
            <v>B63</v>
          </cell>
          <cell r="L1011" t="str">
            <v>V75</v>
          </cell>
          <cell r="N1011">
            <v>0</v>
          </cell>
          <cell r="O1011">
            <v>0</v>
          </cell>
          <cell r="P1011">
            <v>-1</v>
          </cell>
          <cell r="Q1011">
            <v>2004</v>
          </cell>
          <cell r="R1011" t="str">
            <v>DEARBORN PLANT BUILD</v>
          </cell>
          <cell r="S1011" t="str">
            <v>P221/P397</v>
          </cell>
          <cell r="T1011" t="str">
            <v>Frt Door Window Mldg/ defective</v>
          </cell>
          <cell r="U1011" t="str">
            <v>Replaced Frt Mldg</v>
          </cell>
          <cell r="V1011" t="str">
            <v>ALL</v>
          </cell>
          <cell r="W1011">
            <v>1</v>
          </cell>
          <cell r="AD1011">
            <v>1</v>
          </cell>
        </row>
        <row r="1012">
          <cell r="A1012">
            <v>0</v>
          </cell>
          <cell r="B1012" t="str">
            <v>ALL VRTS</v>
          </cell>
          <cell r="D1012">
            <v>3</v>
          </cell>
          <cell r="I1012" t="str">
            <v>G32</v>
          </cell>
          <cell r="L1012" t="str">
            <v>V83</v>
          </cell>
          <cell r="N1012">
            <v>0</v>
          </cell>
          <cell r="O1012">
            <v>-1</v>
          </cell>
          <cell r="P1012">
            <v>0</v>
          </cell>
          <cell r="Q1012">
            <v>2004</v>
          </cell>
          <cell r="R1012" t="str">
            <v>DEARBORN PLANT BUILD</v>
          </cell>
          <cell r="S1012" t="str">
            <v>P221/P397</v>
          </cell>
          <cell r="T1012" t="str">
            <v>Fuel Gage</v>
          </cell>
          <cell r="U1012" t="str">
            <v>CIRCUIT 29 PIN PUSHED OUT CONNECTOR C3137.  PIN 8 YE WH</v>
          </cell>
          <cell r="V1012" t="str">
            <v>ALL</v>
          </cell>
          <cell r="W1012">
            <v>1</v>
          </cell>
          <cell r="AD1012">
            <v>1</v>
          </cell>
        </row>
        <row r="1013">
          <cell r="A1013">
            <v>0</v>
          </cell>
          <cell r="B1013" t="str">
            <v>ALL VRTS</v>
          </cell>
          <cell r="D1013">
            <v>3</v>
          </cell>
          <cell r="I1013" t="str">
            <v>G29</v>
          </cell>
          <cell r="L1013" t="str">
            <v>V83</v>
          </cell>
          <cell r="N1013">
            <v>0</v>
          </cell>
          <cell r="O1013">
            <v>-1</v>
          </cell>
          <cell r="P1013">
            <v>0</v>
          </cell>
          <cell r="Q1013">
            <v>2004</v>
          </cell>
          <cell r="R1013" t="str">
            <v>DEARBORN PLANT BUILD</v>
          </cell>
          <cell r="S1013" t="str">
            <v>P221/P397</v>
          </cell>
          <cell r="T1013" t="str">
            <v>Fuel Gage</v>
          </cell>
          <cell r="U1013" t="str">
            <v>OPEN IN CIRCUIT 29 YE WH WIRE C434 PIN 2 14405</v>
          </cell>
          <cell r="V1013" t="str">
            <v>ALL</v>
          </cell>
          <cell r="W1013">
            <v>1</v>
          </cell>
          <cell r="AD1013">
            <v>1</v>
          </cell>
        </row>
        <row r="1014">
          <cell r="A1014">
            <v>0</v>
          </cell>
          <cell r="B1014" t="str">
            <v>ALL VRTS</v>
          </cell>
          <cell r="D1014">
            <v>3</v>
          </cell>
          <cell r="I1014" t="str">
            <v>G29</v>
          </cell>
          <cell r="L1014" t="str">
            <v>V83</v>
          </cell>
          <cell r="N1014">
            <v>0</v>
          </cell>
          <cell r="O1014">
            <v>-1</v>
          </cell>
          <cell r="P1014">
            <v>0</v>
          </cell>
          <cell r="Q1014">
            <v>2004</v>
          </cell>
          <cell r="R1014" t="str">
            <v>DEARBORN PLANT BUILD</v>
          </cell>
          <cell r="S1014" t="str">
            <v>P221/P397</v>
          </cell>
          <cell r="T1014" t="str">
            <v>Fuel Gage</v>
          </cell>
          <cell r="U1014" t="str">
            <v>Replaced Fuel sender / Fuel Tank</v>
          </cell>
          <cell r="V1014" t="str">
            <v>ALL</v>
          </cell>
          <cell r="W1014">
            <v>1</v>
          </cell>
          <cell r="AB1014">
            <v>1</v>
          </cell>
        </row>
        <row r="1015">
          <cell r="A1015">
            <v>0</v>
          </cell>
          <cell r="B1015" t="str">
            <v>ALL VRTS</v>
          </cell>
          <cell r="D1015">
            <v>3</v>
          </cell>
          <cell r="E1015" t="str">
            <v>6340</v>
          </cell>
          <cell r="G1015" t="str">
            <v>CEE39L</v>
          </cell>
          <cell r="I1015" t="str">
            <v>E68</v>
          </cell>
          <cell r="L1015" t="str">
            <v>V25</v>
          </cell>
          <cell r="N1015">
            <v>-1</v>
          </cell>
          <cell r="O1015">
            <v>-1</v>
          </cell>
          <cell r="P1015">
            <v>-1</v>
          </cell>
          <cell r="Q1015">
            <v>2004</v>
          </cell>
          <cell r="R1015" t="str">
            <v>DEARBORN PLANT BUILD</v>
          </cell>
          <cell r="S1015" t="str">
            <v>P221/P397</v>
          </cell>
          <cell r="T1015" t="str">
            <v>FUEL LEAK</v>
          </cell>
          <cell r="U1015" t="str">
            <v>fuel supply line disconnected</v>
          </cell>
          <cell r="V1015" t="str">
            <v>ALL</v>
          </cell>
          <cell r="W1015">
            <v>1</v>
          </cell>
          <cell r="AB1015">
            <v>1</v>
          </cell>
        </row>
        <row r="1016">
          <cell r="A1016">
            <v>0</v>
          </cell>
          <cell r="B1016" t="str">
            <v>ALL VRTS</v>
          </cell>
          <cell r="D1016">
            <v>3</v>
          </cell>
          <cell r="I1016" t="str">
            <v>E68</v>
          </cell>
          <cell r="L1016" t="str">
            <v>V25</v>
          </cell>
          <cell r="N1016">
            <v>-1</v>
          </cell>
          <cell r="O1016">
            <v>-1</v>
          </cell>
          <cell r="P1016">
            <v>0</v>
          </cell>
          <cell r="Q1016">
            <v>2004</v>
          </cell>
          <cell r="R1016" t="str">
            <v>DEARBORN PLANT BUILD</v>
          </cell>
          <cell r="S1016" t="str">
            <v>P221/P397</v>
          </cell>
          <cell r="T1016" t="str">
            <v>FUEL LEAK</v>
          </cell>
          <cell r="U1016" t="str">
            <v>Injector seal</v>
          </cell>
          <cell r="V1016" t="str">
            <v>ALL</v>
          </cell>
          <cell r="W1016">
            <v>1</v>
          </cell>
          <cell r="AD1016">
            <v>1</v>
          </cell>
        </row>
        <row r="1017">
          <cell r="A1017">
            <v>0</v>
          </cell>
          <cell r="B1017" t="str">
            <v>ALL VRTS</v>
          </cell>
          <cell r="D1017">
            <v>3</v>
          </cell>
          <cell r="I1017" t="str">
            <v>E68</v>
          </cell>
          <cell r="L1017" t="str">
            <v>V25</v>
          </cell>
          <cell r="N1017">
            <v>-1</v>
          </cell>
          <cell r="O1017">
            <v>-1</v>
          </cell>
          <cell r="P1017">
            <v>0</v>
          </cell>
          <cell r="Q1017">
            <v>2004</v>
          </cell>
          <cell r="R1017" t="str">
            <v>DEARBORN PLANT BUILD</v>
          </cell>
          <cell r="S1017" t="str">
            <v>P221/P397</v>
          </cell>
          <cell r="T1017" t="str">
            <v>FUEL LEAK</v>
          </cell>
          <cell r="U1017" t="str">
            <v>Replaced Fuel Return Tube</v>
          </cell>
          <cell r="V1017" t="str">
            <v>ALL</v>
          </cell>
          <cell r="W1017">
            <v>1</v>
          </cell>
          <cell r="AD1017">
            <v>1</v>
          </cell>
        </row>
        <row r="1018">
          <cell r="A1018">
            <v>0</v>
          </cell>
          <cell r="B1018" t="str">
            <v>ALL VRTS</v>
          </cell>
          <cell r="D1018">
            <v>3</v>
          </cell>
          <cell r="E1018" t="str">
            <v>Trim 3 5560-2-F</v>
          </cell>
          <cell r="G1018" t="str">
            <v>T3E34 R</v>
          </cell>
          <cell r="I1018" t="str">
            <v>B64</v>
          </cell>
          <cell r="J1018" t="str">
            <v>B66</v>
          </cell>
          <cell r="L1018" t="str">
            <v>V75</v>
          </cell>
          <cell r="N1018">
            <v>0</v>
          </cell>
          <cell r="O1018">
            <v>0</v>
          </cell>
          <cell r="P1018">
            <v>-1</v>
          </cell>
          <cell r="Q1018">
            <v>2004</v>
          </cell>
          <cell r="R1018" t="str">
            <v>DEARBORN PLANT BUILD</v>
          </cell>
          <cell r="S1018" t="str">
            <v>P221/P397</v>
          </cell>
          <cell r="T1018" t="str">
            <v>HEADLAMP / MISALIGNED</v>
          </cell>
          <cell r="U1018" t="str">
            <v>Adjusted</v>
          </cell>
          <cell r="V1018" t="str">
            <v>ALL</v>
          </cell>
          <cell r="W1018">
            <v>2</v>
          </cell>
          <cell r="AD1018">
            <v>1</v>
          </cell>
          <cell r="AE1018">
            <v>1</v>
          </cell>
        </row>
        <row r="1019">
          <cell r="A1019">
            <v>0</v>
          </cell>
          <cell r="B1019" t="str">
            <v>ALL VRTS</v>
          </cell>
          <cell r="D1019">
            <v>3</v>
          </cell>
          <cell r="E1019" t="str">
            <v>Trim 3 5560-2-F</v>
          </cell>
          <cell r="G1019" t="str">
            <v>T3E34 R</v>
          </cell>
          <cell r="I1019" t="str">
            <v>B66</v>
          </cell>
          <cell r="L1019" t="str">
            <v>V75</v>
          </cell>
          <cell r="N1019">
            <v>0</v>
          </cell>
          <cell r="O1019">
            <v>0</v>
          </cell>
          <cell r="P1019">
            <v>-1</v>
          </cell>
          <cell r="Q1019">
            <v>2004</v>
          </cell>
          <cell r="R1019" t="str">
            <v>DEARBORN PLANT BUILD</v>
          </cell>
          <cell r="S1019" t="str">
            <v>P221/P397</v>
          </cell>
          <cell r="T1019" t="str">
            <v>HEADLAMP / MISALIGNED</v>
          </cell>
          <cell r="U1019" t="str">
            <v>ADJUSTED HEADLAMP</v>
          </cell>
          <cell r="V1019" t="str">
            <v>ALL</v>
          </cell>
          <cell r="W1019">
            <v>1</v>
          </cell>
          <cell r="AE1019">
            <v>1</v>
          </cell>
        </row>
        <row r="1020">
          <cell r="A1020">
            <v>0</v>
          </cell>
          <cell r="B1020" t="str">
            <v>ALL VRTS</v>
          </cell>
          <cell r="D1020">
            <v>3</v>
          </cell>
          <cell r="I1020" t="str">
            <v>B73</v>
          </cell>
          <cell r="L1020" t="str">
            <v>V74</v>
          </cell>
          <cell r="N1020">
            <v>-1</v>
          </cell>
          <cell r="O1020">
            <v>-1</v>
          </cell>
          <cell r="P1020">
            <v>0</v>
          </cell>
          <cell r="Q1020">
            <v>2004</v>
          </cell>
          <cell r="R1020" t="str">
            <v>DEARBORN PLANT BUILD</v>
          </cell>
          <cell r="S1020" t="str">
            <v>P221/P397</v>
          </cell>
          <cell r="T1020" t="str">
            <v>HEADLINER RATTLES</v>
          </cell>
          <cell r="U1020" t="str">
            <v>ADDED FOAM</v>
          </cell>
          <cell r="V1020" t="str">
            <v>ALL</v>
          </cell>
          <cell r="W1020">
            <v>2</v>
          </cell>
          <cell r="AA1020">
            <v>1</v>
          </cell>
          <cell r="AC1020">
            <v>1</v>
          </cell>
        </row>
        <row r="1021">
          <cell r="A1021">
            <v>0</v>
          </cell>
          <cell r="B1021" t="str">
            <v>ALL VRTS</v>
          </cell>
          <cell r="D1021">
            <v>3</v>
          </cell>
          <cell r="E1021" t="str">
            <v>5510</v>
          </cell>
          <cell r="G1021" t="str">
            <v>T2E34R</v>
          </cell>
          <cell r="H1021" t="str">
            <v>T2W33L</v>
          </cell>
          <cell r="I1021" t="str">
            <v>B73</v>
          </cell>
          <cell r="L1021" t="str">
            <v>V74</v>
          </cell>
          <cell r="N1021">
            <v>0</v>
          </cell>
          <cell r="O1021">
            <v>0</v>
          </cell>
          <cell r="P1021">
            <v>-1</v>
          </cell>
          <cell r="Q1021">
            <v>2004</v>
          </cell>
          <cell r="R1021" t="str">
            <v>DEARBORN PLANT BUILD</v>
          </cell>
          <cell r="S1021" t="str">
            <v>P221/P397</v>
          </cell>
          <cell r="T1021" t="str">
            <v>HEADLINER RATTLES</v>
          </cell>
          <cell r="U1021" t="str">
            <v>LOOSE</v>
          </cell>
          <cell r="V1021" t="str">
            <v>ALL</v>
          </cell>
          <cell r="W1021">
            <v>1</v>
          </cell>
          <cell r="AE1021">
            <v>1</v>
          </cell>
        </row>
        <row r="1022">
          <cell r="A1022">
            <v>0</v>
          </cell>
          <cell r="B1022" t="str">
            <v>ALL VRTS</v>
          </cell>
          <cell r="D1022">
            <v>3</v>
          </cell>
          <cell r="E1022" t="str">
            <v>34602C</v>
          </cell>
          <cell r="G1022" t="str">
            <v>Final Fitters</v>
          </cell>
          <cell r="I1022" t="str">
            <v>B02</v>
          </cell>
          <cell r="L1022" t="str">
            <v>V31</v>
          </cell>
          <cell r="N1022">
            <v>0</v>
          </cell>
          <cell r="O1022">
            <v>0</v>
          </cell>
          <cell r="P1022">
            <v>-1</v>
          </cell>
          <cell r="Q1022">
            <v>2004</v>
          </cell>
          <cell r="R1022" t="str">
            <v>DEARBORN PLANT BUILD</v>
          </cell>
          <cell r="S1022" t="str">
            <v>P221/P397</v>
          </cell>
          <cell r="T1022" t="str">
            <v>Hood - Fit- Effort</v>
          </cell>
          <cell r="U1022" t="str">
            <v>Misaligned</v>
          </cell>
          <cell r="V1022" t="str">
            <v>ALL</v>
          </cell>
          <cell r="W1022">
            <v>3</v>
          </cell>
          <cell r="AB1022">
            <v>1</v>
          </cell>
          <cell r="AC1022">
            <v>1</v>
          </cell>
          <cell r="AD1022">
            <v>1</v>
          </cell>
        </row>
        <row r="1023">
          <cell r="A1023">
            <v>0</v>
          </cell>
          <cell r="B1023" t="str">
            <v>ALL VRTS</v>
          </cell>
          <cell r="D1023">
            <v>3</v>
          </cell>
          <cell r="I1023" t="str">
            <v>A85</v>
          </cell>
          <cell r="L1023" t="str">
            <v>V19</v>
          </cell>
          <cell r="N1023">
            <v>0</v>
          </cell>
          <cell r="O1023">
            <v>0</v>
          </cell>
          <cell r="P1023">
            <v>-1</v>
          </cell>
          <cell r="Q1023">
            <v>2004</v>
          </cell>
          <cell r="R1023" t="str">
            <v>DEARBORN PLANT BUILD</v>
          </cell>
          <cell r="S1023" t="str">
            <v>P221/P397</v>
          </cell>
          <cell r="T1023" t="str">
            <v>Key INOP</v>
          </cell>
          <cell r="U1023" t="str">
            <v>No Codes in PCM</v>
          </cell>
          <cell r="V1023" t="str">
            <v>ALL</v>
          </cell>
          <cell r="W1023">
            <v>2</v>
          </cell>
          <cell r="AD1023">
            <v>1</v>
          </cell>
          <cell r="AE1023">
            <v>1</v>
          </cell>
        </row>
        <row r="1024">
          <cell r="A1024">
            <v>0</v>
          </cell>
          <cell r="B1024" t="str">
            <v>ALL VRTS</v>
          </cell>
          <cell r="D1024">
            <v>3</v>
          </cell>
          <cell r="I1024" t="str">
            <v>A85</v>
          </cell>
          <cell r="L1024" t="str">
            <v>V19</v>
          </cell>
          <cell r="N1024">
            <v>0</v>
          </cell>
          <cell r="O1024">
            <v>-1</v>
          </cell>
          <cell r="P1024">
            <v>0</v>
          </cell>
          <cell r="Q1024">
            <v>2004</v>
          </cell>
          <cell r="R1024" t="str">
            <v>DEARBORN PLANT BUILD</v>
          </cell>
          <cell r="S1024" t="str">
            <v>P221/P397</v>
          </cell>
          <cell r="T1024" t="str">
            <v>Key INOP</v>
          </cell>
          <cell r="U1024" t="str">
            <v>Replaced Keyless Entry Transmitter</v>
          </cell>
          <cell r="V1024" t="str">
            <v>ALL</v>
          </cell>
          <cell r="W1024">
            <v>1</v>
          </cell>
          <cell r="AC1024">
            <v>1</v>
          </cell>
        </row>
        <row r="1025">
          <cell r="A1025">
            <v>0</v>
          </cell>
          <cell r="B1025" t="str">
            <v>ALL VRTS</v>
          </cell>
          <cell r="D1025">
            <v>3</v>
          </cell>
          <cell r="I1025" t="str">
            <v>L23</v>
          </cell>
          <cell r="L1025" t="str">
            <v>V07</v>
          </cell>
          <cell r="N1025">
            <v>0</v>
          </cell>
          <cell r="O1025">
            <v>0</v>
          </cell>
          <cell r="P1025">
            <v>-1</v>
          </cell>
          <cell r="Q1025">
            <v>2004</v>
          </cell>
          <cell r="R1025" t="str">
            <v>DEARBORN PLANT BUILD</v>
          </cell>
          <cell r="S1025" t="str">
            <v>P221/P397</v>
          </cell>
          <cell r="T1025" t="str">
            <v>KEY MISSING</v>
          </cell>
          <cell r="U1025" t="str">
            <v>RECODE KEY</v>
          </cell>
          <cell r="V1025" t="str">
            <v>ALL</v>
          </cell>
          <cell r="W1025">
            <v>2</v>
          </cell>
          <cell r="AC1025">
            <v>1</v>
          </cell>
          <cell r="AD1025">
            <v>1</v>
          </cell>
        </row>
        <row r="1026">
          <cell r="A1026">
            <v>0</v>
          </cell>
          <cell r="B1026" t="str">
            <v>ALL VRTS</v>
          </cell>
          <cell r="D1026">
            <v>3</v>
          </cell>
          <cell r="I1026" t="str">
            <v>A85</v>
          </cell>
          <cell r="L1026" t="str">
            <v>V17</v>
          </cell>
          <cell r="N1026">
            <v>0</v>
          </cell>
          <cell r="O1026">
            <v>0</v>
          </cell>
          <cell r="P1026">
            <v>-1</v>
          </cell>
          <cell r="Q1026">
            <v>2004</v>
          </cell>
          <cell r="R1026" t="str">
            <v>DEARBORN PLANT BUILD</v>
          </cell>
          <cell r="S1026" t="str">
            <v>P221/P397</v>
          </cell>
          <cell r="T1026" t="str">
            <v>Key Missing</v>
          </cell>
          <cell r="U1026" t="str">
            <v>Missing</v>
          </cell>
          <cell r="V1026" t="str">
            <v>ALL</v>
          </cell>
          <cell r="W1026">
            <v>1</v>
          </cell>
          <cell r="AD1026">
            <v>1</v>
          </cell>
        </row>
        <row r="1027">
          <cell r="A1027">
            <v>0</v>
          </cell>
          <cell r="B1027" t="str">
            <v>ALL VRTS</v>
          </cell>
          <cell r="D1027">
            <v>3</v>
          </cell>
          <cell r="I1027" t="str">
            <v>L86</v>
          </cell>
          <cell r="J1027" t="str">
            <v>L88</v>
          </cell>
          <cell r="L1027" t="str">
            <v>V44</v>
          </cell>
          <cell r="N1027">
            <v>-1</v>
          </cell>
          <cell r="O1027">
            <v>-1</v>
          </cell>
          <cell r="P1027">
            <v>0</v>
          </cell>
          <cell r="Q1027">
            <v>2004</v>
          </cell>
          <cell r="R1027" t="str">
            <v>DEARBORN PLANT BUILD</v>
          </cell>
          <cell r="S1027" t="str">
            <v>P221/P397</v>
          </cell>
          <cell r="T1027" t="str">
            <v>LEAK/TRANSFER CASE</v>
          </cell>
          <cell r="U1027" t="str">
            <v>Input seal leak</v>
          </cell>
          <cell r="V1027" t="str">
            <v>ALL</v>
          </cell>
          <cell r="W1027">
            <v>2</v>
          </cell>
          <cell r="AC1027">
            <v>1</v>
          </cell>
          <cell r="AD1027">
            <v>1</v>
          </cell>
        </row>
        <row r="1028">
          <cell r="A1028">
            <v>0</v>
          </cell>
          <cell r="B1028" t="str">
            <v>ALL VRTS</v>
          </cell>
          <cell r="D1028">
            <v>3</v>
          </cell>
          <cell r="I1028" t="str">
            <v>L88</v>
          </cell>
          <cell r="L1028" t="str">
            <v>V44</v>
          </cell>
          <cell r="N1028">
            <v>-1</v>
          </cell>
          <cell r="O1028">
            <v>-1</v>
          </cell>
          <cell r="P1028">
            <v>0</v>
          </cell>
          <cell r="Q1028">
            <v>2004</v>
          </cell>
          <cell r="R1028" t="str">
            <v>DEARBORN PLANT BUILD</v>
          </cell>
          <cell r="S1028" t="str">
            <v>P221/P397</v>
          </cell>
          <cell r="T1028" t="str">
            <v>LEAK/TRANSFER CASE</v>
          </cell>
          <cell r="U1028" t="str">
            <v>Output shaft seal</v>
          </cell>
          <cell r="V1028" t="str">
            <v>ALL</v>
          </cell>
          <cell r="W1028">
            <v>1</v>
          </cell>
          <cell r="AD1028">
            <v>1</v>
          </cell>
        </row>
        <row r="1029">
          <cell r="A1029">
            <v>0</v>
          </cell>
          <cell r="B1029" t="str">
            <v>ALL VRTS</v>
          </cell>
          <cell r="D1029">
            <v>3</v>
          </cell>
          <cell r="I1029" t="str">
            <v>F30</v>
          </cell>
          <cell r="L1029" t="str">
            <v>V33</v>
          </cell>
          <cell r="N1029">
            <v>0</v>
          </cell>
          <cell r="O1029">
            <v>0</v>
          </cell>
          <cell r="P1029">
            <v>-1</v>
          </cell>
          <cell r="Q1029">
            <v>2004</v>
          </cell>
          <cell r="R1029" t="str">
            <v>DEARBORN PLANT BUILD</v>
          </cell>
          <cell r="S1029" t="str">
            <v>P221/P397</v>
          </cell>
          <cell r="T1029" t="str">
            <v>Mismatch/Uneven</v>
          </cell>
          <cell r="U1029" t="str">
            <v>Multi Panels</v>
          </cell>
          <cell r="V1029" t="str">
            <v>ALL</v>
          </cell>
          <cell r="W1029">
            <v>1</v>
          </cell>
          <cell r="AB1029">
            <v>1</v>
          </cell>
        </row>
        <row r="1030">
          <cell r="A1030">
            <v>0</v>
          </cell>
          <cell r="B1030" t="str">
            <v>ALL VRTS</v>
          </cell>
          <cell r="D1030">
            <v>3</v>
          </cell>
          <cell r="I1030" t="str">
            <v>F30</v>
          </cell>
          <cell r="L1030" t="str">
            <v>V33</v>
          </cell>
          <cell r="N1030">
            <v>0</v>
          </cell>
          <cell r="O1030">
            <v>0</v>
          </cell>
          <cell r="P1030">
            <v>-1</v>
          </cell>
          <cell r="Q1030">
            <v>2004</v>
          </cell>
          <cell r="R1030" t="str">
            <v>DEARBORN PLANT BUILD</v>
          </cell>
          <cell r="S1030" t="str">
            <v>P221/P397</v>
          </cell>
          <cell r="T1030" t="str">
            <v>Mismatch/Uneven</v>
          </cell>
          <cell r="U1030" t="str">
            <v>R/S Front Door</v>
          </cell>
          <cell r="V1030" t="str">
            <v>ALL</v>
          </cell>
          <cell r="W1030">
            <v>1</v>
          </cell>
          <cell r="AB1030">
            <v>1</v>
          </cell>
        </row>
        <row r="1031">
          <cell r="A1031">
            <v>0</v>
          </cell>
          <cell r="B1031" t="str">
            <v>ALL VRTS</v>
          </cell>
          <cell r="D1031">
            <v>3</v>
          </cell>
          <cell r="I1031" t="str">
            <v>F30</v>
          </cell>
          <cell r="L1031" t="str">
            <v>V33</v>
          </cell>
          <cell r="N1031">
            <v>0</v>
          </cell>
          <cell r="O1031">
            <v>0</v>
          </cell>
          <cell r="P1031">
            <v>-1</v>
          </cell>
          <cell r="Q1031">
            <v>2004</v>
          </cell>
          <cell r="R1031" t="str">
            <v>DEARBORN PLANT BUILD</v>
          </cell>
          <cell r="S1031" t="str">
            <v>P221/P397</v>
          </cell>
          <cell r="T1031" t="str">
            <v>Mismatch/Uneven</v>
          </cell>
          <cell r="U1031" t="str">
            <v>R/S Rear Door</v>
          </cell>
          <cell r="V1031" t="str">
            <v>ALL</v>
          </cell>
          <cell r="W1031">
            <v>1</v>
          </cell>
          <cell r="AA1031">
            <v>1</v>
          </cell>
        </row>
        <row r="1032">
          <cell r="A1032">
            <v>0</v>
          </cell>
          <cell r="B1032" t="str">
            <v>ALL VRTS</v>
          </cell>
          <cell r="D1032">
            <v>3</v>
          </cell>
          <cell r="I1032" t="str">
            <v>B62</v>
          </cell>
          <cell r="J1032" t="str">
            <v>B66</v>
          </cell>
          <cell r="L1032" t="str">
            <v>V75</v>
          </cell>
          <cell r="N1032">
            <v>0</v>
          </cell>
          <cell r="O1032">
            <v>-1</v>
          </cell>
          <cell r="P1032">
            <v>0</v>
          </cell>
          <cell r="Q1032">
            <v>2004</v>
          </cell>
          <cell r="R1032" t="str">
            <v>DEARBORN PLANT BUILD</v>
          </cell>
          <cell r="S1032" t="str">
            <v>P221/P397</v>
          </cell>
          <cell r="T1032" t="str">
            <v>NAMEPLATE / F-150 / PAINT PEELING</v>
          </cell>
          <cell r="U1032" t="str">
            <v>Nameplate replaced</v>
          </cell>
          <cell r="V1032" t="str">
            <v>ALL</v>
          </cell>
          <cell r="W1032">
            <v>2</v>
          </cell>
          <cell r="AA1032">
            <v>1</v>
          </cell>
          <cell r="AE1032">
            <v>1</v>
          </cell>
        </row>
        <row r="1033">
          <cell r="A1033">
            <v>0</v>
          </cell>
          <cell r="B1033" t="str">
            <v>ALL VRTS</v>
          </cell>
          <cell r="D1033">
            <v>3</v>
          </cell>
          <cell r="I1033" t="str">
            <v>B66</v>
          </cell>
          <cell r="L1033" t="str">
            <v>V75</v>
          </cell>
          <cell r="N1033">
            <v>0</v>
          </cell>
          <cell r="O1033">
            <v>-1</v>
          </cell>
          <cell r="P1033">
            <v>0</v>
          </cell>
          <cell r="Q1033">
            <v>2004</v>
          </cell>
          <cell r="R1033" t="str">
            <v>DEARBORN PLANT BUILD</v>
          </cell>
          <cell r="S1033" t="str">
            <v>P221/P397</v>
          </cell>
          <cell r="T1033" t="str">
            <v>NAMEPLATE / F-150 / PAINT PEELING</v>
          </cell>
          <cell r="U1033" t="str">
            <v>REPLACE</v>
          </cell>
          <cell r="V1033" t="str">
            <v>ALL</v>
          </cell>
          <cell r="W1033">
            <v>1</v>
          </cell>
          <cell r="AD1033">
            <v>1</v>
          </cell>
        </row>
        <row r="1034">
          <cell r="A1034">
            <v>0</v>
          </cell>
          <cell r="B1034" t="str">
            <v>ALL VRTS</v>
          </cell>
          <cell r="D1034">
            <v>3</v>
          </cell>
          <cell r="I1034" t="str">
            <v>P59</v>
          </cell>
          <cell r="L1034" t="str">
            <v>V48</v>
          </cell>
          <cell r="N1034">
            <v>-1</v>
          </cell>
          <cell r="O1034">
            <v>-1</v>
          </cell>
          <cell r="P1034">
            <v>0</v>
          </cell>
          <cell r="Q1034">
            <v>2004</v>
          </cell>
          <cell r="R1034" t="str">
            <v>DEARBORN PLANT BUILD</v>
          </cell>
          <cell r="S1034" t="str">
            <v>P221/P397</v>
          </cell>
          <cell r="T1034" t="str">
            <v>O D LIGHT FLASHING</v>
          </cell>
          <cell r="U1034" t="str">
            <v>npf</v>
          </cell>
          <cell r="V1034" t="str">
            <v>ALL</v>
          </cell>
          <cell r="W1034">
            <v>1</v>
          </cell>
          <cell r="AE1034">
            <v>1</v>
          </cell>
        </row>
        <row r="1035">
          <cell r="A1035">
            <v>0</v>
          </cell>
          <cell r="B1035" t="str">
            <v>ALL VRTS</v>
          </cell>
          <cell r="D1035">
            <v>3</v>
          </cell>
          <cell r="I1035" t="str">
            <v>P51</v>
          </cell>
          <cell r="L1035" t="str">
            <v>V48</v>
          </cell>
          <cell r="N1035">
            <v>-1</v>
          </cell>
          <cell r="O1035">
            <v>-1</v>
          </cell>
          <cell r="P1035">
            <v>0</v>
          </cell>
          <cell r="Q1035">
            <v>2004</v>
          </cell>
          <cell r="R1035" t="str">
            <v>DEARBORN PLANT BUILD</v>
          </cell>
          <cell r="S1035" t="str">
            <v>P221/P397</v>
          </cell>
          <cell r="T1035" t="str">
            <v>O D LIGHT FLASHING</v>
          </cell>
          <cell r="U1035" t="str">
            <v>Replaced Trans Sensor</v>
          </cell>
          <cell r="V1035" t="str">
            <v>ALL</v>
          </cell>
          <cell r="W1035">
            <v>1</v>
          </cell>
          <cell r="AE1035">
            <v>1</v>
          </cell>
        </row>
        <row r="1036">
          <cell r="A1036">
            <v>0</v>
          </cell>
          <cell r="B1036" t="str">
            <v>ALL VRTS</v>
          </cell>
          <cell r="D1036">
            <v>3</v>
          </cell>
          <cell r="I1036" t="str">
            <v>P59</v>
          </cell>
          <cell r="L1036" t="str">
            <v>V48</v>
          </cell>
          <cell r="N1036">
            <v>0</v>
          </cell>
          <cell r="O1036">
            <v>-1</v>
          </cell>
          <cell r="P1036">
            <v>0</v>
          </cell>
          <cell r="Q1036">
            <v>2004</v>
          </cell>
          <cell r="R1036" t="str">
            <v>DEARBORN PLANT BUILD</v>
          </cell>
          <cell r="S1036" t="str">
            <v>P221/P397</v>
          </cell>
          <cell r="T1036" t="str">
            <v>O D LIGHT FLASHING</v>
          </cell>
          <cell r="U1036" t="str">
            <v>Replaced Trans temp sensor</v>
          </cell>
          <cell r="V1036" t="str">
            <v>ALL</v>
          </cell>
          <cell r="W1036">
            <v>1</v>
          </cell>
          <cell r="AD1036">
            <v>1</v>
          </cell>
        </row>
        <row r="1037">
          <cell r="A1037">
            <v>0</v>
          </cell>
          <cell r="B1037" t="str">
            <v>ALL VRTS</v>
          </cell>
          <cell r="D1037">
            <v>3</v>
          </cell>
          <cell r="I1037" t="str">
            <v>A85</v>
          </cell>
          <cell r="L1037" t="str">
            <v>V17</v>
          </cell>
          <cell r="N1037">
            <v>0</v>
          </cell>
          <cell r="O1037">
            <v>0</v>
          </cell>
          <cell r="P1037">
            <v>-1</v>
          </cell>
          <cell r="Q1037">
            <v>2004</v>
          </cell>
          <cell r="R1037" t="str">
            <v>DEARBORN PLANT BUILD</v>
          </cell>
          <cell r="S1037" t="str">
            <v>P221/P397</v>
          </cell>
          <cell r="T1037" t="str">
            <v>O/Drive Light INOP</v>
          </cell>
          <cell r="U1037" t="str">
            <v>Connector C2135 Shorted wires.</v>
          </cell>
          <cell r="V1037" t="str">
            <v>ALL</v>
          </cell>
          <cell r="W1037">
            <v>1</v>
          </cell>
          <cell r="AC1037">
            <v>1</v>
          </cell>
        </row>
        <row r="1038">
          <cell r="A1038">
            <v>0</v>
          </cell>
          <cell r="B1038" t="str">
            <v>ALL VRTS</v>
          </cell>
          <cell r="D1038">
            <v>3</v>
          </cell>
          <cell r="I1038" t="str">
            <v>A85</v>
          </cell>
          <cell r="L1038" t="str">
            <v>V17</v>
          </cell>
          <cell r="N1038">
            <v>0</v>
          </cell>
          <cell r="O1038">
            <v>-1</v>
          </cell>
          <cell r="P1038">
            <v>0</v>
          </cell>
          <cell r="Q1038">
            <v>2004</v>
          </cell>
          <cell r="R1038" t="str">
            <v>DEARBORN PLANT BUILD</v>
          </cell>
          <cell r="S1038" t="str">
            <v>P221/P397</v>
          </cell>
          <cell r="T1038" t="str">
            <v>O/Drive Light INOP</v>
          </cell>
          <cell r="U1038" t="str">
            <v>Faulty Trans Harness</v>
          </cell>
          <cell r="V1038" t="str">
            <v>ALL</v>
          </cell>
          <cell r="W1038">
            <v>1</v>
          </cell>
          <cell r="Y1038">
            <v>1</v>
          </cell>
        </row>
        <row r="1039">
          <cell r="A1039">
            <v>0</v>
          </cell>
          <cell r="B1039" t="str">
            <v>ALL VRTS</v>
          </cell>
          <cell r="D1039">
            <v>3</v>
          </cell>
          <cell r="I1039" t="str">
            <v>A85</v>
          </cell>
          <cell r="L1039" t="str">
            <v>V17</v>
          </cell>
          <cell r="N1039">
            <v>0</v>
          </cell>
          <cell r="O1039">
            <v>0</v>
          </cell>
          <cell r="P1039">
            <v>-1</v>
          </cell>
          <cell r="Q1039">
            <v>2004</v>
          </cell>
          <cell r="R1039" t="str">
            <v>DEARBORN PLANT BUILD</v>
          </cell>
          <cell r="S1039" t="str">
            <v>P221/P397</v>
          </cell>
          <cell r="T1039" t="str">
            <v>O/Drive Light INOP</v>
          </cell>
          <cell r="U1039" t="str">
            <v>NPF.</v>
          </cell>
          <cell r="V1039" t="str">
            <v>ALL</v>
          </cell>
          <cell r="W1039">
            <v>1</v>
          </cell>
          <cell r="AD1039">
            <v>1</v>
          </cell>
        </row>
        <row r="1040">
          <cell r="A1040">
            <v>0</v>
          </cell>
          <cell r="B1040" t="str">
            <v>ALL VRTS</v>
          </cell>
          <cell r="D1040">
            <v>3</v>
          </cell>
          <cell r="I1040" t="str">
            <v>F10</v>
          </cell>
          <cell r="J1040" t="str">
            <v>F20</v>
          </cell>
          <cell r="L1040" t="str">
            <v>V33</v>
          </cell>
          <cell r="N1040">
            <v>0</v>
          </cell>
          <cell r="O1040">
            <v>0</v>
          </cell>
          <cell r="P1040">
            <v>-1</v>
          </cell>
          <cell r="Q1040">
            <v>2004</v>
          </cell>
          <cell r="R1040" t="str">
            <v>DEARBORN PLANT BUILD</v>
          </cell>
          <cell r="S1040" t="str">
            <v>P221/P397</v>
          </cell>
          <cell r="T1040" t="str">
            <v>Orange Peel</v>
          </cell>
          <cell r="U1040" t="str">
            <v>Entire Vehicle</v>
          </cell>
          <cell r="V1040" t="str">
            <v>ALL</v>
          </cell>
          <cell r="W1040">
            <v>2</v>
          </cell>
          <cell r="AD1040">
            <v>1</v>
          </cell>
          <cell r="AE1040">
            <v>1</v>
          </cell>
        </row>
        <row r="1041">
          <cell r="A1041">
            <v>0</v>
          </cell>
          <cell r="B1041" t="str">
            <v>ALL VRTS</v>
          </cell>
          <cell r="D1041">
            <v>3</v>
          </cell>
          <cell r="I1041" t="str">
            <v>F05</v>
          </cell>
          <cell r="L1041" t="str">
            <v>V33</v>
          </cell>
          <cell r="N1041">
            <v>0</v>
          </cell>
          <cell r="O1041">
            <v>0</v>
          </cell>
          <cell r="P1041">
            <v>-1</v>
          </cell>
          <cell r="Q1041">
            <v>2004</v>
          </cell>
          <cell r="R1041" t="str">
            <v>DEARBORN PLANT BUILD</v>
          </cell>
          <cell r="S1041" t="str">
            <v>P221/P397</v>
          </cell>
          <cell r="T1041" t="str">
            <v>Orange Peel</v>
          </cell>
          <cell r="U1041" t="str">
            <v>L/S Bed</v>
          </cell>
          <cell r="V1041" t="str">
            <v>ALL</v>
          </cell>
          <cell r="W1041">
            <v>1</v>
          </cell>
          <cell r="AD1041">
            <v>1</v>
          </cell>
        </row>
        <row r="1042">
          <cell r="A1042">
            <v>0</v>
          </cell>
          <cell r="B1042" t="str">
            <v>ALL VRTS</v>
          </cell>
          <cell r="D1042">
            <v>3</v>
          </cell>
          <cell r="I1042" t="str">
            <v>N59</v>
          </cell>
          <cell r="L1042" t="str">
            <v>V39</v>
          </cell>
          <cell r="N1042">
            <v>0</v>
          </cell>
          <cell r="O1042">
            <v>0</v>
          </cell>
          <cell r="P1042">
            <v>-1</v>
          </cell>
          <cell r="Q1042">
            <v>2004</v>
          </cell>
          <cell r="R1042" t="str">
            <v>DEARBORN PLANT BUILD</v>
          </cell>
          <cell r="S1042" t="str">
            <v>P221/P397</v>
          </cell>
          <cell r="T1042" t="str">
            <v>Other Squeak/Rattle (Excluding Wind Noise)</v>
          </cell>
          <cell r="U1042" t="str">
            <v>A-Pillar Grab Handle Loose</v>
          </cell>
          <cell r="V1042" t="str">
            <v>ALL</v>
          </cell>
          <cell r="W1042">
            <v>1</v>
          </cell>
          <cell r="AD1042">
            <v>1</v>
          </cell>
        </row>
        <row r="1043">
          <cell r="A1043">
            <v>0</v>
          </cell>
          <cell r="B1043" t="str">
            <v>ALL VRTS</v>
          </cell>
          <cell r="D1043">
            <v>3</v>
          </cell>
          <cell r="I1043" t="str">
            <v>N59</v>
          </cell>
          <cell r="L1043" t="str">
            <v>V39</v>
          </cell>
          <cell r="N1043">
            <v>0</v>
          </cell>
          <cell r="O1043">
            <v>0</v>
          </cell>
          <cell r="P1043">
            <v>-1</v>
          </cell>
          <cell r="Q1043">
            <v>2004</v>
          </cell>
          <cell r="R1043" t="str">
            <v>DEARBORN PLANT BUILD</v>
          </cell>
          <cell r="S1043" t="str">
            <v>P221/P397</v>
          </cell>
          <cell r="T1043" t="str">
            <v>Other Squeak/Rattle (Excluding Wind Noise)</v>
          </cell>
          <cell r="U1043" t="str">
            <v>npf</v>
          </cell>
          <cell r="V1043" t="str">
            <v>ALL</v>
          </cell>
          <cell r="W1043">
            <v>1</v>
          </cell>
          <cell r="AD1043">
            <v>1</v>
          </cell>
        </row>
        <row r="1044">
          <cell r="A1044">
            <v>0</v>
          </cell>
          <cell r="B1044" t="str">
            <v>ALL VRTS</v>
          </cell>
          <cell r="D1044">
            <v>3</v>
          </cell>
          <cell r="I1044" t="str">
            <v>N59</v>
          </cell>
          <cell r="L1044" t="str">
            <v>V39</v>
          </cell>
          <cell r="N1044">
            <v>0</v>
          </cell>
          <cell r="O1044">
            <v>0</v>
          </cell>
          <cell r="P1044">
            <v>-1</v>
          </cell>
          <cell r="Q1044">
            <v>2004</v>
          </cell>
          <cell r="R1044" t="str">
            <v>DEARBORN PLANT BUILD</v>
          </cell>
          <cell r="S1044" t="str">
            <v>P221/P397</v>
          </cell>
          <cell r="T1044" t="str">
            <v>Other Squeak/Rattle (Excluding Wind Noise)</v>
          </cell>
          <cell r="U1044" t="str">
            <v>Windshield Misalign</v>
          </cell>
          <cell r="V1044" t="str">
            <v>ALL</v>
          </cell>
          <cell r="W1044">
            <v>1</v>
          </cell>
          <cell r="AD1044">
            <v>1</v>
          </cell>
        </row>
        <row r="1045">
          <cell r="A1045">
            <v>0</v>
          </cell>
          <cell r="B1045" t="str">
            <v>ALL VRTS</v>
          </cell>
          <cell r="D1045">
            <v>3</v>
          </cell>
          <cell r="I1045" t="str">
            <v>N59</v>
          </cell>
          <cell r="L1045" t="str">
            <v>V39</v>
          </cell>
          <cell r="N1045">
            <v>0</v>
          </cell>
          <cell r="O1045">
            <v>-1</v>
          </cell>
          <cell r="P1045">
            <v>0</v>
          </cell>
          <cell r="Q1045">
            <v>2004</v>
          </cell>
          <cell r="R1045" t="str">
            <v>DEARBORN PLANT BUILD</v>
          </cell>
          <cell r="S1045" t="str">
            <v>P221/P397</v>
          </cell>
          <cell r="T1045" t="str">
            <v>Overhead Console Squeak/Rattle</v>
          </cell>
          <cell r="U1045" t="str">
            <v>Headliner Foam Block Loose</v>
          </cell>
          <cell r="V1045" t="str">
            <v>ALL</v>
          </cell>
          <cell r="W1045">
            <v>1</v>
          </cell>
          <cell r="AB1045">
            <v>1</v>
          </cell>
        </row>
        <row r="1046">
          <cell r="A1046">
            <v>0</v>
          </cell>
          <cell r="B1046" t="str">
            <v>ALL VRTS</v>
          </cell>
          <cell r="D1046">
            <v>3</v>
          </cell>
          <cell r="I1046" t="str">
            <v>N30</v>
          </cell>
          <cell r="L1046" t="str">
            <v>V39</v>
          </cell>
          <cell r="N1046">
            <v>0</v>
          </cell>
          <cell r="O1046">
            <v>0</v>
          </cell>
          <cell r="P1046">
            <v>-1</v>
          </cell>
          <cell r="Q1046">
            <v>2004</v>
          </cell>
          <cell r="R1046" t="str">
            <v>DEARBORN PLANT BUILD</v>
          </cell>
          <cell r="S1046" t="str">
            <v>P221/P397</v>
          </cell>
          <cell r="T1046" t="str">
            <v>Overhead Console Squeak/Rattle</v>
          </cell>
          <cell r="U1046" t="str">
            <v>Moonroof bolts loose on frame</v>
          </cell>
          <cell r="V1046" t="str">
            <v>ALL</v>
          </cell>
          <cell r="W1046">
            <v>1</v>
          </cell>
          <cell r="Y1046">
            <v>1</v>
          </cell>
        </row>
        <row r="1047">
          <cell r="A1047">
            <v>0</v>
          </cell>
          <cell r="B1047" t="str">
            <v>ALL VRTS</v>
          </cell>
          <cell r="D1047">
            <v>3</v>
          </cell>
          <cell r="I1047" t="str">
            <v>N51</v>
          </cell>
          <cell r="L1047" t="str">
            <v>V39</v>
          </cell>
          <cell r="N1047">
            <v>0</v>
          </cell>
          <cell r="O1047">
            <v>0</v>
          </cell>
          <cell r="P1047">
            <v>-1</v>
          </cell>
          <cell r="Q1047">
            <v>2004</v>
          </cell>
          <cell r="R1047" t="str">
            <v>DEARBORN PLANT BUILD</v>
          </cell>
          <cell r="S1047" t="str">
            <v>P221/P397</v>
          </cell>
          <cell r="T1047" t="str">
            <v>Overhead Console Squeak/Rattle</v>
          </cell>
          <cell r="U1047" t="str">
            <v>NPF</v>
          </cell>
          <cell r="V1047" t="str">
            <v>ALL</v>
          </cell>
          <cell r="W1047">
            <v>1</v>
          </cell>
          <cell r="AB1047">
            <v>1</v>
          </cell>
        </row>
        <row r="1048">
          <cell r="A1048">
            <v>0</v>
          </cell>
          <cell r="B1048" t="str">
            <v>ALL VRTS</v>
          </cell>
          <cell r="D1048">
            <v>3</v>
          </cell>
          <cell r="I1048" t="str">
            <v>L26</v>
          </cell>
          <cell r="L1048" t="str">
            <v>V77</v>
          </cell>
          <cell r="N1048">
            <v>0</v>
          </cell>
          <cell r="O1048">
            <v>0</v>
          </cell>
          <cell r="P1048">
            <v>-1</v>
          </cell>
          <cell r="Q1048">
            <v>2004</v>
          </cell>
          <cell r="R1048" t="str">
            <v>DEARBORN PLANT BUILD</v>
          </cell>
          <cell r="S1048" t="str">
            <v>P221/P397</v>
          </cell>
          <cell r="T1048" t="str">
            <v>Park Aid Inop</v>
          </cell>
          <cell r="U1048" t="str">
            <v>Fuse blown</v>
          </cell>
          <cell r="V1048" t="str">
            <v>ALL</v>
          </cell>
          <cell r="W1048">
            <v>1</v>
          </cell>
          <cell r="AC1048">
            <v>1</v>
          </cell>
        </row>
        <row r="1049">
          <cell r="A1049">
            <v>0</v>
          </cell>
          <cell r="B1049" t="str">
            <v>ALL VRTS</v>
          </cell>
          <cell r="D1049">
            <v>3</v>
          </cell>
          <cell r="I1049" t="str">
            <v>L26</v>
          </cell>
          <cell r="L1049" t="str">
            <v>V77</v>
          </cell>
          <cell r="N1049">
            <v>0</v>
          </cell>
          <cell r="O1049">
            <v>0</v>
          </cell>
          <cell r="P1049">
            <v>-1</v>
          </cell>
          <cell r="Q1049">
            <v>2004</v>
          </cell>
          <cell r="R1049" t="str">
            <v>DEARBORN PLANT BUILD</v>
          </cell>
          <cell r="S1049" t="str">
            <v>P221/P397</v>
          </cell>
          <cell r="T1049" t="str">
            <v>Park Aid Inop</v>
          </cell>
          <cell r="U1049" t="str">
            <v>Pinched Wire.</v>
          </cell>
          <cell r="V1049" t="str">
            <v>ALL</v>
          </cell>
          <cell r="W1049">
            <v>1</v>
          </cell>
          <cell r="AD1049">
            <v>1</v>
          </cell>
        </row>
        <row r="1050">
          <cell r="A1050">
            <v>0</v>
          </cell>
          <cell r="B1050" t="str">
            <v>ALL VRTS</v>
          </cell>
          <cell r="D1050">
            <v>3</v>
          </cell>
          <cell r="I1050" t="str">
            <v>L25</v>
          </cell>
          <cell r="L1050" t="str">
            <v>V77</v>
          </cell>
          <cell r="N1050">
            <v>0</v>
          </cell>
          <cell r="O1050">
            <v>0</v>
          </cell>
          <cell r="P1050">
            <v>-1</v>
          </cell>
          <cell r="Q1050">
            <v>2004</v>
          </cell>
          <cell r="R1050" t="str">
            <v>DEARBORN PLANT BUILD</v>
          </cell>
          <cell r="S1050" t="str">
            <v>P221/P397</v>
          </cell>
          <cell r="T1050" t="str">
            <v>Park Aid Inop</v>
          </cell>
          <cell r="U1050" t="str">
            <v>Wire going to Pedal not connected</v>
          </cell>
          <cell r="V1050" t="str">
            <v>ALL</v>
          </cell>
          <cell r="W1050">
            <v>1</v>
          </cell>
          <cell r="AD1050">
            <v>1</v>
          </cell>
        </row>
        <row r="1051">
          <cell r="A1051">
            <v>0</v>
          </cell>
          <cell r="B1051" t="str">
            <v>ALL VRTS</v>
          </cell>
          <cell r="D1051">
            <v>3</v>
          </cell>
          <cell r="I1051" t="str">
            <v>M05</v>
          </cell>
          <cell r="L1051" t="str">
            <v>V13</v>
          </cell>
          <cell r="N1051">
            <v>0</v>
          </cell>
          <cell r="O1051">
            <v>-1</v>
          </cell>
          <cell r="P1051">
            <v>0</v>
          </cell>
          <cell r="Q1051">
            <v>2004</v>
          </cell>
          <cell r="R1051" t="str">
            <v>DEARBORN PLANT BUILD</v>
          </cell>
          <cell r="S1051" t="str">
            <v>P221/P397</v>
          </cell>
          <cell r="T1051" t="str">
            <v>POWER MIRROR  / DEFECTIVE</v>
          </cell>
          <cell r="U1051" t="str">
            <v>DISTORTED GLASS</v>
          </cell>
          <cell r="V1051" t="str">
            <v>ALL</v>
          </cell>
          <cell r="W1051">
            <v>1</v>
          </cell>
          <cell r="AE1051">
            <v>1</v>
          </cell>
        </row>
        <row r="1052">
          <cell r="A1052">
            <v>0</v>
          </cell>
          <cell r="B1052" t="str">
            <v>ALL VRTS</v>
          </cell>
          <cell r="D1052">
            <v>3</v>
          </cell>
          <cell r="I1052" t="str">
            <v>M05</v>
          </cell>
          <cell r="L1052" t="str">
            <v>V13</v>
          </cell>
          <cell r="N1052">
            <v>0</v>
          </cell>
          <cell r="O1052">
            <v>-1</v>
          </cell>
          <cell r="P1052">
            <v>0</v>
          </cell>
          <cell r="Q1052">
            <v>2004</v>
          </cell>
          <cell r="R1052" t="str">
            <v>DEARBORN PLANT BUILD</v>
          </cell>
          <cell r="S1052" t="str">
            <v>P221/P397</v>
          </cell>
          <cell r="T1052" t="str">
            <v>POWER MIRROR  / DEFECTIVE</v>
          </cell>
          <cell r="U1052" t="str">
            <v>MIRROR ASSY  REPLACED</v>
          </cell>
          <cell r="V1052" t="str">
            <v>ALL</v>
          </cell>
          <cell r="W1052">
            <v>1</v>
          </cell>
          <cell r="AB1052">
            <v>1</v>
          </cell>
        </row>
        <row r="1053">
          <cell r="A1053">
            <v>0</v>
          </cell>
          <cell r="B1053" t="str">
            <v>ALL VRTS</v>
          </cell>
          <cell r="D1053">
            <v>3</v>
          </cell>
          <cell r="I1053" t="str">
            <v>M06</v>
          </cell>
          <cell r="L1053" t="str">
            <v>V13</v>
          </cell>
          <cell r="N1053">
            <v>0</v>
          </cell>
          <cell r="O1053">
            <v>-1</v>
          </cell>
          <cell r="P1053">
            <v>0</v>
          </cell>
          <cell r="Q1053">
            <v>2004</v>
          </cell>
          <cell r="R1053" t="str">
            <v>DEARBORN PLANT BUILD</v>
          </cell>
          <cell r="S1053" t="str">
            <v>P221/P397</v>
          </cell>
          <cell r="T1053" t="str">
            <v>POWER MIRROR  / DEFECTIVE</v>
          </cell>
          <cell r="U1053" t="str">
            <v>Transport damage</v>
          </cell>
          <cell r="V1053" t="str">
            <v>ALL</v>
          </cell>
          <cell r="W1053">
            <v>1</v>
          </cell>
          <cell r="AD1053">
            <v>1</v>
          </cell>
        </row>
        <row r="1054">
          <cell r="A1054">
            <v>0</v>
          </cell>
          <cell r="B1054" t="str">
            <v>ALL VRTS</v>
          </cell>
          <cell r="D1054">
            <v>3</v>
          </cell>
          <cell r="I1054" t="str">
            <v>A87</v>
          </cell>
          <cell r="J1054" t="str">
            <v>A85</v>
          </cell>
          <cell r="L1054" t="str">
            <v>V17</v>
          </cell>
          <cell r="N1054">
            <v>0</v>
          </cell>
          <cell r="O1054">
            <v>0</v>
          </cell>
          <cell r="P1054">
            <v>-1</v>
          </cell>
          <cell r="Q1054">
            <v>2004</v>
          </cell>
          <cell r="R1054" t="str">
            <v>DEARBORN PLANT BUILD</v>
          </cell>
          <cell r="S1054" t="str">
            <v>P221/P397</v>
          </cell>
          <cell r="T1054" t="str">
            <v>Rear Power Point</v>
          </cell>
          <cell r="U1054" t="str">
            <v>Wires Trapped under Seat</v>
          </cell>
          <cell r="V1054" t="str">
            <v>ALL</v>
          </cell>
          <cell r="W1054">
            <v>3</v>
          </cell>
          <cell r="AD1054">
            <v>3</v>
          </cell>
        </row>
        <row r="1055">
          <cell r="A1055">
            <v>0</v>
          </cell>
          <cell r="B1055" t="str">
            <v>ALL VRTS</v>
          </cell>
          <cell r="D1055">
            <v>3</v>
          </cell>
          <cell r="I1055" t="str">
            <v>F12</v>
          </cell>
          <cell r="L1055" t="str">
            <v>V33</v>
          </cell>
          <cell r="N1055">
            <v>0</v>
          </cell>
          <cell r="O1055">
            <v>0</v>
          </cell>
          <cell r="P1055">
            <v>-1</v>
          </cell>
          <cell r="Q1055">
            <v>2004</v>
          </cell>
          <cell r="R1055" t="str">
            <v>DEARBORN PLANT BUILD</v>
          </cell>
          <cell r="S1055" t="str">
            <v>P221/P397</v>
          </cell>
          <cell r="T1055" t="str">
            <v>Sealer Under</v>
          </cell>
          <cell r="U1055" t="str">
            <v>L/S Door</v>
          </cell>
          <cell r="V1055" t="str">
            <v>ALL</v>
          </cell>
          <cell r="W1055">
            <v>1</v>
          </cell>
          <cell r="AD1055">
            <v>1</v>
          </cell>
        </row>
        <row r="1056">
          <cell r="A1056">
            <v>0</v>
          </cell>
          <cell r="B1056" t="str">
            <v>ALL VRTS</v>
          </cell>
          <cell r="D1056">
            <v>3</v>
          </cell>
          <cell r="I1056" t="str">
            <v>F07</v>
          </cell>
          <cell r="L1056" t="str">
            <v>V33</v>
          </cell>
          <cell r="N1056">
            <v>0</v>
          </cell>
          <cell r="O1056">
            <v>0</v>
          </cell>
          <cell r="P1056">
            <v>-1</v>
          </cell>
          <cell r="Q1056">
            <v>2004</v>
          </cell>
          <cell r="R1056" t="str">
            <v>DEARBORN PLANT BUILD</v>
          </cell>
          <cell r="S1056" t="str">
            <v>P221/P397</v>
          </cell>
          <cell r="T1056" t="str">
            <v>Sealer Under</v>
          </cell>
          <cell r="U1056" t="str">
            <v>R/S Rear Door</v>
          </cell>
          <cell r="V1056" t="str">
            <v>ALL</v>
          </cell>
          <cell r="W1056">
            <v>1</v>
          </cell>
          <cell r="AB1056">
            <v>1</v>
          </cell>
        </row>
        <row r="1057">
          <cell r="A1057">
            <v>0</v>
          </cell>
          <cell r="B1057" t="str">
            <v>ALL VRTS</v>
          </cell>
          <cell r="D1057">
            <v>3</v>
          </cell>
          <cell r="I1057" t="str">
            <v>F20</v>
          </cell>
          <cell r="L1057" t="str">
            <v>V33</v>
          </cell>
          <cell r="N1057">
            <v>0</v>
          </cell>
          <cell r="O1057">
            <v>0</v>
          </cell>
          <cell r="P1057">
            <v>-1</v>
          </cell>
          <cell r="Q1057">
            <v>2004</v>
          </cell>
          <cell r="R1057" t="str">
            <v>DEARBORN PLANT BUILD</v>
          </cell>
          <cell r="S1057" t="str">
            <v>P221/P397</v>
          </cell>
          <cell r="T1057" t="str">
            <v>Sealer Under</v>
          </cell>
          <cell r="U1057" t="str">
            <v>Roof</v>
          </cell>
          <cell r="V1057" t="str">
            <v>ALL</v>
          </cell>
          <cell r="W1057">
            <v>1</v>
          </cell>
          <cell r="AD1057">
            <v>1</v>
          </cell>
        </row>
        <row r="1058">
          <cell r="A1058">
            <v>0</v>
          </cell>
          <cell r="B1058" t="str">
            <v>ALL VRTS</v>
          </cell>
          <cell r="D1058">
            <v>3</v>
          </cell>
          <cell r="E1058" t="str">
            <v>6540</v>
          </cell>
          <cell r="G1058" t="str">
            <v>C5E17L</v>
          </cell>
          <cell r="I1058" t="str">
            <v>S03</v>
          </cell>
          <cell r="J1058" t="str">
            <v>S15</v>
          </cell>
          <cell r="L1058" t="str">
            <v>V03</v>
          </cell>
          <cell r="N1058">
            <v>0</v>
          </cell>
          <cell r="O1058">
            <v>-1</v>
          </cell>
          <cell r="P1058">
            <v>-1</v>
          </cell>
          <cell r="Q1058">
            <v>2004</v>
          </cell>
          <cell r="R1058" t="str">
            <v>DEARBORN PLANT BUILD</v>
          </cell>
          <cell r="S1058" t="str">
            <v>P221/P397</v>
          </cell>
          <cell r="T1058" t="str">
            <v>SEAT TRACK</v>
          </cell>
          <cell r="U1058" t="str">
            <v>LOOSE BOLTS</v>
          </cell>
          <cell r="V1058" t="str">
            <v>ALL</v>
          </cell>
          <cell r="W1058">
            <v>2</v>
          </cell>
          <cell r="AC1058">
            <v>1</v>
          </cell>
          <cell r="AD1058">
            <v>1</v>
          </cell>
        </row>
        <row r="1059">
          <cell r="A1059">
            <v>0</v>
          </cell>
          <cell r="B1059" t="str">
            <v>ALL VRTS</v>
          </cell>
          <cell r="D1059">
            <v>3</v>
          </cell>
          <cell r="I1059" t="str">
            <v>S06</v>
          </cell>
          <cell r="L1059" t="str">
            <v>V03</v>
          </cell>
          <cell r="N1059">
            <v>0</v>
          </cell>
          <cell r="O1059">
            <v>-1</v>
          </cell>
          <cell r="P1059">
            <v>0</v>
          </cell>
          <cell r="Q1059">
            <v>2004</v>
          </cell>
          <cell r="R1059" t="str">
            <v>DEARBORN PLANT BUILD</v>
          </cell>
          <cell r="S1059" t="str">
            <v>P221/P397</v>
          </cell>
          <cell r="T1059" t="str">
            <v>SEAT TRACK</v>
          </cell>
          <cell r="U1059" t="str">
            <v>MISSING NUT,RELEASE HANDLE</v>
          </cell>
          <cell r="V1059" t="str">
            <v>ALL</v>
          </cell>
          <cell r="W1059">
            <v>1</v>
          </cell>
          <cell r="AB1059">
            <v>1</v>
          </cell>
        </row>
        <row r="1060">
          <cell r="A1060">
            <v>0</v>
          </cell>
          <cell r="B1060" t="str">
            <v>ALL VRTS</v>
          </cell>
          <cell r="D1060">
            <v>3</v>
          </cell>
          <cell r="I1060" t="str">
            <v>F07</v>
          </cell>
          <cell r="L1060" t="str">
            <v>V33</v>
          </cell>
          <cell r="N1060">
            <v>0</v>
          </cell>
          <cell r="O1060">
            <v>0</v>
          </cell>
          <cell r="P1060">
            <v>-1</v>
          </cell>
          <cell r="Q1060">
            <v>2004</v>
          </cell>
          <cell r="R1060" t="str">
            <v>DEARBORN PLANT BUILD</v>
          </cell>
          <cell r="S1060" t="str">
            <v>P221/P397</v>
          </cell>
          <cell r="T1060" t="str">
            <v>Solvent Trapping</v>
          </cell>
          <cell r="U1060" t="str">
            <v>Inside Bed</v>
          </cell>
          <cell r="V1060" t="str">
            <v>ALL</v>
          </cell>
          <cell r="W1060">
            <v>1</v>
          </cell>
          <cell r="AD1060">
            <v>1</v>
          </cell>
        </row>
        <row r="1061">
          <cell r="A1061">
            <v>0</v>
          </cell>
          <cell r="B1061" t="str">
            <v>ALL VRTS</v>
          </cell>
          <cell r="D1061">
            <v>3</v>
          </cell>
          <cell r="I1061" t="str">
            <v>F07</v>
          </cell>
          <cell r="L1061" t="str">
            <v>V33</v>
          </cell>
          <cell r="N1061">
            <v>0</v>
          </cell>
          <cell r="O1061">
            <v>0</v>
          </cell>
          <cell r="P1061">
            <v>-1</v>
          </cell>
          <cell r="Q1061">
            <v>2004</v>
          </cell>
          <cell r="R1061" t="str">
            <v>DEARBORN PLANT BUILD</v>
          </cell>
          <cell r="S1061" t="str">
            <v>P221/P397</v>
          </cell>
          <cell r="T1061" t="str">
            <v>Solvent Trapping</v>
          </cell>
          <cell r="U1061" t="str">
            <v>L/S Bed</v>
          </cell>
          <cell r="V1061" t="str">
            <v>ALL</v>
          </cell>
          <cell r="W1061">
            <v>1</v>
          </cell>
          <cell r="AA1061">
            <v>1</v>
          </cell>
        </row>
        <row r="1062">
          <cell r="A1062">
            <v>0</v>
          </cell>
          <cell r="B1062" t="str">
            <v>ALL VRTS</v>
          </cell>
          <cell r="D1062">
            <v>3</v>
          </cell>
          <cell r="I1062" t="str">
            <v>F07</v>
          </cell>
          <cell r="L1062" t="str">
            <v>V33</v>
          </cell>
          <cell r="N1062">
            <v>0</v>
          </cell>
          <cell r="O1062">
            <v>0</v>
          </cell>
          <cell r="P1062">
            <v>-1</v>
          </cell>
          <cell r="Q1062">
            <v>2004</v>
          </cell>
          <cell r="R1062" t="str">
            <v>DEARBORN PLANT BUILD</v>
          </cell>
          <cell r="S1062" t="str">
            <v>P221/P397</v>
          </cell>
          <cell r="T1062" t="str">
            <v>Solvent Trapping</v>
          </cell>
          <cell r="U1062" t="str">
            <v>Rear Tailgate</v>
          </cell>
          <cell r="V1062" t="str">
            <v>ALL</v>
          </cell>
          <cell r="W1062">
            <v>1</v>
          </cell>
          <cell r="AA1062">
            <v>1</v>
          </cell>
        </row>
        <row r="1063">
          <cell r="A1063">
            <v>0</v>
          </cell>
          <cell r="B1063" t="str">
            <v>ALL VRTS</v>
          </cell>
          <cell r="C1063" t="str">
            <v>X</v>
          </cell>
          <cell r="D1063">
            <v>3</v>
          </cell>
          <cell r="I1063" t="str">
            <v>H21</v>
          </cell>
          <cell r="L1063" t="str">
            <v>V87</v>
          </cell>
          <cell r="N1063">
            <v>-1</v>
          </cell>
          <cell r="O1063">
            <v>-1</v>
          </cell>
          <cell r="P1063">
            <v>0</v>
          </cell>
          <cell r="Q1063">
            <v>2004</v>
          </cell>
          <cell r="R1063" t="str">
            <v>DEARBORN PLANT BUILD</v>
          </cell>
          <cell r="S1063" t="str">
            <v>P221/P397</v>
          </cell>
          <cell r="T1063" t="str">
            <v>STEERING, HAS EXCESSIVE FREE PLAY WANDER</v>
          </cell>
          <cell r="U1063" t="str">
            <v>npf</v>
          </cell>
          <cell r="V1063" t="str">
            <v>ALL</v>
          </cell>
          <cell r="W1063">
            <v>1</v>
          </cell>
          <cell r="AE1063">
            <v>1</v>
          </cell>
        </row>
        <row r="1064">
          <cell r="A1064">
            <v>0</v>
          </cell>
          <cell r="B1064" t="str">
            <v>ALL VRTS</v>
          </cell>
          <cell r="C1064" t="str">
            <v>X</v>
          </cell>
          <cell r="D1064">
            <v>3</v>
          </cell>
          <cell r="E1064" t="str">
            <v>6480</v>
          </cell>
          <cell r="G1064" t="str">
            <v>IC4E01L</v>
          </cell>
          <cell r="I1064" t="str">
            <v>H21</v>
          </cell>
          <cell r="L1064" t="str">
            <v>V87</v>
          </cell>
          <cell r="N1064">
            <v>0</v>
          </cell>
          <cell r="O1064">
            <v>0</v>
          </cell>
          <cell r="P1064">
            <v>-1</v>
          </cell>
          <cell r="Q1064">
            <v>2004</v>
          </cell>
          <cell r="R1064" t="str">
            <v>DEARBORN PLANT BUILD</v>
          </cell>
          <cell r="S1064" t="str">
            <v>P221/P397</v>
          </cell>
          <cell r="T1064" t="str">
            <v>STEERING, HAS EXCESSIVE FREE PLAY WANDER</v>
          </cell>
          <cell r="U1064" t="str">
            <v>PINCH BOLT TIGHTENED</v>
          </cell>
          <cell r="V1064" t="str">
            <v>ALL</v>
          </cell>
          <cell r="W1064">
            <v>1</v>
          </cell>
          <cell r="AC1064">
            <v>1</v>
          </cell>
        </row>
        <row r="1065">
          <cell r="A1065">
            <v>0</v>
          </cell>
          <cell r="B1065" t="str">
            <v>ALL VRTS</v>
          </cell>
          <cell r="C1065" t="str">
            <v>X</v>
          </cell>
          <cell r="D1065">
            <v>3</v>
          </cell>
          <cell r="I1065" t="str">
            <v>H21</v>
          </cell>
          <cell r="L1065" t="str">
            <v>V87</v>
          </cell>
          <cell r="N1065">
            <v>0</v>
          </cell>
          <cell r="O1065">
            <v>-1</v>
          </cell>
          <cell r="P1065">
            <v>0</v>
          </cell>
          <cell r="Q1065">
            <v>2004</v>
          </cell>
          <cell r="R1065" t="str">
            <v>DEARBORN PLANT BUILD</v>
          </cell>
          <cell r="S1065" t="str">
            <v>P221/P397</v>
          </cell>
          <cell r="T1065" t="str">
            <v>STEERING, HAS EXCESSIVE FREE PLAY WANDER</v>
          </cell>
          <cell r="U1065" t="str">
            <v>STEERING COLUMN SHORT SHAFT - REPLACED</v>
          </cell>
          <cell r="V1065" t="str">
            <v>ALL</v>
          </cell>
          <cell r="W1065">
            <v>1</v>
          </cell>
          <cell r="AC1065">
            <v>1</v>
          </cell>
        </row>
        <row r="1066">
          <cell r="A1066">
            <v>0</v>
          </cell>
          <cell r="B1066" t="str">
            <v>ALL VRTS</v>
          </cell>
          <cell r="D1066">
            <v>3</v>
          </cell>
          <cell r="I1066" t="str">
            <v>F13</v>
          </cell>
          <cell r="J1066" t="str">
            <v>F07</v>
          </cell>
          <cell r="L1066" t="str">
            <v>V33</v>
          </cell>
          <cell r="N1066">
            <v>0</v>
          </cell>
          <cell r="O1066">
            <v>0</v>
          </cell>
          <cell r="P1066">
            <v>-1</v>
          </cell>
          <cell r="Q1066">
            <v>2004</v>
          </cell>
          <cell r="R1066" t="str">
            <v>DEARBORN PLANT BUILD</v>
          </cell>
          <cell r="S1066" t="str">
            <v>P221/P397</v>
          </cell>
          <cell r="T1066" t="str">
            <v>Swirl Marks</v>
          </cell>
          <cell r="U1066" t="str">
            <v>L/S Door</v>
          </cell>
          <cell r="V1066" t="str">
            <v>ALL</v>
          </cell>
          <cell r="W1066">
            <v>2</v>
          </cell>
          <cell r="AD1066">
            <v>1</v>
          </cell>
          <cell r="AE1066">
            <v>1</v>
          </cell>
        </row>
        <row r="1067">
          <cell r="A1067">
            <v>0</v>
          </cell>
          <cell r="B1067" t="str">
            <v>ALL VRTS</v>
          </cell>
          <cell r="D1067">
            <v>3</v>
          </cell>
          <cell r="I1067" t="str">
            <v>F30</v>
          </cell>
          <cell r="L1067" t="str">
            <v>V33</v>
          </cell>
          <cell r="N1067">
            <v>0</v>
          </cell>
          <cell r="O1067">
            <v>0</v>
          </cell>
          <cell r="P1067">
            <v>-1</v>
          </cell>
          <cell r="Q1067">
            <v>2004</v>
          </cell>
          <cell r="R1067" t="str">
            <v>DEARBORN PLANT BUILD</v>
          </cell>
          <cell r="S1067" t="str">
            <v>P221/P397</v>
          </cell>
          <cell r="T1067" t="str">
            <v>Swirl Marks</v>
          </cell>
          <cell r="U1067" t="str">
            <v>L/S Front Fender</v>
          </cell>
          <cell r="V1067" t="str">
            <v>ALL</v>
          </cell>
          <cell r="W1067">
            <v>1</v>
          </cell>
          <cell r="AD1067">
            <v>1</v>
          </cell>
        </row>
        <row r="1068">
          <cell r="A1068">
            <v>0</v>
          </cell>
          <cell r="B1068" t="str">
            <v>ALL VRTS</v>
          </cell>
          <cell r="D1068">
            <v>3</v>
          </cell>
          <cell r="E1068" t="str">
            <v>Trim 3 5560-2-F</v>
          </cell>
          <cell r="G1068" t="str">
            <v>T3E34 R</v>
          </cell>
          <cell r="I1068" t="str">
            <v>B63</v>
          </cell>
          <cell r="J1068" t="str">
            <v>B65</v>
          </cell>
          <cell r="L1068" t="str">
            <v>V75</v>
          </cell>
          <cell r="N1068">
            <v>0</v>
          </cell>
          <cell r="O1068">
            <v>0</v>
          </cell>
          <cell r="P1068">
            <v>-1</v>
          </cell>
          <cell r="Q1068">
            <v>2004</v>
          </cell>
          <cell r="R1068" t="str">
            <v>DEARBORN PLANT BUILD</v>
          </cell>
          <cell r="S1068" t="str">
            <v>P221/P397</v>
          </cell>
          <cell r="T1068" t="str">
            <v>WHEEL LIP MOLDING / LOOSE</v>
          </cell>
          <cell r="U1068" t="str">
            <v>push pin installed</v>
          </cell>
          <cell r="V1068" t="str">
            <v>ALL</v>
          </cell>
          <cell r="W1068">
            <v>2</v>
          </cell>
          <cell r="AD1068">
            <v>2</v>
          </cell>
        </row>
        <row r="1069">
          <cell r="A1069">
            <v>0</v>
          </cell>
          <cell r="B1069" t="str">
            <v>ALL VRTS</v>
          </cell>
          <cell r="D1069">
            <v>3</v>
          </cell>
          <cell r="I1069" t="str">
            <v>B63</v>
          </cell>
          <cell r="L1069" t="str">
            <v>V75</v>
          </cell>
          <cell r="N1069">
            <v>0</v>
          </cell>
          <cell r="O1069">
            <v>0</v>
          </cell>
          <cell r="P1069">
            <v>-1</v>
          </cell>
          <cell r="Q1069">
            <v>2004</v>
          </cell>
          <cell r="R1069" t="str">
            <v>DEARBORN PLANT BUILD</v>
          </cell>
          <cell r="S1069" t="str">
            <v>P221/P397</v>
          </cell>
          <cell r="T1069" t="str">
            <v>WHEEL LIP MOLDING / LOOSE</v>
          </cell>
          <cell r="U1069" t="str">
            <v>BROKEN CLIP</v>
          </cell>
          <cell r="V1069" t="str">
            <v>ALL</v>
          </cell>
          <cell r="W1069">
            <v>1</v>
          </cell>
          <cell r="AC1069">
            <v>1</v>
          </cell>
        </row>
        <row r="1070">
          <cell r="A1070">
            <v>0</v>
          </cell>
          <cell r="B1070" t="str">
            <v>ALL VRTS</v>
          </cell>
          <cell r="D1070">
            <v>2</v>
          </cell>
          <cell r="E1070" t="str">
            <v>34602C</v>
          </cell>
          <cell r="G1070" t="str">
            <v>Final Fitters</v>
          </cell>
          <cell r="I1070" t="str">
            <v>B02</v>
          </cell>
          <cell r="L1070" t="str">
            <v>V31</v>
          </cell>
          <cell r="N1070">
            <v>0</v>
          </cell>
          <cell r="O1070">
            <v>0</v>
          </cell>
          <cell r="P1070">
            <v>-1</v>
          </cell>
          <cell r="Q1070">
            <v>2004</v>
          </cell>
          <cell r="R1070" t="str">
            <v>DEARBORN PLANT BUILD</v>
          </cell>
          <cell r="S1070" t="str">
            <v>P221/P397</v>
          </cell>
          <cell r="T1070" t="str">
            <v xml:space="preserve"> Fender - Fit</v>
          </cell>
          <cell r="U1070" t="str">
            <v>Misaligned</v>
          </cell>
          <cell r="V1070" t="str">
            <v>ALL</v>
          </cell>
          <cell r="W1070">
            <v>2</v>
          </cell>
          <cell r="Z1070">
            <v>1</v>
          </cell>
          <cell r="AD1070">
            <v>1</v>
          </cell>
        </row>
        <row r="1071">
          <cell r="A1071">
            <v>0</v>
          </cell>
          <cell r="B1071" t="str">
            <v>ALL VRTS</v>
          </cell>
          <cell r="D1071">
            <v>2</v>
          </cell>
          <cell r="I1071" t="str">
            <v>A02</v>
          </cell>
          <cell r="J1071" t="str">
            <v>A07</v>
          </cell>
          <cell r="L1071" t="str">
            <v>V81</v>
          </cell>
          <cell r="N1071">
            <v>0</v>
          </cell>
          <cell r="O1071">
            <v>0</v>
          </cell>
          <cell r="P1071">
            <v>-1</v>
          </cell>
          <cell r="Q1071">
            <v>2004</v>
          </cell>
          <cell r="R1071" t="str">
            <v>DEARBORN PLANT BUILD</v>
          </cell>
          <cell r="S1071" t="str">
            <v>P221/P397</v>
          </cell>
          <cell r="T1071" t="str">
            <v>Antenna Base Cover/ Missing</v>
          </cell>
          <cell r="U1071" t="str">
            <v>LOOSE,TRIM</v>
          </cell>
          <cell r="V1071" t="str">
            <v>ALL</v>
          </cell>
          <cell r="W1071">
            <v>2</v>
          </cell>
          <cell r="AC1071">
            <v>1</v>
          </cell>
          <cell r="AD1071">
            <v>1</v>
          </cell>
        </row>
        <row r="1072">
          <cell r="A1072">
            <v>0</v>
          </cell>
          <cell r="B1072" t="str">
            <v>ALL VRTS</v>
          </cell>
          <cell r="D1072">
            <v>2</v>
          </cell>
          <cell r="E1072" t="str">
            <v>Trim 1 5450-2-D</v>
          </cell>
          <cell r="G1072" t="str">
            <v>T1E08R</v>
          </cell>
          <cell r="I1072" t="str">
            <v>B66</v>
          </cell>
          <cell r="L1072" t="str">
            <v>V75</v>
          </cell>
          <cell r="N1072">
            <v>0</v>
          </cell>
          <cell r="O1072">
            <v>0</v>
          </cell>
          <cell r="P1072">
            <v>-1</v>
          </cell>
          <cell r="Q1072">
            <v>2004</v>
          </cell>
          <cell r="R1072" t="str">
            <v>DEARBORN PLANT BUILD</v>
          </cell>
          <cell r="S1072" t="str">
            <v>P221/P397</v>
          </cell>
          <cell r="T1072" t="str">
            <v>B PILLAR APPLIQUE / CROOKED</v>
          </cell>
          <cell r="U1072" t="str">
            <v>ADJUSTED</v>
          </cell>
          <cell r="V1072" t="str">
            <v>ALL</v>
          </cell>
          <cell r="W1072">
            <v>1</v>
          </cell>
          <cell r="AE1072">
            <v>1</v>
          </cell>
        </row>
        <row r="1073">
          <cell r="A1073">
            <v>0</v>
          </cell>
          <cell r="B1073" t="str">
            <v>ALL VRTS</v>
          </cell>
          <cell r="D1073">
            <v>2</v>
          </cell>
          <cell r="E1073" t="str">
            <v>Trim 1 5450-2-D</v>
          </cell>
          <cell r="G1073" t="str">
            <v>T1E08R</v>
          </cell>
          <cell r="I1073" t="str">
            <v>B66</v>
          </cell>
          <cell r="L1073" t="str">
            <v>V75</v>
          </cell>
          <cell r="N1073">
            <v>0</v>
          </cell>
          <cell r="O1073">
            <v>0</v>
          </cell>
          <cell r="P1073">
            <v>-1</v>
          </cell>
          <cell r="Q1073">
            <v>2004</v>
          </cell>
          <cell r="R1073" t="str">
            <v>DEARBORN PLANT BUILD</v>
          </cell>
          <cell r="S1073" t="str">
            <v>P221/P397</v>
          </cell>
          <cell r="T1073" t="str">
            <v>B PILLAR APPLIQUE / CROOKED</v>
          </cell>
          <cell r="U1073" t="str">
            <v>Door Applique Replaced</v>
          </cell>
          <cell r="V1073" t="str">
            <v>ALL</v>
          </cell>
          <cell r="W1073">
            <v>1</v>
          </cell>
          <cell r="AC1073">
            <v>1</v>
          </cell>
        </row>
        <row r="1074">
          <cell r="A1074">
            <v>0</v>
          </cell>
          <cell r="B1074" t="str">
            <v>ALL VRTS</v>
          </cell>
          <cell r="D1074">
            <v>2</v>
          </cell>
          <cell r="E1074" t="str">
            <v>5600</v>
          </cell>
          <cell r="G1074" t="str">
            <v>T4E34R</v>
          </cell>
          <cell r="I1074" t="str">
            <v>T90</v>
          </cell>
          <cell r="L1074" t="str">
            <v>V74</v>
          </cell>
          <cell r="N1074">
            <v>0</v>
          </cell>
          <cell r="O1074">
            <v>0</v>
          </cell>
          <cell r="P1074">
            <v>-1</v>
          </cell>
          <cell r="Q1074">
            <v>2004</v>
          </cell>
          <cell r="R1074" t="str">
            <v>DEARBORN PLANT BUILD</v>
          </cell>
          <cell r="S1074" t="str">
            <v>P221/P397</v>
          </cell>
          <cell r="T1074" t="str">
            <v>BACK PANEL</v>
          </cell>
          <cell r="U1074" t="str">
            <v>LOOSE</v>
          </cell>
          <cell r="V1074" t="str">
            <v>ALL</v>
          </cell>
          <cell r="W1074">
            <v>1</v>
          </cell>
          <cell r="AD1074">
            <v>1</v>
          </cell>
        </row>
        <row r="1075">
          <cell r="A1075">
            <v>0</v>
          </cell>
          <cell r="B1075" t="str">
            <v>ALL VRTS</v>
          </cell>
          <cell r="D1075">
            <v>2</v>
          </cell>
          <cell r="E1075" t="str">
            <v>5600</v>
          </cell>
          <cell r="G1075" t="str">
            <v>T4E34R</v>
          </cell>
          <cell r="I1075" t="str">
            <v>B74</v>
          </cell>
          <cell r="L1075" t="str">
            <v>V74</v>
          </cell>
          <cell r="N1075">
            <v>0</v>
          </cell>
          <cell r="O1075">
            <v>-1</v>
          </cell>
          <cell r="P1075">
            <v>-1</v>
          </cell>
          <cell r="Q1075">
            <v>2004</v>
          </cell>
          <cell r="R1075" t="str">
            <v>DEARBORN PLANT BUILD</v>
          </cell>
          <cell r="S1075" t="str">
            <v>P221/P397</v>
          </cell>
          <cell r="T1075" t="str">
            <v>BACK PANEL</v>
          </cell>
          <cell r="U1075" t="str">
            <v>POOR FIT</v>
          </cell>
          <cell r="V1075" t="str">
            <v>ALL</v>
          </cell>
          <cell r="W1075">
            <v>1</v>
          </cell>
          <cell r="AD1075">
            <v>1</v>
          </cell>
        </row>
        <row r="1076">
          <cell r="A1076">
            <v>0</v>
          </cell>
          <cell r="B1076" t="str">
            <v>ALL VRTS</v>
          </cell>
          <cell r="D1076">
            <v>2</v>
          </cell>
          <cell r="I1076" t="str">
            <v>H20</v>
          </cell>
          <cell r="L1076" t="str">
            <v>V21</v>
          </cell>
          <cell r="N1076">
            <v>0</v>
          </cell>
          <cell r="O1076">
            <v>-1</v>
          </cell>
          <cell r="P1076">
            <v>0</v>
          </cell>
          <cell r="Q1076">
            <v>2004</v>
          </cell>
          <cell r="R1076" t="str">
            <v>DEARBORN PLANT BUILD</v>
          </cell>
          <cell r="S1076" t="str">
            <v>P221/P397</v>
          </cell>
          <cell r="T1076" t="str">
            <v>BRAKES,PULLS</v>
          </cell>
          <cell r="U1076" t="str">
            <v>ANTI - LOCK RING BROKEN - REPLACED</v>
          </cell>
          <cell r="V1076" t="str">
            <v>ALL</v>
          </cell>
          <cell r="W1076">
            <v>1</v>
          </cell>
          <cell r="AD1076">
            <v>1</v>
          </cell>
        </row>
        <row r="1077">
          <cell r="A1077">
            <v>0</v>
          </cell>
          <cell r="B1077" t="str">
            <v>ALL VRTS</v>
          </cell>
          <cell r="D1077">
            <v>2</v>
          </cell>
          <cell r="I1077" t="str">
            <v>H07</v>
          </cell>
          <cell r="L1077" t="str">
            <v>V21</v>
          </cell>
          <cell r="N1077">
            <v>-1</v>
          </cell>
          <cell r="O1077">
            <v>-1</v>
          </cell>
          <cell r="P1077">
            <v>0</v>
          </cell>
          <cell r="Q1077">
            <v>2004</v>
          </cell>
          <cell r="R1077" t="str">
            <v>DEARBORN PLANT BUILD</v>
          </cell>
          <cell r="S1077" t="str">
            <v>P221/P397</v>
          </cell>
          <cell r="T1077" t="str">
            <v>BRAKES,PULLS</v>
          </cell>
          <cell r="U1077" t="str">
            <v>npf</v>
          </cell>
          <cell r="V1077" t="str">
            <v>ALL</v>
          </cell>
          <cell r="W1077">
            <v>1</v>
          </cell>
          <cell r="Z1077">
            <v>1</v>
          </cell>
        </row>
        <row r="1078">
          <cell r="A1078">
            <v>0</v>
          </cell>
          <cell r="B1078" t="str">
            <v>ALL VRTS</v>
          </cell>
          <cell r="D1078">
            <v>2</v>
          </cell>
          <cell r="I1078" t="str">
            <v>F37</v>
          </cell>
          <cell r="L1078" t="str">
            <v>V75</v>
          </cell>
          <cell r="N1078">
            <v>0</v>
          </cell>
          <cell r="O1078">
            <v>-1</v>
          </cell>
          <cell r="P1078">
            <v>0</v>
          </cell>
          <cell r="Q1078">
            <v>2004</v>
          </cell>
          <cell r="R1078" t="str">
            <v>DEARBORN PLANT BUILD</v>
          </cell>
          <cell r="S1078" t="str">
            <v>P221/P397</v>
          </cell>
          <cell r="T1078" t="str">
            <v>Bumper / Front / Marred</v>
          </cell>
          <cell r="U1078" t="str">
            <v>Bumper buffed</v>
          </cell>
          <cell r="V1078" t="str">
            <v>ALL</v>
          </cell>
          <cell r="W1078">
            <v>1</v>
          </cell>
          <cell r="AB1078">
            <v>1</v>
          </cell>
        </row>
        <row r="1079">
          <cell r="A1079">
            <v>0</v>
          </cell>
          <cell r="B1079" t="str">
            <v>ALL VRTS</v>
          </cell>
          <cell r="D1079">
            <v>2</v>
          </cell>
          <cell r="I1079" t="str">
            <v>B06</v>
          </cell>
          <cell r="L1079" t="str">
            <v>V75</v>
          </cell>
          <cell r="N1079">
            <v>0</v>
          </cell>
          <cell r="O1079">
            <v>-1</v>
          </cell>
          <cell r="P1079">
            <v>0</v>
          </cell>
          <cell r="Q1079">
            <v>2004</v>
          </cell>
          <cell r="R1079" t="str">
            <v>DEARBORN PLANT BUILD</v>
          </cell>
          <cell r="S1079" t="str">
            <v>P221/P397</v>
          </cell>
          <cell r="T1079" t="str">
            <v>Bumper / Front / Marred</v>
          </cell>
          <cell r="U1079" t="str">
            <v>Transport claim</v>
          </cell>
          <cell r="V1079" t="str">
            <v>ALL</v>
          </cell>
          <cell r="W1079">
            <v>1</v>
          </cell>
          <cell r="AC1079">
            <v>1</v>
          </cell>
        </row>
        <row r="1080">
          <cell r="A1080">
            <v>0</v>
          </cell>
          <cell r="B1080" t="str">
            <v>ALL VRTS</v>
          </cell>
          <cell r="D1080">
            <v>2</v>
          </cell>
          <cell r="E1080" t="str">
            <v>Chassis 2 6440-2-D</v>
          </cell>
          <cell r="G1080" t="str">
            <v>C2W48-52B</v>
          </cell>
          <cell r="I1080" t="str">
            <v>B07</v>
          </cell>
          <cell r="L1080" t="str">
            <v>V75</v>
          </cell>
          <cell r="N1080">
            <v>0</v>
          </cell>
          <cell r="O1080">
            <v>0</v>
          </cell>
          <cell r="P1080">
            <v>-1</v>
          </cell>
          <cell r="Q1080">
            <v>2004</v>
          </cell>
          <cell r="R1080" t="str">
            <v>DEARBORN PLANT BUILD</v>
          </cell>
          <cell r="S1080" t="str">
            <v>P221/P397</v>
          </cell>
          <cell r="T1080" t="str">
            <v>BUMPER / FRONT / MISALIGNED</v>
          </cell>
          <cell r="U1080" t="str">
            <v>Bumper replaced</v>
          </cell>
          <cell r="V1080" t="str">
            <v>ALL</v>
          </cell>
          <cell r="W1080">
            <v>1</v>
          </cell>
          <cell r="AD1080">
            <v>1</v>
          </cell>
        </row>
        <row r="1081">
          <cell r="A1081">
            <v>0</v>
          </cell>
          <cell r="B1081" t="str">
            <v>ALL VRTS</v>
          </cell>
          <cell r="D1081">
            <v>2</v>
          </cell>
          <cell r="E1081" t="str">
            <v>Chassis 2 6440-2-D</v>
          </cell>
          <cell r="G1081" t="str">
            <v>C2W48-52B</v>
          </cell>
          <cell r="I1081" t="str">
            <v>B07</v>
          </cell>
          <cell r="L1081" t="str">
            <v>V75</v>
          </cell>
          <cell r="N1081">
            <v>0</v>
          </cell>
          <cell r="O1081">
            <v>0</v>
          </cell>
          <cell r="P1081">
            <v>-1</v>
          </cell>
          <cell r="Q1081">
            <v>2004</v>
          </cell>
          <cell r="R1081" t="str">
            <v>DEARBORN PLANT BUILD</v>
          </cell>
          <cell r="S1081" t="str">
            <v>P221/P397</v>
          </cell>
          <cell r="T1081" t="str">
            <v>BUMPER / FRONT / MISALIGNED</v>
          </cell>
          <cell r="U1081" t="str">
            <v>REALIGNED</v>
          </cell>
          <cell r="V1081" t="str">
            <v>ALL</v>
          </cell>
          <cell r="W1081">
            <v>1</v>
          </cell>
          <cell r="AD1081">
            <v>1</v>
          </cell>
        </row>
        <row r="1082">
          <cell r="A1082">
            <v>0</v>
          </cell>
          <cell r="B1082" t="str">
            <v>ALL VRTS</v>
          </cell>
          <cell r="D1082">
            <v>2</v>
          </cell>
          <cell r="I1082" t="str">
            <v>F40</v>
          </cell>
          <cell r="L1082" t="str">
            <v>V75</v>
          </cell>
          <cell r="N1082">
            <v>0</v>
          </cell>
          <cell r="O1082">
            <v>-1</v>
          </cell>
          <cell r="P1082">
            <v>0</v>
          </cell>
          <cell r="Q1082">
            <v>2004</v>
          </cell>
          <cell r="R1082" t="str">
            <v>DEARBORN PLANT BUILD</v>
          </cell>
          <cell r="S1082" t="str">
            <v>P221/P397</v>
          </cell>
          <cell r="T1082" t="str">
            <v>BUMPER COVER / DISCOLORED</v>
          </cell>
          <cell r="U1082" t="str">
            <v>PAINT OVERSPRAY</v>
          </cell>
          <cell r="V1082" t="str">
            <v>ALL</v>
          </cell>
          <cell r="W1082">
            <v>1</v>
          </cell>
          <cell r="AE1082">
            <v>1</v>
          </cell>
        </row>
        <row r="1083">
          <cell r="A1083">
            <v>0</v>
          </cell>
          <cell r="B1083" t="str">
            <v>ALL VRTS</v>
          </cell>
          <cell r="D1083">
            <v>2</v>
          </cell>
          <cell r="I1083" t="str">
            <v>F35</v>
          </cell>
          <cell r="L1083" t="str">
            <v>V75</v>
          </cell>
          <cell r="N1083">
            <v>0</v>
          </cell>
          <cell r="O1083">
            <v>-1</v>
          </cell>
          <cell r="P1083">
            <v>0</v>
          </cell>
          <cell r="Q1083">
            <v>2004</v>
          </cell>
          <cell r="R1083" t="str">
            <v>DEARBORN PLANT BUILD</v>
          </cell>
          <cell r="S1083" t="str">
            <v>P221/P397</v>
          </cell>
          <cell r="T1083" t="str">
            <v>BUMPER COVER / DISCOLORED</v>
          </cell>
          <cell r="U1083" t="str">
            <v>THIN PAINT</v>
          </cell>
          <cell r="V1083" t="str">
            <v>ALL</v>
          </cell>
          <cell r="W1083">
            <v>1</v>
          </cell>
          <cell r="AE1083">
            <v>1</v>
          </cell>
        </row>
        <row r="1084">
          <cell r="A1084">
            <v>0</v>
          </cell>
          <cell r="B1084" t="str">
            <v>ALL VRTS</v>
          </cell>
          <cell r="D1084">
            <v>2</v>
          </cell>
          <cell r="I1084" t="str">
            <v>L26</v>
          </cell>
          <cell r="L1084" t="str">
            <v>V77</v>
          </cell>
          <cell r="N1084">
            <v>0</v>
          </cell>
          <cell r="O1084">
            <v>0</v>
          </cell>
          <cell r="P1084">
            <v>-1</v>
          </cell>
          <cell r="Q1084">
            <v>2004</v>
          </cell>
          <cell r="R1084" t="str">
            <v>DEARBORN PLANT BUILD</v>
          </cell>
          <cell r="S1084" t="str">
            <v>P221/P397</v>
          </cell>
          <cell r="T1084" t="str">
            <v>CHMSL Inop</v>
          </cell>
          <cell r="U1084" t="str">
            <v>Repaired wiring Harness 14A005</v>
          </cell>
          <cell r="V1084" t="str">
            <v>ALL</v>
          </cell>
          <cell r="W1084">
            <v>1</v>
          </cell>
          <cell r="AE1084">
            <v>1</v>
          </cell>
        </row>
        <row r="1085">
          <cell r="A1085">
            <v>0</v>
          </cell>
          <cell r="B1085" t="str">
            <v>ALL VRTS</v>
          </cell>
          <cell r="D1085">
            <v>2</v>
          </cell>
          <cell r="I1085" t="str">
            <v>L29</v>
          </cell>
          <cell r="L1085" t="str">
            <v>V77</v>
          </cell>
          <cell r="N1085">
            <v>-1</v>
          </cell>
          <cell r="O1085">
            <v>0</v>
          </cell>
          <cell r="P1085">
            <v>0</v>
          </cell>
          <cell r="Q1085">
            <v>2004</v>
          </cell>
          <cell r="R1085" t="str">
            <v>DEARBORN PLANT BUILD</v>
          </cell>
          <cell r="S1085" t="str">
            <v>P221/P397</v>
          </cell>
          <cell r="T1085" t="str">
            <v>CHMSL Inop</v>
          </cell>
          <cell r="U1085" t="str">
            <v>Water Leak</v>
          </cell>
          <cell r="V1085" t="str">
            <v>ALL</v>
          </cell>
          <cell r="W1085">
            <v>1</v>
          </cell>
          <cell r="AE1085">
            <v>1</v>
          </cell>
        </row>
        <row r="1086">
          <cell r="A1086">
            <v>0</v>
          </cell>
          <cell r="B1086" t="str">
            <v>ALL VRTS</v>
          </cell>
          <cell r="D1086">
            <v>2</v>
          </cell>
          <cell r="I1086" t="str">
            <v>A85</v>
          </cell>
          <cell r="J1086" t="str">
            <v>A87</v>
          </cell>
          <cell r="L1086" t="str">
            <v>V17</v>
          </cell>
          <cell r="N1086">
            <v>0</v>
          </cell>
          <cell r="O1086">
            <v>0</v>
          </cell>
          <cell r="P1086">
            <v>-1</v>
          </cell>
          <cell r="Q1086">
            <v>2004</v>
          </cell>
          <cell r="R1086" t="str">
            <v>DEARBORN PLANT BUILD</v>
          </cell>
          <cell r="S1086" t="str">
            <v>P221/P397</v>
          </cell>
          <cell r="T1086" t="str">
            <v>Cigar Lighter Missing</v>
          </cell>
          <cell r="U1086" t="str">
            <v>Cigar Lighter Replace</v>
          </cell>
          <cell r="V1086" t="str">
            <v>ALL</v>
          </cell>
          <cell r="W1086">
            <v>2</v>
          </cell>
          <cell r="Z1086">
            <v>1</v>
          </cell>
          <cell r="AC1086">
            <v>1</v>
          </cell>
        </row>
        <row r="1087">
          <cell r="A1087">
            <v>0</v>
          </cell>
          <cell r="B1087" t="str">
            <v>ALL VRTS</v>
          </cell>
          <cell r="D1087">
            <v>2</v>
          </cell>
          <cell r="E1087" t="str">
            <v>5400-B</v>
          </cell>
          <cell r="G1087" t="str">
            <v>TBW25F</v>
          </cell>
          <cell r="I1087" t="str">
            <v>B66</v>
          </cell>
          <cell r="L1087" t="str">
            <v>V75</v>
          </cell>
          <cell r="N1087">
            <v>0</v>
          </cell>
          <cell r="O1087">
            <v>-1</v>
          </cell>
          <cell r="P1087">
            <v>-1</v>
          </cell>
          <cell r="Q1087">
            <v>2004</v>
          </cell>
          <cell r="R1087" t="str">
            <v>DEARBORN PLANT BUILD</v>
          </cell>
          <cell r="S1087" t="str">
            <v>P221/P397</v>
          </cell>
          <cell r="T1087" t="str">
            <v>DECAL / BOX / MISMATCH</v>
          </cell>
          <cell r="U1087" t="str">
            <v>Operator Error</v>
          </cell>
          <cell r="V1087" t="str">
            <v>ALL</v>
          </cell>
          <cell r="W1087">
            <v>2</v>
          </cell>
          <cell r="AB1087">
            <v>1</v>
          </cell>
          <cell r="AD1087">
            <v>1</v>
          </cell>
        </row>
        <row r="1088">
          <cell r="A1088">
            <v>0</v>
          </cell>
          <cell r="B1088" t="str">
            <v>ALL VRTS</v>
          </cell>
          <cell r="D1088">
            <v>2</v>
          </cell>
          <cell r="E1088" t="str">
            <v>Box Line 5400-2-B</v>
          </cell>
          <cell r="G1088" t="str">
            <v>TBE 26B</v>
          </cell>
          <cell r="I1088" t="str">
            <v>B63</v>
          </cell>
          <cell r="L1088" t="str">
            <v>V75</v>
          </cell>
          <cell r="N1088">
            <v>0</v>
          </cell>
          <cell r="O1088">
            <v>0</v>
          </cell>
          <cell r="P1088">
            <v>-1</v>
          </cell>
          <cell r="Q1088">
            <v>2004</v>
          </cell>
          <cell r="R1088" t="str">
            <v>DEARBORN PLANT BUILD</v>
          </cell>
          <cell r="S1088" t="str">
            <v>P221/P397</v>
          </cell>
          <cell r="T1088" t="str">
            <v>DECAL / BOX / MISSING</v>
          </cell>
          <cell r="U1088" t="str">
            <v>Operator Error</v>
          </cell>
          <cell r="V1088" t="str">
            <v>ALL</v>
          </cell>
          <cell r="W1088">
            <v>2</v>
          </cell>
          <cell r="AC1088">
            <v>1</v>
          </cell>
          <cell r="AD1088">
            <v>1</v>
          </cell>
        </row>
        <row r="1089">
          <cell r="A1089">
            <v>0</v>
          </cell>
          <cell r="B1089" t="str">
            <v>ALL VRTS</v>
          </cell>
          <cell r="D1089">
            <v>2</v>
          </cell>
          <cell r="I1089" t="str">
            <v>B66</v>
          </cell>
          <cell r="L1089" t="str">
            <v>V75</v>
          </cell>
          <cell r="N1089">
            <v>0</v>
          </cell>
          <cell r="O1089">
            <v>-1</v>
          </cell>
          <cell r="P1089">
            <v>0</v>
          </cell>
          <cell r="Q1089">
            <v>2004</v>
          </cell>
          <cell r="R1089" t="str">
            <v>DEARBORN PLANT BUILD</v>
          </cell>
          <cell r="S1089" t="str">
            <v>P221/P397</v>
          </cell>
          <cell r="T1089" t="str">
            <v>Door Handle/ defective</v>
          </cell>
          <cell r="U1089" t="str">
            <v>Door Handle replaced</v>
          </cell>
          <cell r="V1089" t="str">
            <v>ALL</v>
          </cell>
          <cell r="W1089">
            <v>2</v>
          </cell>
          <cell r="AB1089">
            <v>1</v>
          </cell>
          <cell r="AD1089">
            <v>1</v>
          </cell>
        </row>
        <row r="1090">
          <cell r="A1090">
            <v>0</v>
          </cell>
          <cell r="B1090" t="str">
            <v>ALL VRTS</v>
          </cell>
          <cell r="D1090">
            <v>2</v>
          </cell>
          <cell r="E1090" t="str">
            <v>5380</v>
          </cell>
          <cell r="G1090" t="str">
            <v>TDE53L</v>
          </cell>
          <cell r="H1090" t="str">
            <v>TDW56R</v>
          </cell>
          <cell r="I1090" t="str">
            <v>B43</v>
          </cell>
          <cell r="L1090" t="str">
            <v>V73</v>
          </cell>
          <cell r="N1090">
            <v>0</v>
          </cell>
          <cell r="O1090">
            <v>0</v>
          </cell>
          <cell r="P1090">
            <v>-1</v>
          </cell>
          <cell r="Q1090">
            <v>2004</v>
          </cell>
          <cell r="R1090" t="str">
            <v>DEARBORN PLANT BUILD</v>
          </cell>
          <cell r="S1090" t="str">
            <v>P221/P397</v>
          </cell>
          <cell r="T1090" t="str">
            <v>DOOR PANEL UPPER</v>
          </cell>
          <cell r="U1090" t="str">
            <v>LOOSE</v>
          </cell>
          <cell r="V1090" t="str">
            <v>ALL</v>
          </cell>
          <cell r="W1090">
            <v>2</v>
          </cell>
          <cell r="AE1090">
            <v>2</v>
          </cell>
        </row>
        <row r="1091">
          <cell r="A1091">
            <v>0</v>
          </cell>
          <cell r="B1091" t="str">
            <v>ALL VRTS</v>
          </cell>
          <cell r="D1091">
            <v>2</v>
          </cell>
          <cell r="I1091" t="str">
            <v>L15</v>
          </cell>
          <cell r="L1091" t="str">
            <v>V07</v>
          </cell>
          <cell r="N1091">
            <v>0</v>
          </cell>
          <cell r="O1091">
            <v>0</v>
          </cell>
          <cell r="P1091">
            <v>-1</v>
          </cell>
          <cell r="Q1091">
            <v>2004</v>
          </cell>
          <cell r="R1091" t="str">
            <v>DEARBORN PLANT BUILD</v>
          </cell>
          <cell r="S1091" t="str">
            <v>P221/P397</v>
          </cell>
          <cell r="T1091" t="str">
            <v>DOOR STRIKER ADJUSTMENT</v>
          </cell>
          <cell r="U1091" t="str">
            <v>ADJUST DOOR STRIKER</v>
          </cell>
          <cell r="V1091" t="str">
            <v>ALL</v>
          </cell>
          <cell r="W1091">
            <v>2</v>
          </cell>
          <cell r="AD1091">
            <v>1</v>
          </cell>
          <cell r="AE1091">
            <v>1</v>
          </cell>
        </row>
        <row r="1092">
          <cell r="A1092">
            <v>0</v>
          </cell>
          <cell r="B1092" t="str">
            <v>ALL VRTS</v>
          </cell>
          <cell r="D1092">
            <v>2</v>
          </cell>
          <cell r="E1092" t="str">
            <v>5430</v>
          </cell>
          <cell r="G1092" t="str">
            <v>T513M</v>
          </cell>
          <cell r="I1092" t="str">
            <v>E23</v>
          </cell>
          <cell r="L1092" t="str">
            <v>V44</v>
          </cell>
          <cell r="N1092">
            <v>0</v>
          </cell>
          <cell r="O1092">
            <v>0</v>
          </cell>
          <cell r="P1092">
            <v>-1</v>
          </cell>
          <cell r="Q1092">
            <v>2004</v>
          </cell>
          <cell r="R1092" t="str">
            <v>DEARBORN PLANT BUILD</v>
          </cell>
          <cell r="S1092" t="str">
            <v>P221/P397</v>
          </cell>
          <cell r="T1092" t="str">
            <v>ENGINE OVERHEATS</v>
          </cell>
          <cell r="U1092" t="str">
            <v>Heater hose disconnected</v>
          </cell>
          <cell r="V1092" t="str">
            <v>ALL</v>
          </cell>
          <cell r="W1092">
            <v>1</v>
          </cell>
          <cell r="AE1092">
            <v>1</v>
          </cell>
        </row>
        <row r="1093">
          <cell r="A1093">
            <v>0</v>
          </cell>
          <cell r="B1093" t="str">
            <v>ALL VRTS</v>
          </cell>
          <cell r="D1093">
            <v>2</v>
          </cell>
          <cell r="I1093" t="str">
            <v>E23</v>
          </cell>
          <cell r="L1093" t="str">
            <v>V44</v>
          </cell>
          <cell r="N1093">
            <v>-1</v>
          </cell>
          <cell r="O1093">
            <v>-1</v>
          </cell>
          <cell r="P1093">
            <v>0</v>
          </cell>
          <cell r="Q1093">
            <v>2004</v>
          </cell>
          <cell r="R1093" t="str">
            <v>DEARBORN PLANT BUILD</v>
          </cell>
          <cell r="S1093" t="str">
            <v>P221/P397</v>
          </cell>
          <cell r="T1093" t="str">
            <v>ENGINE OVERHEATS</v>
          </cell>
          <cell r="U1093" t="str">
            <v>PCM Defective</v>
          </cell>
          <cell r="V1093" t="str">
            <v>ALL</v>
          </cell>
          <cell r="W1093">
            <v>1</v>
          </cell>
          <cell r="AC1093">
            <v>1</v>
          </cell>
        </row>
        <row r="1094">
          <cell r="A1094">
            <v>0</v>
          </cell>
          <cell r="B1094" t="str">
            <v>ALL VRTS</v>
          </cell>
          <cell r="D1094">
            <v>2</v>
          </cell>
          <cell r="I1094" t="str">
            <v>F13</v>
          </cell>
          <cell r="L1094" t="str">
            <v>V33</v>
          </cell>
          <cell r="N1094">
            <v>0</v>
          </cell>
          <cell r="O1094">
            <v>0</v>
          </cell>
          <cell r="P1094">
            <v>-1</v>
          </cell>
          <cell r="Q1094">
            <v>2004</v>
          </cell>
          <cell r="R1094" t="str">
            <v>DEARBORN PLANT BUILD</v>
          </cell>
          <cell r="S1094" t="str">
            <v>P221/P397</v>
          </cell>
          <cell r="T1094" t="str">
            <v>Faded/Dull</v>
          </cell>
          <cell r="U1094" t="str">
            <v>R/S Bed</v>
          </cell>
          <cell r="V1094" t="str">
            <v>ALL</v>
          </cell>
          <cell r="W1094">
            <v>1</v>
          </cell>
          <cell r="AD1094">
            <v>1</v>
          </cell>
        </row>
        <row r="1095">
          <cell r="A1095">
            <v>0</v>
          </cell>
          <cell r="B1095" t="str">
            <v>ALL VRTS</v>
          </cell>
          <cell r="D1095">
            <v>2</v>
          </cell>
          <cell r="I1095" t="str">
            <v>F13</v>
          </cell>
          <cell r="L1095" t="str">
            <v>V33</v>
          </cell>
          <cell r="N1095">
            <v>0</v>
          </cell>
          <cell r="O1095">
            <v>0</v>
          </cell>
          <cell r="P1095">
            <v>-1</v>
          </cell>
          <cell r="Q1095">
            <v>2004</v>
          </cell>
          <cell r="R1095" t="str">
            <v>DEARBORN PLANT BUILD</v>
          </cell>
          <cell r="S1095" t="str">
            <v>P221/P397</v>
          </cell>
          <cell r="T1095" t="str">
            <v>Faded/Dull</v>
          </cell>
          <cell r="U1095" t="str">
            <v>R/S Rear Door</v>
          </cell>
          <cell r="V1095" t="str">
            <v>ALL</v>
          </cell>
          <cell r="W1095">
            <v>1</v>
          </cell>
          <cell r="AB1095">
            <v>1</v>
          </cell>
        </row>
        <row r="1096">
          <cell r="A1096">
            <v>0</v>
          </cell>
          <cell r="B1096" t="str">
            <v>ALL VRTS</v>
          </cell>
          <cell r="D1096">
            <v>2</v>
          </cell>
          <cell r="I1096" t="str">
            <v>T12</v>
          </cell>
          <cell r="L1096" t="str">
            <v>V74</v>
          </cell>
          <cell r="N1096">
            <v>0</v>
          </cell>
          <cell r="O1096">
            <v>-1</v>
          </cell>
          <cell r="P1096">
            <v>0</v>
          </cell>
          <cell r="Q1096">
            <v>2004</v>
          </cell>
          <cell r="R1096" t="str">
            <v>DEARBORN PLANT BUILD</v>
          </cell>
          <cell r="S1096" t="str">
            <v>P221/P397</v>
          </cell>
          <cell r="T1096" t="str">
            <v>FLOOR MATS</v>
          </cell>
          <cell r="U1096" t="str">
            <v>DEFECTIVE</v>
          </cell>
          <cell r="V1096" t="str">
            <v>ALL</v>
          </cell>
          <cell r="W1096">
            <v>1</v>
          </cell>
          <cell r="Z1096">
            <v>1</v>
          </cell>
        </row>
        <row r="1097">
          <cell r="A1097">
            <v>0</v>
          </cell>
          <cell r="B1097" t="str">
            <v>ALL VRTS</v>
          </cell>
          <cell r="D1097">
            <v>2</v>
          </cell>
          <cell r="E1097" t="str">
            <v>6580</v>
          </cell>
          <cell r="G1097" t="str">
            <v>C7W25L</v>
          </cell>
          <cell r="I1097" t="str">
            <v>B74</v>
          </cell>
          <cell r="L1097" t="str">
            <v>V74</v>
          </cell>
          <cell r="N1097">
            <v>0</v>
          </cell>
          <cell r="O1097">
            <v>0</v>
          </cell>
          <cell r="P1097">
            <v>-1</v>
          </cell>
          <cell r="Q1097">
            <v>2004</v>
          </cell>
          <cell r="R1097" t="str">
            <v>DEARBORN PLANT BUILD</v>
          </cell>
          <cell r="S1097" t="str">
            <v>P221/P397</v>
          </cell>
          <cell r="T1097" t="str">
            <v>FLOOR MATS</v>
          </cell>
          <cell r="U1097" t="str">
            <v>MISSING</v>
          </cell>
          <cell r="V1097" t="str">
            <v>ALL</v>
          </cell>
          <cell r="W1097">
            <v>1</v>
          </cell>
          <cell r="AC1097">
            <v>1</v>
          </cell>
        </row>
        <row r="1098">
          <cell r="A1098">
            <v>0</v>
          </cell>
          <cell r="B1098" t="str">
            <v>ALL VRTS</v>
          </cell>
          <cell r="D1098">
            <v>2</v>
          </cell>
          <cell r="E1098" t="str">
            <v>door line 5340-2-A</v>
          </cell>
          <cell r="G1098" t="str">
            <v>TDW24R</v>
          </cell>
          <cell r="I1098" t="str">
            <v>B64</v>
          </cell>
          <cell r="L1098" t="str">
            <v>V75</v>
          </cell>
          <cell r="N1098">
            <v>0</v>
          </cell>
          <cell r="O1098">
            <v>0</v>
          </cell>
          <cell r="P1098">
            <v>-1</v>
          </cell>
          <cell r="Q1098">
            <v>2004</v>
          </cell>
          <cell r="R1098" t="str">
            <v>DEARBORN PLANT BUILD</v>
          </cell>
          <cell r="S1098" t="str">
            <v>P221/P397</v>
          </cell>
          <cell r="T1098" t="str">
            <v>Frt DOOR Weatherstrip/defective</v>
          </cell>
          <cell r="U1098" t="str">
            <v>ALIGN  FRT DOOR WEATHERSTRIP</v>
          </cell>
          <cell r="V1098" t="str">
            <v>ALL</v>
          </cell>
          <cell r="W1098">
            <v>1</v>
          </cell>
          <cell r="AD1098">
            <v>1</v>
          </cell>
        </row>
        <row r="1099">
          <cell r="A1099">
            <v>0</v>
          </cell>
          <cell r="B1099" t="str">
            <v>ALL VRTS</v>
          </cell>
          <cell r="D1099">
            <v>2</v>
          </cell>
          <cell r="E1099" t="str">
            <v>5380-2-A</v>
          </cell>
          <cell r="G1099" t="str">
            <v>TDW19L/20R</v>
          </cell>
          <cell r="I1099" t="str">
            <v>B62</v>
          </cell>
          <cell r="L1099" t="str">
            <v>V75</v>
          </cell>
          <cell r="N1099">
            <v>0</v>
          </cell>
          <cell r="O1099">
            <v>0</v>
          </cell>
          <cell r="P1099">
            <v>-1</v>
          </cell>
          <cell r="Q1099">
            <v>2004</v>
          </cell>
          <cell r="R1099" t="str">
            <v>DEARBORN PLANT BUILD</v>
          </cell>
          <cell r="S1099" t="str">
            <v>P221/P397</v>
          </cell>
          <cell r="T1099" t="str">
            <v>Frt DOOR Weatherstrip/defective</v>
          </cell>
          <cell r="U1099" t="str">
            <v>REPLACED  FRT DOOR WEATHERSTRIP</v>
          </cell>
          <cell r="V1099" t="str">
            <v>ALL</v>
          </cell>
          <cell r="W1099">
            <v>1</v>
          </cell>
          <cell r="Z1099">
            <v>1</v>
          </cell>
        </row>
        <row r="1100">
          <cell r="A1100">
            <v>0</v>
          </cell>
          <cell r="B1100" t="str">
            <v>ALL VRTS</v>
          </cell>
          <cell r="D1100">
            <v>2</v>
          </cell>
          <cell r="I1100" t="str">
            <v>B66</v>
          </cell>
          <cell r="L1100" t="str">
            <v>V75</v>
          </cell>
          <cell r="N1100">
            <v>0</v>
          </cell>
          <cell r="O1100">
            <v>-1</v>
          </cell>
          <cell r="P1100">
            <v>0</v>
          </cell>
          <cell r="Q1100">
            <v>2004</v>
          </cell>
          <cell r="R1100" t="str">
            <v>DEARBORN PLANT BUILD</v>
          </cell>
          <cell r="S1100" t="str">
            <v>P221/P397</v>
          </cell>
          <cell r="T1100" t="str">
            <v>GRILLE / CRACKED</v>
          </cell>
          <cell r="U1100" t="str">
            <v>Grill replaced</v>
          </cell>
          <cell r="V1100" t="str">
            <v>ALL</v>
          </cell>
          <cell r="W1100">
            <v>1</v>
          </cell>
          <cell r="AC1100">
            <v>1</v>
          </cell>
        </row>
        <row r="1101">
          <cell r="A1101">
            <v>0</v>
          </cell>
          <cell r="B1101" t="str">
            <v>ALL VRTS</v>
          </cell>
          <cell r="D1101">
            <v>2</v>
          </cell>
          <cell r="I1101" t="str">
            <v>B66</v>
          </cell>
          <cell r="L1101" t="str">
            <v>V75</v>
          </cell>
          <cell r="N1101">
            <v>0</v>
          </cell>
          <cell r="O1101">
            <v>-1</v>
          </cell>
          <cell r="P1101">
            <v>0</v>
          </cell>
          <cell r="Q1101">
            <v>2004</v>
          </cell>
          <cell r="R1101" t="str">
            <v>DEARBORN PLANT BUILD</v>
          </cell>
          <cell r="S1101" t="str">
            <v>P221/P397</v>
          </cell>
          <cell r="T1101" t="str">
            <v>GRILLE / CRACKED</v>
          </cell>
          <cell r="U1101" t="str">
            <v>GRILLE REPLACED</v>
          </cell>
          <cell r="V1101" t="str">
            <v>ALL</v>
          </cell>
          <cell r="W1101">
            <v>1</v>
          </cell>
          <cell r="AD1101">
            <v>1</v>
          </cell>
        </row>
        <row r="1102">
          <cell r="A1102">
            <v>0</v>
          </cell>
          <cell r="B1102" t="str">
            <v>ALL VRTS</v>
          </cell>
          <cell r="D1102">
            <v>2</v>
          </cell>
          <cell r="E1102" t="str">
            <v>Chassis 6560-2-J</v>
          </cell>
          <cell r="G1102" t="str">
            <v>C7E16R</v>
          </cell>
          <cell r="I1102" t="str">
            <v>B66</v>
          </cell>
          <cell r="L1102" t="str">
            <v>V75</v>
          </cell>
          <cell r="N1102">
            <v>0</v>
          </cell>
          <cell r="O1102">
            <v>0</v>
          </cell>
          <cell r="P1102">
            <v>-1</v>
          </cell>
          <cell r="Q1102">
            <v>2004</v>
          </cell>
          <cell r="R1102" t="str">
            <v>DEARBORN PLANT BUILD</v>
          </cell>
          <cell r="S1102" t="str">
            <v>P221/P397</v>
          </cell>
          <cell r="T1102" t="str">
            <v>GRILLE / LOOSE</v>
          </cell>
          <cell r="U1102" t="str">
            <v>Grill replaced</v>
          </cell>
          <cell r="V1102" t="str">
            <v>ALL</v>
          </cell>
          <cell r="W1102">
            <v>1</v>
          </cell>
          <cell r="Z1102">
            <v>1</v>
          </cell>
        </row>
        <row r="1103">
          <cell r="A1103">
            <v>0</v>
          </cell>
          <cell r="B1103" t="str">
            <v>ALL VRTS</v>
          </cell>
          <cell r="D1103">
            <v>2</v>
          </cell>
          <cell r="I1103" t="str">
            <v>B63</v>
          </cell>
          <cell r="L1103" t="str">
            <v>V75</v>
          </cell>
          <cell r="N1103">
            <v>0</v>
          </cell>
          <cell r="O1103">
            <v>-1</v>
          </cell>
          <cell r="P1103">
            <v>0</v>
          </cell>
          <cell r="Q1103">
            <v>2004</v>
          </cell>
          <cell r="R1103" t="str">
            <v>DEARBORN PLANT BUILD</v>
          </cell>
          <cell r="S1103" t="str">
            <v>P221/P397</v>
          </cell>
          <cell r="T1103" t="str">
            <v>GRILLE / LOOSE</v>
          </cell>
          <cell r="U1103" t="str">
            <v>GRILLE REPLACED</v>
          </cell>
          <cell r="V1103" t="str">
            <v>ALL</v>
          </cell>
          <cell r="W1103">
            <v>1</v>
          </cell>
          <cell r="AC1103">
            <v>1</v>
          </cell>
        </row>
        <row r="1104">
          <cell r="A1104">
            <v>0</v>
          </cell>
          <cell r="B1104" t="str">
            <v>ALL VRTS</v>
          </cell>
          <cell r="D1104">
            <v>2</v>
          </cell>
          <cell r="E1104" t="str">
            <v>C5 6540-2-G</v>
          </cell>
          <cell r="F1104" t="str">
            <v>Chassis4 6490-2-F</v>
          </cell>
          <cell r="G1104" t="str">
            <v>C4E13L</v>
          </cell>
          <cell r="H1104" t="str">
            <v>C5W28R</v>
          </cell>
          <cell r="I1104" t="str">
            <v>B65</v>
          </cell>
          <cell r="L1104" t="str">
            <v>V75</v>
          </cell>
          <cell r="N1104">
            <v>0</v>
          </cell>
          <cell r="O1104">
            <v>0</v>
          </cell>
          <cell r="P1104">
            <v>-1</v>
          </cell>
          <cell r="Q1104">
            <v>2004</v>
          </cell>
          <cell r="R1104" t="str">
            <v>DEARBORN PLANT BUILD</v>
          </cell>
          <cell r="S1104" t="str">
            <v>P221/P397</v>
          </cell>
          <cell r="T1104" t="str">
            <v>HUB CAP / MISSING</v>
          </cell>
          <cell r="U1104" t="str">
            <v>Operator Error</v>
          </cell>
          <cell r="V1104" t="str">
            <v>ALL</v>
          </cell>
          <cell r="W1104">
            <v>2</v>
          </cell>
          <cell r="AC1104">
            <v>1</v>
          </cell>
          <cell r="AD1104">
            <v>1</v>
          </cell>
        </row>
        <row r="1105">
          <cell r="A1105">
            <v>0</v>
          </cell>
          <cell r="B1105" t="str">
            <v>ALL VRTS</v>
          </cell>
          <cell r="D1105">
            <v>2</v>
          </cell>
          <cell r="I1105" t="str">
            <v>L07</v>
          </cell>
          <cell r="J1105" t="str">
            <v>L15</v>
          </cell>
          <cell r="L1105" t="str">
            <v>V07</v>
          </cell>
          <cell r="N1105">
            <v>0</v>
          </cell>
          <cell r="O1105">
            <v>0</v>
          </cell>
          <cell r="P1105">
            <v>-1</v>
          </cell>
          <cell r="Q1105">
            <v>2004</v>
          </cell>
          <cell r="R1105" t="str">
            <v>DEARBORN PLANT BUILD</v>
          </cell>
          <cell r="S1105" t="str">
            <v>P221/P397</v>
          </cell>
          <cell r="T1105" t="str">
            <v>KEY AND REMOTE INOP</v>
          </cell>
          <cell r="U1105" t="str">
            <v>RECODE LOCK CYLINDER</v>
          </cell>
          <cell r="V1105" t="str">
            <v>ALL</v>
          </cell>
          <cell r="W1105">
            <v>2</v>
          </cell>
          <cell r="AB1105">
            <v>2</v>
          </cell>
        </row>
        <row r="1106">
          <cell r="A1106">
            <v>0</v>
          </cell>
          <cell r="B1106" t="str">
            <v>ALL VRTS</v>
          </cell>
          <cell r="D1106">
            <v>2</v>
          </cell>
          <cell r="I1106" t="str">
            <v>A85</v>
          </cell>
          <cell r="L1106" t="str">
            <v>V19</v>
          </cell>
          <cell r="N1106">
            <v>0</v>
          </cell>
          <cell r="O1106">
            <v>-1</v>
          </cell>
          <cell r="P1106">
            <v>0</v>
          </cell>
          <cell r="Q1106">
            <v>2004</v>
          </cell>
          <cell r="R1106" t="str">
            <v>DEARBORN PLANT BUILD</v>
          </cell>
          <cell r="S1106" t="str">
            <v>P221/P397</v>
          </cell>
          <cell r="T1106" t="str">
            <v>Keyless Remote Ms.</v>
          </cell>
          <cell r="U1106" t="str">
            <v>Replaced Keyless Entry Transmitter</v>
          </cell>
          <cell r="V1106" t="str">
            <v>ALL</v>
          </cell>
          <cell r="W1106">
            <v>1</v>
          </cell>
          <cell r="AC1106">
            <v>1</v>
          </cell>
        </row>
        <row r="1107">
          <cell r="A1107">
            <v>0</v>
          </cell>
          <cell r="B1107" t="str">
            <v>ALL VRTS</v>
          </cell>
          <cell r="D1107">
            <v>2</v>
          </cell>
          <cell r="I1107" t="str">
            <v>A85</v>
          </cell>
          <cell r="L1107" t="str">
            <v>V19</v>
          </cell>
          <cell r="N1107">
            <v>0</v>
          </cell>
          <cell r="O1107">
            <v>0</v>
          </cell>
          <cell r="P1107">
            <v>-1</v>
          </cell>
          <cell r="Q1107">
            <v>2004</v>
          </cell>
          <cell r="R1107" t="str">
            <v>DEARBORN PLANT BUILD</v>
          </cell>
          <cell r="S1107" t="str">
            <v>P221/P397</v>
          </cell>
          <cell r="T1107" t="str">
            <v>Keyless Remote Ms.</v>
          </cell>
          <cell r="U1107" t="str">
            <v>Replaced Keyless Remote</v>
          </cell>
          <cell r="V1107" t="str">
            <v>ALL</v>
          </cell>
          <cell r="W1107">
            <v>1</v>
          </cell>
          <cell r="AD1107">
            <v>1</v>
          </cell>
        </row>
        <row r="1108">
          <cell r="A1108">
            <v>0</v>
          </cell>
          <cell r="B1108" t="str">
            <v>ALL VRTS</v>
          </cell>
          <cell r="D1108">
            <v>2</v>
          </cell>
          <cell r="I1108" t="str">
            <v>A85</v>
          </cell>
          <cell r="L1108" t="str">
            <v>V17</v>
          </cell>
          <cell r="N1108">
            <v>0</v>
          </cell>
          <cell r="O1108">
            <v>0</v>
          </cell>
          <cell r="P1108">
            <v>-1</v>
          </cell>
          <cell r="Q1108">
            <v>2004</v>
          </cell>
          <cell r="R1108" t="str">
            <v>DEARBORN PLANT BUILD</v>
          </cell>
          <cell r="S1108" t="str">
            <v>P221/P397</v>
          </cell>
          <cell r="T1108" t="str">
            <v>Keys INOP</v>
          </cell>
          <cell r="U1108" t="str">
            <v>Program both keys to remotes.</v>
          </cell>
          <cell r="V1108" t="str">
            <v>ALL</v>
          </cell>
          <cell r="W1108">
            <v>2</v>
          </cell>
          <cell r="AD1108">
            <v>1</v>
          </cell>
          <cell r="AE1108">
            <v>1</v>
          </cell>
        </row>
        <row r="1109">
          <cell r="A1109">
            <v>0</v>
          </cell>
          <cell r="B1109" t="str">
            <v>ALL VRTS</v>
          </cell>
          <cell r="D1109">
            <v>2</v>
          </cell>
          <cell r="I1109" t="str">
            <v>B66</v>
          </cell>
          <cell r="J1109" t="str">
            <v>B69</v>
          </cell>
          <cell r="L1109" t="str">
            <v>V75</v>
          </cell>
          <cell r="N1109">
            <v>0</v>
          </cell>
          <cell r="O1109">
            <v>-1</v>
          </cell>
          <cell r="P1109">
            <v>-1</v>
          </cell>
          <cell r="Q1109">
            <v>2004</v>
          </cell>
          <cell r="R1109" t="str">
            <v>DEARBORN PLANT BUILD</v>
          </cell>
          <cell r="S1109" t="str">
            <v>P221/P397</v>
          </cell>
          <cell r="T1109" t="str">
            <v>LICENSE PLATE BRACKET / MISSING</v>
          </cell>
          <cell r="U1109" t="str">
            <v>Operator Error</v>
          </cell>
          <cell r="V1109" t="str">
            <v>ALL</v>
          </cell>
          <cell r="W1109">
            <v>2</v>
          </cell>
          <cell r="AD1109">
            <v>1</v>
          </cell>
          <cell r="AE1109">
            <v>1</v>
          </cell>
        </row>
        <row r="1110">
          <cell r="A1110">
            <v>0</v>
          </cell>
          <cell r="B1110" t="str">
            <v>ALL VRTS</v>
          </cell>
          <cell r="D1110">
            <v>2</v>
          </cell>
          <cell r="I1110" t="str">
            <v>L16</v>
          </cell>
          <cell r="L1110" t="str">
            <v>V07</v>
          </cell>
          <cell r="N1110">
            <v>0</v>
          </cell>
          <cell r="O1110">
            <v>0</v>
          </cell>
          <cell r="P1110">
            <v>-1</v>
          </cell>
          <cell r="Q1110">
            <v>2004</v>
          </cell>
          <cell r="R1110" t="str">
            <v>DEARBORN PLANT BUILD</v>
          </cell>
          <cell r="S1110" t="str">
            <v>P221/P397</v>
          </cell>
          <cell r="T1110" t="str">
            <v>LOCK ROD FUNCTION</v>
          </cell>
          <cell r="U1110" t="str">
            <v>ADJUST LOCK ROD</v>
          </cell>
          <cell r="V1110" t="str">
            <v>ALL</v>
          </cell>
          <cell r="W1110">
            <v>2</v>
          </cell>
          <cell r="AB1110">
            <v>1</v>
          </cell>
          <cell r="AD1110">
            <v>1</v>
          </cell>
        </row>
        <row r="1111">
          <cell r="A1111">
            <v>0</v>
          </cell>
          <cell r="B1111" t="str">
            <v>ALL VRTS</v>
          </cell>
          <cell r="D1111">
            <v>2</v>
          </cell>
          <cell r="E1111" t="str">
            <v>Trim 4 5690-G</v>
          </cell>
          <cell r="G1111" t="str">
            <v>T4E36R</v>
          </cell>
          <cell r="I1111" t="str">
            <v>B63</v>
          </cell>
          <cell r="L1111" t="str">
            <v>V75</v>
          </cell>
          <cell r="N1111">
            <v>0</v>
          </cell>
          <cell r="O1111">
            <v>0</v>
          </cell>
          <cell r="P1111">
            <v>-1</v>
          </cell>
          <cell r="Q1111">
            <v>2004</v>
          </cell>
          <cell r="R1111" t="str">
            <v>DEARBORN PLANT BUILD</v>
          </cell>
          <cell r="S1111" t="str">
            <v>P221/P397</v>
          </cell>
          <cell r="T1111" t="str">
            <v>Nameplate/ Fender/ Mismatch</v>
          </cell>
          <cell r="U1111" t="str">
            <v>Nameplate replaced</v>
          </cell>
          <cell r="V1111" t="str">
            <v>ALL</v>
          </cell>
          <cell r="W1111">
            <v>1</v>
          </cell>
          <cell r="AD1111">
            <v>1</v>
          </cell>
        </row>
        <row r="1112">
          <cell r="A1112">
            <v>0</v>
          </cell>
          <cell r="B1112" t="str">
            <v>ALL VRTS</v>
          </cell>
          <cell r="D1112">
            <v>2</v>
          </cell>
          <cell r="E1112" t="str">
            <v>Box Line 5400-2-B</v>
          </cell>
          <cell r="G1112" t="str">
            <v>TBE 26B</v>
          </cell>
          <cell r="I1112" t="str">
            <v>B66</v>
          </cell>
          <cell r="L1112" t="str">
            <v>V75</v>
          </cell>
          <cell r="N1112">
            <v>0</v>
          </cell>
          <cell r="O1112">
            <v>0</v>
          </cell>
          <cell r="P1112">
            <v>-1</v>
          </cell>
          <cell r="Q1112">
            <v>2004</v>
          </cell>
          <cell r="R1112" t="str">
            <v>DEARBORN PLANT BUILD</v>
          </cell>
          <cell r="S1112" t="str">
            <v>P221/P397</v>
          </cell>
          <cell r="T1112" t="str">
            <v>Nameplate/ Fender/ Mismatch</v>
          </cell>
          <cell r="U1112" t="str">
            <v>Operator Error</v>
          </cell>
          <cell r="V1112" t="str">
            <v>ALL</v>
          </cell>
          <cell r="W1112">
            <v>1</v>
          </cell>
          <cell r="Z1112">
            <v>1</v>
          </cell>
        </row>
        <row r="1113">
          <cell r="A1113">
            <v>0</v>
          </cell>
          <cell r="B1113" t="str">
            <v>ALL VRTS</v>
          </cell>
          <cell r="D1113">
            <v>2</v>
          </cell>
          <cell r="I1113" t="str">
            <v>F12</v>
          </cell>
          <cell r="L1113" t="str">
            <v>V33</v>
          </cell>
          <cell r="N1113">
            <v>0</v>
          </cell>
          <cell r="O1113">
            <v>0</v>
          </cell>
          <cell r="P1113">
            <v>-1</v>
          </cell>
          <cell r="Q1113">
            <v>2004</v>
          </cell>
          <cell r="R1113" t="str">
            <v>DEARBORN PLANT BUILD</v>
          </cell>
          <cell r="S1113" t="str">
            <v>P221/P397</v>
          </cell>
          <cell r="T1113" t="str">
            <v>Overspray</v>
          </cell>
          <cell r="U1113" t="str">
            <v>Multi Panels</v>
          </cell>
          <cell r="V1113" t="str">
            <v>ALL</v>
          </cell>
          <cell r="W1113">
            <v>1</v>
          </cell>
          <cell r="Z1113">
            <v>1</v>
          </cell>
        </row>
        <row r="1114">
          <cell r="A1114">
            <v>0</v>
          </cell>
          <cell r="B1114" t="str">
            <v>ALL VRTS</v>
          </cell>
          <cell r="D1114">
            <v>2</v>
          </cell>
          <cell r="I1114" t="str">
            <v>F10</v>
          </cell>
          <cell r="L1114" t="str">
            <v>V33</v>
          </cell>
          <cell r="N1114">
            <v>0</v>
          </cell>
          <cell r="O1114">
            <v>0</v>
          </cell>
          <cell r="P1114">
            <v>-1</v>
          </cell>
          <cell r="Q1114">
            <v>2004</v>
          </cell>
          <cell r="R1114" t="str">
            <v>DEARBORN PLANT BUILD</v>
          </cell>
          <cell r="S1114" t="str">
            <v>P221/P397</v>
          </cell>
          <cell r="T1114" t="str">
            <v>Overspray</v>
          </cell>
          <cell r="U1114" t="str">
            <v>Tu-Tone Area</v>
          </cell>
          <cell r="V1114" t="str">
            <v>ALL</v>
          </cell>
          <cell r="W1114">
            <v>1</v>
          </cell>
          <cell r="AD1114">
            <v>1</v>
          </cell>
        </row>
        <row r="1115">
          <cell r="A1115">
            <v>0</v>
          </cell>
          <cell r="B1115" t="str">
            <v>ALL VRTS</v>
          </cell>
          <cell r="D1115">
            <v>2</v>
          </cell>
          <cell r="I1115" t="str">
            <v>S38</v>
          </cell>
          <cell r="L1115" t="str">
            <v>V05</v>
          </cell>
          <cell r="N1115">
            <v>-1</v>
          </cell>
          <cell r="O1115">
            <v>0</v>
          </cell>
          <cell r="P1115">
            <v>0</v>
          </cell>
          <cell r="Q1115">
            <v>2004</v>
          </cell>
          <cell r="R1115" t="str">
            <v>DEARBORN PLANT BUILD</v>
          </cell>
          <cell r="S1115" t="str">
            <v>P221/P397</v>
          </cell>
          <cell r="T1115" t="str">
            <v>PASSENGER AIR BAG</v>
          </cell>
          <cell r="U1115" t="str">
            <v>NPF</v>
          </cell>
          <cell r="V1115" t="str">
            <v>ALL</v>
          </cell>
          <cell r="W1115">
            <v>1</v>
          </cell>
          <cell r="AC1115">
            <v>1</v>
          </cell>
        </row>
        <row r="1116">
          <cell r="A1116">
            <v>0</v>
          </cell>
          <cell r="B1116" t="str">
            <v>ALL VRTS</v>
          </cell>
          <cell r="D1116">
            <v>2</v>
          </cell>
          <cell r="E1116" t="str">
            <v>5540</v>
          </cell>
          <cell r="G1116" t="str">
            <v>T3E16R</v>
          </cell>
          <cell r="I1116" t="str">
            <v>S40</v>
          </cell>
          <cell r="L1116" t="str">
            <v>V05</v>
          </cell>
          <cell r="N1116">
            <v>0</v>
          </cell>
          <cell r="O1116">
            <v>-1</v>
          </cell>
          <cell r="P1116">
            <v>-1</v>
          </cell>
          <cell r="Q1116">
            <v>2004</v>
          </cell>
          <cell r="R1116" t="str">
            <v>DEARBORN PLANT BUILD</v>
          </cell>
          <cell r="S1116" t="str">
            <v>P221/P397</v>
          </cell>
          <cell r="T1116" t="str">
            <v>PASSENGER AIR BAG</v>
          </cell>
          <cell r="U1116" t="str">
            <v>STAINED COVER</v>
          </cell>
          <cell r="V1116" t="str">
            <v>ALL</v>
          </cell>
          <cell r="W1116">
            <v>1</v>
          </cell>
          <cell r="AC1116">
            <v>1</v>
          </cell>
        </row>
        <row r="1117">
          <cell r="A1117">
            <v>0</v>
          </cell>
          <cell r="B1117" t="str">
            <v>ALL VRTS</v>
          </cell>
          <cell r="D1117">
            <v>2</v>
          </cell>
          <cell r="I1117" t="str">
            <v>M05</v>
          </cell>
          <cell r="L1117" t="str">
            <v>V13</v>
          </cell>
          <cell r="N1117">
            <v>0</v>
          </cell>
          <cell r="O1117">
            <v>-1</v>
          </cell>
          <cell r="P1117">
            <v>0</v>
          </cell>
          <cell r="Q1117">
            <v>2004</v>
          </cell>
          <cell r="R1117" t="str">
            <v>DEARBORN PLANT BUILD</v>
          </cell>
          <cell r="S1117" t="str">
            <v>P221/P397</v>
          </cell>
          <cell r="T1117" t="str">
            <v>POWER MIRROR  / GLASS MISSING</v>
          </cell>
          <cell r="U1117" t="str">
            <v>Door Mirror replaced</v>
          </cell>
          <cell r="V1117" t="str">
            <v>ALL</v>
          </cell>
          <cell r="W1117">
            <v>1</v>
          </cell>
          <cell r="Z1117">
            <v>1</v>
          </cell>
        </row>
        <row r="1118">
          <cell r="A1118">
            <v>0</v>
          </cell>
          <cell r="B1118" t="str">
            <v>ALL VRTS</v>
          </cell>
          <cell r="D1118">
            <v>2</v>
          </cell>
          <cell r="I1118" t="str">
            <v>M10</v>
          </cell>
          <cell r="L1118" t="str">
            <v>V13</v>
          </cell>
          <cell r="N1118">
            <v>0</v>
          </cell>
          <cell r="O1118">
            <v>-1</v>
          </cell>
          <cell r="P1118">
            <v>0</v>
          </cell>
          <cell r="Q1118">
            <v>2004</v>
          </cell>
          <cell r="R1118" t="str">
            <v>DEARBORN PLANT BUILD</v>
          </cell>
          <cell r="S1118" t="str">
            <v>P221/P397</v>
          </cell>
          <cell r="T1118" t="str">
            <v>POWER MIRROR  / GLASS MISSING</v>
          </cell>
          <cell r="U1118" t="str">
            <v>Outside sail mount replaced</v>
          </cell>
          <cell r="V1118" t="str">
            <v>ALL</v>
          </cell>
          <cell r="W1118">
            <v>1</v>
          </cell>
          <cell r="AA1118">
            <v>1</v>
          </cell>
        </row>
        <row r="1119">
          <cell r="A1119">
            <v>0</v>
          </cell>
          <cell r="B1119" t="str">
            <v>ALL VRTS</v>
          </cell>
          <cell r="D1119">
            <v>2</v>
          </cell>
          <cell r="I1119" t="str">
            <v>M05</v>
          </cell>
          <cell r="J1119" t="str">
            <v>M10</v>
          </cell>
          <cell r="L1119" t="str">
            <v>V13</v>
          </cell>
          <cell r="N1119">
            <v>0</v>
          </cell>
          <cell r="O1119">
            <v>-1</v>
          </cell>
          <cell r="P1119">
            <v>0</v>
          </cell>
          <cell r="Q1119">
            <v>2004</v>
          </cell>
          <cell r="R1119" t="str">
            <v>DEARBORN PLANT BUILD</v>
          </cell>
          <cell r="S1119" t="str">
            <v>P221/P397</v>
          </cell>
          <cell r="T1119" t="str">
            <v>POWER MIRROR  / SCRATCH</v>
          </cell>
          <cell r="U1119" t="str">
            <v>MIRROR ASSY  REPLACED</v>
          </cell>
          <cell r="V1119" t="str">
            <v>ALL</v>
          </cell>
          <cell r="W1119">
            <v>2</v>
          </cell>
          <cell r="AD1119">
            <v>2</v>
          </cell>
        </row>
        <row r="1120">
          <cell r="A1120">
            <v>0</v>
          </cell>
          <cell r="B1120" t="str">
            <v>ALL VRTS</v>
          </cell>
          <cell r="D1120">
            <v>2</v>
          </cell>
          <cell r="E1120" t="str">
            <v>6420</v>
          </cell>
          <cell r="F1120" t="str">
            <v>6410</v>
          </cell>
          <cell r="G1120" t="str">
            <v>C2W08B</v>
          </cell>
          <cell r="I1120" t="str">
            <v>C50</v>
          </cell>
          <cell r="J1120" t="str">
            <v>E35</v>
          </cell>
          <cell r="L1120" t="str">
            <v>V89</v>
          </cell>
          <cell r="N1120">
            <v>0</v>
          </cell>
          <cell r="O1120">
            <v>0</v>
          </cell>
          <cell r="P1120">
            <v>-1</v>
          </cell>
          <cell r="Q1120">
            <v>2004</v>
          </cell>
          <cell r="R1120" t="str">
            <v>DEARBORN PLANT BUILD</v>
          </cell>
          <cell r="S1120" t="str">
            <v>P221/P397</v>
          </cell>
          <cell r="T1120" t="str">
            <v>R/R LOWER SHOCK - LOOSE</v>
          </cell>
          <cell r="U1120" t="str">
            <v>R/R SHOCK BOLT AND NUT MISSING - REPLACED</v>
          </cell>
          <cell r="V1120" t="str">
            <v>ALL</v>
          </cell>
          <cell r="W1120">
            <v>2</v>
          </cell>
          <cell r="AB1120">
            <v>1</v>
          </cell>
          <cell r="AD1120">
            <v>1</v>
          </cell>
        </row>
        <row r="1121">
          <cell r="A1121">
            <v>0</v>
          </cell>
          <cell r="B1121" t="str">
            <v>ALL VRTS</v>
          </cell>
          <cell r="D1121">
            <v>2</v>
          </cell>
          <cell r="I1121" t="str">
            <v>B69</v>
          </cell>
          <cell r="L1121" t="str">
            <v>V75</v>
          </cell>
          <cell r="N1121">
            <v>0</v>
          </cell>
          <cell r="O1121">
            <v>-1</v>
          </cell>
          <cell r="P1121">
            <v>0</v>
          </cell>
          <cell r="Q1121">
            <v>2004</v>
          </cell>
          <cell r="R1121" t="str">
            <v>DEARBORN PLANT BUILD</v>
          </cell>
          <cell r="S1121" t="str">
            <v>P221/P397</v>
          </cell>
          <cell r="T1121" t="str">
            <v>REAR BUMPER COVER / FLAW</v>
          </cell>
          <cell r="U1121" t="str">
            <v>Rear Bumper Cover Replaced</v>
          </cell>
          <cell r="V1121" t="str">
            <v>ALL</v>
          </cell>
          <cell r="W1121">
            <v>1</v>
          </cell>
          <cell r="AD1121">
            <v>1</v>
          </cell>
        </row>
        <row r="1122">
          <cell r="A1122">
            <v>0</v>
          </cell>
          <cell r="B1122" t="str">
            <v>ALL VRTS</v>
          </cell>
          <cell r="D1122">
            <v>2</v>
          </cell>
          <cell r="I1122" t="str">
            <v>B69</v>
          </cell>
          <cell r="L1122" t="str">
            <v>V75</v>
          </cell>
          <cell r="N1122">
            <v>0</v>
          </cell>
          <cell r="O1122">
            <v>-1</v>
          </cell>
          <cell r="P1122">
            <v>0</v>
          </cell>
          <cell r="Q1122">
            <v>2004</v>
          </cell>
          <cell r="R1122" t="str">
            <v>DEARBORN PLANT BUILD</v>
          </cell>
          <cell r="S1122" t="str">
            <v>P221/P397</v>
          </cell>
          <cell r="T1122" t="str">
            <v>REAR BUMPER COVER / FLAW</v>
          </cell>
          <cell r="U1122" t="str">
            <v>Rear Bumper Replaced</v>
          </cell>
          <cell r="V1122" t="str">
            <v>ALL</v>
          </cell>
          <cell r="W1122">
            <v>1</v>
          </cell>
          <cell r="AB1122">
            <v>1</v>
          </cell>
        </row>
        <row r="1123">
          <cell r="A1123">
            <v>0</v>
          </cell>
          <cell r="B1123" t="str">
            <v>ALL VRTS</v>
          </cell>
          <cell r="D1123">
            <v>2</v>
          </cell>
          <cell r="E1123" t="str">
            <v>box Line 5410-2-B</v>
          </cell>
          <cell r="G1123" t="str">
            <v>TBE37F</v>
          </cell>
          <cell r="I1123" t="str">
            <v>B07</v>
          </cell>
          <cell r="J1123" t="str">
            <v>B63</v>
          </cell>
          <cell r="L1123" t="str">
            <v>V75</v>
          </cell>
          <cell r="N1123">
            <v>0</v>
          </cell>
          <cell r="O1123">
            <v>0</v>
          </cell>
          <cell r="P1123">
            <v>-1</v>
          </cell>
          <cell r="Q1123">
            <v>2004</v>
          </cell>
          <cell r="R1123" t="str">
            <v>DEARBORN PLANT BUILD</v>
          </cell>
          <cell r="S1123" t="str">
            <v>P221/P397</v>
          </cell>
          <cell r="T1123" t="str">
            <v>Rear Chip Shield -defective/missing</v>
          </cell>
          <cell r="U1123" t="str">
            <v>Chip Shield installed</v>
          </cell>
          <cell r="V1123" t="str">
            <v>ALL</v>
          </cell>
          <cell r="W1123">
            <v>2</v>
          </cell>
          <cell r="Z1123">
            <v>1</v>
          </cell>
          <cell r="AE1123">
            <v>1</v>
          </cell>
        </row>
        <row r="1124">
          <cell r="A1124">
            <v>0</v>
          </cell>
          <cell r="B1124" t="str">
            <v>ALL VRTS</v>
          </cell>
          <cell r="D1124">
            <v>2</v>
          </cell>
          <cell r="E1124" t="str">
            <v>unsure</v>
          </cell>
          <cell r="G1124" t="str">
            <v>C6E22L</v>
          </cell>
          <cell r="I1124" t="str">
            <v>N59</v>
          </cell>
          <cell r="L1124" t="str">
            <v>V39</v>
          </cell>
          <cell r="N1124">
            <v>0</v>
          </cell>
          <cell r="O1124">
            <v>0</v>
          </cell>
          <cell r="P1124">
            <v>-1</v>
          </cell>
          <cell r="Q1124">
            <v>2004</v>
          </cell>
          <cell r="R1124" t="str">
            <v>DEARBORN PLANT BUILD</v>
          </cell>
          <cell r="S1124" t="str">
            <v>P221/P397</v>
          </cell>
          <cell r="T1124" t="str">
            <v>Rear Side Door Squeak/Rattle</v>
          </cell>
          <cell r="U1124" t="str">
            <v>Door Fit misalign</v>
          </cell>
          <cell r="V1124" t="str">
            <v>ALL</v>
          </cell>
          <cell r="W1124">
            <v>1</v>
          </cell>
          <cell r="Y1124">
            <v>1</v>
          </cell>
        </row>
        <row r="1125">
          <cell r="A1125">
            <v>0</v>
          </cell>
          <cell r="B1125" t="str">
            <v>ALL VRTS</v>
          </cell>
          <cell r="D1125">
            <v>2</v>
          </cell>
          <cell r="I1125" t="str">
            <v>N40</v>
          </cell>
          <cell r="L1125" t="str">
            <v>V39</v>
          </cell>
          <cell r="N1125">
            <v>-1</v>
          </cell>
          <cell r="O1125">
            <v>0</v>
          </cell>
          <cell r="P1125">
            <v>0</v>
          </cell>
          <cell r="Q1125">
            <v>2004</v>
          </cell>
          <cell r="R1125" t="str">
            <v>DEARBORN PLANT BUILD</v>
          </cell>
          <cell r="S1125" t="str">
            <v>P221/P397</v>
          </cell>
          <cell r="T1125" t="str">
            <v>Rear Side Door Squeak/Rattle</v>
          </cell>
          <cell r="U1125" t="str">
            <v>Spare Tire Jack Rattle Hot Patch Misposition</v>
          </cell>
          <cell r="V1125" t="str">
            <v>ALL</v>
          </cell>
          <cell r="W1125">
            <v>1</v>
          </cell>
          <cell r="Z1125">
            <v>1</v>
          </cell>
        </row>
        <row r="1126">
          <cell r="A1126">
            <v>0</v>
          </cell>
          <cell r="B1126" t="str">
            <v>ALL VRTS</v>
          </cell>
          <cell r="D1126">
            <v>2</v>
          </cell>
          <cell r="I1126" t="str">
            <v>A85</v>
          </cell>
          <cell r="L1126" t="str">
            <v>V17</v>
          </cell>
          <cell r="N1126">
            <v>-1</v>
          </cell>
          <cell r="O1126">
            <v>0</v>
          </cell>
          <cell r="P1126">
            <v>-1</v>
          </cell>
          <cell r="Q1126">
            <v>2004</v>
          </cell>
          <cell r="R1126" t="str">
            <v>DEARBORN PLANT BUILD</v>
          </cell>
          <cell r="S1126" t="str">
            <v>P221/P397</v>
          </cell>
          <cell r="T1126" t="str">
            <v>Remote Pads Inop from 10ft</v>
          </cell>
          <cell r="U1126" t="str">
            <v>Customer Percetion</v>
          </cell>
          <cell r="V1126" t="str">
            <v>ALL</v>
          </cell>
          <cell r="W1126">
            <v>1</v>
          </cell>
          <cell r="AB1126">
            <v>1</v>
          </cell>
        </row>
        <row r="1127">
          <cell r="A1127">
            <v>0</v>
          </cell>
          <cell r="B1127" t="str">
            <v>ALL VRTS</v>
          </cell>
          <cell r="D1127">
            <v>2</v>
          </cell>
          <cell r="I1127" t="str">
            <v>A85</v>
          </cell>
          <cell r="L1127" t="str">
            <v>V17</v>
          </cell>
          <cell r="N1127">
            <v>0</v>
          </cell>
          <cell r="O1127">
            <v>-1</v>
          </cell>
          <cell r="P1127">
            <v>0</v>
          </cell>
          <cell r="Q1127">
            <v>2004</v>
          </cell>
          <cell r="R1127" t="str">
            <v>DEARBORN PLANT BUILD</v>
          </cell>
          <cell r="S1127" t="str">
            <v>P221/P397</v>
          </cell>
          <cell r="T1127" t="str">
            <v>Remote Pads Inop from 10ft</v>
          </cell>
          <cell r="U1127" t="str">
            <v>Program both keys to remotes.</v>
          </cell>
          <cell r="V1127" t="str">
            <v>ALL</v>
          </cell>
          <cell r="W1127">
            <v>1</v>
          </cell>
          <cell r="AD1127">
            <v>1</v>
          </cell>
        </row>
        <row r="1128">
          <cell r="A1128">
            <v>0</v>
          </cell>
          <cell r="B1128" t="str">
            <v>ALL VRTS</v>
          </cell>
          <cell r="D1128">
            <v>2</v>
          </cell>
          <cell r="I1128" t="str">
            <v>G29</v>
          </cell>
          <cell r="L1128" t="str">
            <v>V83</v>
          </cell>
          <cell r="N1128">
            <v>0</v>
          </cell>
          <cell r="O1128">
            <v>-1</v>
          </cell>
          <cell r="P1128">
            <v>0</v>
          </cell>
          <cell r="Q1128">
            <v>2004</v>
          </cell>
          <cell r="R1128" t="str">
            <v>DEARBORN PLANT BUILD</v>
          </cell>
          <cell r="S1128" t="str">
            <v>P221/P397</v>
          </cell>
          <cell r="T1128" t="str">
            <v>Reverse Sensor INOP</v>
          </cell>
          <cell r="U1128" t="str">
            <v>Fuse blown</v>
          </cell>
          <cell r="V1128" t="str">
            <v>ALL</v>
          </cell>
          <cell r="W1128">
            <v>1</v>
          </cell>
          <cell r="AD1128">
            <v>1</v>
          </cell>
        </row>
        <row r="1129">
          <cell r="A1129">
            <v>0</v>
          </cell>
          <cell r="B1129" t="str">
            <v>ALL VRTS</v>
          </cell>
          <cell r="D1129">
            <v>2</v>
          </cell>
          <cell r="I1129" t="str">
            <v>G29</v>
          </cell>
          <cell r="L1129" t="str">
            <v>V83</v>
          </cell>
          <cell r="N1129">
            <v>0</v>
          </cell>
          <cell r="O1129">
            <v>-1</v>
          </cell>
          <cell r="P1129">
            <v>0</v>
          </cell>
          <cell r="Q1129">
            <v>2004</v>
          </cell>
          <cell r="R1129" t="str">
            <v>DEARBORN PLANT BUILD</v>
          </cell>
          <cell r="S1129" t="str">
            <v>P221/P397</v>
          </cell>
          <cell r="T1129" t="str">
            <v>Reverse Sensor INOP</v>
          </cell>
          <cell r="U1129" t="str">
            <v>Replaced Audio Unit, under Dash.</v>
          </cell>
          <cell r="V1129" t="str">
            <v>ALL</v>
          </cell>
          <cell r="W1129">
            <v>1</v>
          </cell>
          <cell r="AC1129">
            <v>1</v>
          </cell>
        </row>
        <row r="1130">
          <cell r="A1130">
            <v>0</v>
          </cell>
          <cell r="B1130" t="str">
            <v>ALL VRTS</v>
          </cell>
          <cell r="D1130">
            <v>2</v>
          </cell>
          <cell r="I1130" t="str">
            <v>F12</v>
          </cell>
          <cell r="L1130" t="str">
            <v>V33</v>
          </cell>
          <cell r="N1130">
            <v>0</v>
          </cell>
          <cell r="O1130">
            <v>0</v>
          </cell>
          <cell r="P1130">
            <v>-1</v>
          </cell>
          <cell r="Q1130">
            <v>2004</v>
          </cell>
          <cell r="R1130" t="str">
            <v>DEARBORN PLANT BUILD</v>
          </cell>
          <cell r="S1130" t="str">
            <v>P221/P397</v>
          </cell>
          <cell r="T1130" t="str">
            <v>Stained/Spotted</v>
          </cell>
          <cell r="U1130" t="str">
            <v>Multi Panels</v>
          </cell>
          <cell r="V1130" t="str">
            <v>ALL</v>
          </cell>
          <cell r="W1130">
            <v>1</v>
          </cell>
          <cell r="AB1130">
            <v>1</v>
          </cell>
        </row>
        <row r="1131">
          <cell r="A1131">
            <v>0</v>
          </cell>
          <cell r="B1131" t="str">
            <v>ALL VRTS</v>
          </cell>
          <cell r="D1131">
            <v>2</v>
          </cell>
          <cell r="I1131" t="str">
            <v>F12</v>
          </cell>
          <cell r="L1131" t="str">
            <v>V33</v>
          </cell>
          <cell r="N1131">
            <v>0</v>
          </cell>
          <cell r="O1131">
            <v>0</v>
          </cell>
          <cell r="P1131">
            <v>-1</v>
          </cell>
          <cell r="Q1131">
            <v>2004</v>
          </cell>
          <cell r="R1131" t="str">
            <v>DEARBORN PLANT BUILD</v>
          </cell>
          <cell r="S1131" t="str">
            <v>P221/P397</v>
          </cell>
          <cell r="T1131" t="str">
            <v>Stained/Spotted</v>
          </cell>
          <cell r="U1131" t="str">
            <v>R/S Front Door</v>
          </cell>
          <cell r="V1131" t="str">
            <v>ALL</v>
          </cell>
          <cell r="W1131">
            <v>1</v>
          </cell>
          <cell r="AB1131">
            <v>1</v>
          </cell>
        </row>
        <row r="1132">
          <cell r="A1132">
            <v>0</v>
          </cell>
          <cell r="B1132" t="str">
            <v>ALL VRTS</v>
          </cell>
          <cell r="D1132">
            <v>2</v>
          </cell>
          <cell r="E1132" t="str">
            <v>unsure</v>
          </cell>
          <cell r="G1132" t="str">
            <v>T2W11L</v>
          </cell>
          <cell r="I1132" t="str">
            <v>N43</v>
          </cell>
          <cell r="L1132" t="str">
            <v>V39</v>
          </cell>
          <cell r="N1132">
            <v>0</v>
          </cell>
          <cell r="O1132">
            <v>0</v>
          </cell>
          <cell r="P1132">
            <v>-1</v>
          </cell>
          <cell r="Q1132">
            <v>2004</v>
          </cell>
          <cell r="R1132" t="str">
            <v>DEARBORN PLANT BUILD</v>
          </cell>
          <cell r="S1132" t="str">
            <v>P221/P397</v>
          </cell>
          <cell r="T1132" t="str">
            <v>Sun/Moonroof Top Squeak/Rattle</v>
          </cell>
          <cell r="U1132" t="str">
            <v>Moonroof bolts loose on frame</v>
          </cell>
          <cell r="V1132" t="str">
            <v>ALL</v>
          </cell>
          <cell r="W1132">
            <v>1</v>
          </cell>
          <cell r="AC1132">
            <v>1</v>
          </cell>
        </row>
        <row r="1133">
          <cell r="A1133">
            <v>0</v>
          </cell>
          <cell r="B1133" t="str">
            <v>ALL VRTS</v>
          </cell>
          <cell r="D1133">
            <v>2</v>
          </cell>
          <cell r="I1133" t="str">
            <v>N43</v>
          </cell>
          <cell r="L1133" t="str">
            <v>V39</v>
          </cell>
          <cell r="N1133">
            <v>-1</v>
          </cell>
          <cell r="O1133">
            <v>0</v>
          </cell>
          <cell r="P1133">
            <v>0</v>
          </cell>
          <cell r="Q1133">
            <v>2004</v>
          </cell>
          <cell r="R1133" t="str">
            <v>DEARBORN PLANT BUILD</v>
          </cell>
          <cell r="S1133" t="str">
            <v>P221/P397</v>
          </cell>
          <cell r="T1133" t="str">
            <v>Sun/Moonroof Top Squeak/Rattle</v>
          </cell>
          <cell r="U1133" t="str">
            <v>Sunroof Cover Rattle movement between part and track</v>
          </cell>
          <cell r="V1133" t="str">
            <v>ALL</v>
          </cell>
          <cell r="W1133">
            <v>1</v>
          </cell>
          <cell r="Y1133">
            <v>1</v>
          </cell>
        </row>
        <row r="1134">
          <cell r="A1134">
            <v>0</v>
          </cell>
          <cell r="B1134" t="str">
            <v>ALL VRTS</v>
          </cell>
          <cell r="D1134">
            <v>2</v>
          </cell>
          <cell r="I1134" t="str">
            <v>L15</v>
          </cell>
          <cell r="L1134" t="str">
            <v>V07</v>
          </cell>
          <cell r="N1134">
            <v>0</v>
          </cell>
          <cell r="O1134">
            <v>-1</v>
          </cell>
          <cell r="P1134">
            <v>0</v>
          </cell>
          <cell r="Q1134">
            <v>2004</v>
          </cell>
          <cell r="R1134" t="str">
            <v>DEARBORN PLANT BUILD</v>
          </cell>
          <cell r="S1134" t="str">
            <v>P221/P397</v>
          </cell>
          <cell r="T1134" t="str">
            <v>TAILGATE CABLE</v>
          </cell>
          <cell r="U1134" t="str">
            <v>SHEATHING PEELING OFF</v>
          </cell>
          <cell r="V1134" t="str">
            <v>ALL</v>
          </cell>
          <cell r="W1134">
            <v>1</v>
          </cell>
          <cell r="AC1134">
            <v>1</v>
          </cell>
        </row>
        <row r="1135">
          <cell r="A1135">
            <v>0</v>
          </cell>
          <cell r="B1135" t="str">
            <v>ALL VRTS</v>
          </cell>
          <cell r="D1135">
            <v>2</v>
          </cell>
          <cell r="I1135" t="str">
            <v>L15</v>
          </cell>
          <cell r="L1135" t="str">
            <v>V07</v>
          </cell>
          <cell r="N1135">
            <v>0</v>
          </cell>
          <cell r="O1135">
            <v>-1</v>
          </cell>
          <cell r="P1135">
            <v>0</v>
          </cell>
          <cell r="Q1135">
            <v>2004</v>
          </cell>
          <cell r="R1135" t="str">
            <v>DEARBORN PLANT BUILD</v>
          </cell>
          <cell r="S1135" t="str">
            <v>P221/P397</v>
          </cell>
          <cell r="T1135" t="str">
            <v>TAILGATE CABLE</v>
          </cell>
          <cell r="U1135" t="str">
            <v>TAILGATE CABLE SHORT ONE SIDE</v>
          </cell>
          <cell r="V1135" t="str">
            <v>ALL</v>
          </cell>
          <cell r="W1135">
            <v>1</v>
          </cell>
          <cell r="Z1135">
            <v>1</v>
          </cell>
        </row>
        <row r="1136">
          <cell r="A1136">
            <v>0</v>
          </cell>
          <cell r="B1136" t="str">
            <v>ALL VRTS</v>
          </cell>
          <cell r="D1136">
            <v>2</v>
          </cell>
          <cell r="I1136" t="str">
            <v>L72</v>
          </cell>
          <cell r="L1136" t="str">
            <v>V44</v>
          </cell>
          <cell r="N1136">
            <v>0</v>
          </cell>
          <cell r="O1136">
            <v>-1</v>
          </cell>
          <cell r="P1136">
            <v>0</v>
          </cell>
          <cell r="Q1136">
            <v>2004</v>
          </cell>
          <cell r="R1136" t="str">
            <v>DEARBORN PLANT BUILD</v>
          </cell>
          <cell r="S1136" t="str">
            <v>P221/P397</v>
          </cell>
          <cell r="T1136" t="str">
            <v>TRANSFER CASE/LEAK</v>
          </cell>
          <cell r="U1136" t="str">
            <v>Output shaft seal</v>
          </cell>
          <cell r="V1136" t="str">
            <v>ALL</v>
          </cell>
          <cell r="W1136">
            <v>1</v>
          </cell>
          <cell r="AE1136">
            <v>1</v>
          </cell>
        </row>
        <row r="1137">
          <cell r="A1137">
            <v>0</v>
          </cell>
          <cell r="B1137" t="str">
            <v>ALL VRTS</v>
          </cell>
          <cell r="D1137">
            <v>2</v>
          </cell>
          <cell r="I1137" t="str">
            <v>L72</v>
          </cell>
          <cell r="L1137" t="str">
            <v>V44</v>
          </cell>
          <cell r="N1137">
            <v>0</v>
          </cell>
          <cell r="O1137">
            <v>-1</v>
          </cell>
          <cell r="P1137">
            <v>0</v>
          </cell>
          <cell r="Q1137">
            <v>2004</v>
          </cell>
          <cell r="R1137" t="str">
            <v>DEARBORN PLANT BUILD</v>
          </cell>
          <cell r="S1137" t="str">
            <v>P221/P397</v>
          </cell>
          <cell r="T1137" t="str">
            <v>TRANSFER CASE/LEAK</v>
          </cell>
          <cell r="U1137" t="str">
            <v>Replaced Rear Seal</v>
          </cell>
          <cell r="V1137" t="str">
            <v>ALL</v>
          </cell>
          <cell r="W1137">
            <v>1</v>
          </cell>
          <cell r="AE1137">
            <v>1</v>
          </cell>
        </row>
        <row r="1138">
          <cell r="A1138">
            <v>0</v>
          </cell>
          <cell r="B1138" t="str">
            <v>ALL VRTS</v>
          </cell>
          <cell r="D1138">
            <v>2</v>
          </cell>
          <cell r="E1138" t="str">
            <v>5550</v>
          </cell>
          <cell r="G1138" t="str">
            <v>T3E26R</v>
          </cell>
          <cell r="I1138" t="str">
            <v>T53</v>
          </cell>
          <cell r="L1138" t="str">
            <v>V74</v>
          </cell>
          <cell r="N1138">
            <v>0</v>
          </cell>
          <cell r="O1138">
            <v>-1</v>
          </cell>
          <cell r="P1138">
            <v>-1</v>
          </cell>
          <cell r="Q1138">
            <v>2004</v>
          </cell>
          <cell r="R1138" t="str">
            <v>DEARBORN PLANT BUILD</v>
          </cell>
          <cell r="S1138" t="str">
            <v>P221/P397</v>
          </cell>
          <cell r="T1138" t="str">
            <v>TRIM PANELS</v>
          </cell>
          <cell r="U1138" t="str">
            <v>DAMAGED</v>
          </cell>
          <cell r="V1138" t="str">
            <v>ALL</v>
          </cell>
          <cell r="W1138">
            <v>1</v>
          </cell>
          <cell r="AD1138">
            <v>1</v>
          </cell>
        </row>
        <row r="1139">
          <cell r="A1139">
            <v>0</v>
          </cell>
          <cell r="B1139" t="str">
            <v>ALL VRTS</v>
          </cell>
          <cell r="D1139">
            <v>2</v>
          </cell>
          <cell r="E1139" t="str">
            <v>6520</v>
          </cell>
          <cell r="G1139" t="str">
            <v>C5E01L</v>
          </cell>
          <cell r="I1139" t="str">
            <v>T54</v>
          </cell>
          <cell r="L1139" t="str">
            <v>V74</v>
          </cell>
          <cell r="N1139">
            <v>0</v>
          </cell>
          <cell r="O1139">
            <v>0</v>
          </cell>
          <cell r="P1139">
            <v>-1</v>
          </cell>
          <cell r="Q1139">
            <v>2004</v>
          </cell>
          <cell r="R1139" t="str">
            <v>DEARBORN PLANT BUILD</v>
          </cell>
          <cell r="S1139" t="str">
            <v>P221/P397</v>
          </cell>
          <cell r="T1139" t="str">
            <v>TRIM PANELS</v>
          </cell>
          <cell r="U1139" t="str">
            <v>E BRAKE MISSING</v>
          </cell>
          <cell r="V1139" t="str">
            <v>ALL</v>
          </cell>
          <cell r="W1139">
            <v>1</v>
          </cell>
          <cell r="AD1139">
            <v>1</v>
          </cell>
        </row>
        <row r="1140">
          <cell r="A1140">
            <v>0</v>
          </cell>
          <cell r="B1140" t="str">
            <v>ALL VRTS</v>
          </cell>
          <cell r="D1140">
            <v>2</v>
          </cell>
          <cell r="I1140" t="str">
            <v>N11</v>
          </cell>
          <cell r="J1140" t="str">
            <v>N18</v>
          </cell>
          <cell r="L1140" t="str">
            <v>V49</v>
          </cell>
          <cell r="N1140">
            <v>-1</v>
          </cell>
          <cell r="O1140">
            <v>-1</v>
          </cell>
          <cell r="P1140">
            <v>0</v>
          </cell>
          <cell r="Q1140">
            <v>2004</v>
          </cell>
          <cell r="R1140" t="str">
            <v>DEARBORN PLANT BUILD</v>
          </cell>
          <cell r="S1140" t="str">
            <v>P221/P397</v>
          </cell>
          <cell r="T1140" t="str">
            <v>VEH. VIBRATES</v>
          </cell>
          <cell r="U1140" t="str">
            <v>npf</v>
          </cell>
          <cell r="V1140" t="str">
            <v>ALL</v>
          </cell>
          <cell r="W1140">
            <v>2</v>
          </cell>
          <cell r="Z1140">
            <v>1</v>
          </cell>
          <cell r="AD1140">
            <v>1</v>
          </cell>
        </row>
        <row r="1141">
          <cell r="A1141">
            <v>0</v>
          </cell>
          <cell r="B1141" t="str">
            <v>ALL VRTS</v>
          </cell>
          <cell r="D1141">
            <v>2</v>
          </cell>
          <cell r="I1141" t="str">
            <v>A85</v>
          </cell>
          <cell r="L1141" t="str">
            <v>V17</v>
          </cell>
          <cell r="N1141">
            <v>-1</v>
          </cell>
          <cell r="O1141">
            <v>0</v>
          </cell>
          <cell r="P1141">
            <v>0</v>
          </cell>
          <cell r="Q1141">
            <v>2004</v>
          </cell>
          <cell r="R1141" t="str">
            <v>DEARBORN PLANT BUILD</v>
          </cell>
          <cell r="S1141" t="str">
            <v>P221/P397</v>
          </cell>
          <cell r="T1141" t="str">
            <v>Water leak apost c2108</v>
          </cell>
          <cell r="U1141" t="str">
            <v>Holes in connector C/O date 9/12/04</v>
          </cell>
          <cell r="V1141" t="str">
            <v>ALL</v>
          </cell>
          <cell r="W1141">
            <v>2</v>
          </cell>
          <cell r="AC1141">
            <v>1</v>
          </cell>
          <cell r="AE1141">
            <v>1</v>
          </cell>
        </row>
        <row r="1142">
          <cell r="A1142">
            <v>0</v>
          </cell>
          <cell r="B1142" t="str">
            <v>ALL VRTS</v>
          </cell>
          <cell r="D1142">
            <v>2</v>
          </cell>
          <cell r="I1142" t="str">
            <v>R09</v>
          </cell>
          <cell r="L1142" t="str">
            <v>V37</v>
          </cell>
          <cell r="N1142">
            <v>-1</v>
          </cell>
          <cell r="O1142">
            <v>0</v>
          </cell>
          <cell r="P1142">
            <v>0</v>
          </cell>
          <cell r="Q1142">
            <v>2004</v>
          </cell>
          <cell r="R1142" t="str">
            <v>DEARBORN PLANT BUILD</v>
          </cell>
          <cell r="S1142" t="str">
            <v>P221/P397</v>
          </cell>
          <cell r="T1142" t="str">
            <v>Water Leak Around Moonroof</v>
          </cell>
          <cell r="U1142" t="str">
            <v>Drain Tube</v>
          </cell>
          <cell r="V1142" t="str">
            <v>ALL</v>
          </cell>
          <cell r="W1142">
            <v>1</v>
          </cell>
          <cell r="AD1142">
            <v>1</v>
          </cell>
        </row>
        <row r="1143">
          <cell r="A1143">
            <v>0</v>
          </cell>
          <cell r="B1143" t="str">
            <v>ALL VRTS</v>
          </cell>
          <cell r="D1143">
            <v>2</v>
          </cell>
          <cell r="I1143" t="str">
            <v>R09</v>
          </cell>
          <cell r="L1143" t="str">
            <v>V37</v>
          </cell>
          <cell r="N1143">
            <v>-1</v>
          </cell>
          <cell r="O1143">
            <v>0</v>
          </cell>
          <cell r="P1143">
            <v>-1</v>
          </cell>
          <cell r="Q1143">
            <v>2004</v>
          </cell>
          <cell r="R1143" t="str">
            <v>DEARBORN PLANT BUILD</v>
          </cell>
          <cell r="S1143" t="str">
            <v>P221/P397</v>
          </cell>
          <cell r="T1143" t="str">
            <v>Water Leak Around Moonroof</v>
          </cell>
          <cell r="U1143" t="str">
            <v>npf</v>
          </cell>
          <cell r="V1143" t="str">
            <v>ALL</v>
          </cell>
          <cell r="W1143">
            <v>1</v>
          </cell>
          <cell r="AC1143">
            <v>1</v>
          </cell>
        </row>
        <row r="1144">
          <cell r="A1144">
            <v>0</v>
          </cell>
          <cell r="B1144" t="str">
            <v>ALL VRTS</v>
          </cell>
          <cell r="D1144">
            <v>2</v>
          </cell>
          <cell r="E1144" t="str">
            <v>unsure</v>
          </cell>
          <cell r="G1144" t="str">
            <v>Paint</v>
          </cell>
          <cell r="I1144" t="str">
            <v>R10</v>
          </cell>
          <cell r="L1144" t="str">
            <v>V37</v>
          </cell>
          <cell r="N1144">
            <v>0</v>
          </cell>
          <cell r="O1144">
            <v>0</v>
          </cell>
          <cell r="P1144">
            <v>-1</v>
          </cell>
          <cell r="Q1144">
            <v>2004</v>
          </cell>
          <cell r="R1144" t="str">
            <v>DEARBORN PLANT BUILD</v>
          </cell>
          <cell r="S1144" t="str">
            <v>P221/P397</v>
          </cell>
          <cell r="T1144" t="str">
            <v>Water Leak Around Top of Back Window</v>
          </cell>
          <cell r="U1144" t="str">
            <v>Roof Ditch Seam Water Leak Sealer missing</v>
          </cell>
          <cell r="V1144" t="str">
            <v>ALL</v>
          </cell>
          <cell r="W1144">
            <v>1</v>
          </cell>
          <cell r="AA1144">
            <v>1</v>
          </cell>
        </row>
        <row r="1145">
          <cell r="A1145">
            <v>0</v>
          </cell>
          <cell r="B1145" t="str">
            <v>ALL VRTS</v>
          </cell>
          <cell r="D1145">
            <v>2</v>
          </cell>
          <cell r="I1145" t="str">
            <v>R05</v>
          </cell>
          <cell r="L1145" t="str">
            <v>V37</v>
          </cell>
          <cell r="N1145">
            <v>0</v>
          </cell>
          <cell r="O1145">
            <v>-1</v>
          </cell>
          <cell r="P1145">
            <v>0</v>
          </cell>
          <cell r="Q1145">
            <v>2004</v>
          </cell>
          <cell r="R1145" t="str">
            <v>DEARBORN PLANT BUILD</v>
          </cell>
          <cell r="S1145" t="str">
            <v>P221/P397</v>
          </cell>
          <cell r="T1145" t="str">
            <v>Water Leak Around Top of Back Window</v>
          </cell>
          <cell r="U1145" t="str">
            <v>Sealer skip around Rear Glass-Top</v>
          </cell>
          <cell r="V1145" t="str">
            <v>ALL</v>
          </cell>
          <cell r="W1145">
            <v>1</v>
          </cell>
          <cell r="Y1145">
            <v>1</v>
          </cell>
        </row>
        <row r="1146">
          <cell r="A1146">
            <v>0</v>
          </cell>
          <cell r="B1146" t="str">
            <v>ALL VRTS</v>
          </cell>
          <cell r="D1146">
            <v>2</v>
          </cell>
          <cell r="I1146" t="str">
            <v>C24</v>
          </cell>
          <cell r="L1146" t="str">
            <v>V79</v>
          </cell>
          <cell r="N1146">
            <v>0</v>
          </cell>
          <cell r="O1146">
            <v>0</v>
          </cell>
          <cell r="P1146">
            <v>-1</v>
          </cell>
          <cell r="Q1146">
            <v>2004</v>
          </cell>
          <cell r="R1146" t="str">
            <v>DEARBORN PLANT BUILD</v>
          </cell>
          <cell r="S1146" t="str">
            <v>P221/P397</v>
          </cell>
          <cell r="T1146" t="str">
            <v>Water Leak at HVAC</v>
          </cell>
          <cell r="U1146" t="str">
            <v>HVAC Repaired pinched seal</v>
          </cell>
          <cell r="V1146" t="str">
            <v>ALL</v>
          </cell>
          <cell r="W1146">
            <v>1</v>
          </cell>
          <cell r="AE1146">
            <v>1</v>
          </cell>
        </row>
        <row r="1147">
          <cell r="A1147">
            <v>0</v>
          </cell>
          <cell r="B1147" t="str">
            <v>ALL VRTS</v>
          </cell>
          <cell r="D1147">
            <v>2</v>
          </cell>
          <cell r="I1147" t="str">
            <v>C24</v>
          </cell>
          <cell r="L1147" t="str">
            <v>V79</v>
          </cell>
          <cell r="N1147">
            <v>0</v>
          </cell>
          <cell r="O1147">
            <v>-1</v>
          </cell>
          <cell r="P1147">
            <v>0</v>
          </cell>
          <cell r="Q1147">
            <v>2004</v>
          </cell>
          <cell r="R1147" t="str">
            <v>DEARBORN PLANT BUILD</v>
          </cell>
          <cell r="S1147" t="str">
            <v>P221/P397</v>
          </cell>
          <cell r="T1147" t="str">
            <v>Water Leak at HVAC</v>
          </cell>
          <cell r="U1147" t="str">
            <v>Water Cowl Behind EVAC</v>
          </cell>
          <cell r="V1147" t="str">
            <v>ALL</v>
          </cell>
          <cell r="W1147">
            <v>1</v>
          </cell>
          <cell r="AD1147">
            <v>1</v>
          </cell>
        </row>
        <row r="1148">
          <cell r="A1148">
            <v>0</v>
          </cell>
          <cell r="B1148" t="str">
            <v>ALL VRTS</v>
          </cell>
          <cell r="D1148">
            <v>2</v>
          </cell>
          <cell r="E1148" t="str">
            <v>5460</v>
          </cell>
          <cell r="G1148" t="str">
            <v>T1W21L</v>
          </cell>
          <cell r="H1148" t="str">
            <v>T1W23L</v>
          </cell>
          <cell r="I1148" t="str">
            <v>T53</v>
          </cell>
          <cell r="J1148" t="str">
            <v>T90</v>
          </cell>
          <cell r="L1148" t="str">
            <v>V74</v>
          </cell>
          <cell r="N1148">
            <v>0</v>
          </cell>
          <cell r="O1148">
            <v>-1</v>
          </cell>
          <cell r="P1148">
            <v>-1</v>
          </cell>
          <cell r="Q1148">
            <v>2004</v>
          </cell>
          <cell r="R1148" t="str">
            <v>DEARBORN PLANT BUILD</v>
          </cell>
          <cell r="S1148" t="str">
            <v>P221/P397</v>
          </cell>
          <cell r="T1148" t="str">
            <v>WEATHER STRIP</v>
          </cell>
          <cell r="U1148" t="str">
            <v>DEFECTIVE</v>
          </cell>
          <cell r="V1148" t="str">
            <v>ALL</v>
          </cell>
          <cell r="W1148">
            <v>2</v>
          </cell>
          <cell r="Z1148">
            <v>1</v>
          </cell>
          <cell r="AD1148">
            <v>1</v>
          </cell>
        </row>
        <row r="1149">
          <cell r="A1149">
            <v>0</v>
          </cell>
          <cell r="B1149" t="str">
            <v>ALL VRTS</v>
          </cell>
          <cell r="D1149">
            <v>2</v>
          </cell>
          <cell r="E1149" t="str">
            <v>C5 6540-2-G</v>
          </cell>
          <cell r="G1149" t="str">
            <v>C5W28R</v>
          </cell>
          <cell r="I1149" t="str">
            <v>B65</v>
          </cell>
          <cell r="L1149" t="str">
            <v>V75</v>
          </cell>
          <cell r="N1149">
            <v>0</v>
          </cell>
          <cell r="O1149">
            <v>-1</v>
          </cell>
          <cell r="P1149">
            <v>-1</v>
          </cell>
          <cell r="Q1149">
            <v>2004</v>
          </cell>
          <cell r="R1149" t="str">
            <v>DEARBORN PLANT BUILD</v>
          </cell>
          <cell r="S1149" t="str">
            <v>P221/P397</v>
          </cell>
          <cell r="T1149" t="str">
            <v>WHEEL / DISCOLORED</v>
          </cell>
          <cell r="U1149" t="str">
            <v>REPLACE</v>
          </cell>
          <cell r="V1149" t="str">
            <v>ALL</v>
          </cell>
          <cell r="W1149">
            <v>2</v>
          </cell>
          <cell r="AD1149">
            <v>2</v>
          </cell>
        </row>
        <row r="1150">
          <cell r="A1150">
            <v>0</v>
          </cell>
          <cell r="B1150" t="str">
            <v>ALL VRTS</v>
          </cell>
          <cell r="C1150" t="str">
            <v>X</v>
          </cell>
          <cell r="D1150">
            <v>2</v>
          </cell>
          <cell r="E1150" t="str">
            <v>unsure</v>
          </cell>
          <cell r="G1150" t="str">
            <v>T2E18R</v>
          </cell>
          <cell r="I1150" t="str">
            <v>R25</v>
          </cell>
          <cell r="L1150" t="str">
            <v>V11</v>
          </cell>
          <cell r="N1150">
            <v>0</v>
          </cell>
          <cell r="O1150">
            <v>0</v>
          </cell>
          <cell r="P1150">
            <v>-1</v>
          </cell>
          <cell r="Q1150">
            <v>2004</v>
          </cell>
          <cell r="R1150" t="str">
            <v>DEARBORN PLANT BUILD</v>
          </cell>
          <cell r="S1150" t="str">
            <v>P221/P397</v>
          </cell>
          <cell r="T1150" t="str">
            <v>Wind Noise Around Rear Sliding Window</v>
          </cell>
          <cell r="U1150" t="str">
            <v>Back Window N/Installed Correctly</v>
          </cell>
          <cell r="V1150" t="str">
            <v>ALL</v>
          </cell>
          <cell r="W1150">
            <v>1</v>
          </cell>
          <cell r="AC1150">
            <v>1</v>
          </cell>
        </row>
        <row r="1151">
          <cell r="A1151">
            <v>0</v>
          </cell>
          <cell r="B1151" t="str">
            <v>ALL VRTS</v>
          </cell>
          <cell r="C1151" t="str">
            <v>X</v>
          </cell>
          <cell r="D1151">
            <v>2</v>
          </cell>
          <cell r="I1151" t="str">
            <v>R25</v>
          </cell>
          <cell r="L1151" t="str">
            <v>V11</v>
          </cell>
          <cell r="N1151">
            <v>0</v>
          </cell>
          <cell r="O1151">
            <v>-1</v>
          </cell>
          <cell r="P1151">
            <v>0</v>
          </cell>
          <cell r="Q1151">
            <v>2004</v>
          </cell>
          <cell r="R1151" t="str">
            <v>DEARBORN PLANT BUILD</v>
          </cell>
          <cell r="S1151" t="str">
            <v>P221/P397</v>
          </cell>
          <cell r="T1151" t="str">
            <v>Wind Noise Around Rear Sliding Window</v>
          </cell>
          <cell r="U1151" t="str">
            <v>Back Window will not close(Gap)</v>
          </cell>
          <cell r="V1151" t="str">
            <v>ALL</v>
          </cell>
          <cell r="W1151">
            <v>1</v>
          </cell>
          <cell r="AE1151">
            <v>1</v>
          </cell>
        </row>
        <row r="1152">
          <cell r="A1152">
            <v>0</v>
          </cell>
          <cell r="B1152" t="str">
            <v>ALL VRTS</v>
          </cell>
          <cell r="D1152">
            <v>1</v>
          </cell>
          <cell r="E1152" t="str">
            <v>6560-2-H</v>
          </cell>
          <cell r="G1152" t="str">
            <v>C4W08R</v>
          </cell>
          <cell r="I1152" t="str">
            <v>B66</v>
          </cell>
          <cell r="L1152" t="str">
            <v>V75</v>
          </cell>
          <cell r="N1152">
            <v>0</v>
          </cell>
          <cell r="O1152">
            <v>0</v>
          </cell>
          <cell r="P1152">
            <v>-1</v>
          </cell>
          <cell r="Q1152">
            <v>2004</v>
          </cell>
          <cell r="R1152" t="str">
            <v>DEARBORN PLANT BUILD</v>
          </cell>
          <cell r="S1152" t="str">
            <v>P221/P397</v>
          </cell>
          <cell r="T1152" t="str">
            <v xml:space="preserve"> Bed Rail Mldg / Loose</v>
          </cell>
          <cell r="U1152" t="str">
            <v>Fastener not attached</v>
          </cell>
          <cell r="V1152" t="str">
            <v>ALL</v>
          </cell>
          <cell r="W1152">
            <v>1</v>
          </cell>
          <cell r="Z1152">
            <v>1</v>
          </cell>
        </row>
        <row r="1153">
          <cell r="A1153">
            <v>0</v>
          </cell>
          <cell r="B1153" t="str">
            <v>ALL VRTS</v>
          </cell>
          <cell r="D1153">
            <v>1</v>
          </cell>
          <cell r="I1153" t="str">
            <v>D50</v>
          </cell>
          <cell r="L1153" t="str">
            <v>V44</v>
          </cell>
          <cell r="N1153">
            <v>-1</v>
          </cell>
          <cell r="O1153">
            <v>0</v>
          </cell>
          <cell r="P1153">
            <v>0</v>
          </cell>
          <cell r="Q1153">
            <v>2004</v>
          </cell>
          <cell r="R1153" t="str">
            <v>DEARBORN PLANT BUILD</v>
          </cell>
          <cell r="S1153" t="str">
            <v>P221/P397</v>
          </cell>
          <cell r="T1153" t="str">
            <v xml:space="preserve"> HARD TO ACCEL</v>
          </cell>
          <cell r="U1153" t="str">
            <v>npf</v>
          </cell>
          <cell r="V1153" t="str">
            <v>ALL</v>
          </cell>
          <cell r="W1153">
            <v>1</v>
          </cell>
          <cell r="AA1153">
            <v>1</v>
          </cell>
        </row>
        <row r="1154">
          <cell r="A1154">
            <v>0</v>
          </cell>
          <cell r="B1154" t="str">
            <v>ALL VRTS</v>
          </cell>
          <cell r="D1154">
            <v>1</v>
          </cell>
          <cell r="E1154" t="str">
            <v>34602C</v>
          </cell>
          <cell r="G1154" t="str">
            <v>Final Fitters</v>
          </cell>
          <cell r="I1154" t="str">
            <v>B02</v>
          </cell>
          <cell r="L1154" t="str">
            <v>V31</v>
          </cell>
          <cell r="N1154">
            <v>0</v>
          </cell>
          <cell r="O1154">
            <v>0</v>
          </cell>
          <cell r="P1154">
            <v>-1</v>
          </cell>
          <cell r="Q1154">
            <v>2004</v>
          </cell>
          <cell r="R1154" t="str">
            <v>DEARBORN PLANT BUILD</v>
          </cell>
          <cell r="S1154" t="str">
            <v>P221/P397</v>
          </cell>
          <cell r="T1154" t="str">
            <v xml:space="preserve"> Tailgate - Noisy</v>
          </cell>
          <cell r="U1154" t="str">
            <v>Adjusted</v>
          </cell>
          <cell r="V1154" t="str">
            <v>ALL</v>
          </cell>
          <cell r="W1154">
            <v>1</v>
          </cell>
          <cell r="AC1154">
            <v>1</v>
          </cell>
        </row>
        <row r="1155">
          <cell r="A1155">
            <v>0</v>
          </cell>
          <cell r="B1155" t="str">
            <v>ALL VRTS</v>
          </cell>
          <cell r="D1155">
            <v>1</v>
          </cell>
          <cell r="E1155" t="str">
            <v>34502C</v>
          </cell>
          <cell r="G1155" t="str">
            <v>Metal Finishers</v>
          </cell>
          <cell r="I1155" t="str">
            <v>B01</v>
          </cell>
          <cell r="L1155" t="str">
            <v>V31</v>
          </cell>
          <cell r="N1155">
            <v>0</v>
          </cell>
          <cell r="O1155">
            <v>0</v>
          </cell>
          <cell r="P1155">
            <v>-1</v>
          </cell>
          <cell r="Q1155">
            <v>2004</v>
          </cell>
          <cell r="R1155" t="str">
            <v>DEARBORN PLANT BUILD</v>
          </cell>
          <cell r="S1155" t="str">
            <v>P221/P397</v>
          </cell>
          <cell r="T1155" t="str">
            <v xml:space="preserve"> Tailgate - Surface</v>
          </cell>
          <cell r="U1155" t="str">
            <v>dent</v>
          </cell>
          <cell r="V1155" t="str">
            <v>ALL</v>
          </cell>
          <cell r="W1155">
            <v>1</v>
          </cell>
          <cell r="AA1155">
            <v>1</v>
          </cell>
        </row>
        <row r="1156">
          <cell r="A1156">
            <v>0</v>
          </cell>
          <cell r="B1156" t="str">
            <v>ALL VRTS</v>
          </cell>
          <cell r="D1156">
            <v>1</v>
          </cell>
          <cell r="I1156" t="str">
            <v>A85</v>
          </cell>
          <cell r="L1156" t="str">
            <v>V17</v>
          </cell>
          <cell r="N1156">
            <v>0</v>
          </cell>
          <cell r="O1156">
            <v>0</v>
          </cell>
          <cell r="P1156">
            <v>-1</v>
          </cell>
          <cell r="Q1156">
            <v>2004</v>
          </cell>
          <cell r="R1156" t="str">
            <v>DEARBORN PLANT BUILD</v>
          </cell>
          <cell r="S1156" t="str">
            <v>P221/P397</v>
          </cell>
          <cell r="T1156" t="str">
            <v>Accel. Noisy</v>
          </cell>
          <cell r="U1156" t="str">
            <v>Vacuum Line Broken</v>
          </cell>
          <cell r="V1156" t="str">
            <v>ALL</v>
          </cell>
          <cell r="W1156">
            <v>1</v>
          </cell>
          <cell r="AD1156">
            <v>1</v>
          </cell>
        </row>
        <row r="1157">
          <cell r="A1157">
            <v>0</v>
          </cell>
          <cell r="B1157" t="str">
            <v>ALL VRTS</v>
          </cell>
          <cell r="D1157">
            <v>1</v>
          </cell>
          <cell r="I1157" t="str">
            <v>S27</v>
          </cell>
          <cell r="L1157" t="str">
            <v>V05</v>
          </cell>
          <cell r="N1157">
            <v>0</v>
          </cell>
          <cell r="O1157">
            <v>-1</v>
          </cell>
          <cell r="P1157">
            <v>0</v>
          </cell>
          <cell r="Q1157">
            <v>2004</v>
          </cell>
          <cell r="R1157" t="str">
            <v>DEARBORN PLANT BUILD</v>
          </cell>
          <cell r="S1157" t="str">
            <v>P221/P397</v>
          </cell>
          <cell r="T1157" t="str">
            <v>AIR BAG EMBLEM</v>
          </cell>
          <cell r="U1157" t="str">
            <v>DENT</v>
          </cell>
          <cell r="V1157" t="str">
            <v>ALL</v>
          </cell>
          <cell r="W1157">
            <v>1</v>
          </cell>
          <cell r="AA1157">
            <v>1</v>
          </cell>
        </row>
        <row r="1158">
          <cell r="A1158">
            <v>0</v>
          </cell>
          <cell r="B1158" t="str">
            <v>ALL VRTS</v>
          </cell>
          <cell r="D1158">
            <v>1</v>
          </cell>
          <cell r="I1158" t="str">
            <v>A85</v>
          </cell>
          <cell r="L1158" t="str">
            <v>V17</v>
          </cell>
          <cell r="N1158">
            <v>0</v>
          </cell>
          <cell r="O1158">
            <v>-1</v>
          </cell>
          <cell r="P1158">
            <v>0</v>
          </cell>
          <cell r="Q1158">
            <v>2004</v>
          </cell>
          <cell r="R1158" t="str">
            <v>DEARBORN PLANT BUILD</v>
          </cell>
          <cell r="S1158" t="str">
            <v>P221/P397</v>
          </cell>
          <cell r="T1158" t="str">
            <v>Air Temp Senor INOP</v>
          </cell>
          <cell r="U1158" t="str">
            <v>Bad Temp Sensor</v>
          </cell>
          <cell r="V1158" t="str">
            <v>ALL</v>
          </cell>
          <cell r="W1158">
            <v>1</v>
          </cell>
          <cell r="AD1158">
            <v>1</v>
          </cell>
        </row>
        <row r="1159">
          <cell r="A1159">
            <v>0</v>
          </cell>
          <cell r="B1159" t="str">
            <v>ALL VRTS</v>
          </cell>
          <cell r="D1159">
            <v>1</v>
          </cell>
          <cell r="E1159" t="str">
            <v>Trim 1 5440 -D</v>
          </cell>
          <cell r="G1159" t="str">
            <v>T1E02R</v>
          </cell>
          <cell r="I1159" t="str">
            <v>B63</v>
          </cell>
          <cell r="L1159" t="str">
            <v>V75</v>
          </cell>
          <cell r="N1159">
            <v>0</v>
          </cell>
          <cell r="O1159">
            <v>0</v>
          </cell>
          <cell r="P1159">
            <v>-1</v>
          </cell>
          <cell r="Q1159">
            <v>2004</v>
          </cell>
          <cell r="R1159" t="str">
            <v>DEARBORN PLANT BUILD</v>
          </cell>
          <cell r="S1159" t="str">
            <v>P221/P397</v>
          </cell>
          <cell r="T1159" t="str">
            <v>ANTENNA BASE COVER / MISSING</v>
          </cell>
          <cell r="U1159" t="str">
            <v>Operator Error</v>
          </cell>
          <cell r="V1159" t="str">
            <v>ALL</v>
          </cell>
          <cell r="W1159">
            <v>1</v>
          </cell>
          <cell r="AE1159">
            <v>1</v>
          </cell>
        </row>
        <row r="1160">
          <cell r="A1160">
            <v>0</v>
          </cell>
          <cell r="B1160" t="str">
            <v>ALL VRTS</v>
          </cell>
          <cell r="D1160">
            <v>1</v>
          </cell>
          <cell r="E1160" t="str">
            <v>Trim 1 5440 -D</v>
          </cell>
          <cell r="G1160" t="str">
            <v>T1E02R</v>
          </cell>
          <cell r="I1160" t="str">
            <v>B63</v>
          </cell>
          <cell r="L1160" t="str">
            <v>V75</v>
          </cell>
          <cell r="N1160">
            <v>0</v>
          </cell>
          <cell r="O1160">
            <v>0</v>
          </cell>
          <cell r="P1160">
            <v>-1</v>
          </cell>
          <cell r="Q1160">
            <v>2004</v>
          </cell>
          <cell r="R1160" t="str">
            <v>DEARBORN PLANT BUILD</v>
          </cell>
          <cell r="S1160" t="str">
            <v>P221/P397</v>
          </cell>
          <cell r="T1160" t="str">
            <v>ANTENNA BASE COVER / POOR FIT</v>
          </cell>
          <cell r="U1160" t="str">
            <v>Replaced Antenna Base Cover</v>
          </cell>
          <cell r="V1160" t="str">
            <v>ALL</v>
          </cell>
          <cell r="W1160">
            <v>1</v>
          </cell>
          <cell r="AE1160">
            <v>1</v>
          </cell>
        </row>
        <row r="1161">
          <cell r="A1161">
            <v>0</v>
          </cell>
          <cell r="B1161" t="str">
            <v>ALL VRTS</v>
          </cell>
          <cell r="D1161">
            <v>1</v>
          </cell>
          <cell r="E1161" t="str">
            <v>Box Line 5400-2-B</v>
          </cell>
          <cell r="G1161" t="str">
            <v>TBE 26B</v>
          </cell>
          <cell r="I1161" t="str">
            <v>B63</v>
          </cell>
          <cell r="L1161" t="str">
            <v>V75</v>
          </cell>
          <cell r="N1161">
            <v>0</v>
          </cell>
          <cell r="O1161">
            <v>0</v>
          </cell>
          <cell r="P1161">
            <v>-1</v>
          </cell>
          <cell r="Q1161">
            <v>2004</v>
          </cell>
          <cell r="R1161" t="str">
            <v>DEARBORN PLANT BUILD</v>
          </cell>
          <cell r="S1161" t="str">
            <v>P221/P397</v>
          </cell>
          <cell r="T1161" t="str">
            <v>BED RAIL MOLDING / LOOSE</v>
          </cell>
          <cell r="U1161" t="str">
            <v>Molding replaced</v>
          </cell>
          <cell r="V1161" t="str">
            <v>ALL</v>
          </cell>
          <cell r="W1161">
            <v>1</v>
          </cell>
          <cell r="AD1161">
            <v>1</v>
          </cell>
        </row>
        <row r="1162">
          <cell r="A1162">
            <v>0</v>
          </cell>
          <cell r="B1162" t="str">
            <v>ALL VRTS</v>
          </cell>
          <cell r="D1162">
            <v>1</v>
          </cell>
          <cell r="E1162" t="str">
            <v>box 5400</v>
          </cell>
          <cell r="G1162" t="str">
            <v>TBE26B</v>
          </cell>
          <cell r="I1162" t="str">
            <v>B64</v>
          </cell>
          <cell r="L1162" t="str">
            <v>V75</v>
          </cell>
          <cell r="N1162">
            <v>0</v>
          </cell>
          <cell r="O1162">
            <v>0</v>
          </cell>
          <cell r="P1162">
            <v>-1</v>
          </cell>
          <cell r="Q1162">
            <v>2004</v>
          </cell>
          <cell r="R1162" t="str">
            <v>DEARBORN PLANT BUILD</v>
          </cell>
          <cell r="S1162" t="str">
            <v>P221/P397</v>
          </cell>
          <cell r="T1162" t="str">
            <v>BED RAIL MOLDING / MISALIGNED</v>
          </cell>
          <cell r="U1162" t="str">
            <v>REALIGNED</v>
          </cell>
          <cell r="V1162" t="str">
            <v>ALL</v>
          </cell>
          <cell r="W1162">
            <v>1</v>
          </cell>
          <cell r="AC1162">
            <v>1</v>
          </cell>
        </row>
        <row r="1163">
          <cell r="A1163">
            <v>0</v>
          </cell>
          <cell r="B1163" t="str">
            <v>ALL VRTS</v>
          </cell>
          <cell r="D1163">
            <v>1</v>
          </cell>
          <cell r="E1163" t="str">
            <v>Box Line 5400-2-B</v>
          </cell>
          <cell r="G1163" t="str">
            <v>TBW26B</v>
          </cell>
          <cell r="I1163" t="str">
            <v>B66</v>
          </cell>
          <cell r="L1163" t="str">
            <v>V75</v>
          </cell>
          <cell r="N1163">
            <v>0</v>
          </cell>
          <cell r="O1163">
            <v>0</v>
          </cell>
          <cell r="P1163">
            <v>-1</v>
          </cell>
          <cell r="Q1163">
            <v>2004</v>
          </cell>
          <cell r="R1163" t="str">
            <v>DEARBORN PLANT BUILD</v>
          </cell>
          <cell r="S1163" t="str">
            <v>P221/P397</v>
          </cell>
          <cell r="T1163" t="str">
            <v>BED RAIL MOLDING / MISSING</v>
          </cell>
          <cell r="U1163" t="str">
            <v>Installed Molding RH</v>
          </cell>
          <cell r="V1163" t="str">
            <v>ALL</v>
          </cell>
          <cell r="W1163">
            <v>1</v>
          </cell>
          <cell r="AB1163">
            <v>1</v>
          </cell>
        </row>
        <row r="1164">
          <cell r="A1164">
            <v>0</v>
          </cell>
          <cell r="B1164" t="str">
            <v>ALL VRTS</v>
          </cell>
          <cell r="D1164">
            <v>1</v>
          </cell>
          <cell r="I1164" t="str">
            <v>A85</v>
          </cell>
          <cell r="L1164" t="str">
            <v>V17</v>
          </cell>
          <cell r="N1164">
            <v>0</v>
          </cell>
          <cell r="O1164">
            <v>0</v>
          </cell>
          <cell r="P1164">
            <v>-1</v>
          </cell>
          <cell r="Q1164">
            <v>2004</v>
          </cell>
          <cell r="R1164" t="str">
            <v>DEARBORN PLANT BUILD</v>
          </cell>
          <cell r="S1164" t="str">
            <v>P221/P397</v>
          </cell>
          <cell r="T1164" t="str">
            <v>Block- Heater Cord Trapped.</v>
          </cell>
          <cell r="U1164" t="str">
            <v>Mis-Routed.</v>
          </cell>
          <cell r="V1164" t="str">
            <v>ALL</v>
          </cell>
          <cell r="W1164">
            <v>1</v>
          </cell>
          <cell r="AB1164">
            <v>1</v>
          </cell>
        </row>
        <row r="1165">
          <cell r="A1165">
            <v>0</v>
          </cell>
          <cell r="B1165" t="str">
            <v>ALL VRTS</v>
          </cell>
          <cell r="D1165">
            <v>1</v>
          </cell>
          <cell r="E1165" t="str">
            <v>C5 6540-2-G</v>
          </cell>
          <cell r="G1165" t="str">
            <v>C5W28R</v>
          </cell>
          <cell r="I1165" t="str">
            <v>B66</v>
          </cell>
          <cell r="L1165" t="str">
            <v>V75</v>
          </cell>
          <cell r="N1165">
            <v>0</v>
          </cell>
          <cell r="O1165">
            <v>0</v>
          </cell>
          <cell r="P1165">
            <v>-1</v>
          </cell>
          <cell r="Q1165">
            <v>2004</v>
          </cell>
          <cell r="R1165" t="str">
            <v>DEARBORN PLANT BUILD</v>
          </cell>
          <cell r="S1165" t="str">
            <v>P221/P397</v>
          </cell>
          <cell r="T1165" t="str">
            <v>Box Bolt Missing</v>
          </cell>
          <cell r="U1165" t="str">
            <v>Bolt Installed</v>
          </cell>
          <cell r="V1165" t="str">
            <v>ALL</v>
          </cell>
          <cell r="W1165">
            <v>1</v>
          </cell>
          <cell r="AD1165">
            <v>1</v>
          </cell>
        </row>
        <row r="1166">
          <cell r="A1166">
            <v>0</v>
          </cell>
          <cell r="B1166" t="str">
            <v>ALL VRTS</v>
          </cell>
          <cell r="D1166">
            <v>1</v>
          </cell>
          <cell r="E1166" t="str">
            <v>6500</v>
          </cell>
          <cell r="G1166" t="str">
            <v>C4E21L</v>
          </cell>
          <cell r="I1166" t="str">
            <v>T55</v>
          </cell>
          <cell r="L1166" t="str">
            <v>V74</v>
          </cell>
          <cell r="N1166">
            <v>0</v>
          </cell>
          <cell r="O1166">
            <v>0</v>
          </cell>
          <cell r="P1166">
            <v>-1</v>
          </cell>
          <cell r="Q1166">
            <v>2004</v>
          </cell>
          <cell r="R1166" t="str">
            <v>DEARBORN PLANT BUILD</v>
          </cell>
          <cell r="S1166" t="str">
            <v>P221/P397</v>
          </cell>
          <cell r="T1166" t="str">
            <v>B-PILLAR</v>
          </cell>
          <cell r="U1166" t="str">
            <v>CLIP,MISSING</v>
          </cell>
          <cell r="V1166" t="str">
            <v>ALL</v>
          </cell>
          <cell r="W1166">
            <v>1</v>
          </cell>
          <cell r="AC1166">
            <v>1</v>
          </cell>
        </row>
        <row r="1167">
          <cell r="A1167">
            <v>0</v>
          </cell>
          <cell r="B1167" t="str">
            <v>ALL VRTS</v>
          </cell>
          <cell r="D1167">
            <v>1</v>
          </cell>
          <cell r="I1167" t="str">
            <v>G29</v>
          </cell>
          <cell r="L1167" t="str">
            <v>V19</v>
          </cell>
          <cell r="N1167">
            <v>0</v>
          </cell>
          <cell r="O1167">
            <v>0</v>
          </cell>
          <cell r="P1167">
            <v>-1</v>
          </cell>
          <cell r="Q1167">
            <v>2004</v>
          </cell>
          <cell r="R1167" t="str">
            <v>DEARBORN PLANT BUILD</v>
          </cell>
          <cell r="S1167" t="str">
            <v>P221/P397</v>
          </cell>
          <cell r="T1167" t="str">
            <v>Brake Cable</v>
          </cell>
          <cell r="U1167" t="str">
            <v>Harness Mis-routed, repaired</v>
          </cell>
          <cell r="V1167" t="str">
            <v>ALL</v>
          </cell>
          <cell r="W1167">
            <v>1</v>
          </cell>
          <cell r="AD1167">
            <v>1</v>
          </cell>
        </row>
        <row r="1168">
          <cell r="A1168">
            <v>0</v>
          </cell>
          <cell r="B1168" t="str">
            <v>ALL VRTS</v>
          </cell>
          <cell r="D1168">
            <v>1</v>
          </cell>
          <cell r="I1168" t="str">
            <v>H16</v>
          </cell>
          <cell r="L1168" t="str">
            <v>V21</v>
          </cell>
          <cell r="N1168">
            <v>0</v>
          </cell>
          <cell r="O1168">
            <v>-1</v>
          </cell>
          <cell r="P1168">
            <v>0</v>
          </cell>
          <cell r="Q1168">
            <v>2004</v>
          </cell>
          <cell r="R1168" t="str">
            <v>DEARBORN PLANT BUILD</v>
          </cell>
          <cell r="S1168" t="str">
            <v>P221/P397</v>
          </cell>
          <cell r="T1168" t="str">
            <v>BRAKES OUT</v>
          </cell>
          <cell r="U1168" t="str">
            <v>HCU REPLACED</v>
          </cell>
          <cell r="V1168" t="str">
            <v>ALL</v>
          </cell>
          <cell r="W1168">
            <v>1</v>
          </cell>
          <cell r="Z1168">
            <v>1</v>
          </cell>
        </row>
        <row r="1169">
          <cell r="A1169">
            <v>0</v>
          </cell>
          <cell r="B1169" t="str">
            <v>ALL VRTS</v>
          </cell>
          <cell r="D1169">
            <v>1</v>
          </cell>
          <cell r="I1169" t="str">
            <v>B07</v>
          </cell>
          <cell r="L1169" t="str">
            <v>V75</v>
          </cell>
          <cell r="N1169">
            <v>0</v>
          </cell>
          <cell r="O1169">
            <v>-1</v>
          </cell>
          <cell r="P1169">
            <v>0</v>
          </cell>
          <cell r="Q1169">
            <v>2004</v>
          </cell>
          <cell r="R1169" t="str">
            <v>DEARBORN PLANT BUILD</v>
          </cell>
          <cell r="S1169" t="str">
            <v>P221/P397</v>
          </cell>
          <cell r="T1169" t="str">
            <v>BUM</v>
          </cell>
          <cell r="U1169" t="str">
            <v>Bumper Cover replaced</v>
          </cell>
          <cell r="V1169" t="str">
            <v>ALL</v>
          </cell>
          <cell r="W1169">
            <v>1</v>
          </cell>
          <cell r="AC1169">
            <v>1</v>
          </cell>
        </row>
        <row r="1170">
          <cell r="A1170">
            <v>0</v>
          </cell>
          <cell r="B1170" t="str">
            <v>ALL VRTS</v>
          </cell>
          <cell r="D1170">
            <v>1</v>
          </cell>
          <cell r="E1170" t="str">
            <v>Chassis 2 6440-2-D</v>
          </cell>
          <cell r="G1170" t="str">
            <v>C2W48-52B</v>
          </cell>
          <cell r="I1170" t="str">
            <v>B69</v>
          </cell>
          <cell r="L1170" t="str">
            <v>V75</v>
          </cell>
          <cell r="N1170">
            <v>0</v>
          </cell>
          <cell r="O1170">
            <v>0</v>
          </cell>
          <cell r="P1170">
            <v>-1</v>
          </cell>
          <cell r="Q1170">
            <v>2004</v>
          </cell>
          <cell r="R1170" t="str">
            <v>DEARBORN PLANT BUILD</v>
          </cell>
          <cell r="S1170" t="str">
            <v>P221/P397</v>
          </cell>
          <cell r="T1170" t="str">
            <v>BUMPER / WRONG</v>
          </cell>
          <cell r="U1170" t="str">
            <v>Operator Error</v>
          </cell>
          <cell r="V1170" t="str">
            <v>ALL</v>
          </cell>
          <cell r="W1170">
            <v>1</v>
          </cell>
          <cell r="AE1170">
            <v>1</v>
          </cell>
        </row>
        <row r="1171">
          <cell r="A1171">
            <v>0</v>
          </cell>
          <cell r="B1171" t="str">
            <v>ALL VRTS</v>
          </cell>
          <cell r="D1171">
            <v>1</v>
          </cell>
          <cell r="I1171" t="str">
            <v>B66</v>
          </cell>
          <cell r="L1171" t="str">
            <v>V75</v>
          </cell>
          <cell r="N1171">
            <v>0</v>
          </cell>
          <cell r="O1171">
            <v>-1</v>
          </cell>
          <cell r="P1171">
            <v>0</v>
          </cell>
          <cell r="Q1171">
            <v>2004</v>
          </cell>
          <cell r="R1171" t="str">
            <v>DEARBORN PLANT BUILD</v>
          </cell>
          <cell r="S1171" t="str">
            <v>P221/P397</v>
          </cell>
          <cell r="T1171" t="str">
            <v>BUMPER COVER /</v>
          </cell>
          <cell r="U1171" t="str">
            <v>Bumper Cover replaced</v>
          </cell>
          <cell r="V1171" t="str">
            <v>ALL</v>
          </cell>
          <cell r="W1171">
            <v>1</v>
          </cell>
          <cell r="AD1171">
            <v>1</v>
          </cell>
        </row>
        <row r="1172">
          <cell r="A1172">
            <v>0</v>
          </cell>
          <cell r="B1172" t="str">
            <v>ALL VRTS</v>
          </cell>
          <cell r="D1172">
            <v>1</v>
          </cell>
          <cell r="I1172" t="str">
            <v>B07</v>
          </cell>
          <cell r="L1172" t="str">
            <v>V75</v>
          </cell>
          <cell r="N1172">
            <v>0</v>
          </cell>
          <cell r="O1172">
            <v>-1</v>
          </cell>
          <cell r="P1172">
            <v>0</v>
          </cell>
          <cell r="Q1172">
            <v>2004</v>
          </cell>
          <cell r="R1172" t="str">
            <v>DEARBORN PLANT BUILD</v>
          </cell>
          <cell r="S1172" t="str">
            <v>P221/P397</v>
          </cell>
          <cell r="T1172" t="str">
            <v>Bumper Cover/ defective</v>
          </cell>
          <cell r="U1172" t="str">
            <v>Bumper Cover replaced</v>
          </cell>
          <cell r="V1172" t="str">
            <v>ALL</v>
          </cell>
          <cell r="W1172">
            <v>1</v>
          </cell>
          <cell r="AE1172">
            <v>1</v>
          </cell>
        </row>
        <row r="1173">
          <cell r="A1173">
            <v>0</v>
          </cell>
          <cell r="B1173" t="str">
            <v>ALL VRTS</v>
          </cell>
          <cell r="D1173">
            <v>1</v>
          </cell>
          <cell r="E1173" t="str">
            <v>Chassis 2 6440-2-D</v>
          </cell>
          <cell r="G1173" t="str">
            <v>C2W48-52B</v>
          </cell>
          <cell r="I1173" t="str">
            <v>B69</v>
          </cell>
          <cell r="L1173" t="str">
            <v>V75</v>
          </cell>
          <cell r="N1173">
            <v>0</v>
          </cell>
          <cell r="O1173">
            <v>0</v>
          </cell>
          <cell r="P1173">
            <v>-1</v>
          </cell>
          <cell r="Q1173">
            <v>2004</v>
          </cell>
          <cell r="R1173" t="str">
            <v>DEARBORN PLANT BUILD</v>
          </cell>
          <cell r="S1173" t="str">
            <v>P221/P397</v>
          </cell>
          <cell r="T1173" t="str">
            <v>Bumper/ defective</v>
          </cell>
          <cell r="U1173" t="str">
            <v>Bumper realigned</v>
          </cell>
          <cell r="V1173" t="str">
            <v>ALL</v>
          </cell>
          <cell r="W1173">
            <v>1</v>
          </cell>
          <cell r="AD1173">
            <v>1</v>
          </cell>
        </row>
        <row r="1174">
          <cell r="A1174">
            <v>0</v>
          </cell>
          <cell r="B1174" t="str">
            <v>ALL VRTS</v>
          </cell>
          <cell r="D1174">
            <v>1</v>
          </cell>
          <cell r="E1174" t="str">
            <v>Trim 2 5510-2-E</v>
          </cell>
          <cell r="G1174" t="str">
            <v>TW31L</v>
          </cell>
          <cell r="I1174" t="str">
            <v>B63</v>
          </cell>
          <cell r="L1174" t="str">
            <v>V75</v>
          </cell>
          <cell r="N1174">
            <v>0</v>
          </cell>
          <cell r="O1174">
            <v>0</v>
          </cell>
          <cell r="P1174">
            <v>-1</v>
          </cell>
          <cell r="Q1174">
            <v>2004</v>
          </cell>
          <cell r="R1174" t="str">
            <v>DEARBORN PLANT BUILD</v>
          </cell>
          <cell r="S1174" t="str">
            <v>P221/P397</v>
          </cell>
          <cell r="T1174" t="str">
            <v>C Pillar weather seal defected</v>
          </cell>
          <cell r="U1174" t="str">
            <v>Seal Replaced</v>
          </cell>
          <cell r="V1174" t="str">
            <v>ALL</v>
          </cell>
          <cell r="W1174">
            <v>1</v>
          </cell>
          <cell r="AB1174">
            <v>1</v>
          </cell>
        </row>
        <row r="1175">
          <cell r="A1175">
            <v>0</v>
          </cell>
          <cell r="B1175" t="str">
            <v>ALL VRTS</v>
          </cell>
          <cell r="D1175">
            <v>1</v>
          </cell>
          <cell r="I1175" t="str">
            <v>N59</v>
          </cell>
          <cell r="L1175" t="str">
            <v>V39</v>
          </cell>
          <cell r="N1175">
            <v>-1</v>
          </cell>
          <cell r="O1175">
            <v>0</v>
          </cell>
          <cell r="P1175">
            <v>0</v>
          </cell>
          <cell r="Q1175">
            <v>2004</v>
          </cell>
          <cell r="R1175" t="str">
            <v>DEARBORN PLANT BUILD</v>
          </cell>
          <cell r="S1175" t="str">
            <v>P221/P397</v>
          </cell>
          <cell r="T1175" t="str">
            <v>Center Floor Console Squeak/Rattle</v>
          </cell>
          <cell r="U1175" t="str">
            <v>Center Console Floor panel Squeak/Rattle</v>
          </cell>
          <cell r="V1175" t="str">
            <v>ALL</v>
          </cell>
          <cell r="W1175">
            <v>1</v>
          </cell>
          <cell r="AD1175">
            <v>1</v>
          </cell>
        </row>
        <row r="1176">
          <cell r="A1176">
            <v>0</v>
          </cell>
          <cell r="B1176" t="str">
            <v>ALL VRTS</v>
          </cell>
          <cell r="D1176">
            <v>1</v>
          </cell>
          <cell r="I1176" t="str">
            <v>B66</v>
          </cell>
          <cell r="L1176" t="str">
            <v>V75</v>
          </cell>
          <cell r="N1176">
            <v>0</v>
          </cell>
          <cell r="O1176">
            <v>-1</v>
          </cell>
          <cell r="P1176">
            <v>0</v>
          </cell>
          <cell r="Q1176">
            <v>2004</v>
          </cell>
          <cell r="R1176" t="str">
            <v>DEARBORN PLANT BUILD</v>
          </cell>
          <cell r="S1176" t="str">
            <v>P221/P397</v>
          </cell>
          <cell r="T1176" t="str">
            <v>CHMSL / CRACKED LENS</v>
          </cell>
          <cell r="U1176" t="str">
            <v>Lens replaced</v>
          </cell>
          <cell r="V1176" t="str">
            <v>ALL</v>
          </cell>
          <cell r="W1176">
            <v>1</v>
          </cell>
          <cell r="AD1176">
            <v>1</v>
          </cell>
        </row>
        <row r="1177">
          <cell r="A1177">
            <v>0</v>
          </cell>
          <cell r="B1177" t="str">
            <v>ALL VRTS</v>
          </cell>
          <cell r="D1177">
            <v>1</v>
          </cell>
          <cell r="I1177" t="str">
            <v>T90</v>
          </cell>
          <cell r="L1177" t="str">
            <v>V74</v>
          </cell>
          <cell r="N1177">
            <v>0</v>
          </cell>
          <cell r="O1177">
            <v>-1</v>
          </cell>
          <cell r="P1177">
            <v>0</v>
          </cell>
          <cell r="Q1177">
            <v>2004</v>
          </cell>
          <cell r="R1177" t="str">
            <v>DEARBORN PLANT BUILD</v>
          </cell>
          <cell r="S1177" t="str">
            <v>P221/P397</v>
          </cell>
          <cell r="T1177" t="str">
            <v>COAT HOOKS</v>
          </cell>
          <cell r="U1177" t="str">
            <v>DEFECTIVE</v>
          </cell>
          <cell r="V1177" t="str">
            <v>ALL</v>
          </cell>
          <cell r="W1177">
            <v>1</v>
          </cell>
          <cell r="AD1177">
            <v>1</v>
          </cell>
        </row>
        <row r="1178">
          <cell r="A1178">
            <v>0</v>
          </cell>
          <cell r="B1178" t="str">
            <v>ALL VRTS</v>
          </cell>
          <cell r="D1178">
            <v>1</v>
          </cell>
          <cell r="I1178" t="str">
            <v>L25</v>
          </cell>
          <cell r="L1178" t="str">
            <v>V77</v>
          </cell>
          <cell r="N1178">
            <v>0</v>
          </cell>
          <cell r="O1178">
            <v>0</v>
          </cell>
          <cell r="P1178">
            <v>-1</v>
          </cell>
          <cell r="Q1178">
            <v>2004</v>
          </cell>
          <cell r="R1178" t="str">
            <v>DEARBORN PLANT BUILD</v>
          </cell>
          <cell r="S1178" t="str">
            <v>P221/P397</v>
          </cell>
          <cell r="T1178" t="str">
            <v>Console Light INOP</v>
          </cell>
          <cell r="U1178" t="str">
            <v>Install Overlay between #C2031 , #C3245</v>
          </cell>
          <cell r="V1178" t="str">
            <v>ALL</v>
          </cell>
          <cell r="W1178">
            <v>1</v>
          </cell>
          <cell r="AD1178">
            <v>1</v>
          </cell>
        </row>
        <row r="1179">
          <cell r="A1179">
            <v>0</v>
          </cell>
          <cell r="B1179" t="str">
            <v>ALL VRTS</v>
          </cell>
          <cell r="D1179">
            <v>1</v>
          </cell>
          <cell r="I1179" t="str">
            <v>E35</v>
          </cell>
          <cell r="L1179" t="str">
            <v>V89</v>
          </cell>
          <cell r="N1179">
            <v>0</v>
          </cell>
          <cell r="O1179">
            <v>-1</v>
          </cell>
          <cell r="P1179">
            <v>0</v>
          </cell>
          <cell r="Q1179">
            <v>2004</v>
          </cell>
          <cell r="R1179" t="str">
            <v>DEARBORN PLANT BUILD</v>
          </cell>
          <cell r="S1179" t="str">
            <v>P221/P397</v>
          </cell>
          <cell r="T1179" t="str">
            <v>COOLANT LEAKS</v>
          </cell>
          <cell r="U1179" t="str">
            <v>LOWER HOSE CLAMP - REPLACED</v>
          </cell>
          <cell r="V1179" t="str">
            <v>ALL</v>
          </cell>
          <cell r="W1179">
            <v>1</v>
          </cell>
          <cell r="AC1179">
            <v>1</v>
          </cell>
        </row>
        <row r="1180">
          <cell r="A1180">
            <v>0</v>
          </cell>
          <cell r="B1180" t="str">
            <v>ALL VRTS</v>
          </cell>
          <cell r="D1180">
            <v>1</v>
          </cell>
          <cell r="E1180" t="str">
            <v>5380-2-A</v>
          </cell>
          <cell r="G1180" t="str">
            <v>TDW19L/20R</v>
          </cell>
          <cell r="I1180" t="str">
            <v>B66</v>
          </cell>
          <cell r="L1180" t="str">
            <v>V75</v>
          </cell>
          <cell r="N1180">
            <v>0</v>
          </cell>
          <cell r="O1180">
            <v>0</v>
          </cell>
          <cell r="P1180">
            <v>-1</v>
          </cell>
          <cell r="Q1180">
            <v>2004</v>
          </cell>
          <cell r="R1180" t="str">
            <v>DEARBORN PLANT BUILD</v>
          </cell>
          <cell r="S1180" t="str">
            <v>P221/P397</v>
          </cell>
          <cell r="T1180" t="str">
            <v>COWL TOP / POOR FIT</v>
          </cell>
          <cell r="U1180" t="str">
            <v>REPLACE</v>
          </cell>
          <cell r="V1180" t="str">
            <v>ALL</v>
          </cell>
          <cell r="W1180">
            <v>1</v>
          </cell>
          <cell r="AD1180">
            <v>1</v>
          </cell>
        </row>
        <row r="1181">
          <cell r="A1181">
            <v>0</v>
          </cell>
          <cell r="B1181" t="str">
            <v>ALL VRTS</v>
          </cell>
          <cell r="D1181">
            <v>1</v>
          </cell>
          <cell r="E1181" t="str">
            <v>6530</v>
          </cell>
          <cell r="G1181" t="str">
            <v>C5W14R</v>
          </cell>
          <cell r="I1181" t="str">
            <v>T54</v>
          </cell>
          <cell r="L1181" t="str">
            <v>V74</v>
          </cell>
          <cell r="N1181">
            <v>0</v>
          </cell>
          <cell r="O1181">
            <v>0</v>
          </cell>
          <cell r="P1181">
            <v>-1</v>
          </cell>
          <cell r="Q1181">
            <v>2004</v>
          </cell>
          <cell r="R1181" t="str">
            <v>DEARBORN PLANT BUILD</v>
          </cell>
          <cell r="S1181" t="str">
            <v>P221/P397</v>
          </cell>
          <cell r="T1181" t="str">
            <v>C-PILLAR</v>
          </cell>
          <cell r="U1181" t="str">
            <v>TRIM MISSING</v>
          </cell>
          <cell r="V1181" t="str">
            <v>ALL</v>
          </cell>
          <cell r="W1181">
            <v>1</v>
          </cell>
          <cell r="AD1181">
            <v>1</v>
          </cell>
        </row>
        <row r="1182">
          <cell r="A1182">
            <v>0</v>
          </cell>
          <cell r="B1182" t="str">
            <v>ALL VRTS</v>
          </cell>
          <cell r="D1182">
            <v>1</v>
          </cell>
          <cell r="E1182" t="str">
            <v>Box Line 5400-2-B</v>
          </cell>
          <cell r="G1182" t="str">
            <v>TBE 26B</v>
          </cell>
          <cell r="I1182" t="str">
            <v>B66</v>
          </cell>
          <cell r="L1182" t="str">
            <v>V75</v>
          </cell>
          <cell r="N1182">
            <v>0</v>
          </cell>
          <cell r="O1182">
            <v>0</v>
          </cell>
          <cell r="P1182">
            <v>-1</v>
          </cell>
          <cell r="Q1182">
            <v>2004</v>
          </cell>
          <cell r="R1182" t="str">
            <v>DEARBORN PLANT BUILD</v>
          </cell>
          <cell r="S1182" t="str">
            <v>P221/P397</v>
          </cell>
          <cell r="T1182" t="str">
            <v>DECAL / BOX / WRONG</v>
          </cell>
          <cell r="U1182" t="str">
            <v>Operator Error</v>
          </cell>
          <cell r="V1182" t="str">
            <v>ALL</v>
          </cell>
          <cell r="W1182">
            <v>1</v>
          </cell>
          <cell r="AD1182">
            <v>1</v>
          </cell>
        </row>
        <row r="1183">
          <cell r="A1183">
            <v>0</v>
          </cell>
          <cell r="B1183" t="str">
            <v>ALL VRTS</v>
          </cell>
          <cell r="D1183">
            <v>1</v>
          </cell>
          <cell r="E1183" t="str">
            <v>Box Line 5400-2-B</v>
          </cell>
          <cell r="G1183" t="str">
            <v>TBE 26B</v>
          </cell>
          <cell r="I1183" t="str">
            <v>B66</v>
          </cell>
          <cell r="L1183" t="str">
            <v>V75</v>
          </cell>
          <cell r="N1183">
            <v>0</v>
          </cell>
          <cell r="O1183">
            <v>0</v>
          </cell>
          <cell r="P1183">
            <v>-1</v>
          </cell>
          <cell r="Q1183">
            <v>2004</v>
          </cell>
          <cell r="R1183" t="str">
            <v>DEARBORN PLANT BUILD</v>
          </cell>
          <cell r="S1183" t="str">
            <v>P221/P397</v>
          </cell>
          <cell r="T1183" t="str">
            <v>DECAL / REAR/ MISSING</v>
          </cell>
          <cell r="U1183" t="str">
            <v>Operator Error</v>
          </cell>
          <cell r="V1183" t="str">
            <v>ALL</v>
          </cell>
          <cell r="W1183">
            <v>1</v>
          </cell>
          <cell r="AC1183">
            <v>1</v>
          </cell>
        </row>
        <row r="1184">
          <cell r="A1184">
            <v>0</v>
          </cell>
          <cell r="B1184" t="str">
            <v>ALL VRTS</v>
          </cell>
          <cell r="D1184">
            <v>1</v>
          </cell>
          <cell r="I1184" t="str">
            <v>G02</v>
          </cell>
          <cell r="L1184" t="str">
            <v>V09</v>
          </cell>
          <cell r="N1184">
            <v>0</v>
          </cell>
          <cell r="O1184">
            <v>-1</v>
          </cell>
          <cell r="P1184">
            <v>0</v>
          </cell>
          <cell r="Q1184">
            <v>2004</v>
          </cell>
          <cell r="R1184" t="str">
            <v>DEARBORN PLANT BUILD</v>
          </cell>
          <cell r="S1184" t="str">
            <v>P221/P397</v>
          </cell>
          <cell r="T1184" t="str">
            <v>DISTORTED SIDE WINDOW</v>
          </cell>
          <cell r="U1184" t="str">
            <v>INSTALL NEW WINDOW</v>
          </cell>
          <cell r="V1184" t="str">
            <v>ALL</v>
          </cell>
          <cell r="W1184">
            <v>1</v>
          </cell>
          <cell r="AD1184">
            <v>1</v>
          </cell>
        </row>
        <row r="1185">
          <cell r="A1185">
            <v>0</v>
          </cell>
          <cell r="B1185" t="str">
            <v>ALL VRTS</v>
          </cell>
          <cell r="D1185">
            <v>1</v>
          </cell>
          <cell r="E1185" t="str">
            <v>5340</v>
          </cell>
          <cell r="G1185" t="str">
            <v>TDW36-R</v>
          </cell>
          <cell r="I1185" t="str">
            <v>G05</v>
          </cell>
          <cell r="L1185" t="str">
            <v>V09</v>
          </cell>
          <cell r="N1185">
            <v>0</v>
          </cell>
          <cell r="O1185">
            <v>0</v>
          </cell>
          <cell r="P1185">
            <v>-1</v>
          </cell>
          <cell r="Q1185">
            <v>2004</v>
          </cell>
          <cell r="R1185" t="str">
            <v>DEARBORN PLANT BUILD</v>
          </cell>
          <cell r="S1185" t="str">
            <v>P221/P397</v>
          </cell>
          <cell r="T1185" t="str">
            <v>DOOR GLASS</v>
          </cell>
          <cell r="U1185" t="str">
            <v>SEALER TRANSFER (SOUND DEADENING)</v>
          </cell>
          <cell r="V1185" t="str">
            <v>ALL</v>
          </cell>
          <cell r="W1185">
            <v>1</v>
          </cell>
          <cell r="Y1185">
            <v>1</v>
          </cell>
        </row>
        <row r="1186">
          <cell r="A1186">
            <v>0</v>
          </cell>
          <cell r="B1186" t="str">
            <v>ALL VRTS</v>
          </cell>
          <cell r="D1186">
            <v>1</v>
          </cell>
          <cell r="I1186" t="str">
            <v>L15</v>
          </cell>
          <cell r="L1186" t="str">
            <v>V07</v>
          </cell>
          <cell r="N1186">
            <v>0</v>
          </cell>
          <cell r="O1186">
            <v>-1</v>
          </cell>
          <cell r="P1186">
            <v>0</v>
          </cell>
          <cell r="Q1186">
            <v>2004</v>
          </cell>
          <cell r="R1186" t="str">
            <v>DEARBORN PLANT BUILD</v>
          </cell>
          <cell r="S1186" t="str">
            <v>P221/P397</v>
          </cell>
          <cell r="T1186" t="str">
            <v>DOOR HARD TO CLOSE</v>
          </cell>
          <cell r="U1186" t="str">
            <v>LUBE DOOR LATCH</v>
          </cell>
          <cell r="V1186" t="str">
            <v>ALL</v>
          </cell>
          <cell r="W1186">
            <v>1</v>
          </cell>
          <cell r="Z1186">
            <v>1</v>
          </cell>
        </row>
        <row r="1187">
          <cell r="A1187">
            <v>0</v>
          </cell>
          <cell r="B1187" t="str">
            <v>ALL VRTS</v>
          </cell>
          <cell r="D1187">
            <v>1</v>
          </cell>
          <cell r="I1187" t="str">
            <v>L07</v>
          </cell>
          <cell r="L1187" t="str">
            <v>V07</v>
          </cell>
          <cell r="N1187">
            <v>0</v>
          </cell>
          <cell r="O1187">
            <v>-1</v>
          </cell>
          <cell r="P1187">
            <v>0</v>
          </cell>
          <cell r="Q1187">
            <v>2004</v>
          </cell>
          <cell r="R1187" t="str">
            <v>DEARBORN PLANT BUILD</v>
          </cell>
          <cell r="S1187" t="str">
            <v>P221/P397</v>
          </cell>
          <cell r="T1187" t="str">
            <v>DOOR LOCK BINDING</v>
          </cell>
          <cell r="U1187" t="str">
            <v>REPLACE DOOR LOCK ACTUATOR</v>
          </cell>
          <cell r="V1187" t="str">
            <v>ALL</v>
          </cell>
          <cell r="W1187">
            <v>1</v>
          </cell>
          <cell r="AB1187">
            <v>1</v>
          </cell>
        </row>
        <row r="1188">
          <cell r="A1188">
            <v>0</v>
          </cell>
          <cell r="B1188" t="str">
            <v>ALL VRTS</v>
          </cell>
          <cell r="D1188">
            <v>1</v>
          </cell>
          <cell r="I1188" t="str">
            <v>L07</v>
          </cell>
          <cell r="L1188" t="str">
            <v>V07</v>
          </cell>
          <cell r="N1188">
            <v>0</v>
          </cell>
          <cell r="O1188">
            <v>0</v>
          </cell>
          <cell r="P1188">
            <v>-1</v>
          </cell>
          <cell r="Q1188">
            <v>2004</v>
          </cell>
          <cell r="R1188" t="str">
            <v>DEARBORN PLANT BUILD</v>
          </cell>
          <cell r="S1188" t="str">
            <v>P221/P397</v>
          </cell>
          <cell r="T1188" t="str">
            <v>DOOR STRIKER WRONG</v>
          </cell>
          <cell r="U1188" t="str">
            <v>UPPER STRIKER WRONG</v>
          </cell>
          <cell r="V1188" t="str">
            <v>ALL</v>
          </cell>
          <cell r="W1188">
            <v>1</v>
          </cell>
          <cell r="AD1188">
            <v>1</v>
          </cell>
        </row>
        <row r="1189">
          <cell r="A1189">
            <v>0</v>
          </cell>
          <cell r="B1189" t="str">
            <v>ALL VRTS</v>
          </cell>
          <cell r="D1189">
            <v>1</v>
          </cell>
          <cell r="I1189" t="str">
            <v>F06</v>
          </cell>
          <cell r="L1189" t="str">
            <v>V33</v>
          </cell>
          <cell r="N1189">
            <v>0</v>
          </cell>
          <cell r="O1189">
            <v>0</v>
          </cell>
          <cell r="P1189">
            <v>-1</v>
          </cell>
          <cell r="Q1189">
            <v>2004</v>
          </cell>
          <cell r="R1189" t="str">
            <v>DEARBORN PLANT BUILD</v>
          </cell>
          <cell r="S1189" t="str">
            <v>P221/P397</v>
          </cell>
          <cell r="T1189" t="str">
            <v>Dry</v>
          </cell>
          <cell r="U1189" t="str">
            <v>Multi Panels</v>
          </cell>
          <cell r="V1189" t="str">
            <v>ALL</v>
          </cell>
          <cell r="W1189">
            <v>1</v>
          </cell>
          <cell r="AC1189">
            <v>1</v>
          </cell>
        </row>
        <row r="1190">
          <cell r="A1190">
            <v>0</v>
          </cell>
          <cell r="B1190" t="str">
            <v>ALL VRTS</v>
          </cell>
          <cell r="D1190">
            <v>1</v>
          </cell>
          <cell r="I1190" t="str">
            <v>D35</v>
          </cell>
          <cell r="L1190" t="str">
            <v>V46</v>
          </cell>
          <cell r="N1190">
            <v>-1</v>
          </cell>
          <cell r="O1190">
            <v>-1</v>
          </cell>
          <cell r="P1190">
            <v>0</v>
          </cell>
          <cell r="Q1190">
            <v>2004</v>
          </cell>
          <cell r="R1190" t="str">
            <v>DEARBORN PLANT BUILD</v>
          </cell>
          <cell r="S1190" t="str">
            <v>P221/P397</v>
          </cell>
          <cell r="T1190" t="str">
            <v>EXCESSIVE FUEL CONSUMPTION</v>
          </cell>
          <cell r="U1190" t="str">
            <v>npf</v>
          </cell>
          <cell r="V1190" t="str">
            <v>ALL</v>
          </cell>
          <cell r="W1190">
            <v>1</v>
          </cell>
          <cell r="AD1190">
            <v>1</v>
          </cell>
        </row>
        <row r="1191">
          <cell r="A1191">
            <v>0</v>
          </cell>
          <cell r="B1191" t="str">
            <v>ALL VRTS</v>
          </cell>
          <cell r="D1191">
            <v>1</v>
          </cell>
          <cell r="I1191" t="str">
            <v>F37</v>
          </cell>
          <cell r="L1191" t="str">
            <v>V75</v>
          </cell>
          <cell r="N1191">
            <v>0</v>
          </cell>
          <cell r="O1191">
            <v>-1</v>
          </cell>
          <cell r="P1191">
            <v>0</v>
          </cell>
          <cell r="Q1191">
            <v>2004</v>
          </cell>
          <cell r="R1191" t="str">
            <v>DEARBORN PLANT BUILD</v>
          </cell>
          <cell r="S1191" t="str">
            <v>P221/P397</v>
          </cell>
          <cell r="T1191" t="str">
            <v>Fascia / Dirt In Paint</v>
          </cell>
          <cell r="U1191" t="str">
            <v>Replace Fascia</v>
          </cell>
          <cell r="V1191" t="str">
            <v>ALL</v>
          </cell>
          <cell r="W1191">
            <v>1</v>
          </cell>
          <cell r="Z1191">
            <v>1</v>
          </cell>
        </row>
        <row r="1192">
          <cell r="A1192">
            <v>0</v>
          </cell>
          <cell r="B1192" t="str">
            <v>ALL VRTS</v>
          </cell>
          <cell r="D1192">
            <v>1</v>
          </cell>
          <cell r="E1192" t="str">
            <v>Trim 3 5560-2-F</v>
          </cell>
          <cell r="G1192" t="str">
            <v>T3E34 R</v>
          </cell>
          <cell r="I1192" t="str">
            <v>B66</v>
          </cell>
          <cell r="L1192" t="str">
            <v>V75</v>
          </cell>
          <cell r="N1192">
            <v>0</v>
          </cell>
          <cell r="O1192">
            <v>0</v>
          </cell>
          <cell r="P1192">
            <v>-1</v>
          </cell>
          <cell r="Q1192">
            <v>2004</v>
          </cell>
          <cell r="R1192" t="str">
            <v>DEARBORN PLANT BUILD</v>
          </cell>
          <cell r="S1192" t="str">
            <v>P221/P397</v>
          </cell>
          <cell r="T1192" t="str">
            <v>Fender Splash Shield / defective</v>
          </cell>
          <cell r="U1192" t="str">
            <v>LH Splash Shield Clips Replaced</v>
          </cell>
          <cell r="V1192" t="str">
            <v>ALL</v>
          </cell>
          <cell r="W1192">
            <v>1</v>
          </cell>
          <cell r="AB1192">
            <v>1</v>
          </cell>
        </row>
        <row r="1193">
          <cell r="A1193">
            <v>0</v>
          </cell>
          <cell r="B1193" t="str">
            <v>ALL VRTS</v>
          </cell>
          <cell r="D1193">
            <v>1</v>
          </cell>
          <cell r="I1193" t="str">
            <v>B94</v>
          </cell>
          <cell r="L1193" t="str">
            <v>V71</v>
          </cell>
          <cell r="N1193">
            <v>0</v>
          </cell>
          <cell r="O1193">
            <v>-1</v>
          </cell>
          <cell r="P1193">
            <v>0</v>
          </cell>
          <cell r="Q1193">
            <v>2004</v>
          </cell>
          <cell r="R1193" t="str">
            <v>DEARBORN PLANT BUILD</v>
          </cell>
          <cell r="S1193" t="str">
            <v>P221/P397</v>
          </cell>
          <cell r="T1193" t="str">
            <v>FLOOR MATTING</v>
          </cell>
          <cell r="U1193" t="str">
            <v>POOR FIT</v>
          </cell>
          <cell r="V1193" t="str">
            <v>ALL</v>
          </cell>
          <cell r="W1193">
            <v>1</v>
          </cell>
          <cell r="AD1193">
            <v>1</v>
          </cell>
        </row>
        <row r="1194">
          <cell r="A1194">
            <v>0</v>
          </cell>
          <cell r="B1194" t="str">
            <v>ALL VRTS</v>
          </cell>
          <cell r="D1194">
            <v>1</v>
          </cell>
          <cell r="E1194" t="str">
            <v>6520</v>
          </cell>
          <cell r="G1194" t="str">
            <v>C5E05L</v>
          </cell>
          <cell r="I1194" t="str">
            <v>T90</v>
          </cell>
          <cell r="L1194" t="str">
            <v>V74</v>
          </cell>
          <cell r="N1194">
            <v>0</v>
          </cell>
          <cell r="O1194">
            <v>0</v>
          </cell>
          <cell r="P1194">
            <v>-1</v>
          </cell>
          <cell r="Q1194">
            <v>2004</v>
          </cell>
          <cell r="R1194" t="str">
            <v>DEARBORN PLANT BUILD</v>
          </cell>
          <cell r="S1194" t="str">
            <v>P221/P397</v>
          </cell>
          <cell r="T1194" t="str">
            <v>FLOOR SHIFTER 4X4</v>
          </cell>
          <cell r="U1194" t="str">
            <v>KNOB MISSING</v>
          </cell>
          <cell r="V1194" t="str">
            <v>ALL</v>
          </cell>
          <cell r="W1194">
            <v>1</v>
          </cell>
          <cell r="AD1194">
            <v>1</v>
          </cell>
        </row>
        <row r="1195">
          <cell r="A1195">
            <v>0</v>
          </cell>
          <cell r="B1195" t="str">
            <v>ALL VRTS</v>
          </cell>
          <cell r="D1195">
            <v>1</v>
          </cell>
          <cell r="E1195" t="str">
            <v>unsure</v>
          </cell>
          <cell r="G1195" t="str">
            <v>T3E01L</v>
          </cell>
          <cell r="I1195" t="str">
            <v>N59</v>
          </cell>
          <cell r="L1195" t="str">
            <v>V39</v>
          </cell>
          <cell r="N1195">
            <v>0</v>
          </cell>
          <cell r="O1195">
            <v>0</v>
          </cell>
          <cell r="P1195">
            <v>-1</v>
          </cell>
          <cell r="Q1195">
            <v>2004</v>
          </cell>
          <cell r="R1195" t="str">
            <v>DEARBORN PLANT BUILD</v>
          </cell>
          <cell r="S1195" t="str">
            <v>P221/P397</v>
          </cell>
          <cell r="T1195" t="str">
            <v>Front Seat Squeak/Rattle</v>
          </cell>
          <cell r="U1195" t="str">
            <v>Seatbelt - Loose to Mount</v>
          </cell>
          <cell r="V1195" t="str">
            <v>ALL</v>
          </cell>
          <cell r="W1195">
            <v>1</v>
          </cell>
          <cell r="AC1195">
            <v>1</v>
          </cell>
        </row>
        <row r="1196">
          <cell r="A1196">
            <v>0</v>
          </cell>
          <cell r="B1196" t="str">
            <v>ALL VRTS</v>
          </cell>
          <cell r="D1196">
            <v>1</v>
          </cell>
          <cell r="E1196" t="str">
            <v>5350-2-A</v>
          </cell>
          <cell r="G1196" t="str">
            <v>TDE31-l</v>
          </cell>
          <cell r="I1196" t="str">
            <v>B64</v>
          </cell>
          <cell r="L1196" t="str">
            <v>V75</v>
          </cell>
          <cell r="N1196">
            <v>0</v>
          </cell>
          <cell r="O1196">
            <v>0</v>
          </cell>
          <cell r="P1196">
            <v>-1</v>
          </cell>
          <cell r="Q1196">
            <v>2004</v>
          </cell>
          <cell r="R1196" t="str">
            <v>DEARBORN PLANT BUILD</v>
          </cell>
          <cell r="S1196" t="str">
            <v>P221/P397</v>
          </cell>
          <cell r="T1196" t="str">
            <v>frt outer belt mldg / defective</v>
          </cell>
          <cell r="U1196" t="str">
            <v>improper position to flange</v>
          </cell>
          <cell r="V1196" t="str">
            <v>ALL</v>
          </cell>
          <cell r="W1196">
            <v>1</v>
          </cell>
          <cell r="AA1196">
            <v>1</v>
          </cell>
        </row>
        <row r="1197">
          <cell r="A1197">
            <v>0</v>
          </cell>
          <cell r="B1197" t="str">
            <v>ALL VRTS</v>
          </cell>
          <cell r="D1197">
            <v>1</v>
          </cell>
          <cell r="I1197" t="str">
            <v>E40</v>
          </cell>
          <cell r="L1197" t="str">
            <v>V17</v>
          </cell>
          <cell r="N1197">
            <v>-1</v>
          </cell>
          <cell r="O1197">
            <v>0</v>
          </cell>
          <cell r="P1197">
            <v>0</v>
          </cell>
          <cell r="Q1197">
            <v>2004</v>
          </cell>
          <cell r="R1197" t="str">
            <v>DEARBORN PLANT BUILD</v>
          </cell>
          <cell r="S1197" t="str">
            <v>P221/P397</v>
          </cell>
          <cell r="T1197" t="str">
            <v>Fuel Gauge</v>
          </cell>
          <cell r="U1197" t="str">
            <v>Repair comment makes no sense</v>
          </cell>
          <cell r="V1197" t="str">
            <v>ALL</v>
          </cell>
          <cell r="W1197">
            <v>1</v>
          </cell>
          <cell r="AC1197">
            <v>1</v>
          </cell>
        </row>
        <row r="1198">
          <cell r="A1198">
            <v>0</v>
          </cell>
          <cell r="B1198" t="str">
            <v>ALL VRTS</v>
          </cell>
          <cell r="D1198">
            <v>1</v>
          </cell>
          <cell r="I1198" t="str">
            <v>F99</v>
          </cell>
          <cell r="L1198" t="str">
            <v>V99</v>
          </cell>
          <cell r="N1198">
            <v>0</v>
          </cell>
          <cell r="O1198">
            <v>0</v>
          </cell>
          <cell r="P1198">
            <v>-1</v>
          </cell>
          <cell r="Q1198">
            <v>2004</v>
          </cell>
          <cell r="R1198" t="str">
            <v>DEARBORN PLANT BUILD</v>
          </cell>
          <cell r="S1198" t="str">
            <v>P221/P397</v>
          </cell>
          <cell r="T1198" t="str">
            <v>Fuel insufficient</v>
          </cell>
          <cell r="U1198" t="str">
            <v>Fuel added</v>
          </cell>
          <cell r="V1198" t="str">
            <v>ALL</v>
          </cell>
          <cell r="W1198">
            <v>1</v>
          </cell>
          <cell r="AD1198">
            <v>1</v>
          </cell>
        </row>
        <row r="1199">
          <cell r="A1199">
            <v>0</v>
          </cell>
          <cell r="B1199" t="str">
            <v>ALL VRTS</v>
          </cell>
          <cell r="D1199">
            <v>1</v>
          </cell>
          <cell r="I1199" t="str">
            <v>L69</v>
          </cell>
          <cell r="L1199" t="str">
            <v>V25</v>
          </cell>
          <cell r="N1199">
            <v>0</v>
          </cell>
          <cell r="O1199">
            <v>0</v>
          </cell>
          <cell r="P1199">
            <v>-1</v>
          </cell>
          <cell r="Q1199">
            <v>2004</v>
          </cell>
          <cell r="R1199" t="str">
            <v>DEARBORN PLANT BUILD</v>
          </cell>
          <cell r="S1199" t="str">
            <v>P221/P397</v>
          </cell>
          <cell r="T1199" t="str">
            <v>FUEL/Low Fill</v>
          </cell>
          <cell r="U1199" t="str">
            <v>Insufficient Fuel</v>
          </cell>
          <cell r="V1199" t="str">
            <v>ALL</v>
          </cell>
          <cell r="W1199">
            <v>1</v>
          </cell>
          <cell r="AE1199">
            <v>1</v>
          </cell>
        </row>
        <row r="1200">
          <cell r="A1200">
            <v>0</v>
          </cell>
          <cell r="B1200" t="str">
            <v>ALL VRTS</v>
          </cell>
          <cell r="D1200">
            <v>1</v>
          </cell>
          <cell r="E1200" t="str">
            <v>door line 5340-2-A</v>
          </cell>
          <cell r="G1200" t="str">
            <v>TDW22R</v>
          </cell>
          <cell r="I1200" t="str">
            <v>B66</v>
          </cell>
          <cell r="L1200" t="str">
            <v>V75</v>
          </cell>
          <cell r="N1200">
            <v>0</v>
          </cell>
          <cell r="O1200">
            <v>0</v>
          </cell>
          <cell r="P1200">
            <v>-1</v>
          </cell>
          <cell r="Q1200">
            <v>2004</v>
          </cell>
          <cell r="R1200" t="str">
            <v>DEARBORN PLANT BUILD</v>
          </cell>
          <cell r="S1200" t="str">
            <v>P221/P397</v>
          </cell>
          <cell r="T1200" t="str">
            <v>Glass Run Flock/ defective</v>
          </cell>
          <cell r="U1200" t="str">
            <v>Glass Run Flock Replaced</v>
          </cell>
          <cell r="V1200" t="str">
            <v>ALL</v>
          </cell>
          <cell r="W1200">
            <v>1</v>
          </cell>
          <cell r="AD1200">
            <v>1</v>
          </cell>
        </row>
        <row r="1201">
          <cell r="A1201">
            <v>0</v>
          </cell>
          <cell r="B1201" t="str">
            <v>ALL VRTS</v>
          </cell>
          <cell r="D1201">
            <v>1</v>
          </cell>
          <cell r="I1201" t="str">
            <v>B66</v>
          </cell>
          <cell r="L1201" t="str">
            <v>V75</v>
          </cell>
          <cell r="N1201">
            <v>0</v>
          </cell>
          <cell r="O1201">
            <v>-1</v>
          </cell>
          <cell r="P1201">
            <v>0</v>
          </cell>
          <cell r="Q1201">
            <v>2004</v>
          </cell>
          <cell r="R1201" t="str">
            <v>DEARBORN PLANT BUILD</v>
          </cell>
          <cell r="S1201" t="str">
            <v>P221/P397</v>
          </cell>
          <cell r="T1201" t="str">
            <v>GRILLE / DIRT IN PAINT</v>
          </cell>
          <cell r="U1201" t="str">
            <v>REPLACE</v>
          </cell>
          <cell r="V1201" t="str">
            <v>ALL</v>
          </cell>
          <cell r="W1201">
            <v>1</v>
          </cell>
          <cell r="AD1201">
            <v>1</v>
          </cell>
        </row>
        <row r="1202">
          <cell r="A1202">
            <v>0</v>
          </cell>
          <cell r="B1202" t="str">
            <v>ALL VRTS</v>
          </cell>
          <cell r="D1202">
            <v>1</v>
          </cell>
          <cell r="I1202" t="str">
            <v>B66</v>
          </cell>
          <cell r="L1202" t="str">
            <v>V75</v>
          </cell>
          <cell r="N1202">
            <v>0</v>
          </cell>
          <cell r="O1202">
            <v>-1</v>
          </cell>
          <cell r="P1202">
            <v>0</v>
          </cell>
          <cell r="Q1202">
            <v>2004</v>
          </cell>
          <cell r="R1202" t="str">
            <v>DEARBORN PLANT BUILD</v>
          </cell>
          <cell r="S1202" t="str">
            <v>P221/P397</v>
          </cell>
          <cell r="T1202" t="str">
            <v>GRILLE / WHISTLE</v>
          </cell>
          <cell r="U1202" t="str">
            <v>Grill replaced</v>
          </cell>
          <cell r="V1202" t="str">
            <v>ALL</v>
          </cell>
          <cell r="W1202">
            <v>1</v>
          </cell>
          <cell r="AB1202">
            <v>1</v>
          </cell>
        </row>
        <row r="1203">
          <cell r="A1203">
            <v>0</v>
          </cell>
          <cell r="B1203" t="str">
            <v>ALL VRTS</v>
          </cell>
          <cell r="D1203">
            <v>1</v>
          </cell>
          <cell r="E1203" t="str">
            <v>C5 6560-2-G</v>
          </cell>
          <cell r="G1203" t="str">
            <v>C7E17R</v>
          </cell>
          <cell r="I1203" t="str">
            <v>B66</v>
          </cell>
          <cell r="L1203" t="str">
            <v>V75</v>
          </cell>
          <cell r="N1203">
            <v>0</v>
          </cell>
          <cell r="O1203">
            <v>0</v>
          </cell>
          <cell r="P1203">
            <v>-1</v>
          </cell>
          <cell r="Q1203">
            <v>2004</v>
          </cell>
          <cell r="R1203" t="str">
            <v>DEARBORN PLANT BUILD</v>
          </cell>
          <cell r="S1203" t="str">
            <v>P221/P397</v>
          </cell>
          <cell r="T1203" t="str">
            <v>GRILLE / WRONG</v>
          </cell>
          <cell r="U1203" t="str">
            <v>Grill replaced</v>
          </cell>
          <cell r="V1203" t="str">
            <v>ALL</v>
          </cell>
          <cell r="W1203">
            <v>1</v>
          </cell>
          <cell r="AD1203">
            <v>1</v>
          </cell>
        </row>
        <row r="1204">
          <cell r="A1204">
            <v>0</v>
          </cell>
          <cell r="B1204" t="str">
            <v>ALL VRTS</v>
          </cell>
          <cell r="D1204">
            <v>1</v>
          </cell>
          <cell r="I1204" t="str">
            <v>F20</v>
          </cell>
          <cell r="L1204" t="str">
            <v>V33</v>
          </cell>
          <cell r="N1204">
            <v>0</v>
          </cell>
          <cell r="O1204">
            <v>0</v>
          </cell>
          <cell r="P1204">
            <v>-1</v>
          </cell>
          <cell r="Q1204">
            <v>2004</v>
          </cell>
          <cell r="R1204" t="str">
            <v>DEARBORN PLANT BUILD</v>
          </cell>
          <cell r="S1204" t="str">
            <v>P221/P397</v>
          </cell>
          <cell r="T1204" t="str">
            <v>Hair</v>
          </cell>
          <cell r="U1204" t="str">
            <v>L/S A Pillar</v>
          </cell>
          <cell r="V1204" t="str">
            <v>ALL</v>
          </cell>
          <cell r="W1204">
            <v>1</v>
          </cell>
          <cell r="AD1204">
            <v>1</v>
          </cell>
        </row>
        <row r="1205">
          <cell r="A1205">
            <v>0</v>
          </cell>
          <cell r="B1205" t="str">
            <v>ALL VRTS</v>
          </cell>
          <cell r="D1205">
            <v>1</v>
          </cell>
          <cell r="I1205" t="str">
            <v>B62</v>
          </cell>
          <cell r="L1205" t="str">
            <v>V75</v>
          </cell>
          <cell r="N1205">
            <v>0</v>
          </cell>
          <cell r="O1205">
            <v>-1</v>
          </cell>
          <cell r="P1205">
            <v>0</v>
          </cell>
          <cell r="Q1205">
            <v>2004</v>
          </cell>
          <cell r="R1205" t="str">
            <v>DEARBORN PLANT BUILD</v>
          </cell>
          <cell r="S1205" t="str">
            <v>P221/P397</v>
          </cell>
          <cell r="T1205" t="str">
            <v>HEADLAMP Capsule Missing</v>
          </cell>
          <cell r="U1205" t="str">
            <v>Headlamp Capsule Replaced</v>
          </cell>
          <cell r="V1205" t="str">
            <v>ALL</v>
          </cell>
          <cell r="W1205">
            <v>1</v>
          </cell>
          <cell r="AE1205">
            <v>1</v>
          </cell>
        </row>
        <row r="1206">
          <cell r="A1206">
            <v>0</v>
          </cell>
          <cell r="B1206" t="str">
            <v>ALL VRTS</v>
          </cell>
          <cell r="D1206">
            <v>1</v>
          </cell>
          <cell r="I1206" t="str">
            <v>L26</v>
          </cell>
          <cell r="L1206" t="str">
            <v>V77</v>
          </cell>
          <cell r="N1206">
            <v>0</v>
          </cell>
          <cell r="O1206">
            <v>-1</v>
          </cell>
          <cell r="P1206">
            <v>0</v>
          </cell>
          <cell r="Q1206">
            <v>2004</v>
          </cell>
          <cell r="R1206" t="str">
            <v>DEARBORN PLANT BUILD</v>
          </cell>
          <cell r="S1206" t="str">
            <v>P221/P397</v>
          </cell>
          <cell r="T1206" t="str">
            <v>Headlamp warped</v>
          </cell>
          <cell r="U1206" t="str">
            <v>Headlamp replaced</v>
          </cell>
          <cell r="V1206" t="str">
            <v>ALL</v>
          </cell>
          <cell r="W1206">
            <v>1</v>
          </cell>
          <cell r="AD1206">
            <v>1</v>
          </cell>
        </row>
        <row r="1207">
          <cell r="A1207">
            <v>0</v>
          </cell>
          <cell r="B1207" t="str">
            <v>ALL VRTS</v>
          </cell>
          <cell r="D1207">
            <v>1</v>
          </cell>
          <cell r="I1207" t="str">
            <v>B73</v>
          </cell>
          <cell r="L1207" t="str">
            <v>V74</v>
          </cell>
          <cell r="N1207">
            <v>0</v>
          </cell>
          <cell r="O1207">
            <v>-1</v>
          </cell>
          <cell r="P1207">
            <v>0</v>
          </cell>
          <cell r="Q1207">
            <v>2004</v>
          </cell>
          <cell r="R1207" t="str">
            <v>DEARBORN PLANT BUILD</v>
          </cell>
          <cell r="S1207" t="str">
            <v>P221/P397</v>
          </cell>
          <cell r="T1207" t="str">
            <v>HEADLINER</v>
          </cell>
          <cell r="U1207" t="str">
            <v>POOR FIT</v>
          </cell>
          <cell r="V1207" t="str">
            <v>ALL</v>
          </cell>
          <cell r="W1207">
            <v>1</v>
          </cell>
          <cell r="AB1207">
            <v>1</v>
          </cell>
        </row>
        <row r="1208">
          <cell r="A1208">
            <v>0</v>
          </cell>
          <cell r="B1208" t="str">
            <v>ALL VRTS</v>
          </cell>
          <cell r="D1208">
            <v>1</v>
          </cell>
          <cell r="E1208" t="str">
            <v>34502C</v>
          </cell>
          <cell r="G1208" t="str">
            <v>Metal Finishers</v>
          </cell>
          <cell r="I1208" t="str">
            <v>B01</v>
          </cell>
          <cell r="L1208" t="str">
            <v>V31</v>
          </cell>
          <cell r="N1208">
            <v>0</v>
          </cell>
          <cell r="O1208">
            <v>0</v>
          </cell>
          <cell r="P1208">
            <v>-1</v>
          </cell>
          <cell r="Q1208">
            <v>2004</v>
          </cell>
          <cell r="R1208" t="str">
            <v>DEARBORN PLANT BUILD</v>
          </cell>
          <cell r="S1208" t="str">
            <v>P221/P397</v>
          </cell>
          <cell r="T1208" t="str">
            <v>Hood - Surface</v>
          </cell>
          <cell r="U1208" t="str">
            <v>DAMAGED</v>
          </cell>
          <cell r="V1208" t="str">
            <v>ALL</v>
          </cell>
          <cell r="W1208">
            <v>1</v>
          </cell>
          <cell r="AB1208">
            <v>1</v>
          </cell>
        </row>
        <row r="1209">
          <cell r="A1209">
            <v>0</v>
          </cell>
          <cell r="B1209" t="str">
            <v>ALL VRTS</v>
          </cell>
          <cell r="D1209">
            <v>1</v>
          </cell>
          <cell r="I1209" t="str">
            <v>B63</v>
          </cell>
          <cell r="L1209" t="str">
            <v>V75</v>
          </cell>
          <cell r="N1209">
            <v>0</v>
          </cell>
          <cell r="O1209">
            <v>-1</v>
          </cell>
          <cell r="P1209">
            <v>0</v>
          </cell>
          <cell r="Q1209">
            <v>2004</v>
          </cell>
          <cell r="R1209" t="str">
            <v>DEARBORN PLANT BUILD</v>
          </cell>
          <cell r="S1209" t="str">
            <v>P221/P397</v>
          </cell>
          <cell r="T1209" t="str">
            <v>HOOD GRILLE EMBLEM MISSING</v>
          </cell>
          <cell r="U1209" t="str">
            <v>INSTALLED ON GRILLE</v>
          </cell>
          <cell r="V1209" t="str">
            <v>ALL</v>
          </cell>
          <cell r="W1209">
            <v>1</v>
          </cell>
          <cell r="AE1209">
            <v>1</v>
          </cell>
        </row>
        <row r="1210">
          <cell r="A1210">
            <v>0</v>
          </cell>
          <cell r="B1210" t="str">
            <v>ALL VRTS</v>
          </cell>
          <cell r="D1210">
            <v>1</v>
          </cell>
          <cell r="E1210" t="str">
            <v>5600</v>
          </cell>
          <cell r="G1210" t="str">
            <v>T4W35L</v>
          </cell>
          <cell r="I1210" t="str">
            <v>T55</v>
          </cell>
          <cell r="L1210" t="str">
            <v>V74</v>
          </cell>
          <cell r="N1210">
            <v>0</v>
          </cell>
          <cell r="O1210">
            <v>0</v>
          </cell>
          <cell r="P1210">
            <v>-1</v>
          </cell>
          <cell r="Q1210">
            <v>2004</v>
          </cell>
          <cell r="R1210" t="str">
            <v>DEARBORN PLANT BUILD</v>
          </cell>
          <cell r="S1210" t="str">
            <v>P221/P397</v>
          </cell>
          <cell r="T1210" t="str">
            <v>HOOD LATCH MECHANISM</v>
          </cell>
          <cell r="U1210" t="str">
            <v>LOOSE</v>
          </cell>
          <cell r="V1210" t="str">
            <v>ALL</v>
          </cell>
          <cell r="W1210">
            <v>1</v>
          </cell>
          <cell r="AD1210">
            <v>1</v>
          </cell>
        </row>
        <row r="1211">
          <cell r="A1211">
            <v>0</v>
          </cell>
          <cell r="B1211" t="str">
            <v>ALL VRTS</v>
          </cell>
          <cell r="D1211">
            <v>1</v>
          </cell>
          <cell r="E1211" t="str">
            <v>Chassis4 6490-2-F</v>
          </cell>
          <cell r="G1211" t="str">
            <v>C4E13L</v>
          </cell>
          <cell r="I1211" t="str">
            <v>B65</v>
          </cell>
          <cell r="L1211" t="str">
            <v>V75</v>
          </cell>
          <cell r="N1211">
            <v>0</v>
          </cell>
          <cell r="O1211">
            <v>0</v>
          </cell>
          <cell r="P1211">
            <v>-1</v>
          </cell>
          <cell r="Q1211">
            <v>2004</v>
          </cell>
          <cell r="R1211" t="str">
            <v>DEARBORN PLANT BUILD</v>
          </cell>
          <cell r="S1211" t="str">
            <v>P221/P397</v>
          </cell>
          <cell r="T1211" t="str">
            <v>HUB CAP / DEFECTIVE</v>
          </cell>
          <cell r="U1211" t="str">
            <v>UNKNOWN</v>
          </cell>
          <cell r="V1211" t="str">
            <v>ALL</v>
          </cell>
          <cell r="W1211">
            <v>1</v>
          </cell>
          <cell r="AD1211">
            <v>1</v>
          </cell>
        </row>
        <row r="1212">
          <cell r="A1212">
            <v>0</v>
          </cell>
          <cell r="B1212" t="str">
            <v>ALL VRTS</v>
          </cell>
          <cell r="D1212">
            <v>1</v>
          </cell>
          <cell r="I1212" t="str">
            <v>B65</v>
          </cell>
          <cell r="L1212" t="str">
            <v>V75</v>
          </cell>
          <cell r="N1212">
            <v>0</v>
          </cell>
          <cell r="O1212">
            <v>-1</v>
          </cell>
          <cell r="P1212">
            <v>0</v>
          </cell>
          <cell r="Q1212">
            <v>2004</v>
          </cell>
          <cell r="R1212" t="str">
            <v>DEARBORN PLANT BUILD</v>
          </cell>
          <cell r="S1212" t="str">
            <v>P221/P397</v>
          </cell>
          <cell r="T1212" t="str">
            <v>HUB CAP / RUST</v>
          </cell>
          <cell r="U1212" t="str">
            <v>REPLACE</v>
          </cell>
          <cell r="V1212" t="str">
            <v>ALL</v>
          </cell>
          <cell r="W1212">
            <v>1</v>
          </cell>
          <cell r="AC1212">
            <v>1</v>
          </cell>
        </row>
        <row r="1213">
          <cell r="A1213">
            <v>0</v>
          </cell>
          <cell r="B1213" t="str">
            <v>ALL VRTS</v>
          </cell>
          <cell r="D1213">
            <v>1</v>
          </cell>
          <cell r="I1213" t="str">
            <v>A85</v>
          </cell>
          <cell r="L1213" t="str">
            <v>V17</v>
          </cell>
          <cell r="N1213">
            <v>0</v>
          </cell>
          <cell r="O1213">
            <v>-1</v>
          </cell>
          <cell r="P1213">
            <v>0</v>
          </cell>
          <cell r="Q1213">
            <v>2004</v>
          </cell>
          <cell r="R1213" t="str">
            <v>DEARBORN PLANT BUILD</v>
          </cell>
          <cell r="S1213" t="str">
            <v>P221/P397</v>
          </cell>
          <cell r="T1213" t="str">
            <v>ICM INOP</v>
          </cell>
          <cell r="U1213" t="str">
            <v>Replace Faulty ICM</v>
          </cell>
          <cell r="V1213" t="str">
            <v>ALL</v>
          </cell>
          <cell r="W1213">
            <v>1</v>
          </cell>
          <cell r="AD1213">
            <v>1</v>
          </cell>
        </row>
        <row r="1214">
          <cell r="A1214">
            <v>0</v>
          </cell>
          <cell r="B1214" t="str">
            <v>ALL VRTS</v>
          </cell>
          <cell r="D1214">
            <v>1</v>
          </cell>
          <cell r="I1214" t="str">
            <v>L13</v>
          </cell>
          <cell r="L1214" t="str">
            <v>V07</v>
          </cell>
          <cell r="N1214">
            <v>0</v>
          </cell>
          <cell r="O1214">
            <v>-1</v>
          </cell>
          <cell r="P1214">
            <v>0</v>
          </cell>
          <cell r="Q1214">
            <v>2004</v>
          </cell>
          <cell r="R1214" t="str">
            <v>DEARBORN PLANT BUILD</v>
          </cell>
          <cell r="S1214" t="str">
            <v>P221/P397</v>
          </cell>
          <cell r="T1214" t="str">
            <v>IGNITION LOCK CYLINDER</v>
          </cell>
          <cell r="U1214" t="str">
            <v>LOCK CYLINDER DAMAGE</v>
          </cell>
          <cell r="V1214" t="str">
            <v>ALL</v>
          </cell>
          <cell r="W1214">
            <v>1</v>
          </cell>
          <cell r="AD1214">
            <v>1</v>
          </cell>
        </row>
        <row r="1215">
          <cell r="A1215">
            <v>0</v>
          </cell>
          <cell r="B1215" t="str">
            <v>ALL VRTS</v>
          </cell>
          <cell r="D1215">
            <v>1</v>
          </cell>
          <cell r="E1215" t="str">
            <v>6570</v>
          </cell>
          <cell r="G1215" t="str">
            <v>C7W09L</v>
          </cell>
          <cell r="I1215" t="str">
            <v>L87</v>
          </cell>
          <cell r="L1215" t="str">
            <v>V44</v>
          </cell>
          <cell r="N1215">
            <v>0</v>
          </cell>
          <cell r="O1215">
            <v>0</v>
          </cell>
          <cell r="P1215">
            <v>-1</v>
          </cell>
          <cell r="Q1215">
            <v>2004</v>
          </cell>
          <cell r="R1215" t="str">
            <v>DEARBORN PLANT BUILD</v>
          </cell>
          <cell r="S1215" t="str">
            <v>P221/P397</v>
          </cell>
          <cell r="T1215" t="str">
            <v>INSUFFICIENT COOLANT FLUID</v>
          </cell>
          <cell r="U1215" t="str">
            <v>Low coolant</v>
          </cell>
          <cell r="V1215" t="str">
            <v>ALL</v>
          </cell>
          <cell r="W1215">
            <v>1</v>
          </cell>
          <cell r="AC1215">
            <v>1</v>
          </cell>
        </row>
        <row r="1216">
          <cell r="A1216">
            <v>0</v>
          </cell>
          <cell r="B1216" t="str">
            <v>ALL VRTS</v>
          </cell>
          <cell r="D1216">
            <v>1</v>
          </cell>
          <cell r="I1216" t="str">
            <v>L15</v>
          </cell>
          <cell r="L1216" t="str">
            <v>V07</v>
          </cell>
          <cell r="N1216">
            <v>0</v>
          </cell>
          <cell r="O1216">
            <v>-1</v>
          </cell>
          <cell r="P1216">
            <v>0</v>
          </cell>
          <cell r="Q1216">
            <v>2004</v>
          </cell>
          <cell r="R1216" t="str">
            <v>DEARBORN PLANT BUILD</v>
          </cell>
          <cell r="S1216" t="str">
            <v>P221/P397</v>
          </cell>
          <cell r="T1216" t="str">
            <v>INTERLOCK FUNCTION</v>
          </cell>
          <cell r="U1216" t="str">
            <v>REPAIR INTERLOCK LINKAGE</v>
          </cell>
          <cell r="V1216" t="str">
            <v>ALL</v>
          </cell>
          <cell r="W1216">
            <v>1</v>
          </cell>
          <cell r="AB1216">
            <v>1</v>
          </cell>
        </row>
        <row r="1217">
          <cell r="A1217">
            <v>0</v>
          </cell>
          <cell r="B1217" t="str">
            <v>ALL VRTS</v>
          </cell>
          <cell r="D1217">
            <v>1</v>
          </cell>
          <cell r="I1217" t="str">
            <v>L23</v>
          </cell>
          <cell r="L1217" t="str">
            <v>V07</v>
          </cell>
          <cell r="N1217">
            <v>-1</v>
          </cell>
          <cell r="O1217">
            <v>0</v>
          </cell>
          <cell r="P1217">
            <v>0</v>
          </cell>
          <cell r="Q1217">
            <v>2004</v>
          </cell>
          <cell r="R1217" t="str">
            <v>DEARBORN PLANT BUILD</v>
          </cell>
          <cell r="S1217" t="str">
            <v>P221/P397</v>
          </cell>
          <cell r="T1217" t="str">
            <v>INVESTIGATE WITH DEALER</v>
          </cell>
          <cell r="U1217" t="str">
            <v>INVESTIGATE WITH DEALER</v>
          </cell>
          <cell r="V1217" t="str">
            <v>ALL</v>
          </cell>
          <cell r="W1217">
            <v>1</v>
          </cell>
          <cell r="AD1217">
            <v>1</v>
          </cell>
        </row>
        <row r="1218">
          <cell r="A1218">
            <v>0</v>
          </cell>
          <cell r="B1218" t="str">
            <v>ALL VRTS</v>
          </cell>
          <cell r="D1218">
            <v>1</v>
          </cell>
          <cell r="E1218" t="str">
            <v>6410</v>
          </cell>
          <cell r="G1218" t="str">
            <v>C2W08B</v>
          </cell>
          <cell r="I1218" t="str">
            <v>C50</v>
          </cell>
          <cell r="L1218" t="str">
            <v>V89</v>
          </cell>
          <cell r="N1218">
            <v>0</v>
          </cell>
          <cell r="O1218">
            <v>0</v>
          </cell>
          <cell r="P1218">
            <v>-1</v>
          </cell>
          <cell r="Q1218">
            <v>2004</v>
          </cell>
          <cell r="R1218" t="str">
            <v>DEARBORN PLANT BUILD</v>
          </cell>
          <cell r="S1218" t="str">
            <v>P221/P397</v>
          </cell>
          <cell r="T1218" t="str">
            <v>L/R LOWER SHOCK - LOOSE</v>
          </cell>
          <cell r="U1218" t="str">
            <v>L/S LOWER SHOCK - TIGHTENED NUT</v>
          </cell>
          <cell r="V1218" t="str">
            <v>ALL</v>
          </cell>
          <cell r="W1218">
            <v>1</v>
          </cell>
          <cell r="AE1218">
            <v>1</v>
          </cell>
        </row>
        <row r="1219">
          <cell r="A1219">
            <v>0</v>
          </cell>
          <cell r="B1219" t="str">
            <v>ALL VRTS</v>
          </cell>
          <cell r="D1219">
            <v>1</v>
          </cell>
          <cell r="E1219" t="str">
            <v>Trim 4 5690-2-G</v>
          </cell>
          <cell r="G1219" t="str">
            <v>T4W19L</v>
          </cell>
          <cell r="I1219" t="str">
            <v>B66</v>
          </cell>
          <cell r="L1219" t="str">
            <v>V75</v>
          </cell>
          <cell r="N1219">
            <v>0</v>
          </cell>
          <cell r="O1219">
            <v>0</v>
          </cell>
          <cell r="P1219">
            <v>-1</v>
          </cell>
          <cell r="Q1219">
            <v>2004</v>
          </cell>
          <cell r="R1219" t="str">
            <v>DEARBORN PLANT BUILD</v>
          </cell>
          <cell r="S1219" t="str">
            <v>P221/P397</v>
          </cell>
          <cell r="T1219" t="str">
            <v>Leafscreen /defective</v>
          </cell>
          <cell r="U1219" t="str">
            <v>push pin installed</v>
          </cell>
          <cell r="V1219" t="str">
            <v>ALL</v>
          </cell>
          <cell r="W1219">
            <v>1</v>
          </cell>
          <cell r="Z1219">
            <v>1</v>
          </cell>
        </row>
        <row r="1220">
          <cell r="A1220">
            <v>0</v>
          </cell>
          <cell r="B1220" t="str">
            <v>ALL VRTS</v>
          </cell>
          <cell r="D1220">
            <v>1</v>
          </cell>
          <cell r="I1220" t="str">
            <v>B69</v>
          </cell>
          <cell r="L1220" t="str">
            <v>V75</v>
          </cell>
          <cell r="N1220">
            <v>0</v>
          </cell>
          <cell r="O1220">
            <v>-1</v>
          </cell>
          <cell r="P1220">
            <v>0</v>
          </cell>
          <cell r="Q1220">
            <v>2004</v>
          </cell>
          <cell r="R1220" t="str">
            <v>DEARBORN PLANT BUILD</v>
          </cell>
          <cell r="S1220" t="str">
            <v>P221/P397</v>
          </cell>
          <cell r="T1220" t="str">
            <v>License Plate Brkt / Missing</v>
          </cell>
          <cell r="U1220" t="str">
            <v>Operator Error</v>
          </cell>
          <cell r="V1220" t="str">
            <v>ALL</v>
          </cell>
          <cell r="W1220">
            <v>1</v>
          </cell>
          <cell r="AB1220">
            <v>1</v>
          </cell>
        </row>
        <row r="1221">
          <cell r="A1221">
            <v>0</v>
          </cell>
          <cell r="B1221" t="str">
            <v>ALL VRTS</v>
          </cell>
          <cell r="D1221">
            <v>1</v>
          </cell>
          <cell r="I1221" t="str">
            <v>L26</v>
          </cell>
          <cell r="L1221" t="str">
            <v>V77</v>
          </cell>
          <cell r="N1221">
            <v>0</v>
          </cell>
          <cell r="O1221">
            <v>0</v>
          </cell>
          <cell r="P1221">
            <v>-1</v>
          </cell>
          <cell r="Q1221">
            <v>2004</v>
          </cell>
          <cell r="R1221" t="str">
            <v>DEARBORN PLANT BUILD</v>
          </cell>
          <cell r="S1221" t="str">
            <v>P221/P397</v>
          </cell>
          <cell r="T1221" t="str">
            <v>License Plate Lights</v>
          </cell>
          <cell r="U1221" t="str">
            <v>Damaged Connector</v>
          </cell>
          <cell r="V1221" t="str">
            <v>ALL</v>
          </cell>
          <cell r="W1221">
            <v>1</v>
          </cell>
          <cell r="AC1221">
            <v>1</v>
          </cell>
        </row>
        <row r="1222">
          <cell r="A1222">
            <v>0</v>
          </cell>
          <cell r="B1222" t="str">
            <v>ALL VRTS</v>
          </cell>
          <cell r="D1222">
            <v>1</v>
          </cell>
          <cell r="I1222" t="str">
            <v>E69</v>
          </cell>
          <cell r="L1222" t="str">
            <v>V44</v>
          </cell>
          <cell r="N1222">
            <v>0</v>
          </cell>
          <cell r="O1222">
            <v>-1</v>
          </cell>
          <cell r="P1222">
            <v>0</v>
          </cell>
          <cell r="Q1222">
            <v>2004</v>
          </cell>
          <cell r="R1222" t="str">
            <v>DEARBORN PLANT BUILD</v>
          </cell>
          <cell r="S1222" t="str">
            <v>P221/P397</v>
          </cell>
          <cell r="T1222" t="str">
            <v>LOW OIL PRESSURE</v>
          </cell>
          <cell r="U1222" t="str">
            <v>PSI Oil Switch Replaced</v>
          </cell>
          <cell r="V1222" t="str">
            <v>ALL</v>
          </cell>
          <cell r="W1222">
            <v>1</v>
          </cell>
          <cell r="AD1222">
            <v>1</v>
          </cell>
        </row>
        <row r="1223">
          <cell r="A1223">
            <v>0</v>
          </cell>
          <cell r="B1223" t="str">
            <v>ALL VRTS</v>
          </cell>
          <cell r="D1223">
            <v>1</v>
          </cell>
          <cell r="I1223" t="str">
            <v>F20</v>
          </cell>
          <cell r="L1223" t="str">
            <v>V33</v>
          </cell>
          <cell r="N1223">
            <v>0</v>
          </cell>
          <cell r="O1223">
            <v>0</v>
          </cell>
          <cell r="P1223">
            <v>-1</v>
          </cell>
          <cell r="Q1223">
            <v>2004</v>
          </cell>
          <cell r="R1223" t="str">
            <v>DEARBORN PLANT BUILD</v>
          </cell>
          <cell r="S1223" t="str">
            <v>P221/P397</v>
          </cell>
          <cell r="T1223" t="str">
            <v>Missing</v>
          </cell>
          <cell r="U1223" t="str">
            <v>PVC</v>
          </cell>
          <cell r="V1223" t="str">
            <v>ALL</v>
          </cell>
          <cell r="W1223">
            <v>1</v>
          </cell>
          <cell r="AD1223">
            <v>1</v>
          </cell>
        </row>
        <row r="1224">
          <cell r="A1224">
            <v>0</v>
          </cell>
          <cell r="B1224" t="str">
            <v>ALL VRTS</v>
          </cell>
          <cell r="D1224">
            <v>1</v>
          </cell>
          <cell r="I1224" t="str">
            <v>A85</v>
          </cell>
          <cell r="L1224" t="str">
            <v>V17</v>
          </cell>
          <cell r="N1224">
            <v>0</v>
          </cell>
          <cell r="O1224">
            <v>0</v>
          </cell>
          <cell r="P1224">
            <v>-1</v>
          </cell>
          <cell r="Q1224">
            <v>2004</v>
          </cell>
          <cell r="R1224" t="str">
            <v>DEARBORN PLANT BUILD</v>
          </cell>
          <cell r="S1224" t="str">
            <v>P221/P397</v>
          </cell>
          <cell r="T1224" t="str">
            <v>Moonroof INOP</v>
          </cell>
          <cell r="U1224" t="str">
            <v>No Connect at Module</v>
          </cell>
          <cell r="V1224" t="str">
            <v>ALL</v>
          </cell>
          <cell r="W1224">
            <v>1</v>
          </cell>
          <cell r="AE1224">
            <v>1</v>
          </cell>
        </row>
        <row r="1225">
          <cell r="A1225">
            <v>0</v>
          </cell>
          <cell r="B1225" t="str">
            <v>ALL VRTS</v>
          </cell>
          <cell r="D1225">
            <v>1</v>
          </cell>
          <cell r="E1225" t="str">
            <v>Trim 4 5690-G</v>
          </cell>
          <cell r="G1225" t="str">
            <v>T4E36R</v>
          </cell>
          <cell r="I1225" t="str">
            <v>B66</v>
          </cell>
          <cell r="L1225" t="str">
            <v>V75</v>
          </cell>
          <cell r="N1225">
            <v>0</v>
          </cell>
          <cell r="O1225">
            <v>0</v>
          </cell>
          <cell r="P1225">
            <v>-1</v>
          </cell>
          <cell r="Q1225">
            <v>2004</v>
          </cell>
          <cell r="R1225" t="str">
            <v>DEARBORN PLANT BUILD</v>
          </cell>
          <cell r="S1225" t="str">
            <v>P221/P397</v>
          </cell>
          <cell r="T1225" t="str">
            <v>NAMEPLATE / F-150 / POOR FIT</v>
          </cell>
          <cell r="U1225" t="str">
            <v>Nameplate replaced</v>
          </cell>
          <cell r="V1225" t="str">
            <v>ALL</v>
          </cell>
          <cell r="W1225">
            <v>1</v>
          </cell>
          <cell r="AD1225">
            <v>1</v>
          </cell>
        </row>
        <row r="1226">
          <cell r="A1226">
            <v>0</v>
          </cell>
          <cell r="B1226" t="str">
            <v>ALL VRTS</v>
          </cell>
          <cell r="D1226">
            <v>1</v>
          </cell>
          <cell r="E1226" t="str">
            <v>Trim 4 5590-2-G</v>
          </cell>
          <cell r="G1226" t="str">
            <v>T4W19L</v>
          </cell>
          <cell r="I1226" t="str">
            <v>B66</v>
          </cell>
          <cell r="L1226" t="str">
            <v>V75</v>
          </cell>
          <cell r="N1226">
            <v>0</v>
          </cell>
          <cell r="O1226">
            <v>0</v>
          </cell>
          <cell r="P1226">
            <v>-1</v>
          </cell>
          <cell r="Q1226">
            <v>2004</v>
          </cell>
          <cell r="R1226" t="str">
            <v>DEARBORN PLANT BUILD</v>
          </cell>
          <cell r="S1226" t="str">
            <v>P221/P397</v>
          </cell>
          <cell r="T1226" t="str">
            <v>NAMEPLATE / FENDER / MISSING</v>
          </cell>
          <cell r="U1226" t="str">
            <v>Operator Error</v>
          </cell>
          <cell r="V1226" t="str">
            <v>ALL</v>
          </cell>
          <cell r="W1226">
            <v>1</v>
          </cell>
          <cell r="AB1226">
            <v>1</v>
          </cell>
        </row>
        <row r="1227">
          <cell r="A1227">
            <v>0</v>
          </cell>
          <cell r="B1227" t="str">
            <v>ALL VRTS</v>
          </cell>
          <cell r="D1227">
            <v>1</v>
          </cell>
          <cell r="I1227" t="str">
            <v>B66</v>
          </cell>
          <cell r="L1227" t="str">
            <v>V75</v>
          </cell>
          <cell r="N1227">
            <v>0</v>
          </cell>
          <cell r="O1227">
            <v>-1</v>
          </cell>
          <cell r="P1227">
            <v>0</v>
          </cell>
          <cell r="Q1227">
            <v>2004</v>
          </cell>
          <cell r="R1227" t="str">
            <v>DEARBORN PLANT BUILD</v>
          </cell>
          <cell r="S1227" t="str">
            <v>P221/P397</v>
          </cell>
          <cell r="T1227" t="str">
            <v>OUTER BELT MOLDING / DISCOLORED</v>
          </cell>
          <cell r="U1227" t="str">
            <v>Molding replaced</v>
          </cell>
          <cell r="V1227" t="str">
            <v>ALL</v>
          </cell>
          <cell r="W1227">
            <v>1</v>
          </cell>
          <cell r="AA1227">
            <v>1</v>
          </cell>
        </row>
        <row r="1228">
          <cell r="A1228">
            <v>0</v>
          </cell>
          <cell r="B1228" t="str">
            <v>ALL VRTS</v>
          </cell>
          <cell r="D1228">
            <v>1</v>
          </cell>
          <cell r="I1228" t="str">
            <v>B95</v>
          </cell>
          <cell r="L1228" t="str">
            <v>V71</v>
          </cell>
          <cell r="N1228">
            <v>0</v>
          </cell>
          <cell r="O1228">
            <v>-1</v>
          </cell>
          <cell r="P1228">
            <v>0</v>
          </cell>
          <cell r="Q1228">
            <v>2004</v>
          </cell>
          <cell r="R1228" t="str">
            <v>DEARBORN PLANT BUILD</v>
          </cell>
          <cell r="S1228" t="str">
            <v>P221/P397</v>
          </cell>
          <cell r="T1228" t="str">
            <v>OVERHEAD CONSOLE</v>
          </cell>
          <cell r="U1228" t="str">
            <v>DOOR LATCH BROKEN</v>
          </cell>
          <cell r="V1228" t="str">
            <v>ALL</v>
          </cell>
          <cell r="W1228">
            <v>1</v>
          </cell>
          <cell r="AD1228">
            <v>1</v>
          </cell>
        </row>
        <row r="1229">
          <cell r="A1229">
            <v>0</v>
          </cell>
          <cell r="B1229" t="str">
            <v>ALL VRTS</v>
          </cell>
          <cell r="D1229">
            <v>1</v>
          </cell>
          <cell r="I1229" t="str">
            <v>H04</v>
          </cell>
          <cell r="L1229" t="str">
            <v>V21</v>
          </cell>
          <cell r="N1229">
            <v>0</v>
          </cell>
          <cell r="O1229">
            <v>-1</v>
          </cell>
          <cell r="P1229">
            <v>0</v>
          </cell>
          <cell r="Q1229">
            <v>2004</v>
          </cell>
          <cell r="R1229" t="str">
            <v>DEARBORN PLANT BUILD</v>
          </cell>
          <cell r="S1229" t="str">
            <v>P221/P397</v>
          </cell>
          <cell r="T1229" t="str">
            <v>PARK BRAKE,PEDAL COVER</v>
          </cell>
          <cell r="U1229" t="str">
            <v>PEDAL COVER MISSING - REPLACED</v>
          </cell>
          <cell r="V1229" t="str">
            <v>ALL</v>
          </cell>
          <cell r="W1229">
            <v>1</v>
          </cell>
          <cell r="AB1229">
            <v>1</v>
          </cell>
        </row>
        <row r="1230">
          <cell r="A1230">
            <v>0</v>
          </cell>
          <cell r="B1230" t="str">
            <v>ALL VRTS</v>
          </cell>
          <cell r="D1230">
            <v>1</v>
          </cell>
          <cell r="I1230" t="str">
            <v>G29</v>
          </cell>
          <cell r="L1230" t="str">
            <v>V83</v>
          </cell>
          <cell r="N1230">
            <v>0</v>
          </cell>
          <cell r="O1230">
            <v>-1</v>
          </cell>
          <cell r="P1230">
            <v>0</v>
          </cell>
          <cell r="Q1230">
            <v>2004</v>
          </cell>
          <cell r="R1230" t="str">
            <v>DEARBORN PLANT BUILD</v>
          </cell>
          <cell r="S1230" t="str">
            <v>P221/P397</v>
          </cell>
          <cell r="T1230" t="str">
            <v>PCM INOP</v>
          </cell>
          <cell r="U1230" t="str">
            <v>Reprogram PCM</v>
          </cell>
          <cell r="V1230" t="str">
            <v>ALL</v>
          </cell>
          <cell r="W1230">
            <v>1</v>
          </cell>
          <cell r="AE1230">
            <v>1</v>
          </cell>
        </row>
        <row r="1231">
          <cell r="A1231">
            <v>0</v>
          </cell>
          <cell r="B1231" t="str">
            <v>ALL VRTS</v>
          </cell>
          <cell r="D1231">
            <v>1</v>
          </cell>
          <cell r="E1231" t="str">
            <v>5500</v>
          </cell>
          <cell r="G1231" t="str">
            <v>T2W27L</v>
          </cell>
          <cell r="I1231" t="str">
            <v>B53</v>
          </cell>
          <cell r="L1231" t="str">
            <v>V71</v>
          </cell>
          <cell r="N1231">
            <v>0</v>
          </cell>
          <cell r="O1231">
            <v>0</v>
          </cell>
          <cell r="P1231">
            <v>-1</v>
          </cell>
          <cell r="Q1231">
            <v>2004</v>
          </cell>
          <cell r="R1231" t="str">
            <v>DEARBORN PLANT BUILD</v>
          </cell>
          <cell r="S1231" t="str">
            <v>P221/P397</v>
          </cell>
          <cell r="T1231" t="str">
            <v>PEDALS</v>
          </cell>
          <cell r="U1231" t="str">
            <v>PAD MISSING, BRAKE</v>
          </cell>
          <cell r="V1231" t="str">
            <v>ALL</v>
          </cell>
          <cell r="W1231">
            <v>1</v>
          </cell>
          <cell r="AC1231">
            <v>1</v>
          </cell>
        </row>
        <row r="1232">
          <cell r="A1232">
            <v>0</v>
          </cell>
          <cell r="B1232" t="str">
            <v>ALL VRTS</v>
          </cell>
          <cell r="D1232">
            <v>1</v>
          </cell>
          <cell r="I1232" t="str">
            <v>B53</v>
          </cell>
          <cell r="L1232" t="str">
            <v>V71</v>
          </cell>
          <cell r="N1232">
            <v>0</v>
          </cell>
          <cell r="O1232">
            <v>-1</v>
          </cell>
          <cell r="P1232">
            <v>0</v>
          </cell>
          <cell r="Q1232">
            <v>2004</v>
          </cell>
          <cell r="R1232" t="str">
            <v>DEARBORN PLANT BUILD</v>
          </cell>
          <cell r="S1232" t="str">
            <v>P221/P397</v>
          </cell>
          <cell r="T1232" t="str">
            <v>PEDALS POWER INOP</v>
          </cell>
          <cell r="U1232" t="str">
            <v>CABLE LOOSE</v>
          </cell>
          <cell r="V1232" t="str">
            <v>ALL</v>
          </cell>
          <cell r="W1232">
            <v>1</v>
          </cell>
          <cell r="AE1232">
            <v>1</v>
          </cell>
        </row>
        <row r="1233">
          <cell r="A1233">
            <v>0</v>
          </cell>
          <cell r="B1233" t="str">
            <v>ALL VRTS</v>
          </cell>
          <cell r="D1233">
            <v>1</v>
          </cell>
          <cell r="E1233" t="str">
            <v>5430</v>
          </cell>
          <cell r="G1233" t="str">
            <v>T5W13L</v>
          </cell>
          <cell r="I1233" t="str">
            <v>T54</v>
          </cell>
          <cell r="L1233" t="str">
            <v>V74</v>
          </cell>
          <cell r="N1233">
            <v>0</v>
          </cell>
          <cell r="O1233">
            <v>0</v>
          </cell>
          <cell r="P1233">
            <v>-1</v>
          </cell>
          <cell r="Q1233">
            <v>2004</v>
          </cell>
          <cell r="R1233" t="str">
            <v>DEARBORN PLANT BUILD</v>
          </cell>
          <cell r="S1233" t="str">
            <v>P221/P397</v>
          </cell>
          <cell r="T1233" t="str">
            <v>PLUG-FLOORPAN</v>
          </cell>
          <cell r="U1233" t="str">
            <v>MISSING</v>
          </cell>
          <cell r="V1233" t="str">
            <v>ALL</v>
          </cell>
          <cell r="W1233">
            <v>1</v>
          </cell>
          <cell r="Z1233">
            <v>1</v>
          </cell>
        </row>
        <row r="1234">
          <cell r="A1234">
            <v>0</v>
          </cell>
          <cell r="B1234" t="str">
            <v>ALL VRTS</v>
          </cell>
          <cell r="D1234">
            <v>1</v>
          </cell>
          <cell r="I1234" t="str">
            <v>S15</v>
          </cell>
          <cell r="L1234" t="str">
            <v>V03</v>
          </cell>
          <cell r="N1234">
            <v>0</v>
          </cell>
          <cell r="O1234">
            <v>-1</v>
          </cell>
          <cell r="P1234">
            <v>0</v>
          </cell>
          <cell r="Q1234">
            <v>2004</v>
          </cell>
          <cell r="R1234" t="str">
            <v>DEARBORN PLANT BUILD</v>
          </cell>
          <cell r="S1234" t="str">
            <v>P221/P397</v>
          </cell>
          <cell r="T1234" t="str">
            <v>POWER SEAT INOP</v>
          </cell>
          <cell r="U1234" t="str">
            <v>CONNEECTOR C369</v>
          </cell>
          <cell r="V1234" t="str">
            <v>ALL</v>
          </cell>
          <cell r="W1234">
            <v>1</v>
          </cell>
          <cell r="AD1234">
            <v>1</v>
          </cell>
        </row>
        <row r="1235">
          <cell r="A1235">
            <v>0</v>
          </cell>
          <cell r="B1235" t="str">
            <v>ALL VRTS</v>
          </cell>
          <cell r="D1235">
            <v>1</v>
          </cell>
          <cell r="I1235" t="str">
            <v>S15</v>
          </cell>
          <cell r="L1235" t="str">
            <v>V03</v>
          </cell>
          <cell r="N1235">
            <v>0</v>
          </cell>
          <cell r="O1235">
            <v>-1</v>
          </cell>
          <cell r="P1235">
            <v>0</v>
          </cell>
          <cell r="Q1235">
            <v>2004</v>
          </cell>
          <cell r="R1235" t="str">
            <v>DEARBORN PLANT BUILD</v>
          </cell>
          <cell r="S1235" t="str">
            <v>P221/P397</v>
          </cell>
          <cell r="T1235" t="str">
            <v>POWER SEATS</v>
          </cell>
          <cell r="U1235" t="str">
            <v>WIRING REPAIR</v>
          </cell>
          <cell r="V1235" t="str">
            <v>ALL</v>
          </cell>
          <cell r="W1235">
            <v>1</v>
          </cell>
          <cell r="AE1235">
            <v>1</v>
          </cell>
        </row>
        <row r="1236">
          <cell r="A1236">
            <v>0</v>
          </cell>
          <cell r="B1236" t="str">
            <v>ALL VRTS</v>
          </cell>
          <cell r="D1236">
            <v>1</v>
          </cell>
          <cell r="I1236" t="str">
            <v>L68</v>
          </cell>
          <cell r="L1236" t="str">
            <v>V89</v>
          </cell>
          <cell r="N1236">
            <v>0</v>
          </cell>
          <cell r="O1236">
            <v>-1</v>
          </cell>
          <cell r="P1236">
            <v>0</v>
          </cell>
          <cell r="Q1236">
            <v>2004</v>
          </cell>
          <cell r="R1236" t="str">
            <v>DEARBORN PLANT BUILD</v>
          </cell>
          <cell r="S1236" t="str">
            <v>P221/P397</v>
          </cell>
          <cell r="T1236" t="str">
            <v>POWER STEERING LEAKS</v>
          </cell>
          <cell r="U1236" t="str">
            <v>RACK AND PINION REPLACED</v>
          </cell>
          <cell r="V1236" t="str">
            <v>ALL</v>
          </cell>
          <cell r="W1236">
            <v>1</v>
          </cell>
          <cell r="AB1236">
            <v>1</v>
          </cell>
        </row>
        <row r="1237">
          <cell r="A1237">
            <v>0</v>
          </cell>
          <cell r="B1237" t="str">
            <v>ALL VRTS</v>
          </cell>
          <cell r="D1237">
            <v>1</v>
          </cell>
          <cell r="I1237" t="str">
            <v>B66</v>
          </cell>
          <cell r="L1237" t="str">
            <v>V75</v>
          </cell>
          <cell r="N1237">
            <v>0</v>
          </cell>
          <cell r="O1237">
            <v>-1</v>
          </cell>
          <cell r="P1237">
            <v>0</v>
          </cell>
          <cell r="Q1237">
            <v>2004</v>
          </cell>
          <cell r="R1237" t="str">
            <v>DEARBORN PLANT BUILD</v>
          </cell>
          <cell r="S1237" t="str">
            <v>P221/P397</v>
          </cell>
          <cell r="T1237" t="str">
            <v>REAR BUMPER COVER / WARPED</v>
          </cell>
          <cell r="U1237" t="str">
            <v>Rear Bumper Cover Replaced</v>
          </cell>
          <cell r="V1237" t="str">
            <v>ALL</v>
          </cell>
          <cell r="W1237">
            <v>1</v>
          </cell>
          <cell r="AB1237">
            <v>1</v>
          </cell>
        </row>
        <row r="1238">
          <cell r="A1238">
            <v>0</v>
          </cell>
          <cell r="B1238" t="str">
            <v>ALL VRTS</v>
          </cell>
          <cell r="D1238">
            <v>1</v>
          </cell>
          <cell r="I1238" t="str">
            <v>N42</v>
          </cell>
          <cell r="L1238" t="str">
            <v>V39</v>
          </cell>
          <cell r="N1238">
            <v>0</v>
          </cell>
          <cell r="O1238">
            <v>0</v>
          </cell>
          <cell r="P1238">
            <v>-1</v>
          </cell>
          <cell r="Q1238">
            <v>2004</v>
          </cell>
          <cell r="R1238" t="str">
            <v>DEARBORN PLANT BUILD</v>
          </cell>
          <cell r="S1238" t="str">
            <v>P221/P397</v>
          </cell>
          <cell r="T1238" t="str">
            <v>Rear Seat Squeak/Rattle</v>
          </cell>
          <cell r="U1238" t="str">
            <v>Seat Frame Brkt Loose</v>
          </cell>
          <cell r="V1238" t="str">
            <v>ALL</v>
          </cell>
          <cell r="W1238">
            <v>1</v>
          </cell>
          <cell r="AD1238">
            <v>1</v>
          </cell>
        </row>
        <row r="1239">
          <cell r="A1239">
            <v>0</v>
          </cell>
          <cell r="B1239" t="str">
            <v>ALL VRTS</v>
          </cell>
          <cell r="D1239">
            <v>1</v>
          </cell>
          <cell r="I1239" t="str">
            <v>G02</v>
          </cell>
          <cell r="L1239" t="str">
            <v>V09</v>
          </cell>
          <cell r="N1239">
            <v>0</v>
          </cell>
          <cell r="O1239">
            <v>-1</v>
          </cell>
          <cell r="P1239">
            <v>0</v>
          </cell>
          <cell r="Q1239">
            <v>2004</v>
          </cell>
          <cell r="R1239" t="str">
            <v>DEARBORN PLANT BUILD</v>
          </cell>
          <cell r="S1239" t="str">
            <v>P221/P397</v>
          </cell>
          <cell r="T1239" t="str">
            <v>REAR SLIDER GLASS</v>
          </cell>
          <cell r="U1239" t="str">
            <v>GLASS SHATTERED</v>
          </cell>
          <cell r="V1239" t="str">
            <v>ALL</v>
          </cell>
          <cell r="W1239">
            <v>1</v>
          </cell>
          <cell r="AD1239">
            <v>1</v>
          </cell>
        </row>
        <row r="1240">
          <cell r="A1240">
            <v>0</v>
          </cell>
          <cell r="B1240" t="str">
            <v>ALL VRTS</v>
          </cell>
          <cell r="D1240">
            <v>1</v>
          </cell>
          <cell r="E1240" t="str">
            <v>34502C</v>
          </cell>
          <cell r="G1240" t="str">
            <v>Metal Finishers</v>
          </cell>
          <cell r="I1240" t="str">
            <v>B19</v>
          </cell>
          <cell r="L1240" t="str">
            <v>V31</v>
          </cell>
          <cell r="N1240">
            <v>0</v>
          </cell>
          <cell r="O1240">
            <v>0</v>
          </cell>
          <cell r="P1240">
            <v>-1</v>
          </cell>
          <cell r="Q1240">
            <v>2004</v>
          </cell>
          <cell r="R1240" t="str">
            <v>DEARBORN PLANT BUILD</v>
          </cell>
          <cell r="S1240" t="str">
            <v>P221/P397</v>
          </cell>
          <cell r="T1240" t="str">
            <v>Rear squeak</v>
          </cell>
          <cell r="U1240" t="str">
            <v>Sound deadener misaligned</v>
          </cell>
          <cell r="V1240" t="str">
            <v>ALL</v>
          </cell>
          <cell r="W1240">
            <v>1</v>
          </cell>
          <cell r="AE1240">
            <v>1</v>
          </cell>
        </row>
        <row r="1241">
          <cell r="A1241">
            <v>0</v>
          </cell>
          <cell r="B1241" t="str">
            <v>ALL VRTS</v>
          </cell>
          <cell r="D1241">
            <v>1</v>
          </cell>
          <cell r="I1241" t="str">
            <v>T90</v>
          </cell>
          <cell r="L1241" t="str">
            <v>V74</v>
          </cell>
          <cell r="N1241">
            <v>0</v>
          </cell>
          <cell r="O1241">
            <v>-1</v>
          </cell>
          <cell r="P1241">
            <v>0</v>
          </cell>
          <cell r="Q1241">
            <v>2004</v>
          </cell>
          <cell r="R1241" t="str">
            <v>DEARBORN PLANT BUILD</v>
          </cell>
          <cell r="S1241" t="str">
            <v>P221/P397</v>
          </cell>
          <cell r="T1241" t="str">
            <v>REARVIEW MIRROR</v>
          </cell>
          <cell r="U1241" t="str">
            <v>LOOSE,REPLACED</v>
          </cell>
          <cell r="V1241" t="str">
            <v>ALL</v>
          </cell>
          <cell r="W1241">
            <v>1</v>
          </cell>
          <cell r="AA1241">
            <v>1</v>
          </cell>
        </row>
        <row r="1242">
          <cell r="A1242">
            <v>0</v>
          </cell>
          <cell r="B1242" t="str">
            <v>ALL VRTS</v>
          </cell>
          <cell r="D1242">
            <v>1</v>
          </cell>
          <cell r="I1242" t="str">
            <v>L20</v>
          </cell>
          <cell r="L1242" t="str">
            <v>V07</v>
          </cell>
          <cell r="N1242">
            <v>0</v>
          </cell>
          <cell r="O1242">
            <v>-1</v>
          </cell>
          <cell r="P1242">
            <v>0</v>
          </cell>
          <cell r="Q1242">
            <v>2004</v>
          </cell>
          <cell r="R1242" t="str">
            <v>DEARBORN PLANT BUILD</v>
          </cell>
          <cell r="S1242" t="str">
            <v>P221/P397</v>
          </cell>
          <cell r="T1242" t="str">
            <v>REMOTE WEAK SIGNAL</v>
          </cell>
          <cell r="U1242" t="str">
            <v>REPLACE REMOTE</v>
          </cell>
          <cell r="V1242" t="str">
            <v>ALL</v>
          </cell>
          <cell r="W1242">
            <v>1</v>
          </cell>
          <cell r="AD1242">
            <v>1</v>
          </cell>
        </row>
        <row r="1243">
          <cell r="A1243">
            <v>0</v>
          </cell>
          <cell r="B1243" t="str">
            <v>ALL VRTS</v>
          </cell>
          <cell r="D1243">
            <v>1</v>
          </cell>
          <cell r="E1243" t="str">
            <v>Trim 4 5580-2-G</v>
          </cell>
          <cell r="G1243" t="str">
            <v>T4W012R</v>
          </cell>
          <cell r="I1243" t="str">
            <v>B66</v>
          </cell>
          <cell r="L1243" t="str">
            <v>V75</v>
          </cell>
          <cell r="N1243">
            <v>0</v>
          </cell>
          <cell r="O1243">
            <v>0</v>
          </cell>
          <cell r="P1243">
            <v>-1</v>
          </cell>
          <cell r="Q1243">
            <v>2004</v>
          </cell>
          <cell r="R1243" t="str">
            <v>DEARBORN PLANT BUILD</v>
          </cell>
          <cell r="S1243" t="str">
            <v>P221/P397</v>
          </cell>
          <cell r="T1243" t="str">
            <v>Roof Ditch Molding / Missing</v>
          </cell>
          <cell r="U1243" t="str">
            <v>Operator Error</v>
          </cell>
          <cell r="V1243" t="str">
            <v>ALL</v>
          </cell>
          <cell r="W1243">
            <v>1</v>
          </cell>
          <cell r="AD1243">
            <v>1</v>
          </cell>
        </row>
        <row r="1244">
          <cell r="A1244">
            <v>0</v>
          </cell>
          <cell r="B1244" t="str">
            <v>ALL VRTS</v>
          </cell>
          <cell r="D1244">
            <v>1</v>
          </cell>
          <cell r="I1244" t="str">
            <v>A85</v>
          </cell>
          <cell r="L1244" t="str">
            <v>V17</v>
          </cell>
          <cell r="N1244">
            <v>0</v>
          </cell>
          <cell r="O1244">
            <v>-1</v>
          </cell>
          <cell r="P1244">
            <v>0</v>
          </cell>
          <cell r="Q1244">
            <v>2004</v>
          </cell>
          <cell r="R1244" t="str">
            <v>DEARBORN PLANT BUILD</v>
          </cell>
          <cell r="S1244" t="str">
            <v>P221/P397</v>
          </cell>
          <cell r="T1244" t="str">
            <v>RPA inop</v>
          </cell>
          <cell r="U1244" t="str">
            <v>N/C at RPA switch</v>
          </cell>
          <cell r="V1244" t="str">
            <v>ALL</v>
          </cell>
          <cell r="W1244">
            <v>1</v>
          </cell>
          <cell r="AD1244">
            <v>1</v>
          </cell>
        </row>
        <row r="1245">
          <cell r="A1245">
            <v>0</v>
          </cell>
          <cell r="B1245" t="str">
            <v>ALL VRTS</v>
          </cell>
          <cell r="D1245">
            <v>1</v>
          </cell>
          <cell r="I1245" t="str">
            <v>B66</v>
          </cell>
          <cell r="L1245" t="str">
            <v>V75</v>
          </cell>
          <cell r="N1245">
            <v>0</v>
          </cell>
          <cell r="O1245">
            <v>0</v>
          </cell>
          <cell r="P1245">
            <v>-1</v>
          </cell>
          <cell r="Q1245">
            <v>2004</v>
          </cell>
          <cell r="R1245" t="str">
            <v>DEARBORN PLANT BUILD</v>
          </cell>
          <cell r="S1245" t="str">
            <v>P221/P397</v>
          </cell>
          <cell r="T1245" t="str">
            <v>Running Board / defective</v>
          </cell>
          <cell r="U1245" t="str">
            <v>running board replaced</v>
          </cell>
          <cell r="V1245" t="str">
            <v>ALL</v>
          </cell>
          <cell r="W1245">
            <v>1</v>
          </cell>
          <cell r="AD1245">
            <v>1</v>
          </cell>
        </row>
        <row r="1246">
          <cell r="A1246">
            <v>0</v>
          </cell>
          <cell r="B1246" t="str">
            <v>ALL VRTS</v>
          </cell>
          <cell r="D1246">
            <v>1</v>
          </cell>
          <cell r="I1246" t="str">
            <v>B66</v>
          </cell>
          <cell r="L1246" t="str">
            <v>V75</v>
          </cell>
          <cell r="N1246">
            <v>0</v>
          </cell>
          <cell r="O1246">
            <v>-1</v>
          </cell>
          <cell r="P1246">
            <v>0</v>
          </cell>
          <cell r="Q1246">
            <v>2004</v>
          </cell>
          <cell r="R1246" t="str">
            <v>DEARBORN PLANT BUILD</v>
          </cell>
          <cell r="S1246" t="str">
            <v>P221/P397</v>
          </cell>
          <cell r="T1246" t="str">
            <v>RUNNING BOARD / POOR FINISH</v>
          </cell>
          <cell r="U1246" t="str">
            <v>Running Board replaced</v>
          </cell>
          <cell r="V1246" t="str">
            <v>ALL</v>
          </cell>
          <cell r="W1246">
            <v>1</v>
          </cell>
          <cell r="AC1246">
            <v>1</v>
          </cell>
        </row>
        <row r="1247">
          <cell r="A1247">
            <v>0</v>
          </cell>
          <cell r="B1247" t="str">
            <v>ALL VRTS</v>
          </cell>
          <cell r="D1247">
            <v>1</v>
          </cell>
          <cell r="I1247" t="str">
            <v>B66</v>
          </cell>
          <cell r="L1247" t="str">
            <v>V75</v>
          </cell>
          <cell r="N1247">
            <v>0</v>
          </cell>
          <cell r="O1247">
            <v>-1</v>
          </cell>
          <cell r="P1247">
            <v>0</v>
          </cell>
          <cell r="Q1247">
            <v>2004</v>
          </cell>
          <cell r="R1247" t="str">
            <v>DEARBORN PLANT BUILD</v>
          </cell>
          <cell r="S1247" t="str">
            <v>P221/P397</v>
          </cell>
          <cell r="T1247" t="str">
            <v>RUNNING BOARD / SCREWS RUSTED</v>
          </cell>
          <cell r="U1247" t="str">
            <v>Replaced Step Plate Screws</v>
          </cell>
          <cell r="V1247" t="str">
            <v>ALL</v>
          </cell>
          <cell r="W1247">
            <v>1</v>
          </cell>
          <cell r="Z1247">
            <v>1</v>
          </cell>
        </row>
        <row r="1248">
          <cell r="A1248">
            <v>0</v>
          </cell>
          <cell r="B1248" t="str">
            <v>ALL VRTS</v>
          </cell>
          <cell r="D1248">
            <v>1</v>
          </cell>
          <cell r="E1248" t="str">
            <v>34602C</v>
          </cell>
          <cell r="G1248" t="str">
            <v>Final Fitters</v>
          </cell>
          <cell r="I1248" t="str">
            <v>B02</v>
          </cell>
          <cell r="L1248" t="str">
            <v>V31</v>
          </cell>
          <cell r="N1248">
            <v>0</v>
          </cell>
          <cell r="O1248">
            <v>0</v>
          </cell>
          <cell r="P1248">
            <v>-1</v>
          </cell>
          <cell r="Q1248">
            <v>2004</v>
          </cell>
          <cell r="R1248" t="str">
            <v>DEARBORN PLANT BUILD</v>
          </cell>
          <cell r="S1248" t="str">
            <v>P221/P397</v>
          </cell>
          <cell r="T1248" t="str">
            <v>SC Door - Fit - Effort- RH Front</v>
          </cell>
          <cell r="U1248" t="str">
            <v>Misaligned</v>
          </cell>
          <cell r="V1248" t="str">
            <v>ALL</v>
          </cell>
          <cell r="W1248">
            <v>1</v>
          </cell>
          <cell r="Z1248">
            <v>1</v>
          </cell>
        </row>
        <row r="1249">
          <cell r="A1249">
            <v>0</v>
          </cell>
          <cell r="B1249" t="str">
            <v>ALL VRTS</v>
          </cell>
          <cell r="D1249">
            <v>1</v>
          </cell>
          <cell r="E1249" t="str">
            <v>34602C</v>
          </cell>
          <cell r="G1249" t="str">
            <v>Final Fitters</v>
          </cell>
          <cell r="I1249" t="str">
            <v>B15</v>
          </cell>
          <cell r="L1249" t="str">
            <v>V31</v>
          </cell>
          <cell r="N1249">
            <v>0</v>
          </cell>
          <cell r="O1249">
            <v>0</v>
          </cell>
          <cell r="P1249">
            <v>-1</v>
          </cell>
          <cell r="Q1249">
            <v>2004</v>
          </cell>
          <cell r="R1249" t="str">
            <v>DEARBORN PLANT BUILD</v>
          </cell>
          <cell r="S1249" t="str">
            <v>P221/P397</v>
          </cell>
          <cell r="T1249" t="str">
            <v>SC Door - Fit - Effort- RH Rear</v>
          </cell>
          <cell r="U1249" t="str">
            <v>Misaligned</v>
          </cell>
          <cell r="V1249" t="str">
            <v>ALL</v>
          </cell>
          <cell r="W1249">
            <v>1</v>
          </cell>
          <cell r="AE1249">
            <v>1</v>
          </cell>
        </row>
        <row r="1250">
          <cell r="A1250">
            <v>0</v>
          </cell>
          <cell r="B1250" t="str">
            <v>ALL VRTS</v>
          </cell>
          <cell r="D1250">
            <v>1</v>
          </cell>
          <cell r="I1250" t="str">
            <v>L18</v>
          </cell>
          <cell r="L1250" t="str">
            <v>V07</v>
          </cell>
          <cell r="N1250">
            <v>0</v>
          </cell>
          <cell r="O1250">
            <v>0</v>
          </cell>
          <cell r="P1250">
            <v>-1</v>
          </cell>
          <cell r="Q1250">
            <v>2004</v>
          </cell>
          <cell r="R1250" t="str">
            <v>DEARBORN PLANT BUILD</v>
          </cell>
          <cell r="S1250" t="str">
            <v>P221/P397</v>
          </cell>
          <cell r="T1250" t="str">
            <v>SCREW COVER POPING OFF</v>
          </cell>
          <cell r="U1250" t="str">
            <v>COVER DAMAGED</v>
          </cell>
          <cell r="V1250" t="str">
            <v>ALL</v>
          </cell>
          <cell r="W1250">
            <v>1</v>
          </cell>
          <cell r="Z1250">
            <v>1</v>
          </cell>
        </row>
        <row r="1251">
          <cell r="A1251">
            <v>0</v>
          </cell>
          <cell r="B1251" t="str">
            <v>ALL VRTS</v>
          </cell>
          <cell r="D1251">
            <v>1</v>
          </cell>
          <cell r="I1251" t="str">
            <v>S26</v>
          </cell>
          <cell r="L1251" t="str">
            <v>V05</v>
          </cell>
          <cell r="N1251">
            <v>0</v>
          </cell>
          <cell r="O1251">
            <v>-1</v>
          </cell>
          <cell r="P1251">
            <v>0</v>
          </cell>
          <cell r="Q1251">
            <v>2004</v>
          </cell>
          <cell r="R1251" t="str">
            <v>DEARBORN PLANT BUILD</v>
          </cell>
          <cell r="S1251" t="str">
            <v>P221/P397</v>
          </cell>
          <cell r="T1251" t="str">
            <v>SEATBELT BUCKLE</v>
          </cell>
          <cell r="U1251" t="str">
            <v>WONT UNLATCH</v>
          </cell>
          <cell r="V1251" t="str">
            <v>ALL</v>
          </cell>
          <cell r="W1251">
            <v>1</v>
          </cell>
          <cell r="AD1251">
            <v>1</v>
          </cell>
        </row>
        <row r="1252">
          <cell r="A1252">
            <v>0</v>
          </cell>
          <cell r="B1252" t="str">
            <v>ALL VRTS</v>
          </cell>
          <cell r="D1252">
            <v>1</v>
          </cell>
          <cell r="I1252" t="str">
            <v>S26</v>
          </cell>
          <cell r="L1252" t="str">
            <v>V05</v>
          </cell>
          <cell r="N1252">
            <v>0</v>
          </cell>
          <cell r="O1252">
            <v>-1</v>
          </cell>
          <cell r="P1252">
            <v>0</v>
          </cell>
          <cell r="Q1252">
            <v>2004</v>
          </cell>
          <cell r="R1252" t="str">
            <v>DEARBORN PLANT BUILD</v>
          </cell>
          <cell r="S1252" t="str">
            <v>P221/P397</v>
          </cell>
          <cell r="T1252" t="str">
            <v>SEATBELT BUCKLE - DRIVER</v>
          </cell>
          <cell r="U1252" t="str">
            <v>WONT LATCH</v>
          </cell>
          <cell r="V1252" t="str">
            <v>ALL</v>
          </cell>
          <cell r="W1252">
            <v>1</v>
          </cell>
          <cell r="AC1252">
            <v>1</v>
          </cell>
        </row>
        <row r="1253">
          <cell r="A1253">
            <v>0</v>
          </cell>
          <cell r="B1253" t="str">
            <v>ALL VRTS</v>
          </cell>
          <cell r="D1253">
            <v>1</v>
          </cell>
          <cell r="I1253" t="str">
            <v>A85</v>
          </cell>
          <cell r="L1253" t="str">
            <v>V19</v>
          </cell>
          <cell r="N1253">
            <v>0</v>
          </cell>
          <cell r="O1253">
            <v>-1</v>
          </cell>
          <cell r="P1253">
            <v>0</v>
          </cell>
          <cell r="Q1253">
            <v>2004</v>
          </cell>
          <cell r="R1253" t="str">
            <v>DEARBORN PLANT BUILD</v>
          </cell>
          <cell r="S1253" t="str">
            <v>P221/P397</v>
          </cell>
          <cell r="T1253" t="str">
            <v>Security Module (BSM)</v>
          </cell>
          <cell r="U1253" t="str">
            <v>BSM Replaced</v>
          </cell>
          <cell r="V1253" t="str">
            <v>ALL</v>
          </cell>
          <cell r="W1253">
            <v>1</v>
          </cell>
          <cell r="AE1253">
            <v>1</v>
          </cell>
        </row>
        <row r="1254">
          <cell r="A1254">
            <v>0</v>
          </cell>
          <cell r="B1254" t="str">
            <v>ALL VRTS</v>
          </cell>
          <cell r="D1254">
            <v>1</v>
          </cell>
          <cell r="I1254" t="str">
            <v>A85</v>
          </cell>
          <cell r="L1254" t="str">
            <v>V19</v>
          </cell>
          <cell r="N1254">
            <v>0</v>
          </cell>
          <cell r="O1254">
            <v>0</v>
          </cell>
          <cell r="P1254">
            <v>-1</v>
          </cell>
          <cell r="Q1254">
            <v>2004</v>
          </cell>
          <cell r="R1254" t="str">
            <v>DEARBORN PLANT BUILD</v>
          </cell>
          <cell r="S1254" t="str">
            <v>P221/P397</v>
          </cell>
          <cell r="T1254" t="str">
            <v>shifter will not engage</v>
          </cell>
          <cell r="U1254" t="str">
            <v>Interlock connecter not plugged in.</v>
          </cell>
          <cell r="V1254" t="str">
            <v>ALL</v>
          </cell>
          <cell r="W1254">
            <v>1</v>
          </cell>
          <cell r="Y1254">
            <v>1</v>
          </cell>
        </row>
        <row r="1255">
          <cell r="A1255">
            <v>0</v>
          </cell>
          <cell r="B1255" t="str">
            <v>ALL VRTS</v>
          </cell>
          <cell r="D1255">
            <v>1</v>
          </cell>
          <cell r="I1255" t="str">
            <v>M05</v>
          </cell>
          <cell r="L1255" t="str">
            <v>V13</v>
          </cell>
          <cell r="N1255">
            <v>0</v>
          </cell>
          <cell r="O1255">
            <v>-1</v>
          </cell>
          <cell r="P1255">
            <v>0</v>
          </cell>
          <cell r="Q1255">
            <v>2004</v>
          </cell>
          <cell r="R1255" t="str">
            <v>DEARBORN PLANT BUILD</v>
          </cell>
          <cell r="S1255" t="str">
            <v>P221/P397</v>
          </cell>
          <cell r="T1255" t="str">
            <v>Side Mirrror / defective</v>
          </cell>
          <cell r="U1255" t="str">
            <v>Door Mirror replaced</v>
          </cell>
          <cell r="V1255" t="str">
            <v>ALL</v>
          </cell>
          <cell r="W1255">
            <v>1</v>
          </cell>
          <cell r="AD1255">
            <v>1</v>
          </cell>
        </row>
        <row r="1256">
          <cell r="A1256">
            <v>0</v>
          </cell>
          <cell r="B1256" t="str">
            <v>ALL VRTS</v>
          </cell>
          <cell r="D1256">
            <v>1</v>
          </cell>
          <cell r="E1256" t="str">
            <v>5360-2-A</v>
          </cell>
          <cell r="G1256" t="str">
            <v>TDW40L</v>
          </cell>
          <cell r="I1256" t="str">
            <v>M05</v>
          </cell>
          <cell r="L1256" t="str">
            <v>V13</v>
          </cell>
          <cell r="N1256">
            <v>0</v>
          </cell>
          <cell r="O1256">
            <v>0</v>
          </cell>
          <cell r="P1256">
            <v>-1</v>
          </cell>
          <cell r="Q1256">
            <v>2004</v>
          </cell>
          <cell r="R1256" t="str">
            <v>DEARBORN PLANT BUILD</v>
          </cell>
          <cell r="S1256" t="str">
            <v>P221/P397</v>
          </cell>
          <cell r="T1256" t="str">
            <v>Side Mirrror / Loose</v>
          </cell>
          <cell r="U1256" t="str">
            <v>Side Mirror Bolts tightened</v>
          </cell>
          <cell r="V1256" t="str">
            <v>ALL</v>
          </cell>
          <cell r="W1256">
            <v>1</v>
          </cell>
          <cell r="AB1256">
            <v>1</v>
          </cell>
        </row>
        <row r="1257">
          <cell r="A1257">
            <v>0</v>
          </cell>
          <cell r="B1257" t="str">
            <v>ALL VRTS</v>
          </cell>
          <cell r="D1257">
            <v>1</v>
          </cell>
          <cell r="I1257" t="str">
            <v>M05</v>
          </cell>
          <cell r="L1257" t="str">
            <v>V13</v>
          </cell>
          <cell r="N1257">
            <v>0</v>
          </cell>
          <cell r="O1257">
            <v>-1</v>
          </cell>
          <cell r="P1257">
            <v>0</v>
          </cell>
          <cell r="Q1257">
            <v>2004</v>
          </cell>
          <cell r="R1257" t="str">
            <v>DEARBORN PLANT BUILD</v>
          </cell>
          <cell r="S1257" t="str">
            <v>P221/P397</v>
          </cell>
          <cell r="T1257" t="str">
            <v>Side Mirrror Glass  / defective</v>
          </cell>
          <cell r="U1257" t="str">
            <v>Door Mirror replaced</v>
          </cell>
          <cell r="V1257" t="str">
            <v>ALL</v>
          </cell>
          <cell r="W1257">
            <v>1</v>
          </cell>
          <cell r="Z1257">
            <v>1</v>
          </cell>
        </row>
        <row r="1258">
          <cell r="A1258">
            <v>0</v>
          </cell>
          <cell r="B1258" t="str">
            <v>ALL VRTS</v>
          </cell>
          <cell r="D1258">
            <v>1</v>
          </cell>
          <cell r="E1258" t="str">
            <v>5590</v>
          </cell>
          <cell r="G1258" t="str">
            <v>T4W29L</v>
          </cell>
          <cell r="I1258" t="str">
            <v>S27</v>
          </cell>
          <cell r="L1258" t="str">
            <v>V05</v>
          </cell>
          <cell r="N1258">
            <v>0</v>
          </cell>
          <cell r="O1258">
            <v>0</v>
          </cell>
          <cell r="P1258">
            <v>-1</v>
          </cell>
          <cell r="Q1258">
            <v>2004</v>
          </cell>
          <cell r="R1258" t="str">
            <v>DEARBORN PLANT BUILD</v>
          </cell>
          <cell r="S1258" t="str">
            <v>P221/P397</v>
          </cell>
          <cell r="T1258" t="str">
            <v>STEERING WHEEL PLUGS</v>
          </cell>
          <cell r="U1258" t="str">
            <v>MISSING</v>
          </cell>
          <cell r="V1258" t="str">
            <v>ALL</v>
          </cell>
          <cell r="W1258">
            <v>1</v>
          </cell>
          <cell r="AE1258">
            <v>1</v>
          </cell>
        </row>
        <row r="1259">
          <cell r="A1259">
            <v>0</v>
          </cell>
          <cell r="B1259" t="str">
            <v>ALL VRTS</v>
          </cell>
          <cell r="D1259">
            <v>1</v>
          </cell>
          <cell r="E1259" t="str">
            <v>5590</v>
          </cell>
          <cell r="G1259" t="str">
            <v>T4W27L</v>
          </cell>
          <cell r="I1259" t="str">
            <v>S27</v>
          </cell>
          <cell r="L1259" t="str">
            <v>V05</v>
          </cell>
          <cell r="N1259">
            <v>0</v>
          </cell>
          <cell r="O1259">
            <v>0</v>
          </cell>
          <cell r="P1259">
            <v>-1</v>
          </cell>
          <cell r="Q1259">
            <v>2004</v>
          </cell>
          <cell r="R1259" t="str">
            <v>DEARBORN PLANT BUILD</v>
          </cell>
          <cell r="S1259" t="str">
            <v>P221/P397</v>
          </cell>
          <cell r="T1259" t="str">
            <v>STEERING WHEEL, NOISE</v>
          </cell>
          <cell r="U1259" t="str">
            <v>BONUS STOCK UNDER AIR BAG</v>
          </cell>
          <cell r="V1259" t="str">
            <v>ALL</v>
          </cell>
          <cell r="W1259">
            <v>1</v>
          </cell>
          <cell r="AB1259">
            <v>1</v>
          </cell>
        </row>
        <row r="1260">
          <cell r="A1260">
            <v>0</v>
          </cell>
          <cell r="B1260" t="str">
            <v>ALL VRTS</v>
          </cell>
          <cell r="D1260">
            <v>1</v>
          </cell>
          <cell r="E1260" t="str">
            <v>box Line 5410-2-B</v>
          </cell>
          <cell r="G1260" t="str">
            <v>TBE35F</v>
          </cell>
          <cell r="I1260" t="str">
            <v>B63</v>
          </cell>
          <cell r="L1260" t="str">
            <v>V75</v>
          </cell>
          <cell r="N1260">
            <v>0</v>
          </cell>
          <cell r="O1260">
            <v>0</v>
          </cell>
          <cell r="P1260">
            <v>-1</v>
          </cell>
          <cell r="Q1260">
            <v>2004</v>
          </cell>
          <cell r="R1260" t="str">
            <v>DEARBORN PLANT BUILD</v>
          </cell>
          <cell r="S1260" t="str">
            <v>P221/P397</v>
          </cell>
          <cell r="T1260" t="str">
            <v>STONE SHIELD / MISSING</v>
          </cell>
          <cell r="U1260" t="str">
            <v>Operator Error</v>
          </cell>
          <cell r="V1260" t="str">
            <v>ALL</v>
          </cell>
          <cell r="W1260">
            <v>1</v>
          </cell>
          <cell r="AE1260">
            <v>1</v>
          </cell>
        </row>
        <row r="1261">
          <cell r="A1261">
            <v>0</v>
          </cell>
          <cell r="B1261" t="str">
            <v>ALL VRTS</v>
          </cell>
          <cell r="D1261">
            <v>1</v>
          </cell>
          <cell r="I1261" t="str">
            <v>J03</v>
          </cell>
          <cell r="L1261" t="str">
            <v>V07</v>
          </cell>
          <cell r="N1261">
            <v>0</v>
          </cell>
          <cell r="O1261">
            <v>-1</v>
          </cell>
          <cell r="P1261">
            <v>0</v>
          </cell>
          <cell r="Q1261">
            <v>2004</v>
          </cell>
          <cell r="R1261" t="str">
            <v>DEARBORN PLANT BUILD</v>
          </cell>
          <cell r="S1261" t="str">
            <v>P221/P397</v>
          </cell>
          <cell r="T1261" t="str">
            <v>SUN ROOF WILL NOT OPEN</v>
          </cell>
          <cell r="U1261" t="str">
            <v>ADJUST SUN ROOF</v>
          </cell>
          <cell r="V1261" t="str">
            <v>ALL</v>
          </cell>
          <cell r="W1261">
            <v>1</v>
          </cell>
          <cell r="AD1261">
            <v>1</v>
          </cell>
        </row>
        <row r="1262">
          <cell r="A1262">
            <v>0</v>
          </cell>
          <cell r="B1262" t="str">
            <v>ALL VRTS</v>
          </cell>
          <cell r="D1262">
            <v>1</v>
          </cell>
          <cell r="E1262" t="str">
            <v>Trim 2 5490-2-E</v>
          </cell>
          <cell r="G1262" t="str">
            <v>T2E10-14R</v>
          </cell>
          <cell r="I1262" t="str">
            <v>B66</v>
          </cell>
          <cell r="L1262" t="str">
            <v>V75</v>
          </cell>
          <cell r="N1262">
            <v>0</v>
          </cell>
          <cell r="O1262">
            <v>0</v>
          </cell>
          <cell r="P1262">
            <v>-1</v>
          </cell>
          <cell r="Q1262">
            <v>2004</v>
          </cell>
          <cell r="R1262" t="str">
            <v>DEARBORN PLANT BUILD</v>
          </cell>
          <cell r="S1262" t="str">
            <v>P221/P397</v>
          </cell>
          <cell r="T1262" t="str">
            <v>Sunroof / defective</v>
          </cell>
          <cell r="U1262" t="str">
            <v>Sunroof adjust to flush with roof</v>
          </cell>
          <cell r="V1262" t="str">
            <v>ALL</v>
          </cell>
          <cell r="W1262">
            <v>1</v>
          </cell>
          <cell r="AA1262">
            <v>1</v>
          </cell>
        </row>
        <row r="1263">
          <cell r="A1263">
            <v>0</v>
          </cell>
          <cell r="B1263" t="str">
            <v>ALL VRTS</v>
          </cell>
          <cell r="D1263">
            <v>1</v>
          </cell>
          <cell r="E1263" t="str">
            <v>6410</v>
          </cell>
          <cell r="G1263" t="str">
            <v>C2W08B</v>
          </cell>
          <cell r="I1263" t="str">
            <v>N58</v>
          </cell>
          <cell r="L1263" t="str">
            <v>V87</v>
          </cell>
          <cell r="N1263">
            <v>0</v>
          </cell>
          <cell r="O1263">
            <v>0</v>
          </cell>
          <cell r="P1263">
            <v>-1</v>
          </cell>
          <cell r="Q1263">
            <v>2004</v>
          </cell>
          <cell r="R1263" t="str">
            <v>DEARBORN PLANT BUILD</v>
          </cell>
          <cell r="S1263" t="str">
            <v>P221/P397</v>
          </cell>
          <cell r="T1263" t="str">
            <v>SUSPENSION LOOSE</v>
          </cell>
          <cell r="U1263" t="str">
            <v>R/S UPPER REAR SHOCK NUT TIGHTENED</v>
          </cell>
          <cell r="V1263" t="str">
            <v>ALL</v>
          </cell>
          <cell r="W1263">
            <v>1</v>
          </cell>
          <cell r="Z1263">
            <v>1</v>
          </cell>
        </row>
        <row r="1264">
          <cell r="A1264">
            <v>0</v>
          </cell>
          <cell r="B1264" t="str">
            <v>ALL VRTS</v>
          </cell>
          <cell r="D1264">
            <v>1</v>
          </cell>
          <cell r="E1264" t="str">
            <v>Chassis 2 6440-2-D</v>
          </cell>
          <cell r="G1264" t="str">
            <v>C2W56B</v>
          </cell>
          <cell r="I1264" t="str">
            <v>B63</v>
          </cell>
          <cell r="L1264" t="str">
            <v>V75</v>
          </cell>
          <cell r="N1264">
            <v>0</v>
          </cell>
          <cell r="O1264">
            <v>0</v>
          </cell>
          <cell r="P1264">
            <v>-1</v>
          </cell>
          <cell r="Q1264">
            <v>2004</v>
          </cell>
          <cell r="R1264" t="str">
            <v>DEARBORN PLANT BUILD</v>
          </cell>
          <cell r="S1264" t="str">
            <v>P221/P397</v>
          </cell>
          <cell r="T1264" t="str">
            <v>Tag Lamp Lens /defective</v>
          </cell>
          <cell r="U1264" t="str">
            <v>Tag Lamp Lens Replaced</v>
          </cell>
          <cell r="V1264" t="str">
            <v>ALL</v>
          </cell>
          <cell r="W1264">
            <v>1</v>
          </cell>
          <cell r="AB1264">
            <v>1</v>
          </cell>
        </row>
        <row r="1265">
          <cell r="A1265">
            <v>0</v>
          </cell>
          <cell r="B1265" t="str">
            <v>ALL VRTS</v>
          </cell>
          <cell r="D1265">
            <v>1</v>
          </cell>
          <cell r="E1265" t="str">
            <v>box 5400</v>
          </cell>
          <cell r="G1265" t="str">
            <v>TBE01B</v>
          </cell>
          <cell r="I1265" t="str">
            <v>B66</v>
          </cell>
          <cell r="L1265" t="str">
            <v>V75</v>
          </cell>
          <cell r="N1265">
            <v>0</v>
          </cell>
          <cell r="O1265">
            <v>0</v>
          </cell>
          <cell r="P1265">
            <v>-1</v>
          </cell>
          <cell r="Q1265">
            <v>2004</v>
          </cell>
          <cell r="R1265" t="str">
            <v>DEARBORN PLANT BUILD</v>
          </cell>
          <cell r="S1265" t="str">
            <v>P221/P397</v>
          </cell>
          <cell r="T1265" t="str">
            <v>Tailgate Bumper/ defective</v>
          </cell>
          <cell r="U1265" t="str">
            <v>Tailgate Bumper replaced</v>
          </cell>
          <cell r="V1265" t="str">
            <v>ALL</v>
          </cell>
          <cell r="W1265">
            <v>1</v>
          </cell>
          <cell r="AE1265">
            <v>1</v>
          </cell>
        </row>
        <row r="1266">
          <cell r="A1266">
            <v>0</v>
          </cell>
          <cell r="B1266" t="str">
            <v>ALL VRTS</v>
          </cell>
          <cell r="D1266">
            <v>1</v>
          </cell>
          <cell r="I1266" t="str">
            <v>A85</v>
          </cell>
          <cell r="L1266" t="str">
            <v>V17</v>
          </cell>
          <cell r="N1266">
            <v>0</v>
          </cell>
          <cell r="O1266">
            <v>0</v>
          </cell>
          <cell r="P1266">
            <v>-1</v>
          </cell>
          <cell r="Q1266">
            <v>2004</v>
          </cell>
          <cell r="R1266" t="str">
            <v>DEARBORN PLANT BUILD</v>
          </cell>
          <cell r="S1266" t="str">
            <v>P221/P397</v>
          </cell>
          <cell r="T1266" t="str">
            <v>Tailgate INOP</v>
          </cell>
          <cell r="U1266" t="str">
            <v>Tonneau cover not installed.</v>
          </cell>
          <cell r="V1266" t="str">
            <v>ALL</v>
          </cell>
          <cell r="W1266">
            <v>1</v>
          </cell>
          <cell r="AE1266">
            <v>1</v>
          </cell>
        </row>
        <row r="1267">
          <cell r="A1267">
            <v>0</v>
          </cell>
          <cell r="B1267" t="str">
            <v>ALL VRTS</v>
          </cell>
          <cell r="D1267">
            <v>1</v>
          </cell>
          <cell r="I1267" t="str">
            <v>B66</v>
          </cell>
          <cell r="L1267" t="str">
            <v>V75</v>
          </cell>
          <cell r="N1267">
            <v>0</v>
          </cell>
          <cell r="O1267">
            <v>-1</v>
          </cell>
          <cell r="P1267">
            <v>0</v>
          </cell>
          <cell r="Q1267">
            <v>2004</v>
          </cell>
          <cell r="R1267" t="str">
            <v>DEARBORN PLANT BUILD</v>
          </cell>
          <cell r="S1267" t="str">
            <v>P221/P397</v>
          </cell>
          <cell r="T1267" t="str">
            <v>TAILGATE MOLDING / DISCOLORED</v>
          </cell>
          <cell r="U1267" t="str">
            <v>REPLACE</v>
          </cell>
          <cell r="V1267" t="str">
            <v>ALL</v>
          </cell>
          <cell r="W1267">
            <v>1</v>
          </cell>
          <cell r="AE1267">
            <v>1</v>
          </cell>
        </row>
        <row r="1268">
          <cell r="A1268">
            <v>0</v>
          </cell>
          <cell r="B1268" t="str">
            <v>ALL VRTS</v>
          </cell>
          <cell r="D1268">
            <v>1</v>
          </cell>
          <cell r="E1268" t="str">
            <v>Trim Box 5390-2-B</v>
          </cell>
          <cell r="G1268" t="str">
            <v>TBE16B</v>
          </cell>
          <cell r="I1268" t="str">
            <v>B66</v>
          </cell>
          <cell r="L1268" t="str">
            <v>V75</v>
          </cell>
          <cell r="N1268">
            <v>0</v>
          </cell>
          <cell r="O1268">
            <v>0</v>
          </cell>
          <cell r="P1268">
            <v>-1</v>
          </cell>
          <cell r="Q1268">
            <v>2004</v>
          </cell>
          <cell r="R1268" t="str">
            <v>DEARBORN PLANT BUILD</v>
          </cell>
          <cell r="S1268" t="str">
            <v>P221/P397</v>
          </cell>
          <cell r="T1268" t="str">
            <v>TAILGATE MOLDING / LOOSE</v>
          </cell>
          <cell r="U1268" t="str">
            <v>replaced tailgate mldg</v>
          </cell>
          <cell r="V1268" t="str">
            <v>ALL</v>
          </cell>
          <cell r="W1268">
            <v>1</v>
          </cell>
          <cell r="AC1268">
            <v>1</v>
          </cell>
        </row>
        <row r="1269">
          <cell r="A1269">
            <v>0</v>
          </cell>
          <cell r="B1269" t="str">
            <v>ALL VRTS</v>
          </cell>
          <cell r="D1269">
            <v>1</v>
          </cell>
          <cell r="E1269" t="str">
            <v>5410</v>
          </cell>
          <cell r="G1269" t="str">
            <v>TBW29F/E30B</v>
          </cell>
          <cell r="I1269" t="str">
            <v>T55</v>
          </cell>
          <cell r="L1269" t="str">
            <v>V74</v>
          </cell>
          <cell r="N1269">
            <v>0</v>
          </cell>
          <cell r="O1269">
            <v>0</v>
          </cell>
          <cell r="P1269">
            <v>-1</v>
          </cell>
          <cell r="Q1269">
            <v>2004</v>
          </cell>
          <cell r="R1269" t="str">
            <v>DEARBORN PLANT BUILD</v>
          </cell>
          <cell r="S1269" t="str">
            <v>P221/P397</v>
          </cell>
          <cell r="T1269" t="str">
            <v>TIEDOWN HOOK</v>
          </cell>
          <cell r="U1269" t="str">
            <v>MISSING</v>
          </cell>
          <cell r="V1269" t="str">
            <v>ALL</v>
          </cell>
          <cell r="W1269">
            <v>1</v>
          </cell>
          <cell r="AB1269">
            <v>1</v>
          </cell>
        </row>
        <row r="1270">
          <cell r="A1270">
            <v>0</v>
          </cell>
          <cell r="B1270" t="str">
            <v>ALL VRTS</v>
          </cell>
          <cell r="D1270">
            <v>1</v>
          </cell>
          <cell r="I1270" t="str">
            <v>F35</v>
          </cell>
          <cell r="L1270" t="str">
            <v>V75</v>
          </cell>
          <cell r="N1270">
            <v>0</v>
          </cell>
          <cell r="O1270">
            <v>-1</v>
          </cell>
          <cell r="P1270">
            <v>0</v>
          </cell>
          <cell r="Q1270">
            <v>2004</v>
          </cell>
          <cell r="R1270" t="str">
            <v>DEARBORN PLANT BUILD</v>
          </cell>
          <cell r="S1270" t="str">
            <v>P221/P397</v>
          </cell>
          <cell r="T1270" t="str">
            <v>TOW HOOK / THIN PAINT</v>
          </cell>
          <cell r="U1270" t="str">
            <v>Refinished</v>
          </cell>
          <cell r="V1270" t="str">
            <v>ALL</v>
          </cell>
          <cell r="W1270">
            <v>1</v>
          </cell>
          <cell r="AD1270">
            <v>1</v>
          </cell>
        </row>
        <row r="1271">
          <cell r="A1271">
            <v>0</v>
          </cell>
          <cell r="B1271" t="str">
            <v>ALL VRTS</v>
          </cell>
          <cell r="D1271">
            <v>1</v>
          </cell>
          <cell r="I1271" t="str">
            <v>A85</v>
          </cell>
          <cell r="L1271" t="str">
            <v>V17</v>
          </cell>
          <cell r="N1271">
            <v>0</v>
          </cell>
          <cell r="O1271">
            <v>-1</v>
          </cell>
          <cell r="P1271">
            <v>0</v>
          </cell>
          <cell r="Q1271">
            <v>2004</v>
          </cell>
          <cell r="R1271" t="str">
            <v>DEARBORN PLANT BUILD</v>
          </cell>
          <cell r="S1271" t="str">
            <v>P221/P397</v>
          </cell>
          <cell r="T1271" t="str">
            <v>Transmitter INOP</v>
          </cell>
          <cell r="U1271" t="str">
            <v>Replace Transmitter.</v>
          </cell>
          <cell r="V1271" t="str">
            <v>ALL</v>
          </cell>
          <cell r="W1271">
            <v>1</v>
          </cell>
          <cell r="AD1271">
            <v>1</v>
          </cell>
        </row>
        <row r="1272">
          <cell r="A1272">
            <v>0</v>
          </cell>
          <cell r="B1272" t="str">
            <v>ALL VRTS</v>
          </cell>
          <cell r="D1272">
            <v>1</v>
          </cell>
          <cell r="E1272" t="str">
            <v>5440</v>
          </cell>
          <cell r="G1272" t="str">
            <v>T1W01L</v>
          </cell>
          <cell r="I1272" t="str">
            <v>B95</v>
          </cell>
          <cell r="L1272" t="str">
            <v>V71</v>
          </cell>
          <cell r="N1272">
            <v>0</v>
          </cell>
          <cell r="O1272">
            <v>0</v>
          </cell>
          <cell r="P1272">
            <v>-1</v>
          </cell>
          <cell r="Q1272">
            <v>2004</v>
          </cell>
          <cell r="R1272" t="str">
            <v>DEARBORN PLANT BUILD</v>
          </cell>
          <cell r="S1272" t="str">
            <v>P221/P397</v>
          </cell>
          <cell r="T1272" t="str">
            <v>VIN.PLATE</v>
          </cell>
          <cell r="U1272" t="str">
            <v>WRONG</v>
          </cell>
          <cell r="V1272" t="str">
            <v>ALL</v>
          </cell>
          <cell r="W1272">
            <v>1</v>
          </cell>
          <cell r="Z1272">
            <v>1</v>
          </cell>
        </row>
        <row r="1273">
          <cell r="A1273">
            <v>0</v>
          </cell>
          <cell r="B1273" t="str">
            <v>ALL VRTS</v>
          </cell>
          <cell r="D1273">
            <v>1</v>
          </cell>
          <cell r="I1273" t="str">
            <v>B62</v>
          </cell>
          <cell r="L1273" t="str">
            <v>V75</v>
          </cell>
          <cell r="N1273">
            <v>0</v>
          </cell>
          <cell r="O1273">
            <v>-1</v>
          </cell>
          <cell r="P1273">
            <v>0</v>
          </cell>
          <cell r="Q1273">
            <v>2004</v>
          </cell>
          <cell r="R1273" t="str">
            <v>DEARBORN PLANT BUILD</v>
          </cell>
          <cell r="S1273" t="str">
            <v>P221/P397</v>
          </cell>
          <cell r="T1273" t="str">
            <v>wheel defective</v>
          </cell>
          <cell r="U1273" t="str">
            <v>wheel replaced</v>
          </cell>
          <cell r="V1273" t="str">
            <v>ALL</v>
          </cell>
          <cell r="W1273">
            <v>1</v>
          </cell>
          <cell r="AD1273">
            <v>1</v>
          </cell>
        </row>
        <row r="1274">
          <cell r="A1274">
            <v>0</v>
          </cell>
          <cell r="B1274" t="str">
            <v>ALL VRTS</v>
          </cell>
          <cell r="D1274">
            <v>1</v>
          </cell>
          <cell r="I1274" t="str">
            <v>B62</v>
          </cell>
          <cell r="L1274" t="str">
            <v>V75</v>
          </cell>
          <cell r="N1274">
            <v>0</v>
          </cell>
          <cell r="O1274">
            <v>-1</v>
          </cell>
          <cell r="P1274">
            <v>0</v>
          </cell>
          <cell r="Q1274">
            <v>2004</v>
          </cell>
          <cell r="R1274" t="str">
            <v>DEARBORN PLANT BUILD</v>
          </cell>
          <cell r="S1274" t="str">
            <v>P221/P397</v>
          </cell>
          <cell r="T1274" t="str">
            <v>WHEEL LIP MOLDING / DEFECTIVE</v>
          </cell>
          <cell r="U1274" t="str">
            <v>POOR FINISH</v>
          </cell>
          <cell r="V1274" t="str">
            <v>ALL</v>
          </cell>
          <cell r="W1274">
            <v>1</v>
          </cell>
          <cell r="AC1274">
            <v>1</v>
          </cell>
        </row>
        <row r="1275">
          <cell r="A1275">
            <v>0</v>
          </cell>
          <cell r="B1275" t="str">
            <v>ALL VRTS</v>
          </cell>
          <cell r="C1275" t="str">
            <v>X</v>
          </cell>
          <cell r="D1275">
            <v>1</v>
          </cell>
          <cell r="E1275" t="str">
            <v>5460</v>
          </cell>
          <cell r="G1275" t="str">
            <v>T1W23L</v>
          </cell>
          <cell r="I1275" t="str">
            <v>R31</v>
          </cell>
          <cell r="L1275" t="str">
            <v>V11</v>
          </cell>
          <cell r="N1275">
            <v>0</v>
          </cell>
          <cell r="O1275">
            <v>0</v>
          </cell>
          <cell r="P1275">
            <v>-1</v>
          </cell>
          <cell r="Q1275">
            <v>2004</v>
          </cell>
          <cell r="R1275" t="str">
            <v>DEARBORN PLANT BUILD</v>
          </cell>
          <cell r="S1275" t="str">
            <v>P221/P397</v>
          </cell>
          <cell r="T1275" t="str">
            <v>Wind Noise Around Front Side Door/Window</v>
          </cell>
          <cell r="U1275" t="str">
            <v>DOP Primary Seal N/Seated</v>
          </cell>
          <cell r="V1275" t="str">
            <v>ALL</v>
          </cell>
          <cell r="W1275">
            <v>1</v>
          </cell>
          <cell r="AD1275">
            <v>1</v>
          </cell>
        </row>
        <row r="1276">
          <cell r="A1276">
            <v>0</v>
          </cell>
          <cell r="B1276" t="str">
            <v>ALL VRTS</v>
          </cell>
          <cell r="D1276">
            <v>1</v>
          </cell>
          <cell r="I1276" t="str">
            <v>G02</v>
          </cell>
          <cell r="L1276" t="str">
            <v>V09</v>
          </cell>
          <cell r="N1276">
            <v>0</v>
          </cell>
          <cell r="O1276">
            <v>0</v>
          </cell>
          <cell r="P1276">
            <v>-1</v>
          </cell>
          <cell r="Q1276">
            <v>2004</v>
          </cell>
          <cell r="R1276" t="str">
            <v>DEARBORN PLANT BUILD</v>
          </cell>
          <cell r="S1276" t="str">
            <v>P221/P397</v>
          </cell>
          <cell r="T1276" t="str">
            <v>WINDSHIELD SEALER</v>
          </cell>
          <cell r="U1276" t="str">
            <v>REMOVE EXCESS SEALER</v>
          </cell>
          <cell r="V1276" t="str">
            <v>ALL</v>
          </cell>
          <cell r="W1276">
            <v>1</v>
          </cell>
          <cell r="AB1276">
            <v>1</v>
          </cell>
        </row>
      </sheetData>
      <sheetData sheetId="8">
        <row r="1">
          <cell r="A1" t="str">
            <v>MaxOfMDL_YR</v>
          </cell>
          <cell r="B1" t="str">
            <v>latest_MOP</v>
          </cell>
          <cell r="C1" t="str">
            <v>latest_MOP-1</v>
          </cell>
          <cell r="D1" t="str">
            <v>latest_MOP-2</v>
          </cell>
        </row>
        <row r="2">
          <cell r="A2">
            <v>2004</v>
          </cell>
          <cell r="B2" t="str">
            <v>2004-09</v>
          </cell>
          <cell r="C2" t="str">
            <v>2004-08</v>
          </cell>
          <cell r="D2" t="str">
            <v>2004-07</v>
          </cell>
        </row>
      </sheetData>
      <sheetData sheetId="9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Claim Description</v>
          </cell>
          <cell r="E1" t="str">
            <v>Root Cause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319</v>
          </cell>
          <cell r="B2">
            <v>319</v>
          </cell>
          <cell r="C2">
            <v>72.342727272727302</v>
          </cell>
          <cell r="D2" t="str">
            <v>ENGINE STALLS</v>
          </cell>
          <cell r="E2" t="str">
            <v>Reprogramed PCM</v>
          </cell>
          <cell r="F2">
            <v>319</v>
          </cell>
          <cell r="M2">
            <v>172</v>
          </cell>
          <cell r="N2">
            <v>147</v>
          </cell>
        </row>
        <row r="3">
          <cell r="A3">
            <v>193</v>
          </cell>
          <cell r="B3">
            <v>194</v>
          </cell>
          <cell r="C3">
            <v>512.17556701030924</v>
          </cell>
          <cell r="D3" t="str">
            <v>ENGINE STALLS</v>
          </cell>
          <cell r="E3" t="str">
            <v>PCM Defective</v>
          </cell>
          <cell r="F3">
            <v>194</v>
          </cell>
          <cell r="J3">
            <v>1</v>
          </cell>
          <cell r="M3">
            <v>122</v>
          </cell>
          <cell r="N3">
            <v>71</v>
          </cell>
        </row>
        <row r="4">
          <cell r="A4">
            <v>103</v>
          </cell>
          <cell r="B4">
            <v>174</v>
          </cell>
          <cell r="C4">
            <v>85.772068965517249</v>
          </cell>
          <cell r="D4" t="str">
            <v>VEHICLE VIBRATES</v>
          </cell>
          <cell r="E4" t="str">
            <v>TIRE ASSEMBLY BALANCE</v>
          </cell>
          <cell r="F4">
            <v>174</v>
          </cell>
          <cell r="H4">
            <v>2</v>
          </cell>
          <cell r="I4">
            <v>26</v>
          </cell>
          <cell r="J4">
            <v>13</v>
          </cell>
          <cell r="K4">
            <v>30</v>
          </cell>
          <cell r="L4">
            <v>24</v>
          </cell>
          <cell r="M4">
            <v>50</v>
          </cell>
          <cell r="N4">
            <v>29</v>
          </cell>
        </row>
        <row r="5">
          <cell r="A5">
            <v>45</v>
          </cell>
          <cell r="B5">
            <v>70</v>
          </cell>
          <cell r="C5">
            <v>55.211000000000006</v>
          </cell>
          <cell r="D5" t="str">
            <v>MOONROOF</v>
          </cell>
          <cell r="E5" t="str">
            <v>GIMP,POOR FIT</v>
          </cell>
          <cell r="F5">
            <v>70</v>
          </cell>
          <cell r="H5">
            <v>1</v>
          </cell>
          <cell r="I5">
            <v>2</v>
          </cell>
          <cell r="J5">
            <v>3</v>
          </cell>
          <cell r="K5">
            <v>19</v>
          </cell>
          <cell r="L5">
            <v>15</v>
          </cell>
          <cell r="M5">
            <v>19</v>
          </cell>
          <cell r="N5">
            <v>11</v>
          </cell>
        </row>
        <row r="6">
          <cell r="A6">
            <v>42</v>
          </cell>
          <cell r="B6">
            <v>45</v>
          </cell>
          <cell r="C6">
            <v>170.7064444444444</v>
          </cell>
          <cell r="D6" t="str">
            <v>CHECK ENGINE LIGHT</v>
          </cell>
          <cell r="E6" t="str">
            <v>Reprogramed PCM</v>
          </cell>
          <cell r="F6">
            <v>45</v>
          </cell>
          <cell r="H6">
            <v>1</v>
          </cell>
          <cell r="K6">
            <v>2</v>
          </cell>
          <cell r="L6">
            <v>2</v>
          </cell>
          <cell r="M6">
            <v>13</v>
          </cell>
          <cell r="N6">
            <v>27</v>
          </cell>
        </row>
        <row r="7">
          <cell r="A7">
            <v>41</v>
          </cell>
          <cell r="B7">
            <v>59</v>
          </cell>
          <cell r="C7">
            <v>133.59237288135591</v>
          </cell>
          <cell r="D7" t="str">
            <v>Industrial Fallout</v>
          </cell>
          <cell r="E7" t="str">
            <v>Industrial fallout removal procedure</v>
          </cell>
          <cell r="F7">
            <v>59</v>
          </cell>
          <cell r="I7">
            <v>5</v>
          </cell>
          <cell r="J7">
            <v>6</v>
          </cell>
          <cell r="K7">
            <v>7</v>
          </cell>
          <cell r="L7">
            <v>14</v>
          </cell>
          <cell r="M7">
            <v>22</v>
          </cell>
          <cell r="N7">
            <v>5</v>
          </cell>
        </row>
        <row r="8">
          <cell r="A8">
            <v>38</v>
          </cell>
          <cell r="B8">
            <v>47</v>
          </cell>
          <cell r="C8">
            <v>386.69425531914902</v>
          </cell>
          <cell r="D8" t="str">
            <v>VEHICLE VIBRATES</v>
          </cell>
          <cell r="E8" t="str">
            <v>TIRE REPLACED</v>
          </cell>
          <cell r="F8">
            <v>47</v>
          </cell>
          <cell r="I8">
            <v>5</v>
          </cell>
          <cell r="J8">
            <v>2</v>
          </cell>
          <cell r="K8">
            <v>2</v>
          </cell>
          <cell r="L8">
            <v>7</v>
          </cell>
          <cell r="M8">
            <v>22</v>
          </cell>
          <cell r="N8">
            <v>9</v>
          </cell>
        </row>
        <row r="9">
          <cell r="A9">
            <v>38</v>
          </cell>
          <cell r="B9">
            <v>41</v>
          </cell>
          <cell r="C9">
            <v>76.745609756097551</v>
          </cell>
          <cell r="D9" t="str">
            <v>ENGINE STALLS</v>
          </cell>
          <cell r="E9" t="str">
            <v>npf</v>
          </cell>
          <cell r="F9">
            <v>41</v>
          </cell>
          <cell r="K9">
            <v>3</v>
          </cell>
          <cell r="L9">
            <v>1</v>
          </cell>
          <cell r="M9">
            <v>29</v>
          </cell>
          <cell r="N9">
            <v>8</v>
          </cell>
        </row>
        <row r="10">
          <cell r="A10">
            <v>36</v>
          </cell>
          <cell r="B10">
            <v>36</v>
          </cell>
          <cell r="C10">
            <v>279.22527777777782</v>
          </cell>
          <cell r="D10" t="str">
            <v>ENGINE STALLS</v>
          </cell>
          <cell r="E10" t="str">
            <v>Throttle Body defective</v>
          </cell>
          <cell r="F10">
            <v>36</v>
          </cell>
          <cell r="L10">
            <v>1</v>
          </cell>
          <cell r="M10">
            <v>16</v>
          </cell>
          <cell r="N10">
            <v>19</v>
          </cell>
        </row>
        <row r="11">
          <cell r="A11">
            <v>22</v>
          </cell>
          <cell r="B11">
            <v>28</v>
          </cell>
          <cell r="C11">
            <v>111.41964285714285</v>
          </cell>
          <cell r="D11" t="str">
            <v>VEHICLE VIBRATES</v>
          </cell>
          <cell r="E11" t="str">
            <v>TIRE / WHEEL INDEX</v>
          </cell>
          <cell r="F11">
            <v>28</v>
          </cell>
          <cell r="H11">
            <v>1</v>
          </cell>
          <cell r="J11">
            <v>2</v>
          </cell>
          <cell r="K11">
            <v>3</v>
          </cell>
          <cell r="L11">
            <v>1</v>
          </cell>
          <cell r="M11">
            <v>13</v>
          </cell>
          <cell r="N11">
            <v>8</v>
          </cell>
        </row>
        <row r="12">
          <cell r="A12">
            <v>21</v>
          </cell>
          <cell r="B12">
            <v>28</v>
          </cell>
          <cell r="C12">
            <v>23.778214285714281</v>
          </cell>
          <cell r="D12" t="str">
            <v>Washer Bottle fluid insufficient</v>
          </cell>
          <cell r="E12" t="str">
            <v>Washer fluid added</v>
          </cell>
          <cell r="F12">
            <v>28</v>
          </cell>
          <cell r="I12">
            <v>1</v>
          </cell>
          <cell r="K12">
            <v>6</v>
          </cell>
          <cell r="L12">
            <v>2</v>
          </cell>
          <cell r="M12">
            <v>5</v>
          </cell>
          <cell r="N12">
            <v>14</v>
          </cell>
        </row>
        <row r="13">
          <cell r="A13">
            <v>14</v>
          </cell>
          <cell r="B13">
            <v>19</v>
          </cell>
          <cell r="C13">
            <v>113.68578947368422</v>
          </cell>
          <cell r="D13" t="str">
            <v>Battery Dead</v>
          </cell>
          <cell r="E13" t="str">
            <v>Re-placed bad Battery</v>
          </cell>
          <cell r="F13">
            <v>19</v>
          </cell>
          <cell r="I13">
            <v>4</v>
          </cell>
          <cell r="K13">
            <v>1</v>
          </cell>
          <cell r="L13">
            <v>4</v>
          </cell>
          <cell r="M13">
            <v>9</v>
          </cell>
          <cell r="N13">
            <v>1</v>
          </cell>
        </row>
        <row r="14">
          <cell r="A14">
            <v>14</v>
          </cell>
          <cell r="B14">
            <v>18</v>
          </cell>
          <cell r="C14">
            <v>606.82166666666683</v>
          </cell>
          <cell r="D14" t="str">
            <v xml:space="preserve"> DRIVESHAFT NOISE</v>
          </cell>
          <cell r="E14" t="str">
            <v>Driveshaft replaced</v>
          </cell>
          <cell r="F14">
            <v>18</v>
          </cell>
          <cell r="J14">
            <v>1</v>
          </cell>
          <cell r="K14">
            <v>3</v>
          </cell>
          <cell r="L14">
            <v>4</v>
          </cell>
          <cell r="M14">
            <v>8</v>
          </cell>
          <cell r="N14">
            <v>2</v>
          </cell>
        </row>
        <row r="15">
          <cell r="A15">
            <v>14</v>
          </cell>
          <cell r="B15">
            <v>15</v>
          </cell>
          <cell r="C15">
            <v>68.174000000000007</v>
          </cell>
          <cell r="D15" t="str">
            <v>ALIGNMENT, PULLS/DRIFTS</v>
          </cell>
          <cell r="E15" t="str">
            <v>ALIGNMENT</v>
          </cell>
          <cell r="F15">
            <v>15</v>
          </cell>
          <cell r="I15">
            <v>1</v>
          </cell>
          <cell r="M15">
            <v>11</v>
          </cell>
          <cell r="N15">
            <v>3</v>
          </cell>
        </row>
        <row r="16">
          <cell r="A16">
            <v>14</v>
          </cell>
          <cell r="B16">
            <v>14</v>
          </cell>
          <cell r="C16">
            <v>103.26785714285714</v>
          </cell>
          <cell r="D16" t="str">
            <v>STEERING COLUMN</v>
          </cell>
          <cell r="E16" t="str">
            <v>TILT LEVER LOOSE</v>
          </cell>
          <cell r="F16">
            <v>14</v>
          </cell>
          <cell r="M16">
            <v>13</v>
          </cell>
          <cell r="N16">
            <v>1</v>
          </cell>
        </row>
        <row r="17">
          <cell r="A17">
            <v>13</v>
          </cell>
          <cell r="B17">
            <v>17</v>
          </cell>
          <cell r="C17">
            <v>300.89294117647057</v>
          </cell>
          <cell r="D17" t="str">
            <v>VEHICLE VIBRATES</v>
          </cell>
          <cell r="E17" t="str">
            <v>FRAME DAMPER INSTALLED</v>
          </cell>
          <cell r="F17">
            <v>17</v>
          </cell>
          <cell r="I17">
            <v>2</v>
          </cell>
          <cell r="K17">
            <v>2</v>
          </cell>
          <cell r="L17">
            <v>1</v>
          </cell>
          <cell r="M17">
            <v>7</v>
          </cell>
          <cell r="N17">
            <v>5</v>
          </cell>
        </row>
        <row r="18">
          <cell r="A18">
            <v>13</v>
          </cell>
          <cell r="B18">
            <v>17</v>
          </cell>
          <cell r="C18">
            <v>82.131764705882347</v>
          </cell>
          <cell r="D18" t="str">
            <v>TRANSMISSION LEAKS</v>
          </cell>
          <cell r="E18" t="str">
            <v>trans cooler line disconnected</v>
          </cell>
          <cell r="F18">
            <v>17</v>
          </cell>
          <cell r="I18">
            <v>1</v>
          </cell>
          <cell r="J18">
            <v>2</v>
          </cell>
          <cell r="K18">
            <v>1</v>
          </cell>
          <cell r="L18">
            <v>3</v>
          </cell>
          <cell r="M18">
            <v>8</v>
          </cell>
          <cell r="N18">
            <v>2</v>
          </cell>
        </row>
        <row r="19">
          <cell r="A19">
            <v>13</v>
          </cell>
          <cell r="B19">
            <v>15</v>
          </cell>
          <cell r="C19">
            <v>85.052666666666667</v>
          </cell>
          <cell r="D19" t="str">
            <v>Radio Improper Function</v>
          </cell>
          <cell r="E19" t="str">
            <v>Radio Replaced.</v>
          </cell>
          <cell r="F19">
            <v>15</v>
          </cell>
          <cell r="J19">
            <v>1</v>
          </cell>
          <cell r="K19">
            <v>1</v>
          </cell>
          <cell r="L19">
            <v>2</v>
          </cell>
          <cell r="M19">
            <v>9</v>
          </cell>
          <cell r="N19">
            <v>2</v>
          </cell>
        </row>
        <row r="20">
          <cell r="A20">
            <v>13</v>
          </cell>
          <cell r="B20">
            <v>14</v>
          </cell>
          <cell r="C20">
            <v>56.13214285714286</v>
          </cell>
          <cell r="D20" t="str">
            <v>CLEAR VISION</v>
          </cell>
          <cell r="E20" t="str">
            <v>ALIGNMENT</v>
          </cell>
          <cell r="F20">
            <v>14</v>
          </cell>
          <cell r="K20">
            <v>1</v>
          </cell>
          <cell r="L20">
            <v>1</v>
          </cell>
          <cell r="M20">
            <v>10</v>
          </cell>
          <cell r="N20">
            <v>2</v>
          </cell>
        </row>
        <row r="21">
          <cell r="A21">
            <v>13</v>
          </cell>
          <cell r="B21">
            <v>13</v>
          </cell>
          <cell r="C21">
            <v>210.10307692307694</v>
          </cell>
          <cell r="D21" t="str">
            <v>AC Improper Function</v>
          </cell>
          <cell r="E21" t="str">
            <v>Replaced Control</v>
          </cell>
          <cell r="F21">
            <v>13</v>
          </cell>
          <cell r="L21">
            <v>1</v>
          </cell>
          <cell r="M21">
            <v>10</v>
          </cell>
          <cell r="N21">
            <v>2</v>
          </cell>
        </row>
      </sheetData>
      <sheetData sheetId="10">
        <row r="1">
          <cell r="A1" t="str">
            <v>CountOfVRT Description</v>
          </cell>
          <cell r="B1" t="str">
            <v>AP</v>
          </cell>
          <cell r="C1" t="str">
            <v>VL</v>
          </cell>
          <cell r="D1" t="str">
            <v>MY</v>
          </cell>
          <cell r="E1" t="str">
            <v>VRT</v>
          </cell>
          <cell r="F1" t="str">
            <v>VersionSeries</v>
          </cell>
          <cell r="G1" t="str">
            <v>Engine</v>
          </cell>
          <cell r="H1" t="str">
            <v>Trans</v>
          </cell>
          <cell r="I1" t="str">
            <v>Operation</v>
          </cell>
          <cell r="J1" t="str">
            <v>BC</v>
          </cell>
          <cell r="K1" t="str">
            <v>FPS</v>
          </cell>
          <cell r="L1" t="str">
            <v>Op</v>
          </cell>
          <cell r="M1" t="str">
            <v>VFG</v>
          </cell>
          <cell r="N1" t="str">
            <v>Date Type</v>
          </cell>
          <cell r="O1" t="str">
            <v>Version</v>
          </cell>
          <cell r="P1" t="str">
            <v>FNBIN</v>
          </cell>
        </row>
        <row r="2">
          <cell r="A2">
            <v>364</v>
          </cell>
          <cell r="B2" t="str">
            <v>DEARBORN PLANT BUILD</v>
          </cell>
          <cell r="C2" t="str">
            <v>P221/P397</v>
          </cell>
          <cell r="D2" t="str">
            <v>2004</v>
          </cell>
          <cell r="E2" t="str">
            <v>ALL</v>
          </cell>
          <cell r="N2" t="str">
            <v>Load Date(s)  from  to</v>
          </cell>
          <cell r="O2" t="str">
            <v>10.6:7/28/2004</v>
          </cell>
        </row>
      </sheetData>
      <sheetData sheetId="11">
        <row r="1">
          <cell r="A1" t="str">
            <v>Claim Description</v>
          </cell>
          <cell r="B1" t="str">
            <v>Root Cause</v>
          </cell>
          <cell r="C1" t="str">
            <v>CountOfClaim Number</v>
          </cell>
          <cell r="D1" t="str">
            <v>Avg Cost</v>
          </cell>
        </row>
        <row r="2">
          <cell r="A2" t="str">
            <v>ENGINE STALLS</v>
          </cell>
          <cell r="B2" t="str">
            <v>Reprogramed PCM</v>
          </cell>
          <cell r="C2">
            <v>319</v>
          </cell>
          <cell r="D2">
            <v>72.342727272727302</v>
          </cell>
        </row>
        <row r="3">
          <cell r="A3" t="str">
            <v>ENGINE STALLS</v>
          </cell>
          <cell r="B3" t="str">
            <v>PCM Defective</v>
          </cell>
          <cell r="C3">
            <v>194</v>
          </cell>
          <cell r="D3">
            <v>512.17556701030924</v>
          </cell>
        </row>
        <row r="4">
          <cell r="A4" t="str">
            <v>VEHICLE VIBRATES</v>
          </cell>
          <cell r="B4" t="str">
            <v>TIRE ASSEMBLY BALANCE</v>
          </cell>
          <cell r="C4">
            <v>174</v>
          </cell>
          <cell r="D4">
            <v>85.772068965517249</v>
          </cell>
        </row>
        <row r="5">
          <cell r="A5" t="str">
            <v>MOONROOF</v>
          </cell>
          <cell r="B5" t="str">
            <v>GIMP,POOR FIT</v>
          </cell>
          <cell r="C5">
            <v>70</v>
          </cell>
          <cell r="D5">
            <v>55.211000000000006</v>
          </cell>
        </row>
        <row r="6">
          <cell r="A6" t="str">
            <v>Industrial Fallout</v>
          </cell>
          <cell r="B6" t="str">
            <v>Industrial fallout removal procedure</v>
          </cell>
          <cell r="C6">
            <v>59</v>
          </cell>
          <cell r="D6">
            <v>133.59237288135591</v>
          </cell>
        </row>
        <row r="7">
          <cell r="A7" t="str">
            <v xml:space="preserve"> FUEL FILLER DOOR FUNCTION</v>
          </cell>
          <cell r="B7" t="str">
            <v>FUEL DOOR SPRING DAMAGED</v>
          </cell>
          <cell r="C7">
            <v>48</v>
          </cell>
          <cell r="D7">
            <v>63.028125000000003</v>
          </cell>
        </row>
        <row r="8">
          <cell r="A8" t="str">
            <v>VEHICLE VIBRATES</v>
          </cell>
          <cell r="B8" t="str">
            <v>TIRE REPLACED</v>
          </cell>
          <cell r="C8">
            <v>47</v>
          </cell>
          <cell r="D8">
            <v>386.69425531914902</v>
          </cell>
        </row>
        <row r="9">
          <cell r="A9" t="str">
            <v>CHECK ENGINE LIGHT</v>
          </cell>
          <cell r="B9" t="str">
            <v>Reprogramed PCM</v>
          </cell>
          <cell r="C9">
            <v>45</v>
          </cell>
          <cell r="D9">
            <v>170.7064444444444</v>
          </cell>
        </row>
        <row r="10">
          <cell r="A10" t="str">
            <v>ENGINE STALLS</v>
          </cell>
          <cell r="B10" t="str">
            <v>npf</v>
          </cell>
          <cell r="C10">
            <v>41</v>
          </cell>
          <cell r="D10">
            <v>76.745609756097551</v>
          </cell>
        </row>
        <row r="11">
          <cell r="A11" t="str">
            <v>ENGINE STALLS</v>
          </cell>
          <cell r="B11" t="str">
            <v>Throttle Body defective</v>
          </cell>
          <cell r="C11">
            <v>36</v>
          </cell>
          <cell r="D11">
            <v>279.22527777777782</v>
          </cell>
        </row>
        <row r="12">
          <cell r="A12" t="str">
            <v>AC Improper Function</v>
          </cell>
          <cell r="B12" t="str">
            <v>Freon added , low pressure, repaired.</v>
          </cell>
          <cell r="C12">
            <v>30</v>
          </cell>
          <cell r="D12">
            <v>82.281999999999982</v>
          </cell>
        </row>
        <row r="13">
          <cell r="A13" t="str">
            <v>Washer Bottle fluid insufficient</v>
          </cell>
          <cell r="B13" t="str">
            <v>Washer fluid added</v>
          </cell>
          <cell r="C13">
            <v>28</v>
          </cell>
          <cell r="D13">
            <v>23.778214285714281</v>
          </cell>
        </row>
        <row r="14">
          <cell r="A14" t="str">
            <v>VEHICLE VIBRATES</v>
          </cell>
          <cell r="B14" t="str">
            <v>TIRE / WHEEL INDEX</v>
          </cell>
          <cell r="C14">
            <v>28</v>
          </cell>
          <cell r="D14">
            <v>111.41964285714285</v>
          </cell>
        </row>
        <row r="15">
          <cell r="A15" t="str">
            <v>Battery Dead</v>
          </cell>
          <cell r="B15" t="str">
            <v>Re-placed bad Battery</v>
          </cell>
          <cell r="C15">
            <v>19</v>
          </cell>
          <cell r="D15">
            <v>113.68578947368422</v>
          </cell>
        </row>
        <row r="16">
          <cell r="A16" t="str">
            <v>DOOR LOCK INOP WITH KEY</v>
          </cell>
          <cell r="B16" t="str">
            <v>LOCK CYLINDER DAMAGE</v>
          </cell>
          <cell r="C16">
            <v>19</v>
          </cell>
          <cell r="D16">
            <v>76.728947368421061</v>
          </cell>
        </row>
        <row r="17">
          <cell r="A17" t="str">
            <v xml:space="preserve"> DRIVESHAFT NOISE</v>
          </cell>
          <cell r="B17" t="str">
            <v>Driveshaft replaced</v>
          </cell>
          <cell r="C17">
            <v>18</v>
          </cell>
          <cell r="D17">
            <v>606.82166666666683</v>
          </cell>
        </row>
        <row r="18">
          <cell r="A18" t="str">
            <v>ALIGNMENT, PULLS/DRIFTS</v>
          </cell>
          <cell r="B18" t="str">
            <v>ALIGNMENT- PULLS RIGHT</v>
          </cell>
          <cell r="C18">
            <v>17</v>
          </cell>
          <cell r="D18">
            <v>82.204117647058808</v>
          </cell>
        </row>
        <row r="19">
          <cell r="A19" t="str">
            <v>CHECK ENGINE LIGHT</v>
          </cell>
          <cell r="B19" t="str">
            <v>Throttle Body defective</v>
          </cell>
          <cell r="C19">
            <v>17</v>
          </cell>
          <cell r="D19">
            <v>253.55529411764709</v>
          </cell>
        </row>
        <row r="20">
          <cell r="A20" t="str">
            <v>TRANSMISSION LEAKS</v>
          </cell>
          <cell r="B20" t="str">
            <v>trans cooler line disconnected</v>
          </cell>
          <cell r="C20">
            <v>17</v>
          </cell>
          <cell r="D20">
            <v>82.131764705882347</v>
          </cell>
        </row>
        <row r="21">
          <cell r="A21" t="str">
            <v>VEHICLE VIBRATES</v>
          </cell>
          <cell r="B21" t="str">
            <v>FRAME DAMPER INSTALLED</v>
          </cell>
          <cell r="C21">
            <v>17</v>
          </cell>
          <cell r="D21">
            <v>300.89294117647057</v>
          </cell>
        </row>
      </sheetData>
      <sheetData sheetId="12">
        <row r="1">
          <cell r="A1" t="str">
            <v>All Claims</v>
          </cell>
          <cell r="B1" t="str">
            <v>2004-02</v>
          </cell>
          <cell r="C1" t="str">
            <v>2004-03</v>
          </cell>
          <cell r="D1" t="str">
            <v>2004-04</v>
          </cell>
          <cell r="E1" t="str">
            <v>2004-05</v>
          </cell>
          <cell r="F1" t="str">
            <v>2004-06</v>
          </cell>
          <cell r="G1" t="str">
            <v>2004-07</v>
          </cell>
          <cell r="H1" t="str">
            <v>2004-08</v>
          </cell>
          <cell r="I1" t="str">
            <v>2004-09</v>
          </cell>
        </row>
        <row r="2">
          <cell r="A2" t="str">
            <v>All Claims</v>
          </cell>
          <cell r="B2">
            <v>4</v>
          </cell>
          <cell r="C2">
            <v>53</v>
          </cell>
          <cell r="D2">
            <v>262</v>
          </cell>
          <cell r="E2">
            <v>204</v>
          </cell>
          <cell r="F2">
            <v>414</v>
          </cell>
          <cell r="G2">
            <v>472</v>
          </cell>
          <cell r="H2">
            <v>1479</v>
          </cell>
          <cell r="I2">
            <v>784</v>
          </cell>
        </row>
      </sheetData>
      <sheetData sheetId="13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AvgOfLBR_HRS</v>
          </cell>
          <cell r="E1" t="str">
            <v>PRT_NUM_CAUSL_BASE_CD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282</v>
          </cell>
          <cell r="B2">
            <v>298</v>
          </cell>
          <cell r="C2">
            <v>414.86802013422783</v>
          </cell>
          <cell r="D2">
            <v>1.8288590604026846</v>
          </cell>
          <cell r="E2" t="str">
            <v>12A650</v>
          </cell>
          <cell r="F2">
            <v>298</v>
          </cell>
          <cell r="H2">
            <v>3</v>
          </cell>
          <cell r="I2">
            <v>3</v>
          </cell>
          <cell r="J2">
            <v>2</v>
          </cell>
          <cell r="K2">
            <v>8</v>
          </cell>
          <cell r="L2">
            <v>4</v>
          </cell>
          <cell r="M2">
            <v>175</v>
          </cell>
          <cell r="N2">
            <v>103</v>
          </cell>
        </row>
        <row r="3">
          <cell r="A3">
            <v>263</v>
          </cell>
          <cell r="B3">
            <v>264</v>
          </cell>
          <cell r="C3">
            <v>68.099962121212144</v>
          </cell>
          <cell r="D3">
            <v>0.92613636363636509</v>
          </cell>
          <cell r="E3" t="str">
            <v>RECAL</v>
          </cell>
          <cell r="F3">
            <v>264</v>
          </cell>
          <cell r="H3">
            <v>1</v>
          </cell>
          <cell r="L3">
            <v>3</v>
          </cell>
          <cell r="M3">
            <v>136</v>
          </cell>
          <cell r="N3">
            <v>124</v>
          </cell>
        </row>
        <row r="4">
          <cell r="A4">
            <v>91</v>
          </cell>
          <cell r="B4">
            <v>140</v>
          </cell>
          <cell r="C4">
            <v>84.356499999999969</v>
          </cell>
          <cell r="D4">
            <v>1.1842857142857139</v>
          </cell>
          <cell r="E4" t="str">
            <v>ALBAL</v>
          </cell>
          <cell r="F4">
            <v>140</v>
          </cell>
          <cell r="H4">
            <v>3</v>
          </cell>
          <cell r="I4">
            <v>22</v>
          </cell>
          <cell r="J4">
            <v>7</v>
          </cell>
          <cell r="K4">
            <v>17</v>
          </cell>
          <cell r="L4">
            <v>16</v>
          </cell>
          <cell r="M4">
            <v>46</v>
          </cell>
          <cell r="N4">
            <v>29</v>
          </cell>
        </row>
        <row r="5">
          <cell r="A5">
            <v>51</v>
          </cell>
          <cell r="B5">
            <v>80</v>
          </cell>
          <cell r="C5">
            <v>231.49550000000016</v>
          </cell>
          <cell r="D5">
            <v>1.52125</v>
          </cell>
          <cell r="E5" t="str">
            <v>ENTRE</v>
          </cell>
          <cell r="F5">
            <v>80</v>
          </cell>
          <cell r="I5">
            <v>9</v>
          </cell>
          <cell r="J5">
            <v>7</v>
          </cell>
          <cell r="K5">
            <v>8</v>
          </cell>
          <cell r="L5">
            <v>17</v>
          </cell>
          <cell r="M5">
            <v>32</v>
          </cell>
          <cell r="N5">
            <v>7</v>
          </cell>
        </row>
        <row r="6">
          <cell r="A6">
            <v>50</v>
          </cell>
          <cell r="B6">
            <v>64</v>
          </cell>
          <cell r="C6">
            <v>149.22312500000001</v>
          </cell>
          <cell r="D6">
            <v>1.9828125000000001</v>
          </cell>
          <cell r="E6" t="str">
            <v>14401</v>
          </cell>
          <cell r="F6">
            <v>64</v>
          </cell>
          <cell r="H6">
            <v>1</v>
          </cell>
          <cell r="I6">
            <v>2</v>
          </cell>
          <cell r="J6">
            <v>5</v>
          </cell>
          <cell r="K6">
            <v>6</v>
          </cell>
          <cell r="L6">
            <v>10</v>
          </cell>
          <cell r="M6">
            <v>28</v>
          </cell>
          <cell r="N6">
            <v>12</v>
          </cell>
        </row>
        <row r="7">
          <cell r="A7">
            <v>50</v>
          </cell>
          <cell r="B7">
            <v>58</v>
          </cell>
          <cell r="C7">
            <v>269.84051724137942</v>
          </cell>
          <cell r="D7">
            <v>1.5896551724137928</v>
          </cell>
          <cell r="E7" t="str">
            <v>9E926</v>
          </cell>
          <cell r="F7">
            <v>58</v>
          </cell>
          <cell r="H7">
            <v>3</v>
          </cell>
          <cell r="J7">
            <v>1</v>
          </cell>
          <cell r="K7">
            <v>4</v>
          </cell>
          <cell r="L7">
            <v>3</v>
          </cell>
          <cell r="M7">
            <v>23</v>
          </cell>
          <cell r="N7">
            <v>24</v>
          </cell>
        </row>
        <row r="8">
          <cell r="A8">
            <v>43</v>
          </cell>
          <cell r="B8">
            <v>70</v>
          </cell>
          <cell r="C8">
            <v>329.54485714285715</v>
          </cell>
          <cell r="D8">
            <v>1.375714285714285</v>
          </cell>
          <cell r="E8" t="str">
            <v>TWC01</v>
          </cell>
          <cell r="F8">
            <v>70</v>
          </cell>
          <cell r="I8">
            <v>11</v>
          </cell>
          <cell r="J8">
            <v>6</v>
          </cell>
          <cell r="K8">
            <v>10</v>
          </cell>
          <cell r="L8">
            <v>9</v>
          </cell>
          <cell r="M8">
            <v>25</v>
          </cell>
          <cell r="N8">
            <v>9</v>
          </cell>
        </row>
        <row r="9">
          <cell r="A9">
            <v>39</v>
          </cell>
          <cell r="B9">
            <v>43</v>
          </cell>
          <cell r="C9">
            <v>74.250465116279045</v>
          </cell>
          <cell r="D9">
            <v>0.91395348837209345</v>
          </cell>
          <cell r="E9" t="str">
            <v>FRONT</v>
          </cell>
          <cell r="F9">
            <v>43</v>
          </cell>
          <cell r="I9">
            <v>2</v>
          </cell>
          <cell r="K9">
            <v>2</v>
          </cell>
          <cell r="L9">
            <v>4</v>
          </cell>
          <cell r="M9">
            <v>28</v>
          </cell>
          <cell r="N9">
            <v>7</v>
          </cell>
        </row>
        <row r="10">
          <cell r="A10">
            <v>36</v>
          </cell>
          <cell r="B10">
            <v>53</v>
          </cell>
          <cell r="C10">
            <v>62.791886792452829</v>
          </cell>
          <cell r="D10">
            <v>0.86981132075471723</v>
          </cell>
          <cell r="E10" t="str">
            <v>DIAG</v>
          </cell>
          <cell r="F10">
            <v>53</v>
          </cell>
          <cell r="I10">
            <v>7</v>
          </cell>
          <cell r="J10">
            <v>2</v>
          </cell>
          <cell r="K10">
            <v>8</v>
          </cell>
          <cell r="L10">
            <v>2</v>
          </cell>
          <cell r="M10">
            <v>24</v>
          </cell>
          <cell r="N10">
            <v>10</v>
          </cell>
        </row>
        <row r="11">
          <cell r="A11">
            <v>32</v>
          </cell>
          <cell r="B11">
            <v>56</v>
          </cell>
          <cell r="C11">
            <v>57.665714285714273</v>
          </cell>
          <cell r="D11">
            <v>0.45535714285714268</v>
          </cell>
          <cell r="E11" t="str">
            <v>7852124</v>
          </cell>
          <cell r="F11">
            <v>56</v>
          </cell>
          <cell r="H11">
            <v>1</v>
          </cell>
          <cell r="I11">
            <v>2</v>
          </cell>
          <cell r="J11">
            <v>3</v>
          </cell>
          <cell r="K11">
            <v>17</v>
          </cell>
          <cell r="L11">
            <v>9</v>
          </cell>
          <cell r="M11">
            <v>15</v>
          </cell>
          <cell r="N11">
            <v>9</v>
          </cell>
        </row>
        <row r="12">
          <cell r="A12">
            <v>28</v>
          </cell>
          <cell r="B12">
            <v>30</v>
          </cell>
          <cell r="C12">
            <v>82.674333333333323</v>
          </cell>
          <cell r="D12">
            <v>1.1033333333333331</v>
          </cell>
          <cell r="E12" t="str">
            <v>RECALEM</v>
          </cell>
          <cell r="F12">
            <v>30</v>
          </cell>
          <cell r="J12">
            <v>1</v>
          </cell>
          <cell r="K12">
            <v>1</v>
          </cell>
          <cell r="M12">
            <v>8</v>
          </cell>
          <cell r="N12">
            <v>20</v>
          </cell>
        </row>
        <row r="13">
          <cell r="A13">
            <v>25</v>
          </cell>
          <cell r="B13">
            <v>45</v>
          </cell>
          <cell r="C13">
            <v>55.73533333333333</v>
          </cell>
          <cell r="D13">
            <v>0.76</v>
          </cell>
          <cell r="E13" t="str">
            <v>NPF</v>
          </cell>
          <cell r="F13">
            <v>45</v>
          </cell>
          <cell r="H13">
            <v>1</v>
          </cell>
          <cell r="I13">
            <v>4</v>
          </cell>
          <cell r="J13">
            <v>6</v>
          </cell>
          <cell r="K13">
            <v>9</v>
          </cell>
          <cell r="L13">
            <v>3</v>
          </cell>
          <cell r="M13">
            <v>15</v>
          </cell>
          <cell r="N13">
            <v>7</v>
          </cell>
        </row>
        <row r="14">
          <cell r="A14">
            <v>25</v>
          </cell>
          <cell r="B14">
            <v>31</v>
          </cell>
          <cell r="C14">
            <v>969.28709677419351</v>
          </cell>
          <cell r="D14">
            <v>3.5548387096774183</v>
          </cell>
          <cell r="E14" t="str">
            <v>7000</v>
          </cell>
          <cell r="F14">
            <v>31</v>
          </cell>
          <cell r="H14">
            <v>2</v>
          </cell>
          <cell r="I14">
            <v>3</v>
          </cell>
          <cell r="K14">
            <v>1</v>
          </cell>
          <cell r="L14">
            <v>6</v>
          </cell>
          <cell r="M14">
            <v>10</v>
          </cell>
          <cell r="N14">
            <v>9</v>
          </cell>
        </row>
        <row r="15">
          <cell r="A15">
            <v>23</v>
          </cell>
          <cell r="B15">
            <v>30</v>
          </cell>
          <cell r="C15">
            <v>56.344333333333324</v>
          </cell>
          <cell r="D15">
            <v>0.8</v>
          </cell>
          <cell r="E15" t="str">
            <v>14526</v>
          </cell>
          <cell r="F15">
            <v>30</v>
          </cell>
          <cell r="G15">
            <v>2</v>
          </cell>
          <cell r="H15">
            <v>1</v>
          </cell>
          <cell r="J15">
            <v>1</v>
          </cell>
          <cell r="K15">
            <v>3</v>
          </cell>
          <cell r="L15">
            <v>6</v>
          </cell>
          <cell r="M15">
            <v>10</v>
          </cell>
          <cell r="N15">
            <v>7</v>
          </cell>
        </row>
        <row r="16">
          <cell r="A16">
            <v>23</v>
          </cell>
          <cell r="B16">
            <v>27</v>
          </cell>
          <cell r="C16">
            <v>282.9666666666667</v>
          </cell>
          <cell r="D16">
            <v>1.92962962962963</v>
          </cell>
          <cell r="E16" t="str">
            <v>2820124</v>
          </cell>
          <cell r="F16">
            <v>27</v>
          </cell>
          <cell r="K16">
            <v>2</v>
          </cell>
          <cell r="L16">
            <v>13</v>
          </cell>
          <cell r="M16">
            <v>11</v>
          </cell>
          <cell r="N16">
            <v>1</v>
          </cell>
        </row>
        <row r="17">
          <cell r="A17">
            <v>22</v>
          </cell>
          <cell r="B17">
            <v>40</v>
          </cell>
          <cell r="C17">
            <v>89.942999999999998</v>
          </cell>
          <cell r="D17">
            <v>0.875</v>
          </cell>
          <cell r="E17" t="str">
            <v>1007</v>
          </cell>
          <cell r="F17">
            <v>40</v>
          </cell>
          <cell r="I17">
            <v>1</v>
          </cell>
          <cell r="J17">
            <v>5</v>
          </cell>
          <cell r="K17">
            <v>12</v>
          </cell>
          <cell r="L17">
            <v>5</v>
          </cell>
          <cell r="M17">
            <v>14</v>
          </cell>
          <cell r="N17">
            <v>3</v>
          </cell>
        </row>
        <row r="18">
          <cell r="A18">
            <v>20</v>
          </cell>
          <cell r="B18">
            <v>34</v>
          </cell>
          <cell r="C18">
            <v>310.01029411764705</v>
          </cell>
          <cell r="D18">
            <v>1.5235294117647058</v>
          </cell>
          <cell r="E18" t="str">
            <v>4602</v>
          </cell>
          <cell r="F18">
            <v>34</v>
          </cell>
          <cell r="H18">
            <v>1</v>
          </cell>
          <cell r="I18">
            <v>4</v>
          </cell>
          <cell r="J18">
            <v>2</v>
          </cell>
          <cell r="K18">
            <v>7</v>
          </cell>
          <cell r="L18">
            <v>7</v>
          </cell>
          <cell r="M18">
            <v>7</v>
          </cell>
          <cell r="N18">
            <v>6</v>
          </cell>
        </row>
        <row r="19">
          <cell r="A19">
            <v>19</v>
          </cell>
          <cell r="B19">
            <v>28</v>
          </cell>
          <cell r="C19">
            <v>200.59464285714287</v>
          </cell>
          <cell r="D19">
            <v>1.8285714285714285</v>
          </cell>
          <cell r="E19" t="str">
            <v>9920124</v>
          </cell>
          <cell r="F19">
            <v>28</v>
          </cell>
          <cell r="I19">
            <v>2</v>
          </cell>
          <cell r="K19">
            <v>4</v>
          </cell>
          <cell r="L19">
            <v>3</v>
          </cell>
          <cell r="M19">
            <v>12</v>
          </cell>
          <cell r="N19">
            <v>7</v>
          </cell>
        </row>
        <row r="20">
          <cell r="A20">
            <v>19</v>
          </cell>
          <cell r="B20">
            <v>25</v>
          </cell>
          <cell r="C20">
            <v>358.024</v>
          </cell>
          <cell r="D20">
            <v>1.8559999999999999</v>
          </cell>
          <cell r="E20" t="str">
            <v>10849</v>
          </cell>
          <cell r="F20">
            <v>25</v>
          </cell>
          <cell r="J20">
            <v>2</v>
          </cell>
          <cell r="K20">
            <v>4</v>
          </cell>
          <cell r="L20">
            <v>5</v>
          </cell>
          <cell r="M20">
            <v>10</v>
          </cell>
          <cell r="N20">
            <v>4</v>
          </cell>
        </row>
        <row r="21">
          <cell r="A21">
            <v>17</v>
          </cell>
          <cell r="B21">
            <v>25</v>
          </cell>
          <cell r="C21">
            <v>469.05080000000004</v>
          </cell>
          <cell r="D21">
            <v>1.0159999999999998</v>
          </cell>
          <cell r="E21" t="str">
            <v>1503100</v>
          </cell>
          <cell r="F21">
            <v>25</v>
          </cell>
          <cell r="G21">
            <v>1</v>
          </cell>
          <cell r="H21">
            <v>1</v>
          </cell>
          <cell r="J21">
            <v>2</v>
          </cell>
          <cell r="K21">
            <v>3</v>
          </cell>
          <cell r="L21">
            <v>5</v>
          </cell>
          <cell r="M21">
            <v>12</v>
          </cell>
          <cell r="N21">
            <v>1</v>
          </cell>
        </row>
        <row r="22">
          <cell r="A22">
            <v>17</v>
          </cell>
          <cell r="B22">
            <v>22</v>
          </cell>
          <cell r="C22">
            <v>48.287727272727267</v>
          </cell>
          <cell r="D22">
            <v>0.52727272727272712</v>
          </cell>
          <cell r="E22" t="str">
            <v>18806</v>
          </cell>
          <cell r="F22">
            <v>22</v>
          </cell>
          <cell r="H22">
            <v>1</v>
          </cell>
          <cell r="I22">
            <v>1</v>
          </cell>
          <cell r="K22">
            <v>3</v>
          </cell>
          <cell r="L22">
            <v>3</v>
          </cell>
          <cell r="M22">
            <v>10</v>
          </cell>
          <cell r="N22">
            <v>4</v>
          </cell>
        </row>
        <row r="23">
          <cell r="A23">
            <v>17</v>
          </cell>
          <cell r="B23">
            <v>18</v>
          </cell>
          <cell r="C23">
            <v>238.39388888888891</v>
          </cell>
          <cell r="D23">
            <v>1.4833333333333334</v>
          </cell>
          <cell r="E23" t="str">
            <v>19980</v>
          </cell>
          <cell r="F23">
            <v>18</v>
          </cell>
          <cell r="J23">
            <v>1</v>
          </cell>
          <cell r="L23">
            <v>2</v>
          </cell>
          <cell r="M23">
            <v>13</v>
          </cell>
          <cell r="N23">
            <v>2</v>
          </cell>
        </row>
      </sheetData>
      <sheetData sheetId="14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AvgOfLBR_HRS</v>
          </cell>
          <cell r="E1" t="str">
            <v>CUST_CONC_CD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604</v>
          </cell>
          <cell r="B2">
            <v>609</v>
          </cell>
          <cell r="C2">
            <v>233.44927750410497</v>
          </cell>
          <cell r="D2">
            <v>1.3642036124794699</v>
          </cell>
          <cell r="E2" t="str">
            <v>D21</v>
          </cell>
          <cell r="F2">
            <v>609</v>
          </cell>
          <cell r="J2">
            <v>2</v>
          </cell>
          <cell r="K2">
            <v>3</v>
          </cell>
          <cell r="L2">
            <v>4</v>
          </cell>
          <cell r="M2">
            <v>347</v>
          </cell>
          <cell r="N2">
            <v>253</v>
          </cell>
        </row>
        <row r="3">
          <cell r="A3">
            <v>112</v>
          </cell>
          <cell r="B3">
            <v>155</v>
          </cell>
          <cell r="C3">
            <v>230.61561290322589</v>
          </cell>
          <cell r="D3">
            <v>2.023225806451614</v>
          </cell>
          <cell r="E3" t="str">
            <v>E29</v>
          </cell>
          <cell r="F3">
            <v>155</v>
          </cell>
          <cell r="H3">
            <v>8</v>
          </cell>
          <cell r="I3">
            <v>3</v>
          </cell>
          <cell r="J3">
            <v>8</v>
          </cell>
          <cell r="K3">
            <v>24</v>
          </cell>
          <cell r="L3">
            <v>10</v>
          </cell>
          <cell r="M3">
            <v>50</v>
          </cell>
          <cell r="N3">
            <v>52</v>
          </cell>
        </row>
        <row r="4">
          <cell r="A4">
            <v>84</v>
          </cell>
          <cell r="B4">
            <v>122</v>
          </cell>
          <cell r="C4">
            <v>110.38795081967211</v>
          </cell>
          <cell r="D4">
            <v>1.1475409836065573</v>
          </cell>
          <cell r="E4" t="str">
            <v>N25</v>
          </cell>
          <cell r="F4">
            <v>122</v>
          </cell>
          <cell r="H4">
            <v>3</v>
          </cell>
          <cell r="I4">
            <v>9</v>
          </cell>
          <cell r="J4">
            <v>9</v>
          </cell>
          <cell r="K4">
            <v>17</v>
          </cell>
          <cell r="L4">
            <v>12</v>
          </cell>
          <cell r="M4">
            <v>50</v>
          </cell>
          <cell r="N4">
            <v>22</v>
          </cell>
        </row>
        <row r="5">
          <cell r="A5">
            <v>64</v>
          </cell>
          <cell r="B5">
            <v>87</v>
          </cell>
          <cell r="C5">
            <v>158.5298850574712</v>
          </cell>
          <cell r="D5">
            <v>1.3</v>
          </cell>
          <cell r="E5" t="str">
            <v>A85</v>
          </cell>
          <cell r="F5">
            <v>87</v>
          </cell>
          <cell r="H5">
            <v>3</v>
          </cell>
          <cell r="I5">
            <v>6</v>
          </cell>
          <cell r="J5">
            <v>3</v>
          </cell>
          <cell r="K5">
            <v>11</v>
          </cell>
          <cell r="L5">
            <v>16</v>
          </cell>
          <cell r="M5">
            <v>33</v>
          </cell>
          <cell r="N5">
            <v>15</v>
          </cell>
        </row>
        <row r="6">
          <cell r="A6">
            <v>61</v>
          </cell>
          <cell r="B6">
            <v>97</v>
          </cell>
          <cell r="C6">
            <v>54.237525773195856</v>
          </cell>
          <cell r="D6">
            <v>0.44742268041237121</v>
          </cell>
          <cell r="E6" t="str">
            <v>T53</v>
          </cell>
          <cell r="F6">
            <v>97</v>
          </cell>
          <cell r="H6">
            <v>1</v>
          </cell>
          <cell r="I6">
            <v>4</v>
          </cell>
          <cell r="J6">
            <v>4</v>
          </cell>
          <cell r="K6">
            <v>24</v>
          </cell>
          <cell r="L6">
            <v>19</v>
          </cell>
          <cell r="M6">
            <v>32</v>
          </cell>
          <cell r="N6">
            <v>13</v>
          </cell>
        </row>
        <row r="7">
          <cell r="A7">
            <v>55</v>
          </cell>
          <cell r="B7">
            <v>74</v>
          </cell>
          <cell r="C7">
            <v>128.53675675675672</v>
          </cell>
          <cell r="D7">
            <v>0.61486486486486513</v>
          </cell>
          <cell r="E7" t="str">
            <v>B66</v>
          </cell>
          <cell r="F7">
            <v>74</v>
          </cell>
          <cell r="I7">
            <v>5</v>
          </cell>
          <cell r="J7">
            <v>3</v>
          </cell>
          <cell r="K7">
            <v>11</v>
          </cell>
          <cell r="L7">
            <v>13</v>
          </cell>
          <cell r="M7">
            <v>29</v>
          </cell>
          <cell r="N7">
            <v>13</v>
          </cell>
        </row>
        <row r="8">
          <cell r="A8">
            <v>47</v>
          </cell>
          <cell r="B8">
            <v>65</v>
          </cell>
          <cell r="C8">
            <v>86.345538461538453</v>
          </cell>
          <cell r="D8">
            <v>0.84923076923076968</v>
          </cell>
          <cell r="E8" t="str">
            <v>L26</v>
          </cell>
          <cell r="F8">
            <v>65</v>
          </cell>
          <cell r="G8">
            <v>2</v>
          </cell>
          <cell r="I8">
            <v>4</v>
          </cell>
          <cell r="J8">
            <v>3</v>
          </cell>
          <cell r="K8">
            <v>9</v>
          </cell>
          <cell r="L8">
            <v>6</v>
          </cell>
          <cell r="M8">
            <v>29</v>
          </cell>
          <cell r="N8">
            <v>12</v>
          </cell>
        </row>
        <row r="9">
          <cell r="A9">
            <v>43</v>
          </cell>
          <cell r="B9">
            <v>62</v>
          </cell>
          <cell r="C9">
            <v>268.57112903225794</v>
          </cell>
          <cell r="D9">
            <v>2.0258064516129042</v>
          </cell>
          <cell r="E9" t="str">
            <v>F20</v>
          </cell>
          <cell r="F9">
            <v>62</v>
          </cell>
          <cell r="I9">
            <v>1</v>
          </cell>
          <cell r="J9">
            <v>2</v>
          </cell>
          <cell r="K9">
            <v>11</v>
          </cell>
          <cell r="L9">
            <v>14</v>
          </cell>
          <cell r="M9">
            <v>21</v>
          </cell>
          <cell r="N9">
            <v>13</v>
          </cell>
        </row>
        <row r="10">
          <cell r="A10">
            <v>41</v>
          </cell>
          <cell r="B10">
            <v>64</v>
          </cell>
          <cell r="C10">
            <v>713.66437500000018</v>
          </cell>
          <cell r="D10">
            <v>2.7203124999999999</v>
          </cell>
          <cell r="E10" t="str">
            <v>K03</v>
          </cell>
          <cell r="F10">
            <v>64</v>
          </cell>
          <cell r="H10">
            <v>2</v>
          </cell>
          <cell r="I10">
            <v>4</v>
          </cell>
          <cell r="J10">
            <v>3</v>
          </cell>
          <cell r="K10">
            <v>14</v>
          </cell>
          <cell r="L10">
            <v>13</v>
          </cell>
          <cell r="M10">
            <v>22</v>
          </cell>
          <cell r="N10">
            <v>6</v>
          </cell>
        </row>
        <row r="11">
          <cell r="A11">
            <v>40</v>
          </cell>
          <cell r="B11">
            <v>46</v>
          </cell>
          <cell r="C11">
            <v>323.91934782608706</v>
          </cell>
          <cell r="D11">
            <v>2.6565217391304343</v>
          </cell>
          <cell r="E11" t="str">
            <v>L72</v>
          </cell>
          <cell r="F11">
            <v>46</v>
          </cell>
          <cell r="I11">
            <v>1</v>
          </cell>
          <cell r="J11">
            <v>2</v>
          </cell>
          <cell r="K11">
            <v>3</v>
          </cell>
          <cell r="L11">
            <v>12</v>
          </cell>
          <cell r="M11">
            <v>20</v>
          </cell>
          <cell r="N11">
            <v>8</v>
          </cell>
        </row>
        <row r="12">
          <cell r="A12">
            <v>38</v>
          </cell>
          <cell r="B12">
            <v>47</v>
          </cell>
          <cell r="C12">
            <v>866.32872340425558</v>
          </cell>
          <cell r="D12">
            <v>4.6276595744680842</v>
          </cell>
          <cell r="E12" t="str">
            <v>P59</v>
          </cell>
          <cell r="F12">
            <v>47</v>
          </cell>
          <cell r="H12">
            <v>1</v>
          </cell>
          <cell r="I12">
            <v>5</v>
          </cell>
          <cell r="J12">
            <v>2</v>
          </cell>
          <cell r="K12">
            <v>1</v>
          </cell>
          <cell r="L12">
            <v>13</v>
          </cell>
          <cell r="M12">
            <v>13</v>
          </cell>
          <cell r="N12">
            <v>12</v>
          </cell>
        </row>
        <row r="13">
          <cell r="A13">
            <v>36</v>
          </cell>
          <cell r="B13">
            <v>61</v>
          </cell>
          <cell r="C13">
            <v>92.79836065573771</v>
          </cell>
          <cell r="D13">
            <v>1.1622950819672129</v>
          </cell>
          <cell r="E13" t="str">
            <v>N24</v>
          </cell>
          <cell r="F13">
            <v>61</v>
          </cell>
          <cell r="I13">
            <v>12</v>
          </cell>
          <cell r="J13">
            <v>3</v>
          </cell>
          <cell r="K13">
            <v>10</v>
          </cell>
          <cell r="L13">
            <v>8</v>
          </cell>
          <cell r="M13">
            <v>12</v>
          </cell>
          <cell r="N13">
            <v>16</v>
          </cell>
        </row>
        <row r="14">
          <cell r="A14">
            <v>35</v>
          </cell>
          <cell r="B14">
            <v>44</v>
          </cell>
          <cell r="C14">
            <v>169.80931818181818</v>
          </cell>
          <cell r="D14">
            <v>0.8931818181818183</v>
          </cell>
          <cell r="E14" t="str">
            <v>P51</v>
          </cell>
          <cell r="F14">
            <v>44</v>
          </cell>
          <cell r="I14">
            <v>5</v>
          </cell>
          <cell r="J14">
            <v>3</v>
          </cell>
          <cell r="K14">
            <v>1</v>
          </cell>
          <cell r="L14">
            <v>8</v>
          </cell>
          <cell r="M14">
            <v>21</v>
          </cell>
          <cell r="N14">
            <v>6</v>
          </cell>
        </row>
        <row r="15">
          <cell r="A15">
            <v>34</v>
          </cell>
          <cell r="B15">
            <v>51</v>
          </cell>
          <cell r="C15">
            <v>372.7141176470588</v>
          </cell>
          <cell r="D15">
            <v>1.5647058823529412</v>
          </cell>
          <cell r="E15" t="str">
            <v>TB3</v>
          </cell>
          <cell r="F15">
            <v>51</v>
          </cell>
          <cell r="I15">
            <v>7</v>
          </cell>
          <cell r="J15">
            <v>6</v>
          </cell>
          <cell r="K15">
            <v>4</v>
          </cell>
          <cell r="L15">
            <v>7</v>
          </cell>
          <cell r="M15">
            <v>18</v>
          </cell>
          <cell r="N15">
            <v>9</v>
          </cell>
        </row>
        <row r="16">
          <cell r="A16">
            <v>29</v>
          </cell>
          <cell r="B16">
            <v>47</v>
          </cell>
          <cell r="C16">
            <v>145.0327659574468</v>
          </cell>
          <cell r="D16">
            <v>1.1872340425531915</v>
          </cell>
          <cell r="E16" t="str">
            <v>F1*</v>
          </cell>
          <cell r="F16">
            <v>47</v>
          </cell>
          <cell r="I16">
            <v>5</v>
          </cell>
          <cell r="J16">
            <v>6</v>
          </cell>
          <cell r="K16">
            <v>7</v>
          </cell>
          <cell r="L16">
            <v>12</v>
          </cell>
          <cell r="M16">
            <v>14</v>
          </cell>
          <cell r="N16">
            <v>3</v>
          </cell>
        </row>
        <row r="17">
          <cell r="A17">
            <v>28</v>
          </cell>
          <cell r="B17">
            <v>32</v>
          </cell>
          <cell r="C17">
            <v>227.51</v>
          </cell>
          <cell r="D17">
            <v>1.671875</v>
          </cell>
          <cell r="E17" t="str">
            <v>H19</v>
          </cell>
          <cell r="F17">
            <v>32</v>
          </cell>
          <cell r="H17">
            <v>1</v>
          </cell>
          <cell r="J17">
            <v>1</v>
          </cell>
          <cell r="K17">
            <v>2</v>
          </cell>
          <cell r="L17">
            <v>7</v>
          </cell>
          <cell r="M17">
            <v>15</v>
          </cell>
          <cell r="N17">
            <v>6</v>
          </cell>
        </row>
        <row r="18">
          <cell r="A18">
            <v>26</v>
          </cell>
          <cell r="B18">
            <v>40</v>
          </cell>
          <cell r="C18">
            <v>70.836000000000013</v>
          </cell>
          <cell r="D18">
            <v>0.63500000000000001</v>
          </cell>
          <cell r="E18" t="str">
            <v>W05</v>
          </cell>
          <cell r="F18">
            <v>40</v>
          </cell>
          <cell r="I18">
            <v>2</v>
          </cell>
          <cell r="J18">
            <v>6</v>
          </cell>
          <cell r="K18">
            <v>6</v>
          </cell>
          <cell r="L18">
            <v>4</v>
          </cell>
          <cell r="M18">
            <v>10</v>
          </cell>
          <cell r="N18">
            <v>12</v>
          </cell>
        </row>
        <row r="19">
          <cell r="A19">
            <v>26</v>
          </cell>
          <cell r="B19">
            <v>35</v>
          </cell>
          <cell r="C19">
            <v>52.409428571428585</v>
          </cell>
          <cell r="D19">
            <v>0.37142857142857127</v>
          </cell>
          <cell r="E19" t="str">
            <v>B63</v>
          </cell>
          <cell r="F19">
            <v>35</v>
          </cell>
          <cell r="I19">
            <v>2</v>
          </cell>
          <cell r="K19">
            <v>7</v>
          </cell>
          <cell r="L19">
            <v>6</v>
          </cell>
          <cell r="M19">
            <v>11</v>
          </cell>
          <cell r="N19">
            <v>9</v>
          </cell>
        </row>
        <row r="20">
          <cell r="A20">
            <v>26</v>
          </cell>
          <cell r="B20">
            <v>34</v>
          </cell>
          <cell r="C20">
            <v>166.63235294117649</v>
          </cell>
          <cell r="D20">
            <v>1.2588235294117647</v>
          </cell>
          <cell r="E20" t="str">
            <v>C20</v>
          </cell>
          <cell r="F20">
            <v>34</v>
          </cell>
          <cell r="I20">
            <v>1</v>
          </cell>
          <cell r="J20">
            <v>2</v>
          </cell>
          <cell r="K20">
            <v>5</v>
          </cell>
          <cell r="L20">
            <v>5</v>
          </cell>
          <cell r="M20">
            <v>16</v>
          </cell>
          <cell r="N20">
            <v>5</v>
          </cell>
        </row>
        <row r="21">
          <cell r="A21">
            <v>26</v>
          </cell>
          <cell r="B21">
            <v>32</v>
          </cell>
          <cell r="C21">
            <v>61.092812500000001</v>
          </cell>
          <cell r="D21">
            <v>0.66562500000000002</v>
          </cell>
          <cell r="E21" t="str">
            <v>B02</v>
          </cell>
          <cell r="F21">
            <v>32</v>
          </cell>
          <cell r="I21">
            <v>2</v>
          </cell>
          <cell r="K21">
            <v>4</v>
          </cell>
          <cell r="L21">
            <v>2</v>
          </cell>
          <cell r="M21">
            <v>21</v>
          </cell>
          <cell r="N21">
            <v>3</v>
          </cell>
        </row>
        <row r="22">
          <cell r="A22">
            <v>26</v>
          </cell>
          <cell r="B22">
            <v>32</v>
          </cell>
          <cell r="C22">
            <v>289.91156249999995</v>
          </cell>
          <cell r="D22">
            <v>2.1156250000000001</v>
          </cell>
          <cell r="E22" t="str">
            <v>B01</v>
          </cell>
          <cell r="F22">
            <v>32</v>
          </cell>
          <cell r="I22">
            <v>1</v>
          </cell>
          <cell r="J22">
            <v>1</v>
          </cell>
          <cell r="K22">
            <v>4</v>
          </cell>
          <cell r="L22">
            <v>9</v>
          </cell>
          <cell r="M22">
            <v>11</v>
          </cell>
          <cell r="N22">
            <v>6</v>
          </cell>
        </row>
      </sheetData>
      <sheetData sheetId="15">
        <row r="1">
          <cell r="A1" t="str">
            <v>FPS Workgroup</v>
          </cell>
          <cell r="B1" t="str">
            <v>3MOP</v>
          </cell>
          <cell r="C1" t="str">
            <v>YTD</v>
          </cell>
          <cell r="D1" t="str">
            <v>AvgOfTOT_COST_GROSS</v>
          </cell>
          <cell r="E1" t="str">
            <v>AvgOfLBR_HRS</v>
          </cell>
        </row>
        <row r="2">
          <cell r="A2" t="str">
            <v>34602C</v>
          </cell>
          <cell r="B2">
            <v>56</v>
          </cell>
          <cell r="C2">
            <v>69</v>
          </cell>
          <cell r="D2">
            <v>41.775652173913066</v>
          </cell>
          <cell r="E2">
            <v>0.52463768115942044</v>
          </cell>
        </row>
        <row r="3">
          <cell r="A3" t="str">
            <v>7330</v>
          </cell>
          <cell r="B3">
            <v>44</v>
          </cell>
          <cell r="C3">
            <v>51</v>
          </cell>
          <cell r="D3">
            <v>89.064313725490209</v>
          </cell>
          <cell r="E3">
            <v>1.0058823529411764</v>
          </cell>
        </row>
        <row r="4">
          <cell r="A4" t="str">
            <v>unsure</v>
          </cell>
          <cell r="B4">
            <v>34</v>
          </cell>
          <cell r="C4">
            <v>46</v>
          </cell>
          <cell r="D4">
            <v>93.528478260869576</v>
          </cell>
          <cell r="E4">
            <v>1.0717391304347827</v>
          </cell>
        </row>
        <row r="5">
          <cell r="A5" t="str">
            <v>6500</v>
          </cell>
          <cell r="B5">
            <v>33</v>
          </cell>
          <cell r="C5">
            <v>42</v>
          </cell>
          <cell r="D5">
            <v>113.94142857142862</v>
          </cell>
          <cell r="E5">
            <v>1.142857142857143</v>
          </cell>
        </row>
        <row r="6">
          <cell r="A6" t="str">
            <v>6570</v>
          </cell>
          <cell r="B6">
            <v>32</v>
          </cell>
          <cell r="C6">
            <v>43</v>
          </cell>
          <cell r="D6">
            <v>43.605348837209299</v>
          </cell>
          <cell r="E6">
            <v>0.56511627906976725</v>
          </cell>
        </row>
        <row r="7">
          <cell r="A7" t="str">
            <v>34502C</v>
          </cell>
          <cell r="B7">
            <v>28</v>
          </cell>
          <cell r="C7">
            <v>33</v>
          </cell>
          <cell r="D7">
            <v>272.56636363636363</v>
          </cell>
          <cell r="E7">
            <v>1.9757575757575758</v>
          </cell>
        </row>
        <row r="8">
          <cell r="A8" t="str">
            <v>5340</v>
          </cell>
          <cell r="B8">
            <v>21</v>
          </cell>
          <cell r="C8">
            <v>38</v>
          </cell>
          <cell r="D8">
            <v>62.598947368421044</v>
          </cell>
          <cell r="E8">
            <v>0.7131578947368421</v>
          </cell>
        </row>
        <row r="9">
          <cell r="A9" t="str">
            <v>5590</v>
          </cell>
          <cell r="B9">
            <v>18</v>
          </cell>
          <cell r="C9">
            <v>23</v>
          </cell>
          <cell r="D9">
            <v>64.213478260869564</v>
          </cell>
          <cell r="E9">
            <v>0.35652173913043478</v>
          </cell>
        </row>
        <row r="10">
          <cell r="A10" t="str">
            <v>6360</v>
          </cell>
          <cell r="B10">
            <v>18</v>
          </cell>
          <cell r="C10">
            <v>30</v>
          </cell>
          <cell r="D10">
            <v>97.017333333333298</v>
          </cell>
          <cell r="E10">
            <v>0.74666666666666681</v>
          </cell>
        </row>
        <row r="11">
          <cell r="A11" t="str">
            <v>6490</v>
          </cell>
          <cell r="B11">
            <v>13</v>
          </cell>
          <cell r="C11">
            <v>23</v>
          </cell>
          <cell r="D11">
            <v>153.76739130434783</v>
          </cell>
          <cell r="E11">
            <v>0.70869565217391273</v>
          </cell>
        </row>
        <row r="12">
          <cell r="A12" t="str">
            <v>Box Line 5400-2-B</v>
          </cell>
          <cell r="B12">
            <v>13</v>
          </cell>
          <cell r="C12">
            <v>16</v>
          </cell>
          <cell r="D12">
            <v>59.980625000000003</v>
          </cell>
          <cell r="E12">
            <v>0.36249999999999999</v>
          </cell>
        </row>
        <row r="13">
          <cell r="A13" t="str">
            <v>5510</v>
          </cell>
          <cell r="B13">
            <v>12</v>
          </cell>
          <cell r="C13">
            <v>15</v>
          </cell>
          <cell r="D13">
            <v>134.79933333333332</v>
          </cell>
          <cell r="E13">
            <v>0.42666666666666664</v>
          </cell>
        </row>
        <row r="14">
          <cell r="A14" t="str">
            <v>box Line 5410-2-B</v>
          </cell>
          <cell r="B14">
            <v>10</v>
          </cell>
          <cell r="C14">
            <v>12</v>
          </cell>
          <cell r="D14">
            <v>166.9975</v>
          </cell>
          <cell r="E14">
            <v>0.7333333333333335</v>
          </cell>
        </row>
        <row r="15">
          <cell r="A15" t="str">
            <v>6540</v>
          </cell>
          <cell r="B15">
            <v>10</v>
          </cell>
          <cell r="C15">
            <v>11</v>
          </cell>
          <cell r="D15">
            <v>62.458181818181828</v>
          </cell>
          <cell r="E15">
            <v>0.27272727272727276</v>
          </cell>
        </row>
        <row r="16">
          <cell r="A16" t="str">
            <v>5330</v>
          </cell>
          <cell r="B16">
            <v>9</v>
          </cell>
          <cell r="C16">
            <v>15</v>
          </cell>
          <cell r="D16">
            <v>95.960666666666668</v>
          </cell>
          <cell r="E16">
            <v>0.72</v>
          </cell>
        </row>
        <row r="17">
          <cell r="A17" t="str">
            <v>5390</v>
          </cell>
          <cell r="B17">
            <v>8</v>
          </cell>
          <cell r="C17">
            <v>15</v>
          </cell>
          <cell r="D17">
            <v>74.769333333333336</v>
          </cell>
          <cell r="E17">
            <v>0.77333333333333332</v>
          </cell>
        </row>
        <row r="18">
          <cell r="A18" t="str">
            <v>Chassis 2 6440-2-D</v>
          </cell>
          <cell r="B18">
            <v>7</v>
          </cell>
          <cell r="C18">
            <v>9</v>
          </cell>
          <cell r="D18">
            <v>234.05111111111111</v>
          </cell>
          <cell r="E18">
            <v>0.98888888888888893</v>
          </cell>
        </row>
        <row r="19">
          <cell r="A19" t="str">
            <v>Trim 3 5560-2-F</v>
          </cell>
          <cell r="B19">
            <v>7</v>
          </cell>
          <cell r="C19">
            <v>8</v>
          </cell>
          <cell r="D19">
            <v>72.65625</v>
          </cell>
          <cell r="E19">
            <v>0.5625</v>
          </cell>
        </row>
        <row r="20">
          <cell r="A20" t="str">
            <v>6480</v>
          </cell>
          <cell r="B20">
            <v>7</v>
          </cell>
          <cell r="C20">
            <v>8</v>
          </cell>
          <cell r="D20">
            <v>32.493749999999999</v>
          </cell>
          <cell r="E20">
            <v>0.45</v>
          </cell>
        </row>
        <row r="21">
          <cell r="A21" t="str">
            <v>5550</v>
          </cell>
          <cell r="B21">
            <v>6</v>
          </cell>
          <cell r="C21">
            <v>7</v>
          </cell>
          <cell r="D21">
            <v>67.284285714285716</v>
          </cell>
          <cell r="E21">
            <v>0.2857142857142857</v>
          </cell>
        </row>
        <row r="22">
          <cell r="A22" t="str">
            <v>5380</v>
          </cell>
          <cell r="B22">
            <v>6</v>
          </cell>
          <cell r="C22">
            <v>6</v>
          </cell>
          <cell r="D22">
            <v>31.073333333333334</v>
          </cell>
          <cell r="E22">
            <v>0.35</v>
          </cell>
        </row>
        <row r="23">
          <cell r="A23" t="str">
            <v>Trim 4 5580-2-G</v>
          </cell>
          <cell r="B23">
            <v>6</v>
          </cell>
          <cell r="C23">
            <v>9</v>
          </cell>
          <cell r="D23">
            <v>106.71333333333334</v>
          </cell>
          <cell r="E23">
            <v>0.52222222222222214</v>
          </cell>
        </row>
      </sheetData>
      <sheetData sheetId="16">
        <row r="1">
          <cell r="A1" t="str">
            <v>Operation</v>
          </cell>
          <cell r="B1" t="str">
            <v>3MOP</v>
          </cell>
          <cell r="C1" t="str">
            <v>YTD</v>
          </cell>
          <cell r="D1" t="str">
            <v>AvgOfTOT_COST_GROSS</v>
          </cell>
          <cell r="E1" t="str">
            <v>AvgOfLBR_HRS</v>
          </cell>
        </row>
        <row r="2">
          <cell r="A2" t="str">
            <v>Final Fitters</v>
          </cell>
          <cell r="B2">
            <v>56</v>
          </cell>
          <cell r="C2">
            <v>69</v>
          </cell>
          <cell r="D2">
            <v>41.775652173913066</v>
          </cell>
          <cell r="E2">
            <v>0.52463768115942055</v>
          </cell>
        </row>
        <row r="3">
          <cell r="A3" t="str">
            <v>M12</v>
          </cell>
          <cell r="B3">
            <v>44</v>
          </cell>
          <cell r="C3">
            <v>51</v>
          </cell>
          <cell r="D3">
            <v>89.064313725490223</v>
          </cell>
          <cell r="E3">
            <v>1.0058823529411764</v>
          </cell>
        </row>
        <row r="4">
          <cell r="A4" t="str">
            <v>Metal Finishers</v>
          </cell>
          <cell r="B4">
            <v>28</v>
          </cell>
          <cell r="C4">
            <v>33</v>
          </cell>
          <cell r="D4">
            <v>272.56636363636363</v>
          </cell>
          <cell r="E4">
            <v>1.9757575757575758</v>
          </cell>
        </row>
        <row r="5">
          <cell r="A5" t="str">
            <v>C4E21L</v>
          </cell>
          <cell r="B5">
            <v>17</v>
          </cell>
          <cell r="C5">
            <v>22</v>
          </cell>
          <cell r="D5">
            <v>108.515</v>
          </cell>
          <cell r="E5">
            <v>0.82727272727272727</v>
          </cell>
        </row>
        <row r="6">
          <cell r="A6" t="str">
            <v>T4E24R</v>
          </cell>
          <cell r="B6">
            <v>17</v>
          </cell>
          <cell r="C6">
            <v>18</v>
          </cell>
          <cell r="D6">
            <v>57.231111111111126</v>
          </cell>
          <cell r="E6">
            <v>0.35555555555555551</v>
          </cell>
        </row>
        <row r="7">
          <cell r="A7" t="str">
            <v>C7W09L</v>
          </cell>
          <cell r="B7">
            <v>16</v>
          </cell>
          <cell r="C7">
            <v>18</v>
          </cell>
          <cell r="D7">
            <v>46.704999999999998</v>
          </cell>
          <cell r="E7">
            <v>0.52777777777777779</v>
          </cell>
        </row>
        <row r="8">
          <cell r="A8" t="str">
            <v>C7W01</v>
          </cell>
          <cell r="B8">
            <v>16</v>
          </cell>
          <cell r="C8">
            <v>25</v>
          </cell>
          <cell r="D8">
            <v>41.373599999999989</v>
          </cell>
          <cell r="E8">
            <v>0.59200000000000008</v>
          </cell>
        </row>
        <row r="9">
          <cell r="A9" t="str">
            <v>CEW44R</v>
          </cell>
          <cell r="B9">
            <v>13</v>
          </cell>
          <cell r="C9">
            <v>20</v>
          </cell>
          <cell r="D9">
            <v>46.779499999999999</v>
          </cell>
          <cell r="E9">
            <v>0.65500000000000003</v>
          </cell>
        </row>
        <row r="10">
          <cell r="A10" t="str">
            <v>C4W22R</v>
          </cell>
          <cell r="B10">
            <v>12</v>
          </cell>
          <cell r="C10">
            <v>13</v>
          </cell>
          <cell r="D10">
            <v>141.57538461538462</v>
          </cell>
          <cell r="E10">
            <v>1.7384615384615385</v>
          </cell>
        </row>
        <row r="11">
          <cell r="A11" t="str">
            <v>TBE 26B</v>
          </cell>
          <cell r="B11">
            <v>11</v>
          </cell>
          <cell r="C11">
            <v>12</v>
          </cell>
          <cell r="D11">
            <v>55.88</v>
          </cell>
          <cell r="E11">
            <v>0.34166666666666673</v>
          </cell>
        </row>
        <row r="12">
          <cell r="A12" t="str">
            <v>T3E22R</v>
          </cell>
          <cell r="B12">
            <v>9</v>
          </cell>
          <cell r="C12">
            <v>10</v>
          </cell>
          <cell r="D12">
            <v>132.35399999999998</v>
          </cell>
          <cell r="E12">
            <v>1.71</v>
          </cell>
        </row>
        <row r="13">
          <cell r="A13" t="str">
            <v>C2W48-52B</v>
          </cell>
          <cell r="B13">
            <v>7</v>
          </cell>
          <cell r="C13">
            <v>8</v>
          </cell>
          <cell r="D13">
            <v>260.88749999999999</v>
          </cell>
          <cell r="E13">
            <v>1.0874999999999999</v>
          </cell>
        </row>
        <row r="14">
          <cell r="A14" t="str">
            <v>TDE27-L</v>
          </cell>
          <cell r="B14">
            <v>7</v>
          </cell>
          <cell r="C14">
            <v>11</v>
          </cell>
          <cell r="D14">
            <v>78.555454545454538</v>
          </cell>
          <cell r="E14">
            <v>0.88181818181818195</v>
          </cell>
        </row>
        <row r="15">
          <cell r="A15" t="str">
            <v>T2W33L</v>
          </cell>
          <cell r="B15">
            <v>7</v>
          </cell>
          <cell r="C15">
            <v>7</v>
          </cell>
          <cell r="D15">
            <v>184.4942857142857</v>
          </cell>
          <cell r="E15">
            <v>0.35714285714285715</v>
          </cell>
        </row>
        <row r="16">
          <cell r="A16" t="str">
            <v>TBE10-B</v>
          </cell>
          <cell r="B16">
            <v>7</v>
          </cell>
          <cell r="C16">
            <v>8</v>
          </cell>
          <cell r="D16">
            <v>96.14</v>
          </cell>
          <cell r="E16">
            <v>0.95</v>
          </cell>
        </row>
        <row r="17">
          <cell r="A17" t="str">
            <v>TDW48R</v>
          </cell>
          <cell r="B17">
            <v>6</v>
          </cell>
          <cell r="C17">
            <v>9</v>
          </cell>
          <cell r="D17">
            <v>100.69222222222223</v>
          </cell>
          <cell r="E17">
            <v>0.35555555555555557</v>
          </cell>
        </row>
        <row r="18">
          <cell r="A18" t="str">
            <v>T2E34R</v>
          </cell>
          <cell r="B18">
            <v>6</v>
          </cell>
          <cell r="C18">
            <v>6</v>
          </cell>
          <cell r="D18">
            <v>41.393333333333338</v>
          </cell>
          <cell r="E18">
            <v>0.25</v>
          </cell>
        </row>
        <row r="19">
          <cell r="A19" t="str">
            <v>TDW28R</v>
          </cell>
          <cell r="B19">
            <v>6</v>
          </cell>
          <cell r="C19">
            <v>6</v>
          </cell>
          <cell r="D19">
            <v>39.276666666666664</v>
          </cell>
          <cell r="E19">
            <v>0.51666666666666672</v>
          </cell>
        </row>
        <row r="20">
          <cell r="A20" t="str">
            <v>C5E23L</v>
          </cell>
          <cell r="B20">
            <v>6</v>
          </cell>
          <cell r="C20">
            <v>7</v>
          </cell>
          <cell r="D20">
            <v>78.17</v>
          </cell>
          <cell r="E20">
            <v>0.31428571428571433</v>
          </cell>
        </row>
        <row r="21">
          <cell r="A21" t="str">
            <v>T-IPA</v>
          </cell>
          <cell r="B21">
            <v>5</v>
          </cell>
          <cell r="C21">
            <v>5</v>
          </cell>
          <cell r="D21">
            <v>31.503999999999998</v>
          </cell>
          <cell r="E21">
            <v>0.46</v>
          </cell>
        </row>
        <row r="22">
          <cell r="A22" t="str">
            <v>T3E26R</v>
          </cell>
          <cell r="B22">
            <v>5</v>
          </cell>
          <cell r="C22">
            <v>6</v>
          </cell>
          <cell r="D22">
            <v>51.97</v>
          </cell>
          <cell r="E22">
            <v>0.6</v>
          </cell>
        </row>
        <row r="23">
          <cell r="A23" t="str">
            <v>T4W012R</v>
          </cell>
          <cell r="B23">
            <v>5</v>
          </cell>
          <cell r="C23">
            <v>5</v>
          </cell>
          <cell r="D23">
            <v>71.012</v>
          </cell>
          <cell r="E23">
            <v>0.52</v>
          </cell>
        </row>
        <row r="24">
          <cell r="A24" t="str">
            <v>TDW32R</v>
          </cell>
          <cell r="B24">
            <v>5</v>
          </cell>
          <cell r="C24">
            <v>6</v>
          </cell>
          <cell r="D24">
            <v>53.793333333333329</v>
          </cell>
          <cell r="E24">
            <v>0.3666666666666667</v>
          </cell>
        </row>
        <row r="25">
          <cell r="A25" t="str">
            <v>TDE31-L</v>
          </cell>
          <cell r="B25">
            <v>5</v>
          </cell>
          <cell r="C25">
            <v>22</v>
          </cell>
          <cell r="D25">
            <v>53.281818181818196</v>
          </cell>
          <cell r="E25">
            <v>0.62272727272727268</v>
          </cell>
        </row>
        <row r="26">
          <cell r="A26" t="str">
            <v>TBE38B</v>
          </cell>
          <cell r="B26">
            <v>5</v>
          </cell>
          <cell r="C26">
            <v>6</v>
          </cell>
          <cell r="D26">
            <v>172.95833333333334</v>
          </cell>
          <cell r="E26">
            <v>0.91666666666666685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ﾊﾟｲﾌﾟ"/>
      <sheetName val="他材料費"/>
      <sheetName val="ﾊﾟｲﾌﾟ|_x0013_?_x0013_?"/>
      <sheetName val="冷延鋼板"/>
      <sheetName val="冷延鋼板 EAT_0410"/>
      <sheetName val="熱延鋼板"/>
      <sheetName val="熱延鋼板 ?_x0013_?_x0013_?u?u"/>
      <sheetName val="동명재고"/>
      <sheetName val="材料使用量（原紙)"/>
      <sheetName val="IT-LHD"/>
      <sheetName val="1.16"/>
      <sheetName val="ORIGIN"/>
      <sheetName val="Salary"/>
      <sheetName val="Assump &amp; Issues FY08  p2 "/>
      <sheetName val="Implemented net Annualized"/>
      <sheetName val="Month"/>
      <sheetName val="BND"/>
      <sheetName val="設計通知"/>
      <sheetName val="N719(NC)"/>
      <sheetName val="MC&amp;다변화"/>
      <sheetName val="SCH"/>
      <sheetName val="Production Days"/>
      <sheetName val="Base"/>
      <sheetName val="MOTO"/>
      <sheetName val="Sensitivity"/>
      <sheetName val="BU Summary Data"/>
      <sheetName val="MM利益・原価企画方針書ｶｸ１"/>
      <sheetName val="Quote Cover Page"/>
      <sheetName val="validation 1"/>
      <sheetName val="Prices"/>
      <sheetName val="Volumes"/>
      <sheetName val="Plant Names"/>
      <sheetName val="ﾊﾟｲﾌﾟ|_x0013___x0013__"/>
      <sheetName val="熱延鋼板 __x0013___x0013__u_u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ﾊﾟｲﾌﾟ|__"/>
      <sheetName val="熱延鋼板____u_u"/>
      <sheetName val="Vers_TOP(16)"/>
      <sheetName val="Isor"/>
      <sheetName val="Idom"/>
      <sheetName val="TKBN_TKBNA"/>
      <sheetName val="ANALYSIS JUNEFOR PP02 old"/>
      <sheetName val="Analysis"/>
      <sheetName val="冷延鋼板_EAT_04101"/>
      <sheetName val="1_161"/>
      <sheetName val="Implemented_net_Annualized1"/>
      <sheetName val="Assump_&amp;_Issues_FY08__p2_"/>
      <sheetName val="Production_Days"/>
      <sheetName val="BU_Summary_Data"/>
      <sheetName val="validation_1"/>
      <sheetName val="Quote_Cover_Page"/>
      <sheetName val="Plant_Names"/>
      <sheetName val="cc_0214_2300"/>
      <sheetName val="熱延鋼板___x005f_x0013___x005f_x0013__u_u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ables"/>
      <sheetName val="MPL 技連"/>
      <sheetName val="342E BLOCK"/>
      <sheetName val="ﾌﾟﾛﾄ_P772分解5号機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JT3.0__-_1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up HypBS"/>
      <sheetName val="exch"/>
      <sheetName val="JF04&amp;05 Prelim2"/>
      <sheetName val="Anual Detail"/>
      <sheetName val="Side Pillar UPPER 13_2"/>
      <sheetName val="FY04-06 Spend"/>
      <sheetName val="Ref Table"/>
      <sheetName val="Discounts"/>
      <sheetName val="4.5 Cost Center Reference"/>
      <sheetName val="96期(川崎)"/>
      <sheetName val="ﾏｽﾀ"/>
      <sheetName val="日程"/>
      <sheetName val="進め方"/>
      <sheetName val="????"/>
      <sheetName val="?????"/>
      <sheetName val="R FJS CAR (old)"/>
      <sheetName val="ＴＧデーター"/>
      <sheetName val="____"/>
      <sheetName val="_____"/>
      <sheetName val="GMAR Data"/>
      <sheetName val=" Hyp Download"/>
      <sheetName val="XV0個人"/>
      <sheetName val="WJ素材費"/>
      <sheetName val="G51ファイル転送EXEL"/>
      <sheetName val="GMAR_Data"/>
      <sheetName val="_Hyp_Download"/>
      <sheetName val="Constant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Main Facia"/>
      <sheetName val="BOM_40_20_40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Sales + Volume"/>
      <sheetName val="R_FJS_CAR_(old)"/>
      <sheetName val="GMAR_Data1"/>
      <sheetName val="_Hyp_Download1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ENG油洩れ"/>
      <sheetName val="ENGG_WORK"/>
      <sheetName val="AR_H'WAD&amp;CHENN"/>
      <sheetName val="OEM-Product_Data"/>
      <sheetName val="Monthly_Variance_Analysis"/>
      <sheetName val="CAPEX_Owner_FY04MF"/>
      <sheetName val="Labor_Rate_Calculations"/>
      <sheetName val="4-m_sheets"/>
      <sheetName val="Fiscal_Interiors"/>
      <sheetName val="ZS_Sunvisor"/>
      <sheetName val="Ford_Strip"/>
      <sheetName val="Ford_Bridge"/>
      <sheetName val="ford_strip_ytd"/>
      <sheetName val="ytd_bridge"/>
      <sheetName val="Ford_by_Plat_-_month"/>
      <sheetName val="Ford_by_Plat_-_ytd_plan"/>
      <sheetName val="Ford_by_Plat_-_ytd_fc"/>
      <sheetName val="Commercial_Issues"/>
      <sheetName val="STO_Freight_Actions"/>
      <sheetName val="6_Panel"/>
      <sheetName val="Launch_Portfolio"/>
      <sheetName val="Ford_by_Plat_-_interiors"/>
      <sheetName val="Ford_by_Plat_-_seating"/>
      <sheetName val="Ford_by_Plat_-_Consol"/>
      <sheetName val="OPS_by_Product"/>
      <sheetName val="Ford_by_Plat_-_month_interiors"/>
      <sheetName val="Ford_by_Plat_-_month_truck"/>
      <sheetName val="PIVOT_SUM"/>
      <sheetName val="4%_yes-no_pivot"/>
      <sheetName val="4%_yes-no"/>
      <sheetName val="Rebate_Schedule"/>
      <sheetName val="Conf_for_Bob"/>
      <sheetName val="PACT_Savings"/>
      <sheetName val="data_Import1"/>
      <sheetName val="生産実績(速報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4">
          <cell r="D4" t="str">
            <v>４月</v>
          </cell>
          <cell r="E4" t="str">
            <v>５月</v>
          </cell>
          <cell r="F4" t="str">
            <v>６月</v>
          </cell>
          <cell r="G4" t="str">
            <v>７月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N719(NC)"/>
      <sheetName val="ﾊﾟｲﾌﾟ"/>
      <sheetName val="ﾊﾟｲﾌﾟ|_x0013_?_x0013_?"/>
      <sheetName val="冷延鋼板"/>
      <sheetName val="冷延鋼板 EAT_0410"/>
      <sheetName val="熱延鋼板"/>
      <sheetName val="熱延鋼板 ?_x0013_?_x0013_?u?u"/>
      <sheetName val="他材料費"/>
      <sheetName val="Implemented net Annualized"/>
      <sheetName val="96期(川崎)"/>
      <sheetName val="Assump &amp; Issues FY08  p2 "/>
      <sheetName val="材料使用量（原紙)"/>
      <sheetName val="Salary"/>
      <sheetName val="ﾏｽﾀ"/>
      <sheetName val="設計通知"/>
      <sheetName val="日程"/>
      <sheetName val="進め方"/>
      <sheetName val="validation 1"/>
      <sheetName val="????"/>
      <sheetName val="?????"/>
      <sheetName val="ﾊﾟｲﾌﾟ|??"/>
      <sheetName val="冷延鋼板_EAT_0410"/>
      <sheetName val="熱延鋼板_???u?u"/>
      <sheetName val="ﾊﾟｲﾌﾟ|_x0013___x0013__"/>
      <sheetName val="熱延鋼板 __x0013___x0013__u_u"/>
      <sheetName val="R FJS CAR (old)"/>
      <sheetName val="ﾊﾟｲﾌﾟ|_x005f_x0013___x005f_x0013__"/>
      <sheetName val="熱延鋼板 __x005f_x0013___x005f_x0013__u_u"/>
      <sheetName val="WACC"/>
      <sheetName val="IT-LHD"/>
      <sheetName val="____"/>
      <sheetName val="_____"/>
      <sheetName val="ﾊﾟｲﾌﾟ|__"/>
      <sheetName val="熱延鋼板____u_u"/>
      <sheetName val="ＴＧデーター"/>
      <sheetName val="Sales + Volume"/>
      <sheetName val="GMAR Data"/>
      <sheetName val=" Hyp Download"/>
      <sheetName val="XV0個人"/>
      <sheetName val="WJ素材費"/>
      <sheetName val="G51ファイル転送EXEL"/>
      <sheetName val="GMAR_Data"/>
      <sheetName val="_Hyp_Download"/>
      <sheetName val="Constant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cc 0214 2300"/>
      <sheetName val="1_16"/>
      <sheetName val="Implemented_net_Annualized"/>
      <sheetName val="浇注组合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Vers_TOP(16)"/>
      <sheetName val="JT3.0__-_1"/>
      <sheetName val="4.5 Cost Center Reference"/>
      <sheetName val="冷延鋼板_EAT_04101"/>
      <sheetName val="Assump_&amp;_Issues_FY08__p2_"/>
      <sheetName val="validation_1"/>
      <sheetName val="R_FJS_CAR_(old)"/>
      <sheetName val="熱延鋼板___x005f_x0013___x005f_x0013__u_u"/>
      <sheetName val="Isor"/>
      <sheetName val="Idom"/>
      <sheetName val="ENG油洩れ"/>
      <sheetName val="Main Facia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GMAR_Data1"/>
      <sheetName val="_Hyp_Download1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KBN_TKBNA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ables"/>
      <sheetName val="MPL 技連"/>
      <sheetName val="342E BLOCK"/>
      <sheetName val="ﾌﾟﾛﾄ_P772分解5号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N719(NC)"/>
      <sheetName val="GMAR Data"/>
      <sheetName val=" Hyp Download"/>
      <sheetName val="XV0個人"/>
      <sheetName val="WJ素材費"/>
      <sheetName val="Implemented net Annualized"/>
      <sheetName val="材料使用量（原紙)"/>
      <sheetName val="他材料費"/>
      <sheetName val="熱延鋼板"/>
      <sheetName val="熱延鋼板 ?_x0013_?_x0013_?u?u"/>
      <sheetName val="ﾏｽﾀ"/>
      <sheetName val="G51ファイル転送EXEL"/>
      <sheetName val="Salary"/>
      <sheetName val="Assump &amp; Issues FY08  p2 "/>
      <sheetName val="設計通知"/>
      <sheetName val="GMAR_Data"/>
      <sheetName val="_Hyp_Download"/>
      <sheetName val="Constant"/>
      <sheetName val="熱延鋼板 __x0013___x0013__u_u"/>
      <sheetName val="ﾊﾟｲﾌﾟ"/>
      <sheetName val="ﾊﾟｲﾌﾟ|_x0013_?_x0013_?"/>
      <sheetName val="冷延鋼板"/>
      <sheetName val="冷延鋼板 EAT_0410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validation 1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IT-LHD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ﾊﾟｲﾌﾟ|_x0013___x0013__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Vers_TOP(16)"/>
      <sheetName val="96期(川崎)"/>
      <sheetName val="日程"/>
      <sheetName val="進め方"/>
      <sheetName val="????"/>
      <sheetName val="?????"/>
      <sheetName val="R FJS CAR (old)"/>
      <sheetName val="ﾊﾟｲﾌﾟ|__"/>
      <sheetName val="熱延鋼板____u_u"/>
      <sheetName val="JT3.0__-_1"/>
      <sheetName val="____"/>
      <sheetName val="_____"/>
      <sheetName val="ＴＧデーター"/>
      <sheetName val="4.5 Cost Center Reference"/>
      <sheetName val="GMAR_Data1"/>
      <sheetName val="_Hyp_Download1"/>
      <sheetName val="Assump_&amp;_Issues_FY08__p2_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备品备件供应商清单"/>
      <sheetName val="Fan_Motor(가공비)"/>
      <sheetName val="Main Facia"/>
      <sheetName val="JT3_0__-_1"/>
      <sheetName val="Sales + Volume"/>
      <sheetName val="冷延鋼板_EAT_04101"/>
      <sheetName val="validation_1"/>
      <sheetName val="R_FJS_CAR_(old)"/>
      <sheetName val="熱延鋼板___x005f_x0013___x005f_x0013__u_u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Isor"/>
      <sheetName val="Idom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KBN_TKBNA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ables"/>
      <sheetName val="MPL 技連"/>
      <sheetName val="342E BLOCK"/>
      <sheetName val="ﾌﾟﾛﾄ_P772分解5号機"/>
      <sheetName val="ENG油洩れ"/>
      <sheetName val="生産実績(速報)"/>
      <sheetName val="DATA Sheet for 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要領"/>
      <sheetName val="入力例"/>
      <sheetName val="申請部署コード"/>
      <sheetName val="耐用年数"/>
      <sheetName val="資産種類DD_List"/>
      <sheetName val="Summaryﾒﾓ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A2" t="str">
            <v>Buildings</v>
          </cell>
        </row>
        <row r="3">
          <cell r="A3" t="str">
            <v>Building fixtures</v>
          </cell>
        </row>
        <row r="4">
          <cell r="A4" t="str">
            <v>Structures</v>
          </cell>
        </row>
        <row r="5">
          <cell r="A5" t="str">
            <v>Automobiles</v>
          </cell>
        </row>
        <row r="6">
          <cell r="A6" t="str">
            <v>Machinery</v>
          </cell>
        </row>
        <row r="7">
          <cell r="A7" t="str">
            <v>Molds</v>
          </cell>
        </row>
        <row r="8">
          <cell r="A8" t="str">
            <v>Furnitures</v>
          </cell>
        </row>
        <row r="9">
          <cell r="A9" t="str">
            <v>Tools</v>
          </cell>
        </row>
        <row r="10">
          <cell r="A10" t="str">
            <v>Software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D3BF-0B9E-465A-BE85-213C8C7C869B}">
  <dimension ref="A1:X55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10" sqref="A10"/>
      <selection pane="bottomRight" activeCell="O52" sqref="O52:O54"/>
    </sheetView>
  </sheetViews>
  <sheetFormatPr defaultColWidth="8.81640625" defaultRowHeight="14.5"/>
  <cols>
    <col min="3" max="3" width="14" style="182" bestFit="1" customWidth="1"/>
    <col min="4" max="4" width="18.81640625" style="196" customWidth="1"/>
    <col min="5" max="5" width="10.54296875" style="182" hidden="1" customWidth="1"/>
    <col min="6" max="6" width="8.08984375" bestFit="1" customWidth="1"/>
    <col min="7" max="7" width="7.1796875" customWidth="1"/>
    <col min="8" max="8" width="8.08984375" bestFit="1" customWidth="1"/>
    <col min="9" max="9" width="4.54296875" bestFit="1" customWidth="1"/>
    <col min="10" max="10" width="9.08984375" style="182" customWidth="1"/>
    <col min="11" max="11" width="9.08984375" style="169" bestFit="1" customWidth="1"/>
    <col min="12" max="12" width="8.08984375" style="182" bestFit="1" customWidth="1"/>
    <col min="13" max="13" width="8.08984375" style="169" bestFit="1" customWidth="1"/>
    <col min="14" max="14" width="9.08984375" style="182" bestFit="1" customWidth="1"/>
    <col min="15" max="15" width="8.08984375" style="169" bestFit="1" customWidth="1"/>
    <col min="16" max="16" width="3.08984375" customWidth="1"/>
    <col min="17" max="22" width="12.7265625" bestFit="1" customWidth="1"/>
  </cols>
  <sheetData>
    <row r="1" spans="1:24" ht="15.65" customHeight="1">
      <c r="A1" s="71" t="s">
        <v>1242</v>
      </c>
    </row>
    <row r="2" spans="1:24" s="297" customFormat="1">
      <c r="C2" s="298"/>
      <c r="D2" s="299"/>
      <c r="E2" s="300"/>
      <c r="F2" s="301"/>
      <c r="G2" s="301"/>
      <c r="H2" s="301"/>
      <c r="I2" s="301"/>
      <c r="J2" s="302" t="s">
        <v>1361</v>
      </c>
      <c r="K2" s="303">
        <f>K3-J3</f>
        <v>15039</v>
      </c>
      <c r="L2" s="302" t="s">
        <v>1361</v>
      </c>
      <c r="M2" s="303">
        <f>M3-L3</f>
        <v>15882</v>
      </c>
      <c r="N2" s="302" t="s">
        <v>1361</v>
      </c>
      <c r="O2" s="303">
        <f>O3-N3</f>
        <v>3439</v>
      </c>
      <c r="Q2" s="302" t="s">
        <v>1300</v>
      </c>
      <c r="R2" s="303">
        <f>R3-Q3</f>
        <v>46039652.680000007</v>
      </c>
      <c r="S2" s="302" t="s">
        <v>1300</v>
      </c>
      <c r="T2" s="303">
        <f>T3-S3</f>
        <v>57943901.24000001</v>
      </c>
      <c r="U2" s="302" t="s">
        <v>1300</v>
      </c>
      <c r="V2" s="303">
        <f>V3-U3</f>
        <v>24307382.319999933</v>
      </c>
    </row>
    <row r="3" spans="1:24">
      <c r="E3" s="185"/>
      <c r="F3" s="3"/>
      <c r="G3" s="3"/>
      <c r="H3" s="3"/>
      <c r="I3" s="3"/>
      <c r="J3" s="296">
        <f>J9+J29+J38+J50+J55</f>
        <v>218771</v>
      </c>
      <c r="K3" s="296">
        <f t="shared" ref="K3:O3" si="0">K9+K29+K38+K50+K55</f>
        <v>233810</v>
      </c>
      <c r="L3" s="296">
        <f t="shared" si="0"/>
        <v>204657</v>
      </c>
      <c r="M3" s="296">
        <f t="shared" si="0"/>
        <v>220539</v>
      </c>
      <c r="N3" s="296">
        <f t="shared" si="0"/>
        <v>219586</v>
      </c>
      <c r="O3" s="296">
        <f t="shared" si="0"/>
        <v>223025</v>
      </c>
      <c r="Q3" s="296">
        <f>Q9+Q29+Q38+Q50+Q55</f>
        <v>404788478.24000001</v>
      </c>
      <c r="R3" s="296">
        <f t="shared" ref="R3:V3" si="1">R9+R29+R38+R50+R55</f>
        <v>450828130.92000002</v>
      </c>
      <c r="S3" s="296">
        <f t="shared" si="1"/>
        <v>401284282.89999998</v>
      </c>
      <c r="T3" s="296">
        <f t="shared" si="1"/>
        <v>459228184.13999999</v>
      </c>
      <c r="U3" s="296">
        <f t="shared" si="1"/>
        <v>417488038.97000003</v>
      </c>
      <c r="V3" s="296">
        <f t="shared" si="1"/>
        <v>441795421.28999996</v>
      </c>
    </row>
    <row r="4" spans="1:24">
      <c r="B4" s="188" t="s">
        <v>302</v>
      </c>
      <c r="C4" s="188" t="s">
        <v>1243</v>
      </c>
      <c r="D4" s="197" t="s">
        <v>1244</v>
      </c>
      <c r="E4" s="188" t="s">
        <v>1245</v>
      </c>
      <c r="F4" s="247" t="s">
        <v>1318</v>
      </c>
      <c r="G4" s="247" t="s">
        <v>1317</v>
      </c>
      <c r="H4" s="247" t="s">
        <v>1298</v>
      </c>
      <c r="I4" s="247" t="s">
        <v>1297</v>
      </c>
      <c r="J4" s="293" t="s">
        <v>1288</v>
      </c>
      <c r="K4" s="187" t="s">
        <v>1358</v>
      </c>
      <c r="L4" s="293" t="s">
        <v>1289</v>
      </c>
      <c r="M4" s="187" t="s">
        <v>1359</v>
      </c>
      <c r="N4" s="293" t="s">
        <v>1290</v>
      </c>
      <c r="O4" s="187" t="s">
        <v>1360</v>
      </c>
      <c r="Q4" s="293" t="s">
        <v>1288</v>
      </c>
      <c r="R4" s="187" t="s">
        <v>1358</v>
      </c>
      <c r="S4" s="293" t="s">
        <v>1289</v>
      </c>
      <c r="T4" s="187" t="s">
        <v>1359</v>
      </c>
      <c r="U4" s="293" t="s">
        <v>1290</v>
      </c>
      <c r="V4" s="187" t="s">
        <v>1360</v>
      </c>
    </row>
    <row r="5" spans="1:24" ht="14.5" customHeight="1">
      <c r="B5" s="325" t="s">
        <v>989</v>
      </c>
      <c r="C5" s="304" t="s">
        <v>1246</v>
      </c>
      <c r="D5" s="305" t="s">
        <v>1301</v>
      </c>
      <c r="E5" s="190">
        <v>2132</v>
      </c>
      <c r="F5" s="190">
        <v>8675</v>
      </c>
      <c r="G5" s="190">
        <v>10277</v>
      </c>
      <c r="H5" s="190">
        <v>11676</v>
      </c>
      <c r="I5" s="190"/>
      <c r="J5" s="195">
        <v>12200</v>
      </c>
      <c r="K5" s="203">
        <v>12000</v>
      </c>
      <c r="L5" s="195">
        <v>12000</v>
      </c>
      <c r="M5" s="203">
        <v>12000</v>
      </c>
      <c r="N5" s="195">
        <v>12500</v>
      </c>
      <c r="O5" s="203">
        <v>12000</v>
      </c>
      <c r="P5" s="189"/>
      <c r="Q5" s="190">
        <f t="shared" ref="Q5:V5" si="2">J5*$E$5</f>
        <v>26010400</v>
      </c>
      <c r="R5" s="190">
        <f t="shared" si="2"/>
        <v>25584000</v>
      </c>
      <c r="S5" s="195">
        <f t="shared" si="2"/>
        <v>25584000</v>
      </c>
      <c r="T5" s="190">
        <f t="shared" si="2"/>
        <v>25584000</v>
      </c>
      <c r="U5" s="195">
        <f t="shared" si="2"/>
        <v>26650000</v>
      </c>
      <c r="V5" s="190">
        <f t="shared" si="2"/>
        <v>25584000</v>
      </c>
    </row>
    <row r="6" spans="1:24">
      <c r="B6" s="326"/>
      <c r="C6" s="304" t="s">
        <v>1249</v>
      </c>
      <c r="D6" s="306" t="s">
        <v>1280</v>
      </c>
      <c r="E6" s="190">
        <v>7765.76</v>
      </c>
      <c r="F6" s="190">
        <v>1375</v>
      </c>
      <c r="G6" s="190">
        <v>1085</v>
      </c>
      <c r="H6" s="190">
        <v>1205</v>
      </c>
      <c r="I6" s="198"/>
      <c r="J6" s="195">
        <v>1250</v>
      </c>
      <c r="K6" s="202">
        <v>1468</v>
      </c>
      <c r="L6" s="195">
        <v>1300</v>
      </c>
      <c r="M6" s="203">
        <v>1368</v>
      </c>
      <c r="N6" s="195">
        <v>1300</v>
      </c>
      <c r="O6" s="203">
        <v>1232</v>
      </c>
      <c r="P6" s="189"/>
      <c r="Q6" s="190">
        <f t="shared" ref="Q6:T8" si="3">J6*$E6</f>
        <v>9707200</v>
      </c>
      <c r="R6" s="190">
        <f t="shared" si="3"/>
        <v>11400135.68</v>
      </c>
      <c r="S6" s="195">
        <f t="shared" si="3"/>
        <v>10095488</v>
      </c>
      <c r="T6" s="190">
        <f t="shared" si="3"/>
        <v>10623559.68</v>
      </c>
      <c r="U6" s="195">
        <f t="shared" ref="U6:U8" si="4">N6*$E6</f>
        <v>10095488</v>
      </c>
      <c r="V6" s="190">
        <f>O6*$E6</f>
        <v>9567416.3200000003</v>
      </c>
    </row>
    <row r="7" spans="1:24">
      <c r="B7" s="326"/>
      <c r="C7" s="304" t="s">
        <v>1249</v>
      </c>
      <c r="D7" s="306" t="s">
        <v>1281</v>
      </c>
      <c r="E7" s="190">
        <v>15536</v>
      </c>
      <c r="F7" s="190">
        <v>664</v>
      </c>
      <c r="G7" s="190">
        <v>935</v>
      </c>
      <c r="H7" s="190">
        <v>795</v>
      </c>
      <c r="I7" s="198"/>
      <c r="J7" s="195">
        <v>750</v>
      </c>
      <c r="K7" s="202">
        <v>1200</v>
      </c>
      <c r="L7" s="195">
        <v>800</v>
      </c>
      <c r="M7" s="203">
        <v>1100</v>
      </c>
      <c r="N7" s="195">
        <v>900</v>
      </c>
      <c r="O7" s="203">
        <v>1170</v>
      </c>
      <c r="P7" s="189"/>
      <c r="Q7" s="190">
        <f t="shared" si="3"/>
        <v>11652000</v>
      </c>
      <c r="R7" s="190">
        <f t="shared" si="3"/>
        <v>18643200</v>
      </c>
      <c r="S7" s="195">
        <f t="shared" si="3"/>
        <v>12428800</v>
      </c>
      <c r="T7" s="190">
        <f t="shared" si="3"/>
        <v>17089600</v>
      </c>
      <c r="U7" s="195">
        <f t="shared" si="4"/>
        <v>13982400</v>
      </c>
      <c r="V7" s="190">
        <f>O7*$E7</f>
        <v>18177120</v>
      </c>
    </row>
    <row r="8" spans="1:24">
      <c r="B8" s="326"/>
      <c r="C8" s="304" t="s">
        <v>1105</v>
      </c>
      <c r="D8" s="306" t="s">
        <v>1250</v>
      </c>
      <c r="E8" s="190">
        <v>4417</v>
      </c>
      <c r="F8" s="198">
        <v>1449</v>
      </c>
      <c r="G8" s="198">
        <v>2020</v>
      </c>
      <c r="H8" s="198">
        <v>1946</v>
      </c>
      <c r="I8" s="198"/>
      <c r="J8" s="195">
        <v>2300</v>
      </c>
      <c r="K8" s="202">
        <v>3000</v>
      </c>
      <c r="L8" s="195">
        <v>2400</v>
      </c>
      <c r="M8" s="203">
        <v>4400</v>
      </c>
      <c r="N8" s="195">
        <v>3300</v>
      </c>
      <c r="O8" s="203">
        <v>4400</v>
      </c>
      <c r="P8" s="189"/>
      <c r="Q8" s="190">
        <f t="shared" si="3"/>
        <v>10159100</v>
      </c>
      <c r="R8" s="190">
        <f t="shared" si="3"/>
        <v>13251000</v>
      </c>
      <c r="S8" s="195">
        <f t="shared" si="3"/>
        <v>10600800</v>
      </c>
      <c r="T8" s="190">
        <f t="shared" si="3"/>
        <v>19434800</v>
      </c>
      <c r="U8" s="195">
        <f t="shared" si="4"/>
        <v>14576100</v>
      </c>
      <c r="V8" s="190">
        <f>O8*$E8</f>
        <v>19434800</v>
      </c>
    </row>
    <row r="9" spans="1:24">
      <c r="B9" s="327"/>
      <c r="C9" s="307" t="s">
        <v>1357</v>
      </c>
      <c r="D9" s="308"/>
      <c r="E9" s="294"/>
      <c r="F9" s="191">
        <f t="shared" ref="F9:I9" si="5">SUM(F5:F8)</f>
        <v>12163</v>
      </c>
      <c r="G9" s="191">
        <f t="shared" si="5"/>
        <v>14317</v>
      </c>
      <c r="H9" s="191">
        <f t="shared" si="5"/>
        <v>15622</v>
      </c>
      <c r="I9" s="191">
        <f t="shared" si="5"/>
        <v>0</v>
      </c>
      <c r="J9" s="320">
        <f>SUM(J5:J8)</f>
        <v>16500</v>
      </c>
      <c r="K9" s="321">
        <f>SUM(K5:K8)</f>
        <v>17668</v>
      </c>
      <c r="L9" s="320">
        <f t="shared" ref="L9:N9" si="6">SUM(L5:L8)</f>
        <v>16500</v>
      </c>
      <c r="M9" s="321">
        <f>SUM(M5:M8)</f>
        <v>18868</v>
      </c>
      <c r="N9" s="320">
        <f t="shared" si="6"/>
        <v>18000</v>
      </c>
      <c r="O9" s="321">
        <f>SUM(O5:O8)</f>
        <v>18802</v>
      </c>
      <c r="P9" s="322"/>
      <c r="Q9" s="320">
        <f>SUM(Q5:Q8)</f>
        <v>57528700</v>
      </c>
      <c r="R9" s="321">
        <f t="shared" ref="R9:V9" si="7">SUM(R5:R8)</f>
        <v>68878335.680000007</v>
      </c>
      <c r="S9" s="320">
        <f t="shared" si="7"/>
        <v>58709088</v>
      </c>
      <c r="T9" s="321">
        <f t="shared" si="7"/>
        <v>72731959.680000007</v>
      </c>
      <c r="U9" s="320">
        <f t="shared" si="7"/>
        <v>65303988</v>
      </c>
      <c r="V9" s="321">
        <f t="shared" si="7"/>
        <v>72763336.319999993</v>
      </c>
      <c r="X9" s="201"/>
    </row>
    <row r="10" spans="1:24">
      <c r="C10" s="288"/>
      <c r="D10" s="289"/>
      <c r="E10" s="186"/>
      <c r="F10" s="199"/>
      <c r="G10" s="199"/>
      <c r="H10" s="199"/>
      <c r="I10" s="199"/>
      <c r="J10" s="186"/>
      <c r="K10" s="189"/>
      <c r="L10" s="186"/>
      <c r="M10" s="189"/>
      <c r="N10" s="186"/>
      <c r="O10" s="189"/>
      <c r="P10" s="189"/>
      <c r="Q10" s="192"/>
      <c r="R10" s="192"/>
      <c r="S10" s="192"/>
      <c r="T10" s="192"/>
      <c r="U10" s="192"/>
      <c r="V10" s="192"/>
    </row>
    <row r="11" spans="1:24" ht="14.5" customHeight="1">
      <c r="B11" s="325" t="s">
        <v>1278</v>
      </c>
      <c r="C11" s="309" t="s">
        <v>312</v>
      </c>
      <c r="D11" s="310" t="s">
        <v>1251</v>
      </c>
      <c r="E11" s="190">
        <v>54.39</v>
      </c>
      <c r="F11" s="198">
        <v>5760</v>
      </c>
      <c r="G11" s="198">
        <v>4562</v>
      </c>
      <c r="H11" s="198">
        <v>6723</v>
      </c>
      <c r="I11" s="198"/>
      <c r="J11" s="195">
        <v>6096</v>
      </c>
      <c r="K11" s="203">
        <v>6096</v>
      </c>
      <c r="L11" s="195">
        <v>5040</v>
      </c>
      <c r="M11" s="203">
        <v>4244</v>
      </c>
      <c r="N11" s="195">
        <v>4623</v>
      </c>
      <c r="O11" s="203">
        <v>4623</v>
      </c>
      <c r="P11" s="189"/>
      <c r="Q11" s="190">
        <f t="shared" ref="Q11:Q28" si="8">J11*$E11</f>
        <v>331561.44</v>
      </c>
      <c r="R11" s="190">
        <f t="shared" ref="R11:R28" si="9">K11*$E11</f>
        <v>331561.44</v>
      </c>
      <c r="S11" s="195">
        <f t="shared" ref="S11:S28" si="10">L11*$E11</f>
        <v>274125.59999999998</v>
      </c>
      <c r="T11" s="190">
        <f t="shared" ref="T11:T28" si="11">M11*$E11</f>
        <v>230831.16</v>
      </c>
      <c r="U11" s="195">
        <f t="shared" ref="U11:U28" si="12">N11*$E11</f>
        <v>251444.97</v>
      </c>
      <c r="V11" s="190">
        <f t="shared" ref="V11:V28" si="13">O11*$E11</f>
        <v>251444.97</v>
      </c>
    </row>
    <row r="12" spans="1:24">
      <c r="B12" s="326"/>
      <c r="C12" s="309" t="s">
        <v>312</v>
      </c>
      <c r="D12" s="310" t="s">
        <v>1339</v>
      </c>
      <c r="E12" s="190">
        <v>1046</v>
      </c>
      <c r="F12" s="198">
        <v>11405</v>
      </c>
      <c r="G12" s="198">
        <v>10232</v>
      </c>
      <c r="H12" s="198">
        <v>13245</v>
      </c>
      <c r="I12" s="198"/>
      <c r="J12" s="195">
        <v>12425</v>
      </c>
      <c r="K12" s="203">
        <v>15975</v>
      </c>
      <c r="L12" s="195">
        <v>11000</v>
      </c>
      <c r="M12" s="203">
        <v>13942</v>
      </c>
      <c r="N12" s="195">
        <v>11500</v>
      </c>
      <c r="O12" s="203">
        <v>14061</v>
      </c>
      <c r="P12" s="189"/>
      <c r="Q12" s="190">
        <f t="shared" si="8"/>
        <v>12996550</v>
      </c>
      <c r="R12" s="190">
        <f t="shared" si="9"/>
        <v>16709850</v>
      </c>
      <c r="S12" s="195">
        <f t="shared" si="10"/>
        <v>11506000</v>
      </c>
      <c r="T12" s="190">
        <f t="shared" si="11"/>
        <v>14583332</v>
      </c>
      <c r="U12" s="195">
        <f t="shared" si="12"/>
        <v>12029000</v>
      </c>
      <c r="V12" s="190">
        <f t="shared" si="13"/>
        <v>14707806</v>
      </c>
    </row>
    <row r="13" spans="1:24" ht="14.9" customHeight="1">
      <c r="B13" s="326"/>
      <c r="C13" s="309" t="s">
        <v>312</v>
      </c>
      <c r="D13" s="310" t="s">
        <v>1253</v>
      </c>
      <c r="E13" s="190">
        <v>704</v>
      </c>
      <c r="F13" s="198">
        <v>89</v>
      </c>
      <c r="G13" s="198">
        <v>96</v>
      </c>
      <c r="H13" s="198">
        <v>80</v>
      </c>
      <c r="I13" s="198"/>
      <c r="J13" s="195">
        <v>84</v>
      </c>
      <c r="K13" s="203">
        <v>88</v>
      </c>
      <c r="L13" s="195">
        <v>82</v>
      </c>
      <c r="M13" s="203">
        <v>83</v>
      </c>
      <c r="N13" s="195">
        <v>99</v>
      </c>
      <c r="O13" s="203">
        <v>95</v>
      </c>
      <c r="P13" s="189"/>
      <c r="Q13" s="190">
        <f t="shared" si="8"/>
        <v>59136</v>
      </c>
      <c r="R13" s="190">
        <f t="shared" si="9"/>
        <v>61952</v>
      </c>
      <c r="S13" s="195">
        <f t="shared" si="10"/>
        <v>57728</v>
      </c>
      <c r="T13" s="190">
        <f t="shared" si="11"/>
        <v>58432</v>
      </c>
      <c r="U13" s="195">
        <f t="shared" si="12"/>
        <v>69696</v>
      </c>
      <c r="V13" s="190">
        <f t="shared" si="13"/>
        <v>66880</v>
      </c>
    </row>
    <row r="14" spans="1:24">
      <c r="B14" s="326"/>
      <c r="C14" s="309" t="s">
        <v>312</v>
      </c>
      <c r="D14" s="310" t="s">
        <v>1254</v>
      </c>
      <c r="E14" s="190">
        <v>22</v>
      </c>
      <c r="F14" s="198">
        <v>1800</v>
      </c>
      <c r="G14" s="198">
        <v>2400</v>
      </c>
      <c r="H14" s="198">
        <v>3490</v>
      </c>
      <c r="I14" s="198"/>
      <c r="J14" s="195">
        <v>4000</v>
      </c>
      <c r="K14" s="203">
        <v>3575</v>
      </c>
      <c r="L14" s="195">
        <v>3575</v>
      </c>
      <c r="M14" s="203">
        <v>3575</v>
      </c>
      <c r="N14" s="195">
        <v>3575</v>
      </c>
      <c r="O14" s="203">
        <v>3575</v>
      </c>
      <c r="P14" s="189"/>
      <c r="Q14" s="190">
        <f t="shared" si="8"/>
        <v>88000</v>
      </c>
      <c r="R14" s="190">
        <f t="shared" si="9"/>
        <v>78650</v>
      </c>
      <c r="S14" s="195">
        <f t="shared" si="10"/>
        <v>78650</v>
      </c>
      <c r="T14" s="190">
        <f t="shared" si="11"/>
        <v>78650</v>
      </c>
      <c r="U14" s="195">
        <f t="shared" si="12"/>
        <v>78650</v>
      </c>
      <c r="V14" s="190">
        <f t="shared" si="13"/>
        <v>78650</v>
      </c>
    </row>
    <row r="15" spans="1:24">
      <c r="B15" s="326"/>
      <c r="C15" s="309" t="s">
        <v>312</v>
      </c>
      <c r="D15" s="310" t="s">
        <v>1255</v>
      </c>
      <c r="E15" s="190">
        <v>970</v>
      </c>
      <c r="F15" s="198">
        <v>11132</v>
      </c>
      <c r="G15" s="198">
        <v>8282</v>
      </c>
      <c r="H15" s="198">
        <v>7929</v>
      </c>
      <c r="I15" s="198"/>
      <c r="J15" s="195">
        <v>17499</v>
      </c>
      <c r="K15" s="203">
        <v>17499</v>
      </c>
      <c r="L15" s="195">
        <v>15000</v>
      </c>
      <c r="M15" s="203">
        <v>14701</v>
      </c>
      <c r="N15" s="195">
        <v>16500</v>
      </c>
      <c r="O15" s="203">
        <v>16104</v>
      </c>
      <c r="P15" s="189"/>
      <c r="Q15" s="190">
        <f t="shared" si="8"/>
        <v>16974030</v>
      </c>
      <c r="R15" s="190">
        <f t="shared" si="9"/>
        <v>16974030</v>
      </c>
      <c r="S15" s="195">
        <f t="shared" si="10"/>
        <v>14550000</v>
      </c>
      <c r="T15" s="190">
        <f t="shared" si="11"/>
        <v>14259970</v>
      </c>
      <c r="U15" s="195">
        <f t="shared" si="12"/>
        <v>16005000</v>
      </c>
      <c r="V15" s="190">
        <f t="shared" si="13"/>
        <v>15620880</v>
      </c>
    </row>
    <row r="16" spans="1:24">
      <c r="B16" s="326"/>
      <c r="C16" s="309" t="s">
        <v>312</v>
      </c>
      <c r="D16" s="310" t="s">
        <v>1330</v>
      </c>
      <c r="E16" s="190">
        <v>196</v>
      </c>
      <c r="F16" s="198">
        <v>2230</v>
      </c>
      <c r="G16" s="198">
        <v>1608</v>
      </c>
      <c r="H16" s="198">
        <v>2464</v>
      </c>
      <c r="I16" s="198"/>
      <c r="J16" s="195">
        <v>3446</v>
      </c>
      <c r="K16" s="203">
        <v>3446</v>
      </c>
      <c r="L16" s="195">
        <v>3700</v>
      </c>
      <c r="M16" s="203">
        <v>3087</v>
      </c>
      <c r="N16" s="195">
        <v>4030</v>
      </c>
      <c r="O16" s="203">
        <v>4030</v>
      </c>
      <c r="P16" s="189"/>
      <c r="Q16" s="190">
        <f t="shared" si="8"/>
        <v>675416</v>
      </c>
      <c r="R16" s="190">
        <f t="shared" si="9"/>
        <v>675416</v>
      </c>
      <c r="S16" s="195">
        <f t="shared" si="10"/>
        <v>725200</v>
      </c>
      <c r="T16" s="190">
        <f t="shared" si="11"/>
        <v>605052</v>
      </c>
      <c r="U16" s="195">
        <f t="shared" si="12"/>
        <v>789880</v>
      </c>
      <c r="V16" s="190">
        <f t="shared" si="13"/>
        <v>789880</v>
      </c>
    </row>
    <row r="17" spans="2:22">
      <c r="B17" s="326"/>
      <c r="C17" s="309" t="s">
        <v>312</v>
      </c>
      <c r="D17" s="310" t="s">
        <v>1257</v>
      </c>
      <c r="E17" s="190">
        <v>28</v>
      </c>
      <c r="F17" s="198">
        <v>28840</v>
      </c>
      <c r="G17" s="198">
        <v>29030</v>
      </c>
      <c r="H17" s="198">
        <v>31420</v>
      </c>
      <c r="I17" s="198"/>
      <c r="J17" s="195">
        <v>25290</v>
      </c>
      <c r="K17" s="203">
        <v>25290</v>
      </c>
      <c r="L17" s="195">
        <v>21768</v>
      </c>
      <c r="M17" s="203">
        <v>21768</v>
      </c>
      <c r="N17" s="195">
        <v>26132</v>
      </c>
      <c r="O17" s="203">
        <v>21965</v>
      </c>
      <c r="P17" s="189"/>
      <c r="Q17" s="190">
        <f t="shared" si="8"/>
        <v>708120</v>
      </c>
      <c r="R17" s="190">
        <f t="shared" si="9"/>
        <v>708120</v>
      </c>
      <c r="S17" s="195">
        <f t="shared" si="10"/>
        <v>609504</v>
      </c>
      <c r="T17" s="190">
        <f t="shared" si="11"/>
        <v>609504</v>
      </c>
      <c r="U17" s="195">
        <f t="shared" si="12"/>
        <v>731696</v>
      </c>
      <c r="V17" s="190">
        <f t="shared" si="13"/>
        <v>615020</v>
      </c>
    </row>
    <row r="18" spans="2:22">
      <c r="B18" s="326"/>
      <c r="C18" s="309" t="s">
        <v>312</v>
      </c>
      <c r="D18" s="310" t="s">
        <v>734</v>
      </c>
      <c r="E18" s="190">
        <v>251.66</v>
      </c>
      <c r="F18" s="198">
        <v>17528</v>
      </c>
      <c r="G18" s="198">
        <v>10637</v>
      </c>
      <c r="H18" s="198">
        <v>14253</v>
      </c>
      <c r="I18" s="198"/>
      <c r="J18" s="195">
        <v>0</v>
      </c>
      <c r="K18" s="195">
        <v>0</v>
      </c>
      <c r="L18" s="195">
        <v>0</v>
      </c>
      <c r="M18" s="195">
        <v>0</v>
      </c>
      <c r="N18" s="195">
        <v>0</v>
      </c>
      <c r="O18" s="195">
        <v>0</v>
      </c>
      <c r="P18" s="189"/>
      <c r="Q18" s="190">
        <f t="shared" si="8"/>
        <v>0</v>
      </c>
      <c r="R18" s="190">
        <f t="shared" si="9"/>
        <v>0</v>
      </c>
      <c r="S18" s="190">
        <f t="shared" si="10"/>
        <v>0</v>
      </c>
      <c r="T18" s="190">
        <f t="shared" si="11"/>
        <v>0</v>
      </c>
      <c r="U18" s="190">
        <f t="shared" si="12"/>
        <v>0</v>
      </c>
      <c r="V18" s="190">
        <f t="shared" si="13"/>
        <v>0</v>
      </c>
    </row>
    <row r="19" spans="2:22">
      <c r="B19" s="326"/>
      <c r="C19" s="309" t="s">
        <v>312</v>
      </c>
      <c r="D19" s="310" t="s">
        <v>1258</v>
      </c>
      <c r="E19" s="190">
        <v>292</v>
      </c>
      <c r="F19" s="198">
        <v>4600</v>
      </c>
      <c r="G19" s="198">
        <v>3720</v>
      </c>
      <c r="H19" s="198">
        <v>4920</v>
      </c>
      <c r="I19" s="198"/>
      <c r="J19" s="195">
        <v>3980</v>
      </c>
      <c r="K19" s="203">
        <v>2898</v>
      </c>
      <c r="L19" s="195">
        <v>2462</v>
      </c>
      <c r="M19" s="203">
        <v>2310</v>
      </c>
      <c r="N19" s="195">
        <v>2526</v>
      </c>
      <c r="O19" s="203">
        <v>2526</v>
      </c>
      <c r="P19" s="189"/>
      <c r="Q19" s="190">
        <f t="shared" si="8"/>
        <v>1162160</v>
      </c>
      <c r="R19" s="190">
        <f t="shared" si="9"/>
        <v>846216</v>
      </c>
      <c r="S19" s="195">
        <f t="shared" si="10"/>
        <v>718904</v>
      </c>
      <c r="T19" s="190">
        <f t="shared" si="11"/>
        <v>674520</v>
      </c>
      <c r="U19" s="195">
        <f t="shared" si="12"/>
        <v>737592</v>
      </c>
      <c r="V19" s="190">
        <f t="shared" si="13"/>
        <v>737592</v>
      </c>
    </row>
    <row r="20" spans="2:22">
      <c r="B20" s="326"/>
      <c r="C20" s="309" t="s">
        <v>312</v>
      </c>
      <c r="D20" s="310" t="s">
        <v>1259</v>
      </c>
      <c r="E20" s="190">
        <v>52</v>
      </c>
      <c r="F20" s="198">
        <v>12</v>
      </c>
      <c r="G20" s="198">
        <v>40</v>
      </c>
      <c r="H20" s="198">
        <v>28</v>
      </c>
      <c r="I20" s="198"/>
      <c r="J20" s="195">
        <v>57</v>
      </c>
      <c r="K20" s="203">
        <v>57</v>
      </c>
      <c r="L20" s="195">
        <v>58</v>
      </c>
      <c r="M20" s="203">
        <v>58</v>
      </c>
      <c r="N20" s="195">
        <v>56</v>
      </c>
      <c r="O20" s="203">
        <v>56</v>
      </c>
      <c r="P20" s="189"/>
      <c r="Q20" s="190">
        <f t="shared" si="8"/>
        <v>2964</v>
      </c>
      <c r="R20" s="190">
        <f t="shared" si="9"/>
        <v>2964</v>
      </c>
      <c r="S20" s="195">
        <f t="shared" si="10"/>
        <v>3016</v>
      </c>
      <c r="T20" s="190">
        <f t="shared" si="11"/>
        <v>3016</v>
      </c>
      <c r="U20" s="195">
        <f t="shared" si="12"/>
        <v>2912</v>
      </c>
      <c r="V20" s="190">
        <f t="shared" si="13"/>
        <v>2912</v>
      </c>
    </row>
    <row r="21" spans="2:22">
      <c r="B21" s="326"/>
      <c r="C21" s="309" t="s">
        <v>312</v>
      </c>
      <c r="D21" s="310" t="s">
        <v>1279</v>
      </c>
      <c r="E21" s="190">
        <v>1048.7</v>
      </c>
      <c r="F21" s="198"/>
      <c r="G21" s="198"/>
      <c r="H21" s="198">
        <v>775</v>
      </c>
      <c r="I21" s="198"/>
      <c r="J21" s="195">
        <v>11194</v>
      </c>
      <c r="K21" s="202">
        <v>11194</v>
      </c>
      <c r="L21" s="195">
        <v>9459</v>
      </c>
      <c r="M21" s="203">
        <v>9459</v>
      </c>
      <c r="N21" s="195">
        <v>11460</v>
      </c>
      <c r="O21" s="203">
        <v>11460</v>
      </c>
      <c r="P21" s="189"/>
      <c r="Q21" s="190">
        <f t="shared" si="8"/>
        <v>11739147.800000001</v>
      </c>
      <c r="R21" s="190">
        <f t="shared" si="9"/>
        <v>11739147.800000001</v>
      </c>
      <c r="S21" s="195">
        <f t="shared" si="10"/>
        <v>9919653.3000000007</v>
      </c>
      <c r="T21" s="190">
        <f t="shared" si="11"/>
        <v>9919653.3000000007</v>
      </c>
      <c r="U21" s="195">
        <f t="shared" si="12"/>
        <v>12018102</v>
      </c>
      <c r="V21" s="190">
        <f t="shared" si="13"/>
        <v>12018102</v>
      </c>
    </row>
    <row r="22" spans="2:22">
      <c r="B22" s="326"/>
      <c r="C22" s="309" t="s">
        <v>312</v>
      </c>
      <c r="D22" s="310" t="s">
        <v>1260</v>
      </c>
      <c r="E22" s="190">
        <v>557</v>
      </c>
      <c r="F22" s="198">
        <v>12403</v>
      </c>
      <c r="G22" s="198">
        <v>6523</v>
      </c>
      <c r="H22" s="198">
        <v>10313</v>
      </c>
      <c r="I22" s="198"/>
      <c r="J22" s="195">
        <v>6944</v>
      </c>
      <c r="K22" s="202">
        <v>6944</v>
      </c>
      <c r="L22" s="195">
        <v>7457</v>
      </c>
      <c r="M22" s="203">
        <v>6418</v>
      </c>
      <c r="N22" s="195">
        <v>7357</v>
      </c>
      <c r="O22" s="203">
        <v>6814</v>
      </c>
      <c r="P22" s="189"/>
      <c r="Q22" s="190">
        <f t="shared" si="8"/>
        <v>3867808</v>
      </c>
      <c r="R22" s="190">
        <f t="shared" si="9"/>
        <v>3867808</v>
      </c>
      <c r="S22" s="195">
        <f t="shared" si="10"/>
        <v>4153549</v>
      </c>
      <c r="T22" s="190">
        <f t="shared" si="11"/>
        <v>3574826</v>
      </c>
      <c r="U22" s="195">
        <f t="shared" si="12"/>
        <v>4097849</v>
      </c>
      <c r="V22" s="190">
        <f t="shared" si="13"/>
        <v>3795398</v>
      </c>
    </row>
    <row r="23" spans="2:22">
      <c r="B23" s="326"/>
      <c r="C23" s="311" t="s">
        <v>522</v>
      </c>
      <c r="D23" s="310" t="s">
        <v>1261</v>
      </c>
      <c r="E23" s="190">
        <v>2086</v>
      </c>
      <c r="F23" s="323">
        <v>4592</v>
      </c>
      <c r="G23" s="323">
        <v>5444</v>
      </c>
      <c r="H23" s="323">
        <v>5669</v>
      </c>
      <c r="I23" s="198"/>
      <c r="J23" s="195">
        <v>465</v>
      </c>
      <c r="K23" s="202">
        <v>465</v>
      </c>
      <c r="L23" s="195">
        <v>493</v>
      </c>
      <c r="M23" s="203">
        <v>493</v>
      </c>
      <c r="N23" s="195">
        <v>533</v>
      </c>
      <c r="O23" s="203">
        <v>533</v>
      </c>
      <c r="P23" s="189"/>
      <c r="Q23" s="190">
        <f t="shared" si="8"/>
        <v>969990</v>
      </c>
      <c r="R23" s="190">
        <f t="shared" si="9"/>
        <v>969990</v>
      </c>
      <c r="S23" s="195">
        <f t="shared" si="10"/>
        <v>1028398</v>
      </c>
      <c r="T23" s="190">
        <f t="shared" si="11"/>
        <v>1028398</v>
      </c>
      <c r="U23" s="195">
        <f t="shared" si="12"/>
        <v>1111838</v>
      </c>
      <c r="V23" s="190">
        <f t="shared" si="13"/>
        <v>1111838</v>
      </c>
    </row>
    <row r="24" spans="2:22" ht="14.5" customHeight="1">
      <c r="B24" s="326"/>
      <c r="C24" s="311" t="s">
        <v>522</v>
      </c>
      <c r="D24" s="310" t="s">
        <v>1262</v>
      </c>
      <c r="E24" s="190">
        <v>1926</v>
      </c>
      <c r="F24" s="324"/>
      <c r="G24" s="324"/>
      <c r="H24" s="324"/>
      <c r="I24" s="198"/>
      <c r="J24" s="195">
        <v>5590</v>
      </c>
      <c r="K24" s="203">
        <v>5590</v>
      </c>
      <c r="L24" s="195">
        <v>4856</v>
      </c>
      <c r="M24" s="203">
        <v>4856</v>
      </c>
      <c r="N24" s="195">
        <v>7080</v>
      </c>
      <c r="O24" s="203">
        <v>7080</v>
      </c>
      <c r="P24" s="189"/>
      <c r="Q24" s="190">
        <f t="shared" si="8"/>
        <v>10766340</v>
      </c>
      <c r="R24" s="190">
        <f t="shared" si="9"/>
        <v>10766340</v>
      </c>
      <c r="S24" s="195">
        <f t="shared" si="10"/>
        <v>9352656</v>
      </c>
      <c r="T24" s="190">
        <f t="shared" si="11"/>
        <v>9352656</v>
      </c>
      <c r="U24" s="195">
        <f t="shared" si="12"/>
        <v>13636080</v>
      </c>
      <c r="V24" s="190">
        <f t="shared" si="13"/>
        <v>13636080</v>
      </c>
    </row>
    <row r="25" spans="2:22">
      <c r="B25" s="326"/>
      <c r="C25" s="312" t="s">
        <v>544</v>
      </c>
      <c r="D25" s="310" t="s">
        <v>1291</v>
      </c>
      <c r="E25" s="190">
        <v>3570</v>
      </c>
      <c r="F25" s="198">
        <v>4779</v>
      </c>
      <c r="G25" s="198">
        <v>4427</v>
      </c>
      <c r="H25" s="198">
        <v>4229</v>
      </c>
      <c r="I25" s="198"/>
      <c r="J25" s="195">
        <f>5000</f>
        <v>5000</v>
      </c>
      <c r="K25" s="203">
        <v>4947</v>
      </c>
      <c r="L25" s="195">
        <v>4500</v>
      </c>
      <c r="M25" s="203">
        <v>4224</v>
      </c>
      <c r="N25" s="195">
        <v>5000</v>
      </c>
      <c r="O25" s="203">
        <v>4856</v>
      </c>
      <c r="P25" s="189"/>
      <c r="Q25" s="190">
        <f t="shared" si="8"/>
        <v>17850000</v>
      </c>
      <c r="R25" s="190">
        <f t="shared" si="9"/>
        <v>17660790</v>
      </c>
      <c r="S25" s="195">
        <f t="shared" si="10"/>
        <v>16065000</v>
      </c>
      <c r="T25" s="190">
        <f t="shared" si="11"/>
        <v>15079680</v>
      </c>
      <c r="U25" s="195">
        <f t="shared" si="12"/>
        <v>17850000</v>
      </c>
      <c r="V25" s="190">
        <f t="shared" si="13"/>
        <v>17335920</v>
      </c>
    </row>
    <row r="26" spans="2:22">
      <c r="B26" s="326"/>
      <c r="C26" s="312" t="s">
        <v>544</v>
      </c>
      <c r="D26" s="310" t="s">
        <v>1264</v>
      </c>
      <c r="E26" s="190">
        <v>1700</v>
      </c>
      <c r="F26" s="198">
        <v>550</v>
      </c>
      <c r="G26" s="198">
        <v>520</v>
      </c>
      <c r="H26" s="198">
        <v>520</v>
      </c>
      <c r="I26" s="198"/>
      <c r="J26" s="195">
        <v>500</v>
      </c>
      <c r="K26" s="203">
        <v>1006</v>
      </c>
      <c r="L26" s="195">
        <v>500</v>
      </c>
      <c r="M26" s="203">
        <v>602</v>
      </c>
      <c r="N26" s="195">
        <v>450</v>
      </c>
      <c r="O26" s="203">
        <v>589</v>
      </c>
      <c r="P26" s="189"/>
      <c r="Q26" s="190">
        <f t="shared" si="8"/>
        <v>850000</v>
      </c>
      <c r="R26" s="190">
        <f t="shared" si="9"/>
        <v>1710200</v>
      </c>
      <c r="S26" s="195">
        <f t="shared" si="10"/>
        <v>850000</v>
      </c>
      <c r="T26" s="190">
        <f t="shared" si="11"/>
        <v>1023400</v>
      </c>
      <c r="U26" s="195">
        <f t="shared" si="12"/>
        <v>765000</v>
      </c>
      <c r="V26" s="190">
        <f t="shared" si="13"/>
        <v>1001300</v>
      </c>
    </row>
    <row r="27" spans="2:22">
      <c r="B27" s="326"/>
      <c r="C27" s="312" t="s">
        <v>544</v>
      </c>
      <c r="D27" s="310" t="s">
        <v>1265</v>
      </c>
      <c r="E27" s="190">
        <v>6860</v>
      </c>
      <c r="F27" s="198">
        <v>126</v>
      </c>
      <c r="G27" s="198">
        <v>130</v>
      </c>
      <c r="H27" s="198">
        <v>225</v>
      </c>
      <c r="I27" s="198"/>
      <c r="J27" s="195">
        <v>400</v>
      </c>
      <c r="K27" s="203">
        <v>539</v>
      </c>
      <c r="L27" s="195">
        <v>400</v>
      </c>
      <c r="M27" s="203">
        <v>482</v>
      </c>
      <c r="N27" s="195">
        <v>400</v>
      </c>
      <c r="O27" s="203">
        <v>477</v>
      </c>
      <c r="P27" s="189"/>
      <c r="Q27" s="190">
        <f t="shared" si="8"/>
        <v>2744000</v>
      </c>
      <c r="R27" s="190">
        <f t="shared" si="9"/>
        <v>3697540</v>
      </c>
      <c r="S27" s="195">
        <f t="shared" si="10"/>
        <v>2744000</v>
      </c>
      <c r="T27" s="190">
        <f t="shared" si="11"/>
        <v>3306520</v>
      </c>
      <c r="U27" s="195">
        <f t="shared" si="12"/>
        <v>2744000</v>
      </c>
      <c r="V27" s="190">
        <f t="shared" si="13"/>
        <v>3272220</v>
      </c>
    </row>
    <row r="28" spans="2:22">
      <c r="B28" s="326"/>
      <c r="C28" s="312" t="s">
        <v>544</v>
      </c>
      <c r="D28" s="310" t="s">
        <v>680</v>
      </c>
      <c r="E28" s="190">
        <v>1950</v>
      </c>
      <c r="F28" s="198">
        <v>254</v>
      </c>
      <c r="G28" s="198">
        <v>385</v>
      </c>
      <c r="H28" s="198">
        <v>259</v>
      </c>
      <c r="I28" s="198"/>
      <c r="J28" s="195">
        <v>350</v>
      </c>
      <c r="K28" s="202">
        <v>636</v>
      </c>
      <c r="L28" s="195">
        <v>300</v>
      </c>
      <c r="M28" s="203">
        <v>365</v>
      </c>
      <c r="N28" s="195">
        <v>350</v>
      </c>
      <c r="O28" s="203">
        <v>359</v>
      </c>
      <c r="P28" s="189"/>
      <c r="Q28" s="190">
        <f t="shared" si="8"/>
        <v>682500</v>
      </c>
      <c r="R28" s="190">
        <f t="shared" si="9"/>
        <v>1240200</v>
      </c>
      <c r="S28" s="195">
        <f t="shared" si="10"/>
        <v>585000</v>
      </c>
      <c r="T28" s="190">
        <f t="shared" si="11"/>
        <v>711750</v>
      </c>
      <c r="U28" s="195">
        <f t="shared" si="12"/>
        <v>682500</v>
      </c>
      <c r="V28" s="190">
        <f t="shared" si="13"/>
        <v>700050</v>
      </c>
    </row>
    <row r="29" spans="2:22">
      <c r="B29" s="327"/>
      <c r="C29" s="307" t="s">
        <v>1357</v>
      </c>
      <c r="D29" s="313"/>
      <c r="E29" s="295"/>
      <c r="F29" s="191">
        <f>SUM(F11:F28)</f>
        <v>106100</v>
      </c>
      <c r="G29" s="191">
        <f t="shared" ref="G29:I29" si="14">SUM(G11:G28)</f>
        <v>88036</v>
      </c>
      <c r="H29" s="191">
        <f t="shared" si="14"/>
        <v>106542</v>
      </c>
      <c r="I29" s="191">
        <f t="shared" si="14"/>
        <v>0</v>
      </c>
      <c r="J29" s="320">
        <f>SUM(J11:J28)</f>
        <v>103320</v>
      </c>
      <c r="K29" s="321">
        <f>SUM(K11:K28)</f>
        <v>106245</v>
      </c>
      <c r="L29" s="320">
        <f>SUM(L11:L28)</f>
        <v>90650</v>
      </c>
      <c r="M29" s="321">
        <f t="shared" ref="M29" si="15">SUM(M11:M28)</f>
        <v>90667</v>
      </c>
      <c r="N29" s="320">
        <f>SUM(N11:N28)</f>
        <v>101671</v>
      </c>
      <c r="O29" s="321">
        <f>SUM(O11:O28)</f>
        <v>99203</v>
      </c>
      <c r="P29" s="322"/>
      <c r="Q29" s="320">
        <f>SUM(Q11:Q28)</f>
        <v>82467723.239999995</v>
      </c>
      <c r="R29" s="321">
        <f t="shared" ref="R29:V29" si="16">SUM(R11:R28)</f>
        <v>88040775.239999995</v>
      </c>
      <c r="S29" s="320">
        <f t="shared" si="16"/>
        <v>73221383.900000006</v>
      </c>
      <c r="T29" s="321">
        <f t="shared" si="16"/>
        <v>75100190.460000008</v>
      </c>
      <c r="U29" s="320">
        <f t="shared" si="16"/>
        <v>83601239.969999999</v>
      </c>
      <c r="V29" s="321">
        <f t="shared" si="16"/>
        <v>85741972.969999999</v>
      </c>
    </row>
    <row r="30" spans="2:22">
      <c r="B30" s="184"/>
      <c r="C30" s="290"/>
      <c r="D30" s="291"/>
      <c r="E30" s="194"/>
      <c r="F30" s="200"/>
      <c r="G30" s="200"/>
      <c r="H30" s="200"/>
      <c r="I30" s="200"/>
      <c r="J30" s="194"/>
      <c r="K30" s="193"/>
      <c r="L30" s="194"/>
      <c r="M30" s="193"/>
      <c r="N30" s="194"/>
      <c r="O30" s="193"/>
      <c r="P30" s="189"/>
      <c r="Q30" s="194"/>
      <c r="R30" s="194"/>
      <c r="S30" s="194"/>
      <c r="T30" s="194"/>
      <c r="U30" s="194"/>
      <c r="V30" s="194"/>
    </row>
    <row r="31" spans="2:22" ht="15" customHeight="1">
      <c r="B31" s="328" t="s">
        <v>311</v>
      </c>
      <c r="C31" s="311" t="s">
        <v>522</v>
      </c>
      <c r="D31" s="310" t="s">
        <v>1266</v>
      </c>
      <c r="E31" s="190">
        <v>25</v>
      </c>
      <c r="F31" s="198">
        <v>237</v>
      </c>
      <c r="G31" s="198">
        <v>297</v>
      </c>
      <c r="H31" s="198">
        <v>289</v>
      </c>
      <c r="I31" s="198"/>
      <c r="J31" s="195">
        <v>49</v>
      </c>
      <c r="K31" s="195"/>
      <c r="L31" s="195"/>
      <c r="M31" s="195"/>
      <c r="N31" s="195"/>
      <c r="O31" s="195"/>
      <c r="P31" s="189"/>
      <c r="Q31" s="190">
        <f t="shared" ref="Q31:T37" si="17">J31*$E31</f>
        <v>1225</v>
      </c>
      <c r="R31" s="190">
        <f t="shared" si="17"/>
        <v>0</v>
      </c>
      <c r="S31" s="195">
        <f t="shared" si="17"/>
        <v>0</v>
      </c>
      <c r="T31" s="190">
        <f t="shared" si="17"/>
        <v>0</v>
      </c>
      <c r="U31" s="195">
        <f t="shared" ref="U31:U37" si="18">N31*$E31</f>
        <v>0</v>
      </c>
      <c r="V31" s="190">
        <f t="shared" ref="V31:V37" si="19">O31*$E31</f>
        <v>0</v>
      </c>
    </row>
    <row r="32" spans="2:22">
      <c r="B32" s="329"/>
      <c r="C32" s="311" t="s">
        <v>522</v>
      </c>
      <c r="D32" s="310" t="s">
        <v>344</v>
      </c>
      <c r="E32" s="190">
        <v>2511</v>
      </c>
      <c r="F32" s="198">
        <v>2748</v>
      </c>
      <c r="G32" s="198">
        <v>3840</v>
      </c>
      <c r="H32" s="198">
        <v>3813</v>
      </c>
      <c r="I32" s="198"/>
      <c r="J32" s="195">
        <v>4200</v>
      </c>
      <c r="K32" s="202">
        <v>4608</v>
      </c>
      <c r="L32" s="195">
        <v>4113</v>
      </c>
      <c r="M32" s="203">
        <v>4113</v>
      </c>
      <c r="N32" s="195">
        <v>5000</v>
      </c>
      <c r="O32" s="203">
        <v>5856</v>
      </c>
      <c r="P32" s="189"/>
      <c r="Q32" s="190">
        <f t="shared" si="17"/>
        <v>10546200</v>
      </c>
      <c r="R32" s="190">
        <f t="shared" si="17"/>
        <v>11570688</v>
      </c>
      <c r="S32" s="195">
        <f t="shared" si="17"/>
        <v>10327743</v>
      </c>
      <c r="T32" s="190">
        <f t="shared" si="17"/>
        <v>10327743</v>
      </c>
      <c r="U32" s="195">
        <f t="shared" si="18"/>
        <v>12555000</v>
      </c>
      <c r="V32" s="190">
        <f t="shared" si="19"/>
        <v>14704416</v>
      </c>
    </row>
    <row r="33" spans="2:22">
      <c r="B33" s="329"/>
      <c r="C33" s="311" t="s">
        <v>522</v>
      </c>
      <c r="D33" s="310" t="s">
        <v>323</v>
      </c>
      <c r="E33" s="190">
        <v>2075</v>
      </c>
      <c r="F33" s="198">
        <v>1955</v>
      </c>
      <c r="G33" s="198">
        <v>3495</v>
      </c>
      <c r="H33" s="198">
        <v>2784</v>
      </c>
      <c r="I33" s="198"/>
      <c r="J33" s="195">
        <v>2472</v>
      </c>
      <c r="K33" s="202">
        <v>2497</v>
      </c>
      <c r="L33" s="195">
        <v>2000</v>
      </c>
      <c r="M33" s="203">
        <v>1975</v>
      </c>
      <c r="N33" s="195">
        <v>2800</v>
      </c>
      <c r="O33" s="203">
        <v>2800</v>
      </c>
      <c r="P33" s="189"/>
      <c r="Q33" s="190">
        <f t="shared" si="17"/>
        <v>5129400</v>
      </c>
      <c r="R33" s="190">
        <f t="shared" si="17"/>
        <v>5181275</v>
      </c>
      <c r="S33" s="195">
        <f t="shared" si="17"/>
        <v>4150000</v>
      </c>
      <c r="T33" s="190">
        <f t="shared" si="17"/>
        <v>4098125</v>
      </c>
      <c r="U33" s="195">
        <f t="shared" si="18"/>
        <v>5810000</v>
      </c>
      <c r="V33" s="190">
        <f t="shared" si="19"/>
        <v>5810000</v>
      </c>
    </row>
    <row r="34" spans="2:22">
      <c r="B34" s="329"/>
      <c r="C34" s="311" t="s">
        <v>522</v>
      </c>
      <c r="D34" s="310" t="s">
        <v>362</v>
      </c>
      <c r="E34" s="190">
        <v>3002</v>
      </c>
      <c r="F34" s="198">
        <v>2052</v>
      </c>
      <c r="G34" s="198">
        <v>4492</v>
      </c>
      <c r="H34" s="198">
        <v>5575</v>
      </c>
      <c r="I34" s="198"/>
      <c r="J34" s="195">
        <v>5280</v>
      </c>
      <c r="K34" s="202">
        <v>5301</v>
      </c>
      <c r="L34" s="195">
        <v>4444</v>
      </c>
      <c r="M34" s="203">
        <v>4444</v>
      </c>
      <c r="N34" s="195">
        <v>6912</v>
      </c>
      <c r="O34" s="203">
        <v>6912</v>
      </c>
      <c r="P34" s="189"/>
      <c r="Q34" s="190">
        <f t="shared" si="17"/>
        <v>15850560</v>
      </c>
      <c r="R34" s="190">
        <f t="shared" si="17"/>
        <v>15913602</v>
      </c>
      <c r="S34" s="195">
        <f t="shared" si="17"/>
        <v>13340888</v>
      </c>
      <c r="T34" s="190">
        <f t="shared" si="17"/>
        <v>13340888</v>
      </c>
      <c r="U34" s="195">
        <f t="shared" si="18"/>
        <v>20749824</v>
      </c>
      <c r="V34" s="190">
        <f t="shared" si="19"/>
        <v>20749824</v>
      </c>
    </row>
    <row r="35" spans="2:22">
      <c r="B35" s="329"/>
      <c r="C35" s="311" t="s">
        <v>522</v>
      </c>
      <c r="D35" s="310" t="s">
        <v>387</v>
      </c>
      <c r="E35" s="190">
        <v>2685</v>
      </c>
      <c r="F35" s="198">
        <v>2763</v>
      </c>
      <c r="G35" s="198">
        <v>4718</v>
      </c>
      <c r="H35" s="198">
        <v>4036</v>
      </c>
      <c r="I35" s="198"/>
      <c r="J35" s="195">
        <v>3360</v>
      </c>
      <c r="K35" s="202">
        <v>3394</v>
      </c>
      <c r="L35" s="195">
        <v>3200</v>
      </c>
      <c r="M35" s="203">
        <v>3136</v>
      </c>
      <c r="N35" s="195">
        <v>4000</v>
      </c>
      <c r="O35" s="203">
        <v>4152</v>
      </c>
      <c r="P35" s="189"/>
      <c r="Q35" s="190">
        <f t="shared" si="17"/>
        <v>9021600</v>
      </c>
      <c r="R35" s="190">
        <f t="shared" si="17"/>
        <v>9112890</v>
      </c>
      <c r="S35" s="195">
        <f t="shared" si="17"/>
        <v>8592000</v>
      </c>
      <c r="T35" s="190">
        <f t="shared" si="17"/>
        <v>8420160</v>
      </c>
      <c r="U35" s="195">
        <f t="shared" si="18"/>
        <v>10740000</v>
      </c>
      <c r="V35" s="190">
        <f t="shared" si="19"/>
        <v>11148120</v>
      </c>
    </row>
    <row r="36" spans="2:22">
      <c r="B36" s="329"/>
      <c r="C36" s="311" t="s">
        <v>522</v>
      </c>
      <c r="D36" s="310" t="s">
        <v>403</v>
      </c>
      <c r="E36" s="190">
        <v>1422</v>
      </c>
      <c r="F36" s="198">
        <v>8400</v>
      </c>
      <c r="G36" s="198">
        <v>7000</v>
      </c>
      <c r="H36" s="198">
        <v>11200</v>
      </c>
      <c r="I36" s="198"/>
      <c r="J36" s="195">
        <v>9840</v>
      </c>
      <c r="K36" s="202">
        <v>10500</v>
      </c>
      <c r="L36" s="195">
        <v>5600</v>
      </c>
      <c r="M36" s="203">
        <v>5600</v>
      </c>
      <c r="N36" s="195">
        <v>10500</v>
      </c>
      <c r="O36" s="203">
        <v>10500</v>
      </c>
      <c r="P36" s="189"/>
      <c r="Q36" s="190">
        <f t="shared" si="17"/>
        <v>13992480</v>
      </c>
      <c r="R36" s="190">
        <f t="shared" si="17"/>
        <v>14931000</v>
      </c>
      <c r="S36" s="195">
        <f t="shared" si="17"/>
        <v>7963200</v>
      </c>
      <c r="T36" s="190">
        <f t="shared" si="17"/>
        <v>7963200</v>
      </c>
      <c r="U36" s="195">
        <f t="shared" si="18"/>
        <v>14931000</v>
      </c>
      <c r="V36" s="190">
        <f t="shared" si="19"/>
        <v>14931000</v>
      </c>
    </row>
    <row r="37" spans="2:22">
      <c r="B37" s="329"/>
      <c r="C37" s="304" t="s">
        <v>1267</v>
      </c>
      <c r="D37" s="310" t="s">
        <v>411</v>
      </c>
      <c r="E37" s="190">
        <v>39.22</v>
      </c>
      <c r="F37" s="198">
        <v>9600</v>
      </c>
      <c r="G37" s="198">
        <v>9600</v>
      </c>
      <c r="H37" s="198">
        <v>11880</v>
      </c>
      <c r="I37" s="198"/>
      <c r="J37" s="195">
        <v>11500</v>
      </c>
      <c r="K37" s="202">
        <v>13000</v>
      </c>
      <c r="L37" s="195">
        <v>12000</v>
      </c>
      <c r="M37" s="203">
        <v>12000</v>
      </c>
      <c r="N37" s="195">
        <v>12000</v>
      </c>
      <c r="O37" s="203">
        <v>12000</v>
      </c>
      <c r="P37" s="189"/>
      <c r="Q37" s="190">
        <f t="shared" si="17"/>
        <v>451030</v>
      </c>
      <c r="R37" s="190">
        <f t="shared" si="17"/>
        <v>509860</v>
      </c>
      <c r="S37" s="195">
        <f t="shared" si="17"/>
        <v>470640</v>
      </c>
      <c r="T37" s="190">
        <f t="shared" si="17"/>
        <v>470640</v>
      </c>
      <c r="U37" s="195">
        <f t="shared" si="18"/>
        <v>470640</v>
      </c>
      <c r="V37" s="190">
        <f t="shared" si="19"/>
        <v>470640</v>
      </c>
    </row>
    <row r="38" spans="2:22">
      <c r="B38" s="330"/>
      <c r="C38" s="307" t="s">
        <v>1357</v>
      </c>
      <c r="D38" s="313"/>
      <c r="E38" s="295"/>
      <c r="F38" s="191">
        <f t="shared" ref="F38:I38" si="20">SUM(F31:F37)</f>
        <v>27755</v>
      </c>
      <c r="G38" s="191">
        <f t="shared" si="20"/>
        <v>33442</v>
      </c>
      <c r="H38" s="191">
        <f t="shared" si="20"/>
        <v>39577</v>
      </c>
      <c r="I38" s="191">
        <f t="shared" si="20"/>
        <v>0</v>
      </c>
      <c r="J38" s="320">
        <f>SUM(J31:J37)</f>
        <v>36701</v>
      </c>
      <c r="K38" s="321">
        <f>SUM(K31:K37)</f>
        <v>39300</v>
      </c>
      <c r="L38" s="320">
        <f t="shared" ref="L38:N38" si="21">SUM(L31:L37)</f>
        <v>31357</v>
      </c>
      <c r="M38" s="321">
        <f>SUM(M31:M37)</f>
        <v>31268</v>
      </c>
      <c r="N38" s="320">
        <f t="shared" si="21"/>
        <v>41212</v>
      </c>
      <c r="O38" s="321">
        <f>SUM(O31:O37)</f>
        <v>42220</v>
      </c>
      <c r="P38" s="322"/>
      <c r="Q38" s="320">
        <f>SUM(Q31:Q37)</f>
        <v>54992495</v>
      </c>
      <c r="R38" s="321">
        <f t="shared" ref="R38:V38" si="22">SUM(R31:R37)</f>
        <v>57219315</v>
      </c>
      <c r="S38" s="320">
        <f t="shared" si="22"/>
        <v>44844471</v>
      </c>
      <c r="T38" s="321">
        <f t="shared" si="22"/>
        <v>44620756</v>
      </c>
      <c r="U38" s="320">
        <f t="shared" si="22"/>
        <v>65256464</v>
      </c>
      <c r="V38" s="321">
        <f t="shared" si="22"/>
        <v>67814000</v>
      </c>
    </row>
    <row r="39" spans="2:22">
      <c r="B39" s="184"/>
      <c r="C39" s="292"/>
      <c r="D39" s="291"/>
      <c r="E39" s="194"/>
      <c r="F39" s="200"/>
      <c r="G39" s="200"/>
      <c r="H39" s="200"/>
      <c r="I39" s="200"/>
      <c r="J39" s="194"/>
      <c r="K39" s="193"/>
      <c r="L39" s="194"/>
      <c r="M39" s="193"/>
      <c r="N39" s="194"/>
      <c r="O39" s="193"/>
      <c r="P39" s="189"/>
      <c r="Q39" s="194"/>
      <c r="R39" s="194"/>
      <c r="S39" s="194"/>
      <c r="T39" s="194"/>
      <c r="U39" s="194"/>
      <c r="V39" s="194"/>
    </row>
    <row r="40" spans="2:22" ht="14.5" customHeight="1">
      <c r="B40" s="328" t="s">
        <v>305</v>
      </c>
      <c r="C40" s="304" t="s">
        <v>1246</v>
      </c>
      <c r="D40" s="310" t="s">
        <v>1316</v>
      </c>
      <c r="E40" s="190">
        <v>7108.8</v>
      </c>
      <c r="F40" s="198">
        <v>1518</v>
      </c>
      <c r="G40" s="198">
        <v>1580</v>
      </c>
      <c r="H40" s="198">
        <v>1812</v>
      </c>
      <c r="I40" s="198"/>
      <c r="J40" s="195">
        <v>3700</v>
      </c>
      <c r="K40" s="203">
        <v>4000</v>
      </c>
      <c r="L40" s="195">
        <v>3800</v>
      </c>
      <c r="M40" s="203">
        <v>4500</v>
      </c>
      <c r="N40" s="195">
        <v>4000</v>
      </c>
      <c r="O40" s="203">
        <v>4500</v>
      </c>
      <c r="P40" s="189"/>
      <c r="Q40" s="190">
        <f t="shared" ref="Q40:Q49" si="23">J40*$E40</f>
        <v>26302560</v>
      </c>
      <c r="R40" s="190">
        <f t="shared" ref="R40:R49" si="24">K40*$E40</f>
        <v>28435200</v>
      </c>
      <c r="S40" s="195">
        <f t="shared" ref="S40:S49" si="25">L40*$E40</f>
        <v>27013440</v>
      </c>
      <c r="T40" s="190">
        <f t="shared" ref="T40:T49" si="26">M40*$E40</f>
        <v>31989600</v>
      </c>
      <c r="U40" s="195">
        <f t="shared" ref="U40:U49" si="27">N40*$E40</f>
        <v>28435200</v>
      </c>
      <c r="V40" s="190">
        <f t="shared" ref="V40:V49" si="28">O40*$E40</f>
        <v>31989600</v>
      </c>
    </row>
    <row r="41" spans="2:22">
      <c r="B41" s="329"/>
      <c r="C41" s="304" t="s">
        <v>1246</v>
      </c>
      <c r="D41" s="310" t="s">
        <v>1315</v>
      </c>
      <c r="E41" s="190">
        <v>8429</v>
      </c>
      <c r="F41" s="198">
        <v>3657</v>
      </c>
      <c r="G41" s="198">
        <v>3522</v>
      </c>
      <c r="H41" s="198">
        <v>3550</v>
      </c>
      <c r="I41" s="198"/>
      <c r="J41" s="195">
        <v>1800</v>
      </c>
      <c r="K41" s="203">
        <v>2000</v>
      </c>
      <c r="L41" s="195">
        <v>2000</v>
      </c>
      <c r="M41" s="203">
        <v>2000</v>
      </c>
      <c r="N41" s="195">
        <v>2000</v>
      </c>
      <c r="O41" s="203">
        <v>2000</v>
      </c>
      <c r="P41" s="189"/>
      <c r="Q41" s="190">
        <f t="shared" si="23"/>
        <v>15172200</v>
      </c>
      <c r="R41" s="190">
        <f t="shared" si="24"/>
        <v>16858000</v>
      </c>
      <c r="S41" s="195">
        <f t="shared" si="25"/>
        <v>16858000</v>
      </c>
      <c r="T41" s="190">
        <f t="shared" si="26"/>
        <v>16858000</v>
      </c>
      <c r="U41" s="195">
        <f t="shared" si="27"/>
        <v>16858000</v>
      </c>
      <c r="V41" s="190">
        <f t="shared" si="28"/>
        <v>16858000</v>
      </c>
    </row>
    <row r="42" spans="2:22">
      <c r="B42" s="329"/>
      <c r="C42" s="304" t="s">
        <v>1246</v>
      </c>
      <c r="D42" s="310" t="s">
        <v>1287</v>
      </c>
      <c r="E42" s="190">
        <v>4055</v>
      </c>
      <c r="F42" s="198">
        <v>4960</v>
      </c>
      <c r="G42" s="198">
        <v>5329</v>
      </c>
      <c r="H42" s="198">
        <v>5912</v>
      </c>
      <c r="I42" s="198"/>
      <c r="J42" s="195">
        <v>5200</v>
      </c>
      <c r="K42" s="203">
        <v>7000</v>
      </c>
      <c r="L42" s="195">
        <v>5200</v>
      </c>
      <c r="M42" s="203">
        <v>7000</v>
      </c>
      <c r="N42" s="195">
        <v>5200</v>
      </c>
      <c r="O42" s="203">
        <v>7000</v>
      </c>
      <c r="P42" s="189"/>
      <c r="Q42" s="190">
        <f t="shared" si="23"/>
        <v>21086000</v>
      </c>
      <c r="R42" s="190">
        <f t="shared" si="24"/>
        <v>28385000</v>
      </c>
      <c r="S42" s="195">
        <f t="shared" si="25"/>
        <v>21086000</v>
      </c>
      <c r="T42" s="190">
        <f t="shared" si="26"/>
        <v>28385000</v>
      </c>
      <c r="U42" s="195">
        <f t="shared" si="27"/>
        <v>21086000</v>
      </c>
      <c r="V42" s="190">
        <f t="shared" si="28"/>
        <v>28385000</v>
      </c>
    </row>
    <row r="43" spans="2:22">
      <c r="B43" s="329"/>
      <c r="C43" s="304" t="s">
        <v>1246</v>
      </c>
      <c r="D43" s="310" t="s">
        <v>1270</v>
      </c>
      <c r="E43" s="190">
        <v>4755</v>
      </c>
      <c r="F43" s="198">
        <v>9999</v>
      </c>
      <c r="G43" s="198">
        <v>10303</v>
      </c>
      <c r="H43" s="198">
        <v>11106</v>
      </c>
      <c r="I43" s="198"/>
      <c r="J43" s="195">
        <v>11000</v>
      </c>
      <c r="K43" s="203">
        <v>12000</v>
      </c>
      <c r="L43" s="195">
        <v>12000</v>
      </c>
      <c r="M43" s="203">
        <v>12000</v>
      </c>
      <c r="N43" s="195">
        <v>12000</v>
      </c>
      <c r="O43" s="203">
        <v>12000</v>
      </c>
      <c r="P43" s="189"/>
      <c r="Q43" s="190">
        <f t="shared" si="23"/>
        <v>52305000</v>
      </c>
      <c r="R43" s="190">
        <f t="shared" si="24"/>
        <v>57060000</v>
      </c>
      <c r="S43" s="195">
        <f t="shared" si="25"/>
        <v>57060000</v>
      </c>
      <c r="T43" s="190">
        <f t="shared" si="26"/>
        <v>57060000</v>
      </c>
      <c r="U43" s="195">
        <f t="shared" si="27"/>
        <v>57060000</v>
      </c>
      <c r="V43" s="190">
        <f t="shared" si="28"/>
        <v>57060000</v>
      </c>
    </row>
    <row r="44" spans="2:22">
      <c r="B44" s="329"/>
      <c r="C44" s="304" t="s">
        <v>1246</v>
      </c>
      <c r="D44" s="310" t="s">
        <v>1271</v>
      </c>
      <c r="E44" s="190">
        <v>3253</v>
      </c>
      <c r="F44" s="198">
        <v>750</v>
      </c>
      <c r="G44" s="198">
        <v>932</v>
      </c>
      <c r="H44" s="198">
        <v>987</v>
      </c>
      <c r="I44" s="198"/>
      <c r="J44" s="195">
        <v>1200</v>
      </c>
      <c r="K44" s="203">
        <v>1312</v>
      </c>
      <c r="L44" s="195">
        <v>1200</v>
      </c>
      <c r="M44" s="203">
        <v>1270</v>
      </c>
      <c r="N44" s="195">
        <v>1250</v>
      </c>
      <c r="O44" s="203">
        <v>1180</v>
      </c>
      <c r="P44" s="189"/>
      <c r="Q44" s="190">
        <f t="shared" si="23"/>
        <v>3903600</v>
      </c>
      <c r="R44" s="190">
        <f t="shared" si="24"/>
        <v>4267936</v>
      </c>
      <c r="S44" s="195">
        <f t="shared" si="25"/>
        <v>3903600</v>
      </c>
      <c r="T44" s="190">
        <f t="shared" si="26"/>
        <v>4131310</v>
      </c>
      <c r="U44" s="195">
        <f t="shared" si="27"/>
        <v>4066250</v>
      </c>
      <c r="V44" s="190">
        <f t="shared" si="28"/>
        <v>3838540</v>
      </c>
    </row>
    <row r="45" spans="2:22" ht="17.149999999999999" customHeight="1">
      <c r="B45" s="329"/>
      <c r="C45" s="304" t="s">
        <v>1246</v>
      </c>
      <c r="D45" s="310" t="s">
        <v>1272</v>
      </c>
      <c r="E45" s="190">
        <v>4435</v>
      </c>
      <c r="F45" s="198">
        <v>2091</v>
      </c>
      <c r="G45" s="198">
        <v>2314</v>
      </c>
      <c r="H45" s="198">
        <v>1907</v>
      </c>
      <c r="I45" s="198"/>
      <c r="J45" s="195">
        <v>2200</v>
      </c>
      <c r="K45" s="203">
        <v>2600</v>
      </c>
      <c r="L45" s="195">
        <v>2500</v>
      </c>
      <c r="M45" s="203">
        <v>2540</v>
      </c>
      <c r="N45" s="195">
        <v>1880</v>
      </c>
      <c r="O45" s="203">
        <v>1900</v>
      </c>
      <c r="P45" s="189"/>
      <c r="Q45" s="190">
        <f t="shared" si="23"/>
        <v>9757000</v>
      </c>
      <c r="R45" s="190">
        <f t="shared" si="24"/>
        <v>11531000</v>
      </c>
      <c r="S45" s="195">
        <f t="shared" si="25"/>
        <v>11087500</v>
      </c>
      <c r="T45" s="190">
        <f t="shared" si="26"/>
        <v>11264900</v>
      </c>
      <c r="U45" s="195">
        <f t="shared" si="27"/>
        <v>8337800</v>
      </c>
      <c r="V45" s="190">
        <f t="shared" si="28"/>
        <v>8426500</v>
      </c>
    </row>
    <row r="46" spans="2:22">
      <c r="B46" s="329"/>
      <c r="C46" s="304" t="s">
        <v>1246</v>
      </c>
      <c r="D46" s="310" t="s">
        <v>1273</v>
      </c>
      <c r="E46" s="190">
        <v>4426</v>
      </c>
      <c r="F46" s="198">
        <v>393</v>
      </c>
      <c r="G46" s="198">
        <v>273</v>
      </c>
      <c r="H46" s="198">
        <v>245</v>
      </c>
      <c r="I46" s="198"/>
      <c r="J46" s="195">
        <v>400</v>
      </c>
      <c r="K46" s="203">
        <v>600</v>
      </c>
      <c r="L46" s="195">
        <v>400</v>
      </c>
      <c r="M46" s="203">
        <v>500</v>
      </c>
      <c r="N46" s="195">
        <v>400</v>
      </c>
      <c r="O46" s="203">
        <v>500</v>
      </c>
      <c r="P46" s="189"/>
      <c r="Q46" s="190">
        <f t="shared" si="23"/>
        <v>1770400</v>
      </c>
      <c r="R46" s="190">
        <f t="shared" si="24"/>
        <v>2655600</v>
      </c>
      <c r="S46" s="195">
        <f t="shared" si="25"/>
        <v>1770400</v>
      </c>
      <c r="T46" s="190">
        <f t="shared" si="26"/>
        <v>2213000</v>
      </c>
      <c r="U46" s="195">
        <f t="shared" si="27"/>
        <v>1770400</v>
      </c>
      <c r="V46" s="190">
        <f t="shared" si="28"/>
        <v>2213000</v>
      </c>
    </row>
    <row r="47" spans="2:22">
      <c r="B47" s="329"/>
      <c r="C47" s="304" t="s">
        <v>1246</v>
      </c>
      <c r="D47" s="310" t="s">
        <v>1274</v>
      </c>
      <c r="E47" s="190">
        <v>2075</v>
      </c>
      <c r="F47" s="198">
        <v>15000</v>
      </c>
      <c r="G47" s="198">
        <v>14470</v>
      </c>
      <c r="H47" s="198">
        <v>13985</v>
      </c>
      <c r="I47" s="198"/>
      <c r="J47" s="195">
        <v>14500</v>
      </c>
      <c r="K47" s="203">
        <v>16678</v>
      </c>
      <c r="L47" s="195">
        <v>15000</v>
      </c>
      <c r="M47" s="203">
        <v>16528</v>
      </c>
      <c r="N47" s="195">
        <v>15000</v>
      </c>
      <c r="O47" s="203">
        <v>16528</v>
      </c>
      <c r="P47" s="189"/>
      <c r="Q47" s="190">
        <f t="shared" si="23"/>
        <v>30087500</v>
      </c>
      <c r="R47" s="190">
        <f t="shared" si="24"/>
        <v>34606850</v>
      </c>
      <c r="S47" s="195">
        <f t="shared" si="25"/>
        <v>31125000</v>
      </c>
      <c r="T47" s="190">
        <f t="shared" si="26"/>
        <v>34295600</v>
      </c>
      <c r="U47" s="195">
        <f t="shared" si="27"/>
        <v>31125000</v>
      </c>
      <c r="V47" s="190">
        <f t="shared" si="28"/>
        <v>34295600</v>
      </c>
    </row>
    <row r="48" spans="2:22">
      <c r="B48" s="329"/>
      <c r="C48" s="304" t="s">
        <v>309</v>
      </c>
      <c r="D48" s="310">
        <v>216</v>
      </c>
      <c r="E48" s="190">
        <v>3021</v>
      </c>
      <c r="F48" s="198">
        <v>5210</v>
      </c>
      <c r="G48" s="198">
        <v>7834</v>
      </c>
      <c r="H48" s="198">
        <v>4627</v>
      </c>
      <c r="I48" s="198"/>
      <c r="J48" s="195">
        <v>3500</v>
      </c>
      <c r="K48" s="203">
        <v>3063</v>
      </c>
      <c r="L48" s="195">
        <v>5500</v>
      </c>
      <c r="M48" s="203">
        <v>12928</v>
      </c>
      <c r="N48" s="195">
        <v>2065</v>
      </c>
      <c r="O48" s="203">
        <v>190</v>
      </c>
      <c r="P48" s="242"/>
      <c r="Q48" s="190">
        <f t="shared" si="23"/>
        <v>10573500</v>
      </c>
      <c r="R48" s="190">
        <f t="shared" si="24"/>
        <v>9253323</v>
      </c>
      <c r="S48" s="195">
        <f t="shared" si="25"/>
        <v>16615500</v>
      </c>
      <c r="T48" s="190">
        <f t="shared" si="26"/>
        <v>39055488</v>
      </c>
      <c r="U48" s="195">
        <f t="shared" si="27"/>
        <v>6238365</v>
      </c>
      <c r="V48" s="190">
        <f t="shared" si="28"/>
        <v>573990</v>
      </c>
    </row>
    <row r="49" spans="2:22">
      <c r="B49" s="329"/>
      <c r="C49" s="304" t="s">
        <v>309</v>
      </c>
      <c r="D49" s="310">
        <v>271</v>
      </c>
      <c r="E49" s="190">
        <v>2704</v>
      </c>
      <c r="F49" s="198">
        <v>5078</v>
      </c>
      <c r="G49" s="198">
        <v>6870</v>
      </c>
      <c r="H49" s="198">
        <v>4632</v>
      </c>
      <c r="I49" s="198"/>
      <c r="J49" s="195">
        <v>7000</v>
      </c>
      <c r="K49" s="203">
        <v>7454</v>
      </c>
      <c r="L49" s="195">
        <v>6500</v>
      </c>
      <c r="M49" s="203">
        <v>6820</v>
      </c>
      <c r="N49" s="195">
        <v>3058</v>
      </c>
      <c r="O49" s="203">
        <v>3054</v>
      </c>
      <c r="P49" s="242"/>
      <c r="Q49" s="190">
        <f t="shared" si="23"/>
        <v>18928000</v>
      </c>
      <c r="R49" s="190">
        <f t="shared" si="24"/>
        <v>20155616</v>
      </c>
      <c r="S49" s="195">
        <f t="shared" si="25"/>
        <v>17576000</v>
      </c>
      <c r="T49" s="190">
        <f t="shared" si="26"/>
        <v>18441280</v>
      </c>
      <c r="U49" s="195">
        <f t="shared" si="27"/>
        <v>8268832</v>
      </c>
      <c r="V49" s="190">
        <f t="shared" si="28"/>
        <v>8258016</v>
      </c>
    </row>
    <row r="50" spans="2:22">
      <c r="B50" s="330"/>
      <c r="C50" s="314"/>
      <c r="D50" s="313"/>
      <c r="E50" s="295"/>
      <c r="F50" s="191">
        <f t="shared" ref="F50:I50" si="29">SUM(F40:F49)</f>
        <v>48656</v>
      </c>
      <c r="G50" s="191">
        <f t="shared" si="29"/>
        <v>53427</v>
      </c>
      <c r="H50" s="191">
        <f t="shared" si="29"/>
        <v>48763</v>
      </c>
      <c r="I50" s="191">
        <f t="shared" si="29"/>
        <v>0</v>
      </c>
      <c r="J50" s="320">
        <f>SUM(J40:J49)</f>
        <v>50500</v>
      </c>
      <c r="K50" s="321">
        <f>SUM(K40:K49)</f>
        <v>56707</v>
      </c>
      <c r="L50" s="320">
        <f t="shared" ref="L50:N50" si="30">SUM(L40:L49)</f>
        <v>54100</v>
      </c>
      <c r="M50" s="321">
        <f>SUM(M40:M49)</f>
        <v>66086</v>
      </c>
      <c r="N50" s="320">
        <f t="shared" si="30"/>
        <v>46853</v>
      </c>
      <c r="O50" s="321">
        <f>SUM(O40:O49)</f>
        <v>48852</v>
      </c>
      <c r="P50" s="322"/>
      <c r="Q50" s="320">
        <f>SUM(Q40:Q49)</f>
        <v>189885760</v>
      </c>
      <c r="R50" s="321">
        <f t="shared" ref="R50:V50" si="31">SUM(R40:R49)</f>
        <v>213208525</v>
      </c>
      <c r="S50" s="320">
        <f t="shared" si="31"/>
        <v>204095440</v>
      </c>
      <c r="T50" s="321">
        <f t="shared" si="31"/>
        <v>243694178</v>
      </c>
      <c r="U50" s="320">
        <f t="shared" si="31"/>
        <v>183245847</v>
      </c>
      <c r="V50" s="321">
        <f t="shared" si="31"/>
        <v>191898246</v>
      </c>
    </row>
    <row r="51" spans="2:22">
      <c r="B51" s="184"/>
      <c r="C51" s="292"/>
      <c r="D51" s="291"/>
      <c r="E51" s="194"/>
      <c r="F51" s="200"/>
      <c r="G51" s="200"/>
      <c r="H51" s="200"/>
      <c r="I51" s="200"/>
      <c r="J51" s="194"/>
      <c r="K51" s="193"/>
      <c r="L51" s="194"/>
      <c r="M51" s="193"/>
      <c r="N51" s="194"/>
      <c r="O51" s="193"/>
      <c r="P51" s="189"/>
      <c r="Q51" s="194"/>
      <c r="R51" s="194"/>
      <c r="S51" s="194"/>
      <c r="T51" s="194"/>
      <c r="U51" s="194"/>
      <c r="V51" s="194"/>
    </row>
    <row r="52" spans="2:22">
      <c r="B52" s="331" t="s">
        <v>1275</v>
      </c>
      <c r="C52" s="315" t="s">
        <v>1246</v>
      </c>
      <c r="D52" s="316" t="s">
        <v>1276</v>
      </c>
      <c r="E52" s="190">
        <v>1667</v>
      </c>
      <c r="F52" s="190">
        <v>9743</v>
      </c>
      <c r="G52" s="190">
        <v>9795</v>
      </c>
      <c r="H52" s="190">
        <v>9830</v>
      </c>
      <c r="I52" s="190"/>
      <c r="J52" s="190">
        <v>10700</v>
      </c>
      <c r="K52" s="241">
        <v>12700</v>
      </c>
      <c r="L52" s="195">
        <v>11000</v>
      </c>
      <c r="M52" s="241">
        <v>12300</v>
      </c>
      <c r="N52" s="195">
        <v>11500</v>
      </c>
      <c r="O52" s="241">
        <v>13598</v>
      </c>
      <c r="P52" s="189"/>
      <c r="Q52" s="190">
        <f t="shared" ref="Q52:T54" si="32">J52*$E52</f>
        <v>17836900</v>
      </c>
      <c r="R52" s="190">
        <f t="shared" si="32"/>
        <v>21170900</v>
      </c>
      <c r="S52" s="195">
        <f t="shared" si="32"/>
        <v>18337000</v>
      </c>
      <c r="T52" s="190">
        <f t="shared" si="32"/>
        <v>20504100</v>
      </c>
      <c r="U52" s="195">
        <f t="shared" ref="U52:U54" si="33">N52*$E52</f>
        <v>19170500</v>
      </c>
      <c r="V52" s="190">
        <f>O52*$E52</f>
        <v>22667866</v>
      </c>
    </row>
    <row r="53" spans="2:22" ht="19.5" customHeight="1">
      <c r="B53" s="332"/>
      <c r="C53" s="315"/>
      <c r="D53" s="317" t="s">
        <v>1277</v>
      </c>
      <c r="E53" s="190">
        <v>1667</v>
      </c>
      <c r="F53" s="198">
        <v>4</v>
      </c>
      <c r="G53" s="198">
        <v>0</v>
      </c>
      <c r="H53" s="198">
        <v>368</v>
      </c>
      <c r="I53" s="198"/>
      <c r="J53" s="190">
        <v>700</v>
      </c>
      <c r="K53" s="202">
        <v>840</v>
      </c>
      <c r="L53" s="195">
        <v>700</v>
      </c>
      <c r="M53" s="202">
        <v>1000</v>
      </c>
      <c r="N53" s="195"/>
      <c r="O53" s="202">
        <v>0</v>
      </c>
      <c r="P53" s="189"/>
      <c r="Q53" s="190">
        <f t="shared" si="32"/>
        <v>1166900</v>
      </c>
      <c r="R53" s="190">
        <f t="shared" si="32"/>
        <v>1400280</v>
      </c>
      <c r="S53" s="195">
        <f t="shared" si="32"/>
        <v>1166900</v>
      </c>
      <c r="T53" s="190">
        <f t="shared" si="32"/>
        <v>1667000</v>
      </c>
      <c r="U53" s="195">
        <f t="shared" si="33"/>
        <v>0</v>
      </c>
      <c r="V53" s="190">
        <f>O53*$E53</f>
        <v>0</v>
      </c>
    </row>
    <row r="54" spans="2:22">
      <c r="B54" s="332"/>
      <c r="C54" s="315" t="s">
        <v>1158</v>
      </c>
      <c r="D54" s="310" t="str">
        <f>C54</f>
        <v>Ashok Leyland</v>
      </c>
      <c r="E54" s="190">
        <v>2600</v>
      </c>
      <c r="F54" s="190">
        <v>350</v>
      </c>
      <c r="G54" s="190">
        <v>500</v>
      </c>
      <c r="H54" s="190">
        <v>500</v>
      </c>
      <c r="I54" s="190"/>
      <c r="J54" s="190">
        <v>350</v>
      </c>
      <c r="K54" s="241">
        <v>350</v>
      </c>
      <c r="L54" s="195">
        <v>350</v>
      </c>
      <c r="M54" s="241">
        <v>350</v>
      </c>
      <c r="N54" s="195">
        <v>350</v>
      </c>
      <c r="O54" s="241">
        <v>350</v>
      </c>
      <c r="P54" s="189"/>
      <c r="Q54" s="190">
        <f t="shared" si="32"/>
        <v>910000</v>
      </c>
      <c r="R54" s="190">
        <f t="shared" si="32"/>
        <v>910000</v>
      </c>
      <c r="S54" s="195">
        <f t="shared" si="32"/>
        <v>910000</v>
      </c>
      <c r="T54" s="190">
        <f t="shared" si="32"/>
        <v>910000</v>
      </c>
      <c r="U54" s="195">
        <f t="shared" si="33"/>
        <v>910000</v>
      </c>
      <c r="V54" s="190">
        <f>O54*$E54</f>
        <v>910000</v>
      </c>
    </row>
    <row r="55" spans="2:22">
      <c r="B55" s="332"/>
      <c r="C55" s="318" t="s">
        <v>1357</v>
      </c>
      <c r="D55" s="319"/>
      <c r="E55" s="294"/>
      <c r="F55" s="191">
        <f t="shared" ref="F55:I55" si="34">SUM(F52:F54)</f>
        <v>10097</v>
      </c>
      <c r="G55" s="191">
        <f t="shared" si="34"/>
        <v>10295</v>
      </c>
      <c r="H55" s="191">
        <f t="shared" si="34"/>
        <v>10698</v>
      </c>
      <c r="I55" s="191">
        <f t="shared" si="34"/>
        <v>0</v>
      </c>
      <c r="J55" s="320">
        <f>SUM(J52:J54)</f>
        <v>11750</v>
      </c>
      <c r="K55" s="321">
        <f>SUM(K52:K54)</f>
        <v>13890</v>
      </c>
      <c r="L55" s="320">
        <f t="shared" ref="L55" si="35">SUM(L52:L54)</f>
        <v>12050</v>
      </c>
      <c r="M55" s="321">
        <f t="shared" ref="M55" si="36">SUM(M52:M54)</f>
        <v>13650</v>
      </c>
      <c r="N55" s="320">
        <f t="shared" ref="N55" si="37">SUM(N52:N54)</f>
        <v>11850</v>
      </c>
      <c r="O55" s="321">
        <f>SUM(O52:O54)</f>
        <v>13948</v>
      </c>
      <c r="P55" s="322"/>
      <c r="Q55" s="320">
        <f>SUM(Q52:Q54)</f>
        <v>19913800</v>
      </c>
      <c r="R55" s="321">
        <f t="shared" ref="R55:V55" si="38">SUM(R52:R54)</f>
        <v>23481180</v>
      </c>
      <c r="S55" s="320">
        <f t="shared" si="38"/>
        <v>20413900</v>
      </c>
      <c r="T55" s="321">
        <f t="shared" si="38"/>
        <v>23081100</v>
      </c>
      <c r="U55" s="320">
        <f t="shared" si="38"/>
        <v>20080500</v>
      </c>
      <c r="V55" s="321">
        <f t="shared" si="38"/>
        <v>23577866</v>
      </c>
    </row>
  </sheetData>
  <mergeCells count="8">
    <mergeCell ref="B31:B38"/>
    <mergeCell ref="B40:B50"/>
    <mergeCell ref="B52:B55"/>
    <mergeCell ref="F23:F24"/>
    <mergeCell ref="G23:G24"/>
    <mergeCell ref="H23:H24"/>
    <mergeCell ref="B5:B9"/>
    <mergeCell ref="B11:B29"/>
  </mergeCells>
  <conditionalFormatting sqref="L5 N5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6 N16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7 N17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 N19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 N20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2 N22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3 N23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5 N25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7 N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8 N28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3 N33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4 N34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6 N36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1 N41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2 N42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5 N45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9 N49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6 L6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7 L7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 L8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1 L11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2 L12"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3 L13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4 L14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 L15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8 L1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1 L21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4 L24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6 L26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1 L31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2 L32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5 L35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7 L37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0 L40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3 L43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4 L44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6 L46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7 L47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8 L4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2 L52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3 L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4 L54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1 M31 K31"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:S8 U6:U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:S15 U11:U15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6 U16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7 U17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 U19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0 U20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2 U22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3 U23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5 U25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6 U2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7 U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2 U32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3 U33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5 U3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6 U3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7 U3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1 U4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2 U4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4 U44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7 U4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8 U4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2 U5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3 U5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 S5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1 S21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4 S24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8 S2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1 S3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4 S34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0 S4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3 S4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5 S4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6 S4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9 S4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4 S5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3CC4-8CA7-4743-B3D6-0655FFCC941F}">
  <dimension ref="A1"/>
  <sheetViews>
    <sheetView showGridLines="0" zoomScale="70" zoomScaleNormal="70" workbookViewId="0">
      <selection activeCell="N17" sqref="N17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0ACD-6026-4705-8F62-5375FC356553}">
  <dimension ref="A1:G59"/>
  <sheetViews>
    <sheetView topLeftCell="A13" workbookViewId="0">
      <selection activeCell="C21" sqref="C21:C46"/>
    </sheetView>
  </sheetViews>
  <sheetFormatPr defaultRowHeight="11.5"/>
  <cols>
    <col min="1" max="1" width="8.7265625" style="248"/>
    <col min="2" max="2" width="15.453125" style="248" bestFit="1" customWidth="1"/>
    <col min="3" max="3" width="15.90625" style="248" bestFit="1" customWidth="1"/>
    <col min="4" max="7" width="9.1796875" style="248" bestFit="1" customWidth="1"/>
    <col min="8" max="16384" width="8.7265625" style="248"/>
  </cols>
  <sheetData>
    <row r="1" spans="1:7" ht="12" thickBot="1"/>
    <row r="2" spans="1:7" ht="23.5" thickBot="1">
      <c r="A2" s="249" t="s">
        <v>302</v>
      </c>
      <c r="B2" s="250" t="s">
        <v>303</v>
      </c>
      <c r="C2" s="250" t="s">
        <v>293</v>
      </c>
      <c r="D2" s="251" t="s">
        <v>1319</v>
      </c>
      <c r="E2" s="251" t="s">
        <v>1318</v>
      </c>
      <c r="F2" s="251" t="s">
        <v>1317</v>
      </c>
      <c r="G2" s="252" t="s">
        <v>1298</v>
      </c>
    </row>
    <row r="3" spans="1:7">
      <c r="A3" s="253" t="s">
        <v>320</v>
      </c>
      <c r="B3" s="254" t="s">
        <v>1320</v>
      </c>
      <c r="C3" s="255" t="s">
        <v>323</v>
      </c>
      <c r="D3" s="255">
        <v>2075</v>
      </c>
      <c r="E3" s="256">
        <v>1955</v>
      </c>
      <c r="F3" s="256">
        <v>3495</v>
      </c>
      <c r="G3" s="257">
        <v>2784</v>
      </c>
    </row>
    <row r="4" spans="1:7">
      <c r="A4" s="258" t="s">
        <v>320</v>
      </c>
      <c r="B4" s="259" t="s">
        <v>1320</v>
      </c>
      <c r="C4" s="260" t="s">
        <v>403</v>
      </c>
      <c r="D4" s="260">
        <v>1422</v>
      </c>
      <c r="E4" s="261">
        <v>8400</v>
      </c>
      <c r="F4" s="261">
        <v>7000</v>
      </c>
      <c r="G4" s="262">
        <v>11200</v>
      </c>
    </row>
    <row r="5" spans="1:7">
      <c r="A5" s="258" t="s">
        <v>320</v>
      </c>
      <c r="B5" s="259" t="s">
        <v>1321</v>
      </c>
      <c r="C5" s="260" t="s">
        <v>411</v>
      </c>
      <c r="D5" s="260">
        <v>38</v>
      </c>
      <c r="E5" s="261">
        <v>9600</v>
      </c>
      <c r="F5" s="261">
        <v>9600</v>
      </c>
      <c r="G5" s="262">
        <v>11880</v>
      </c>
    </row>
    <row r="6" spans="1:7">
      <c r="A6" s="258" t="s">
        <v>320</v>
      </c>
      <c r="B6" s="259" t="s">
        <v>1320</v>
      </c>
      <c r="C6" s="263" t="s">
        <v>344</v>
      </c>
      <c r="D6" s="263">
        <v>2511</v>
      </c>
      <c r="E6" s="264">
        <v>2748</v>
      </c>
      <c r="F6" s="264">
        <v>3840</v>
      </c>
      <c r="G6" s="265">
        <v>3813</v>
      </c>
    </row>
    <row r="7" spans="1:7">
      <c r="A7" s="258" t="s">
        <v>320</v>
      </c>
      <c r="B7" s="259" t="s">
        <v>1320</v>
      </c>
      <c r="C7" s="260" t="s">
        <v>1266</v>
      </c>
      <c r="D7" s="260">
        <v>25</v>
      </c>
      <c r="E7" s="261">
        <v>237</v>
      </c>
      <c r="F7" s="261">
        <v>297</v>
      </c>
      <c r="G7" s="262">
        <v>289</v>
      </c>
    </row>
    <row r="8" spans="1:7">
      <c r="A8" s="258" t="s">
        <v>320</v>
      </c>
      <c r="B8" s="259" t="s">
        <v>1320</v>
      </c>
      <c r="C8" s="260" t="s">
        <v>362</v>
      </c>
      <c r="D8" s="260">
        <v>3002</v>
      </c>
      <c r="E8" s="261">
        <v>2052</v>
      </c>
      <c r="F8" s="261">
        <v>4492</v>
      </c>
      <c r="G8" s="262">
        <v>5575</v>
      </c>
    </row>
    <row r="9" spans="1:7">
      <c r="A9" s="266" t="s">
        <v>320</v>
      </c>
      <c r="B9" s="267" t="s">
        <v>1320</v>
      </c>
      <c r="C9" s="268" t="s">
        <v>387</v>
      </c>
      <c r="D9" s="268">
        <v>2685</v>
      </c>
      <c r="E9" s="269">
        <v>2763</v>
      </c>
      <c r="F9" s="269">
        <v>4718</v>
      </c>
      <c r="G9" s="270">
        <v>4036</v>
      </c>
    </row>
    <row r="10" spans="1:7" ht="12" thickBot="1">
      <c r="A10" s="283"/>
      <c r="B10" s="284"/>
      <c r="C10" s="285"/>
      <c r="D10" s="285"/>
      <c r="E10" s="286"/>
      <c r="F10" s="286"/>
      <c r="G10" s="287"/>
    </row>
    <row r="11" spans="1:7">
      <c r="A11" s="271" t="s">
        <v>1322</v>
      </c>
      <c r="B11" s="272" t="s">
        <v>1105</v>
      </c>
      <c r="C11" s="273" t="s">
        <v>1105</v>
      </c>
      <c r="D11" s="273">
        <v>4417</v>
      </c>
      <c r="E11" s="274">
        <v>1449</v>
      </c>
      <c r="F11" s="274">
        <v>2020</v>
      </c>
      <c r="G11" s="275">
        <v>1946</v>
      </c>
    </row>
    <row r="12" spans="1:7">
      <c r="A12" s="258" t="s">
        <v>1322</v>
      </c>
      <c r="B12" s="259" t="s">
        <v>1249</v>
      </c>
      <c r="C12" s="260" t="s">
        <v>1323</v>
      </c>
      <c r="D12" s="260">
        <v>7765.76</v>
      </c>
      <c r="E12" s="261">
        <v>1375</v>
      </c>
      <c r="F12" s="261">
        <v>1085</v>
      </c>
      <c r="G12" s="262">
        <v>1205</v>
      </c>
    </row>
    <row r="13" spans="1:7">
      <c r="A13" s="258" t="s">
        <v>1322</v>
      </c>
      <c r="B13" s="259" t="s">
        <v>1249</v>
      </c>
      <c r="C13" s="260" t="s">
        <v>1324</v>
      </c>
      <c r="D13" s="260">
        <v>15536</v>
      </c>
      <c r="E13" s="261">
        <v>664</v>
      </c>
      <c r="F13" s="261">
        <v>935</v>
      </c>
      <c r="G13" s="262">
        <v>795</v>
      </c>
    </row>
    <row r="14" spans="1:7">
      <c r="A14" s="258" t="s">
        <v>1322</v>
      </c>
      <c r="B14" s="259" t="s">
        <v>990</v>
      </c>
      <c r="C14" s="260" t="s">
        <v>1247</v>
      </c>
      <c r="D14" s="260">
        <v>2132</v>
      </c>
      <c r="E14" s="261">
        <v>4711</v>
      </c>
      <c r="F14" s="261">
        <v>5273</v>
      </c>
      <c r="G14" s="262">
        <v>6212</v>
      </c>
    </row>
    <row r="15" spans="1:7" ht="12" thickBot="1">
      <c r="A15" s="276" t="s">
        <v>1322</v>
      </c>
      <c r="B15" s="277" t="s">
        <v>990</v>
      </c>
      <c r="C15" s="278" t="s">
        <v>1248</v>
      </c>
      <c r="D15" s="278">
        <v>2132</v>
      </c>
      <c r="E15" s="279">
        <v>3964</v>
      </c>
      <c r="F15" s="279">
        <v>5004</v>
      </c>
      <c r="G15" s="280">
        <v>5464</v>
      </c>
    </row>
    <row r="16" spans="1:7">
      <c r="A16" s="283"/>
      <c r="B16" s="284"/>
      <c r="C16" s="285"/>
      <c r="D16" s="285"/>
      <c r="E16" s="286">
        <f>SUM(E14:E15)</f>
        <v>8675</v>
      </c>
      <c r="F16" s="286">
        <f t="shared" ref="F16:G16" si="0">SUM(F14:F15)</f>
        <v>10277</v>
      </c>
      <c r="G16" s="286">
        <f t="shared" si="0"/>
        <v>11676</v>
      </c>
    </row>
    <row r="17" spans="1:7">
      <c r="A17" s="283"/>
      <c r="B17" s="284"/>
      <c r="C17" s="285"/>
      <c r="D17" s="285"/>
      <c r="E17" s="286"/>
      <c r="F17" s="286"/>
      <c r="G17" s="287"/>
    </row>
    <row r="18" spans="1:7">
      <c r="A18" s="253" t="s">
        <v>1325</v>
      </c>
      <c r="B18" s="254" t="s">
        <v>990</v>
      </c>
      <c r="C18" s="255" t="s">
        <v>1326</v>
      </c>
      <c r="D18" s="255">
        <v>1667</v>
      </c>
      <c r="E18" s="256">
        <v>9743</v>
      </c>
      <c r="F18" s="256">
        <v>9795</v>
      </c>
      <c r="G18" s="257">
        <v>9830</v>
      </c>
    </row>
    <row r="19" spans="1:7">
      <c r="A19" s="258" t="s">
        <v>1325</v>
      </c>
      <c r="B19" s="259" t="s">
        <v>990</v>
      </c>
      <c r="C19" s="260" t="s">
        <v>1327</v>
      </c>
      <c r="D19" s="260">
        <v>1667</v>
      </c>
      <c r="E19" s="261">
        <v>4</v>
      </c>
      <c r="F19" s="261">
        <v>0</v>
      </c>
      <c r="G19" s="262">
        <v>368</v>
      </c>
    </row>
    <row r="20" spans="1:7" ht="12" thickBot="1">
      <c r="A20" s="266" t="s">
        <v>1325</v>
      </c>
      <c r="B20" s="267" t="s">
        <v>1328</v>
      </c>
      <c r="C20" s="268" t="s">
        <v>1329</v>
      </c>
      <c r="D20" s="268">
        <v>2600</v>
      </c>
      <c r="E20" s="269">
        <v>350</v>
      </c>
      <c r="F20" s="269">
        <v>500</v>
      </c>
      <c r="G20" s="270">
        <v>500</v>
      </c>
    </row>
    <row r="21" spans="1:7">
      <c r="A21" s="271" t="s">
        <v>521</v>
      </c>
      <c r="B21" s="272" t="s">
        <v>544</v>
      </c>
      <c r="C21" s="273" t="s">
        <v>546</v>
      </c>
      <c r="D21" s="273">
        <v>3600</v>
      </c>
      <c r="E21" s="274">
        <v>4779</v>
      </c>
      <c r="F21" s="274">
        <v>4427</v>
      </c>
      <c r="G21" s="275">
        <v>4229</v>
      </c>
    </row>
    <row r="22" spans="1:7">
      <c r="A22" s="258" t="s">
        <v>521</v>
      </c>
      <c r="B22" s="259" t="s">
        <v>544</v>
      </c>
      <c r="C22" s="260" t="s">
        <v>593</v>
      </c>
      <c r="D22" s="260">
        <v>5562</v>
      </c>
      <c r="E22" s="261">
        <v>126</v>
      </c>
      <c r="F22" s="261">
        <v>130</v>
      </c>
      <c r="G22" s="262">
        <v>225</v>
      </c>
    </row>
    <row r="23" spans="1:7">
      <c r="A23" s="258" t="s">
        <v>521</v>
      </c>
      <c r="B23" s="259" t="s">
        <v>544</v>
      </c>
      <c r="C23" s="260" t="s">
        <v>680</v>
      </c>
      <c r="D23" s="260">
        <v>1775</v>
      </c>
      <c r="E23" s="261">
        <v>254</v>
      </c>
      <c r="F23" s="261">
        <v>385</v>
      </c>
      <c r="G23" s="262">
        <v>259</v>
      </c>
    </row>
    <row r="24" spans="1:7">
      <c r="A24" s="258" t="s">
        <v>521</v>
      </c>
      <c r="B24" s="259" t="s">
        <v>544</v>
      </c>
      <c r="C24" s="260" t="s">
        <v>1264</v>
      </c>
      <c r="D24" s="260">
        <v>2376</v>
      </c>
      <c r="E24" s="261">
        <v>550</v>
      </c>
      <c r="F24" s="261">
        <v>520</v>
      </c>
      <c r="G24" s="262">
        <v>520</v>
      </c>
    </row>
    <row r="25" spans="1:7">
      <c r="A25" s="258" t="s">
        <v>521</v>
      </c>
      <c r="B25" s="259" t="s">
        <v>312</v>
      </c>
      <c r="C25" s="260" t="s">
        <v>1330</v>
      </c>
      <c r="D25" s="260">
        <v>232.12</v>
      </c>
      <c r="E25" s="261">
        <v>2230</v>
      </c>
      <c r="F25" s="261">
        <v>1608</v>
      </c>
      <c r="G25" s="262">
        <v>2464</v>
      </c>
    </row>
    <row r="26" spans="1:7">
      <c r="A26" s="258" t="s">
        <v>521</v>
      </c>
      <c r="B26" s="259" t="s">
        <v>312</v>
      </c>
      <c r="C26" s="260" t="s">
        <v>1331</v>
      </c>
      <c r="D26" s="260">
        <v>747</v>
      </c>
      <c r="E26" s="261">
        <v>960</v>
      </c>
      <c r="F26" s="261">
        <v>1040</v>
      </c>
      <c r="G26" s="262">
        <v>1060</v>
      </c>
    </row>
    <row r="27" spans="1:7">
      <c r="A27" s="258" t="s">
        <v>521</v>
      </c>
      <c r="B27" s="259" t="s">
        <v>312</v>
      </c>
      <c r="C27" s="260" t="s">
        <v>815</v>
      </c>
      <c r="D27" s="260">
        <v>994</v>
      </c>
      <c r="E27" s="261">
        <v>24</v>
      </c>
      <c r="F27" s="261">
        <v>20</v>
      </c>
      <c r="G27" s="262">
        <v>30</v>
      </c>
    </row>
    <row r="28" spans="1:7">
      <c r="A28" s="258" t="s">
        <v>521</v>
      </c>
      <c r="B28" s="259" t="s">
        <v>312</v>
      </c>
      <c r="C28" s="260" t="s">
        <v>1332</v>
      </c>
      <c r="D28" s="260">
        <v>501</v>
      </c>
      <c r="E28" s="261">
        <v>75</v>
      </c>
      <c r="F28" s="261">
        <v>70</v>
      </c>
      <c r="G28" s="262">
        <v>70</v>
      </c>
    </row>
    <row r="29" spans="1:7">
      <c r="A29" s="258" t="s">
        <v>521</v>
      </c>
      <c r="B29" s="259" t="s">
        <v>312</v>
      </c>
      <c r="C29" s="260" t="s">
        <v>849</v>
      </c>
      <c r="D29" s="260">
        <v>560</v>
      </c>
      <c r="E29" s="261">
        <v>28</v>
      </c>
      <c r="F29" s="261">
        <v>30</v>
      </c>
      <c r="G29" s="262">
        <v>40</v>
      </c>
    </row>
    <row r="30" spans="1:7">
      <c r="A30" s="258" t="s">
        <v>521</v>
      </c>
      <c r="B30" s="259" t="s">
        <v>312</v>
      </c>
      <c r="C30" s="260" t="s">
        <v>1333</v>
      </c>
      <c r="D30" s="260">
        <v>309.60000000000002</v>
      </c>
      <c r="E30" s="261">
        <v>4600</v>
      </c>
      <c r="F30" s="261">
        <v>3720</v>
      </c>
      <c r="G30" s="262">
        <v>4920</v>
      </c>
    </row>
    <row r="31" spans="1:7">
      <c r="A31" s="258" t="s">
        <v>521</v>
      </c>
      <c r="B31" s="259" t="s">
        <v>312</v>
      </c>
      <c r="C31" s="260" t="s">
        <v>1334</v>
      </c>
      <c r="D31" s="260">
        <v>1075.08</v>
      </c>
      <c r="E31" s="261">
        <v>930</v>
      </c>
      <c r="F31" s="261">
        <v>880</v>
      </c>
      <c r="G31" s="262">
        <v>720</v>
      </c>
    </row>
    <row r="32" spans="1:7">
      <c r="A32" s="258" t="s">
        <v>521</v>
      </c>
      <c r="B32" s="259" t="s">
        <v>312</v>
      </c>
      <c r="C32" s="260" t="s">
        <v>1335</v>
      </c>
      <c r="D32" s="260">
        <v>969.48</v>
      </c>
      <c r="E32" s="261">
        <v>987</v>
      </c>
      <c r="F32" s="261">
        <v>1050</v>
      </c>
      <c r="G32" s="262">
        <v>1365</v>
      </c>
    </row>
    <row r="33" spans="1:7">
      <c r="A33" s="258" t="s">
        <v>521</v>
      </c>
      <c r="B33" s="259" t="s">
        <v>312</v>
      </c>
      <c r="C33" s="260" t="s">
        <v>1336</v>
      </c>
      <c r="D33" s="260">
        <v>81.77</v>
      </c>
      <c r="E33" s="261">
        <v>1156</v>
      </c>
      <c r="F33" s="261">
        <v>1200</v>
      </c>
      <c r="G33" s="262">
        <v>400</v>
      </c>
    </row>
    <row r="34" spans="1:7">
      <c r="A34" s="258" t="s">
        <v>521</v>
      </c>
      <c r="B34" s="259" t="s">
        <v>312</v>
      </c>
      <c r="C34" s="260" t="s">
        <v>833</v>
      </c>
      <c r="D34" s="260">
        <v>1250.3499999999999</v>
      </c>
      <c r="E34" s="261">
        <v>298</v>
      </c>
      <c r="F34" s="261">
        <v>310</v>
      </c>
      <c r="G34" s="262">
        <v>420</v>
      </c>
    </row>
    <row r="35" spans="1:7">
      <c r="A35" s="258" t="s">
        <v>521</v>
      </c>
      <c r="B35" s="259" t="s">
        <v>312</v>
      </c>
      <c r="C35" s="260" t="s">
        <v>1254</v>
      </c>
      <c r="D35" s="260">
        <v>60.59</v>
      </c>
      <c r="E35" s="261">
        <v>1800</v>
      </c>
      <c r="F35" s="261">
        <v>2400</v>
      </c>
      <c r="G35" s="262">
        <v>3490</v>
      </c>
    </row>
    <row r="36" spans="1:7">
      <c r="A36" s="258" t="s">
        <v>521</v>
      </c>
      <c r="B36" s="259" t="s">
        <v>312</v>
      </c>
      <c r="C36" s="260" t="s">
        <v>780</v>
      </c>
      <c r="D36" s="260">
        <v>835.04</v>
      </c>
      <c r="E36" s="261">
        <v>879</v>
      </c>
      <c r="F36" s="261">
        <v>960</v>
      </c>
      <c r="G36" s="262">
        <v>880</v>
      </c>
    </row>
    <row r="37" spans="1:7">
      <c r="A37" s="258" t="s">
        <v>521</v>
      </c>
      <c r="B37" s="259" t="s">
        <v>312</v>
      </c>
      <c r="C37" s="260" t="s">
        <v>906</v>
      </c>
      <c r="D37" s="260">
        <v>1012.61</v>
      </c>
      <c r="E37" s="261">
        <v>167</v>
      </c>
      <c r="F37" s="261">
        <v>170</v>
      </c>
      <c r="G37" s="262">
        <v>100</v>
      </c>
    </row>
    <row r="38" spans="1:7">
      <c r="A38" s="258" t="s">
        <v>521</v>
      </c>
      <c r="B38" s="259" t="s">
        <v>312</v>
      </c>
      <c r="C38" s="260" t="s">
        <v>1257</v>
      </c>
      <c r="D38" s="260">
        <v>28</v>
      </c>
      <c r="E38" s="261">
        <v>28840</v>
      </c>
      <c r="F38" s="261">
        <v>29030</v>
      </c>
      <c r="G38" s="262">
        <v>31420</v>
      </c>
    </row>
    <row r="39" spans="1:7">
      <c r="A39" s="258" t="s">
        <v>521</v>
      </c>
      <c r="B39" s="259" t="s">
        <v>312</v>
      </c>
      <c r="C39" s="260" t="s">
        <v>1337</v>
      </c>
      <c r="D39" s="260">
        <v>704.34</v>
      </c>
      <c r="E39" s="261">
        <v>89</v>
      </c>
      <c r="F39" s="261">
        <v>96</v>
      </c>
      <c r="G39" s="262">
        <v>80</v>
      </c>
    </row>
    <row r="40" spans="1:7">
      <c r="A40" s="258" t="s">
        <v>521</v>
      </c>
      <c r="B40" s="259" t="s">
        <v>312</v>
      </c>
      <c r="C40" s="260" t="s">
        <v>1338</v>
      </c>
      <c r="D40" s="260">
        <v>795.94</v>
      </c>
      <c r="E40" s="261">
        <v>24</v>
      </c>
      <c r="F40" s="261">
        <v>25</v>
      </c>
      <c r="G40" s="262">
        <v>20</v>
      </c>
    </row>
    <row r="41" spans="1:7">
      <c r="A41" s="258" t="s">
        <v>521</v>
      </c>
      <c r="B41" s="259" t="s">
        <v>312</v>
      </c>
      <c r="C41" s="260" t="s">
        <v>1339</v>
      </c>
      <c r="D41" s="260">
        <v>1385.74</v>
      </c>
      <c r="E41" s="261">
        <v>11405</v>
      </c>
      <c r="F41" s="261">
        <v>10232</v>
      </c>
      <c r="G41" s="262">
        <v>13245</v>
      </c>
    </row>
    <row r="42" spans="1:7">
      <c r="A42" s="258" t="s">
        <v>521</v>
      </c>
      <c r="B42" s="259" t="s">
        <v>312</v>
      </c>
      <c r="C42" s="260" t="s">
        <v>1340</v>
      </c>
      <c r="D42" s="260">
        <v>203.31</v>
      </c>
      <c r="E42" s="261">
        <v>8</v>
      </c>
      <c r="F42" s="261">
        <v>104</v>
      </c>
      <c r="G42" s="262">
        <v>130</v>
      </c>
    </row>
    <row r="43" spans="1:7">
      <c r="A43" s="258" t="s">
        <v>521</v>
      </c>
      <c r="B43" s="259" t="s">
        <v>312</v>
      </c>
      <c r="C43" s="260" t="s">
        <v>734</v>
      </c>
      <c r="D43" s="260">
        <v>251</v>
      </c>
      <c r="E43" s="261">
        <v>17528</v>
      </c>
      <c r="F43" s="261">
        <v>10637</v>
      </c>
      <c r="G43" s="262">
        <v>14253</v>
      </c>
    </row>
    <row r="44" spans="1:7">
      <c r="A44" s="258" t="s">
        <v>521</v>
      </c>
      <c r="B44" s="259" t="s">
        <v>312</v>
      </c>
      <c r="C44" s="260" t="s">
        <v>1341</v>
      </c>
      <c r="D44" s="260">
        <v>747</v>
      </c>
      <c r="E44" s="261">
        <v>11132</v>
      </c>
      <c r="F44" s="261">
        <v>8282</v>
      </c>
      <c r="G44" s="262">
        <v>7929</v>
      </c>
    </row>
    <row r="45" spans="1:7">
      <c r="A45" s="258" t="s">
        <v>521</v>
      </c>
      <c r="B45" s="259" t="s">
        <v>312</v>
      </c>
      <c r="C45" s="260" t="s">
        <v>1251</v>
      </c>
      <c r="D45" s="260">
        <v>55</v>
      </c>
      <c r="E45" s="261">
        <v>5760</v>
      </c>
      <c r="F45" s="261">
        <v>4562</v>
      </c>
      <c r="G45" s="262">
        <v>6723</v>
      </c>
    </row>
    <row r="46" spans="1:7" ht="23.5" thickBot="1">
      <c r="A46" s="276" t="s">
        <v>521</v>
      </c>
      <c r="B46" s="277" t="s">
        <v>1320</v>
      </c>
      <c r="C46" s="281" t="s">
        <v>1342</v>
      </c>
      <c r="D46" s="278">
        <v>2280</v>
      </c>
      <c r="E46" s="279">
        <v>4592</v>
      </c>
      <c r="F46" s="279">
        <v>5444</v>
      </c>
      <c r="G46" s="280">
        <v>5669</v>
      </c>
    </row>
    <row r="47" spans="1:7">
      <c r="A47" s="253" t="s">
        <v>1343</v>
      </c>
      <c r="B47" s="254" t="s">
        <v>990</v>
      </c>
      <c r="C47" s="255" t="s">
        <v>1344</v>
      </c>
      <c r="D47" s="255">
        <v>7108.8</v>
      </c>
      <c r="E47" s="256">
        <v>1518</v>
      </c>
      <c r="F47" s="256">
        <v>1580</v>
      </c>
      <c r="G47" s="257">
        <f>1764+48</f>
        <v>1812</v>
      </c>
    </row>
    <row r="48" spans="1:7">
      <c r="A48" s="258" t="s">
        <v>1343</v>
      </c>
      <c r="B48" s="259" t="s">
        <v>990</v>
      </c>
      <c r="C48" s="260" t="s">
        <v>1345</v>
      </c>
      <c r="D48" s="260">
        <v>8429</v>
      </c>
      <c r="E48" s="261">
        <v>3657</v>
      </c>
      <c r="F48" s="261">
        <v>3522</v>
      </c>
      <c r="G48" s="262">
        <v>3550</v>
      </c>
    </row>
    <row r="49" spans="1:7">
      <c r="A49" s="258" t="s">
        <v>1343</v>
      </c>
      <c r="B49" s="259" t="s">
        <v>990</v>
      </c>
      <c r="C49" s="260" t="s">
        <v>1346</v>
      </c>
      <c r="D49" s="260">
        <v>3253</v>
      </c>
      <c r="E49" s="261">
        <v>750</v>
      </c>
      <c r="F49" s="261">
        <v>932</v>
      </c>
      <c r="G49" s="262">
        <v>987</v>
      </c>
    </row>
    <row r="50" spans="1:7">
      <c r="A50" s="258" t="s">
        <v>1343</v>
      </c>
      <c r="B50" s="259" t="s">
        <v>312</v>
      </c>
      <c r="C50" s="260" t="s">
        <v>1347</v>
      </c>
      <c r="D50" s="260">
        <v>557.14</v>
      </c>
      <c r="E50" s="261">
        <v>12403</v>
      </c>
      <c r="F50" s="261">
        <v>6523</v>
      </c>
      <c r="G50" s="262">
        <v>10313</v>
      </c>
    </row>
    <row r="51" spans="1:7">
      <c r="A51" s="258" t="s">
        <v>1343</v>
      </c>
      <c r="B51" s="259" t="s">
        <v>990</v>
      </c>
      <c r="C51" s="260" t="s">
        <v>1348</v>
      </c>
      <c r="D51" s="260">
        <v>4055</v>
      </c>
      <c r="E51" s="261">
        <v>4960</v>
      </c>
      <c r="F51" s="261">
        <v>5329</v>
      </c>
      <c r="G51" s="262">
        <v>5912</v>
      </c>
    </row>
    <row r="52" spans="1:7">
      <c r="A52" s="258" t="s">
        <v>1343</v>
      </c>
      <c r="B52" s="259" t="s">
        <v>990</v>
      </c>
      <c r="C52" s="260" t="s">
        <v>1349</v>
      </c>
      <c r="D52" s="260">
        <v>4755</v>
      </c>
      <c r="E52" s="261">
        <v>9999</v>
      </c>
      <c r="F52" s="261">
        <v>10303</v>
      </c>
      <c r="G52" s="262">
        <v>11106</v>
      </c>
    </row>
    <row r="53" spans="1:7">
      <c r="A53" s="258" t="s">
        <v>1343</v>
      </c>
      <c r="B53" s="259" t="s">
        <v>990</v>
      </c>
      <c r="C53" s="260" t="s">
        <v>1350</v>
      </c>
      <c r="D53" s="260">
        <v>2077</v>
      </c>
      <c r="E53" s="261">
        <v>15000</v>
      </c>
      <c r="F53" s="261">
        <v>14470</v>
      </c>
      <c r="G53" s="262">
        <v>13985</v>
      </c>
    </row>
    <row r="54" spans="1:7">
      <c r="A54" s="258" t="s">
        <v>1343</v>
      </c>
      <c r="B54" s="259" t="s">
        <v>990</v>
      </c>
      <c r="C54" s="260" t="s">
        <v>1351</v>
      </c>
      <c r="D54" s="260">
        <v>2840</v>
      </c>
      <c r="E54" s="261">
        <v>2091</v>
      </c>
      <c r="F54" s="261">
        <v>2314</v>
      </c>
      <c r="G54" s="262">
        <v>1907</v>
      </c>
    </row>
    <row r="55" spans="1:7">
      <c r="A55" s="258" t="s">
        <v>1343</v>
      </c>
      <c r="B55" s="259" t="s">
        <v>309</v>
      </c>
      <c r="C55" s="260" t="s">
        <v>1352</v>
      </c>
      <c r="D55" s="260">
        <v>3021</v>
      </c>
      <c r="E55" s="261">
        <v>5210</v>
      </c>
      <c r="F55" s="261">
        <v>7834</v>
      </c>
      <c r="G55" s="262">
        <v>4627</v>
      </c>
    </row>
    <row r="56" spans="1:7">
      <c r="A56" s="258" t="s">
        <v>1343</v>
      </c>
      <c r="B56" s="259" t="s">
        <v>309</v>
      </c>
      <c r="C56" s="260" t="s">
        <v>1353</v>
      </c>
      <c r="D56" s="260">
        <v>2704</v>
      </c>
      <c r="E56" s="261">
        <v>5078</v>
      </c>
      <c r="F56" s="261">
        <v>6870</v>
      </c>
      <c r="G56" s="262">
        <v>4632</v>
      </c>
    </row>
    <row r="57" spans="1:7">
      <c r="A57" s="258" t="s">
        <v>1343</v>
      </c>
      <c r="B57" s="259" t="s">
        <v>990</v>
      </c>
      <c r="C57" s="282" t="s">
        <v>1354</v>
      </c>
      <c r="D57" s="260">
        <v>4426</v>
      </c>
      <c r="E57" s="261">
        <v>393</v>
      </c>
      <c r="F57" s="261">
        <v>273</v>
      </c>
      <c r="G57" s="262">
        <v>245</v>
      </c>
    </row>
    <row r="58" spans="1:7">
      <c r="A58" s="258" t="s">
        <v>1343</v>
      </c>
      <c r="B58" s="259" t="s">
        <v>312</v>
      </c>
      <c r="C58" s="282" t="s">
        <v>1355</v>
      </c>
      <c r="D58" s="260">
        <v>997</v>
      </c>
      <c r="E58" s="261"/>
      <c r="F58" s="261"/>
      <c r="G58" s="262">
        <v>775</v>
      </c>
    </row>
    <row r="59" spans="1:7" ht="12" thickBot="1">
      <c r="A59" s="276" t="s">
        <v>1343</v>
      </c>
      <c r="B59" s="277" t="s">
        <v>310</v>
      </c>
      <c r="C59" s="278" t="s">
        <v>1356</v>
      </c>
      <c r="D59" s="278">
        <v>2047</v>
      </c>
      <c r="E59" s="279">
        <v>9030</v>
      </c>
      <c r="F59" s="279">
        <v>5431</v>
      </c>
      <c r="G59" s="280">
        <v>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2D02-210C-4385-9FA1-F2D3893FD4ED}">
  <sheetPr filterMode="1">
    <pageSetUpPr fitToPage="1"/>
  </sheetPr>
  <dimension ref="A1:W238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L123" sqref="L123"/>
    </sheetView>
  </sheetViews>
  <sheetFormatPr defaultColWidth="9.1796875" defaultRowHeight="14.5"/>
  <cols>
    <col min="1" max="1" width="5.54296875" bestFit="1" customWidth="1"/>
    <col min="2" max="2" width="6.1796875" bestFit="1" customWidth="1"/>
    <col min="4" max="4" width="12.1796875" customWidth="1"/>
    <col min="5" max="5" width="17" style="3" customWidth="1"/>
    <col min="6" max="6" width="21.1796875" customWidth="1"/>
    <col min="7" max="7" width="12.81640625" bestFit="1" customWidth="1"/>
    <col min="8" max="8" width="3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519</v>
      </c>
      <c r="P1" s="8">
        <f t="shared" ref="P1:U1" si="0">SUBTOTAL(9,P4:P238)/100000</f>
        <v>377.19727580000034</v>
      </c>
      <c r="Q1" s="8">
        <f t="shared" si="0"/>
        <v>329.66871290000012</v>
      </c>
      <c r="R1" s="8">
        <f t="shared" si="0"/>
        <v>346.13434119999982</v>
      </c>
      <c r="S1" s="8">
        <f t="shared" si="0"/>
        <v>321.40187490000011</v>
      </c>
      <c r="T1" s="8">
        <f t="shared" si="0"/>
        <v>371.47042000000005</v>
      </c>
      <c r="U1" s="8">
        <f t="shared" si="0"/>
        <v>257.85263720000017</v>
      </c>
    </row>
    <row r="2" spans="1:21" ht="16" thickBot="1">
      <c r="J2" s="333" t="s">
        <v>314</v>
      </c>
      <c r="K2" s="334"/>
      <c r="L2" s="334"/>
      <c r="M2" s="334"/>
      <c r="N2" s="334"/>
      <c r="O2" s="335"/>
      <c r="P2" s="336" t="s">
        <v>318</v>
      </c>
      <c r="Q2" s="337"/>
      <c r="R2" s="337"/>
      <c r="S2" s="337"/>
      <c r="T2" s="337"/>
      <c r="U2" s="338"/>
    </row>
    <row r="3" spans="1:21" ht="29.5" thickBot="1">
      <c r="A3" s="11" t="s">
        <v>520</v>
      </c>
      <c r="B3" s="12" t="s">
        <v>302</v>
      </c>
      <c r="C3" s="12" t="s">
        <v>303</v>
      </c>
      <c r="D3" s="12" t="s">
        <v>304</v>
      </c>
      <c r="E3" s="12" t="s">
        <v>293</v>
      </c>
      <c r="F3" s="13" t="s">
        <v>241</v>
      </c>
      <c r="G3" s="13" t="s">
        <v>242</v>
      </c>
      <c r="H3" s="13" t="s">
        <v>243</v>
      </c>
      <c r="I3" s="19" t="s">
        <v>315</v>
      </c>
      <c r="J3" s="106" t="s">
        <v>316</v>
      </c>
      <c r="K3" s="107" t="s">
        <v>317</v>
      </c>
      <c r="L3" s="16" t="s">
        <v>319</v>
      </c>
      <c r="M3" s="16" t="s">
        <v>1211</v>
      </c>
      <c r="N3" s="16" t="s">
        <v>1213</v>
      </c>
      <c r="O3" s="17" t="s">
        <v>1282</v>
      </c>
      <c r="P3" s="49" t="s">
        <v>316</v>
      </c>
      <c r="Q3" s="108" t="s">
        <v>317</v>
      </c>
      <c r="R3" s="108" t="s">
        <v>319</v>
      </c>
      <c r="S3" s="108" t="s">
        <v>1211</v>
      </c>
      <c r="T3" s="108" t="s">
        <v>1213</v>
      </c>
      <c r="U3" s="109" t="s">
        <v>1282</v>
      </c>
    </row>
    <row r="4" spans="1:21" hidden="1">
      <c r="A4" s="58">
        <v>1</v>
      </c>
      <c r="B4" s="58" t="s">
        <v>521</v>
      </c>
      <c r="C4" s="58" t="s">
        <v>522</v>
      </c>
      <c r="D4" s="20" t="s">
        <v>311</v>
      </c>
      <c r="E4" s="59" t="s">
        <v>523</v>
      </c>
      <c r="F4" s="104" t="s">
        <v>524</v>
      </c>
      <c r="G4" s="60">
        <v>914501008</v>
      </c>
      <c r="H4" s="61" t="s">
        <v>525</v>
      </c>
      <c r="I4" s="62">
        <v>204.57</v>
      </c>
      <c r="J4" s="114">
        <f>3730+1860</f>
        <v>5590</v>
      </c>
      <c r="K4" s="114">
        <f>3188+1668</f>
        <v>4856</v>
      </c>
      <c r="L4" s="114">
        <f>4920+2160</f>
        <v>7080</v>
      </c>
      <c r="M4" s="114"/>
      <c r="N4" s="114"/>
      <c r="O4" s="4"/>
      <c r="P4" s="2">
        <f>J4*I4</f>
        <v>1143546.3</v>
      </c>
      <c r="Q4" s="2">
        <f t="shared" ref="Q4:Q67" si="1">K4*I4</f>
        <v>993391.91999999993</v>
      </c>
      <c r="R4" s="2">
        <f t="shared" ref="R4:R67" si="2">L4*I4</f>
        <v>1448355.5999999999</v>
      </c>
      <c r="S4" s="2">
        <f t="shared" ref="S4:S67" si="3">M4*I4</f>
        <v>0</v>
      </c>
      <c r="T4" s="2">
        <f t="shared" ref="T4:T67" si="4">N4*I4</f>
        <v>0</v>
      </c>
      <c r="U4" s="2">
        <f t="shared" ref="U4:U67" si="5">O4*I4</f>
        <v>0</v>
      </c>
    </row>
    <row r="5" spans="1:21" hidden="1">
      <c r="A5" s="20">
        <v>2</v>
      </c>
      <c r="B5" s="58" t="s">
        <v>521</v>
      </c>
      <c r="C5" s="58" t="s">
        <v>522</v>
      </c>
      <c r="D5" s="20" t="s">
        <v>311</v>
      </c>
      <c r="E5" s="59" t="s">
        <v>523</v>
      </c>
      <c r="F5" s="104" t="s">
        <v>526</v>
      </c>
      <c r="G5" s="9">
        <v>914501009</v>
      </c>
      <c r="H5" s="61" t="s">
        <v>527</v>
      </c>
      <c r="I5" s="63">
        <v>202.2</v>
      </c>
      <c r="J5" s="114">
        <v>5590</v>
      </c>
      <c r="K5" s="114">
        <v>4856</v>
      </c>
      <c r="L5" s="114">
        <v>7080</v>
      </c>
      <c r="M5" s="115"/>
      <c r="N5" s="4"/>
      <c r="O5" s="4"/>
      <c r="P5" s="2">
        <f t="shared" ref="P5:P68" si="6">J5*I5</f>
        <v>1130298</v>
      </c>
      <c r="Q5" s="2">
        <f t="shared" si="1"/>
        <v>981883.2</v>
      </c>
      <c r="R5" s="2">
        <f t="shared" si="2"/>
        <v>1431576</v>
      </c>
      <c r="S5" s="2">
        <f t="shared" si="3"/>
        <v>0</v>
      </c>
      <c r="T5" s="2">
        <f t="shared" si="4"/>
        <v>0</v>
      </c>
      <c r="U5" s="2">
        <f t="shared" si="5"/>
        <v>0</v>
      </c>
    </row>
    <row r="6" spans="1:21" hidden="1">
      <c r="A6" s="20">
        <v>3</v>
      </c>
      <c r="B6" s="58" t="s">
        <v>521</v>
      </c>
      <c r="C6" s="58" t="s">
        <v>522</v>
      </c>
      <c r="D6" s="20" t="s">
        <v>311</v>
      </c>
      <c r="E6" s="59" t="s">
        <v>523</v>
      </c>
      <c r="F6" s="104" t="s">
        <v>528</v>
      </c>
      <c r="G6" s="9">
        <v>914501010</v>
      </c>
      <c r="H6" s="76" t="s">
        <v>529</v>
      </c>
      <c r="I6" s="63">
        <v>202.87</v>
      </c>
      <c r="J6" s="114">
        <v>465</v>
      </c>
      <c r="K6" s="114">
        <v>493</v>
      </c>
      <c r="L6" s="114">
        <v>533</v>
      </c>
      <c r="M6" s="115"/>
      <c r="N6" s="4"/>
      <c r="O6" s="4"/>
      <c r="P6" s="2">
        <f t="shared" si="6"/>
        <v>94334.55</v>
      </c>
      <c r="Q6" s="2">
        <f t="shared" si="1"/>
        <v>100014.91</v>
      </c>
      <c r="R6" s="2">
        <f t="shared" si="2"/>
        <v>108129.71</v>
      </c>
      <c r="S6" s="2">
        <f t="shared" si="3"/>
        <v>0</v>
      </c>
      <c r="T6" s="2">
        <f t="shared" si="4"/>
        <v>0</v>
      </c>
      <c r="U6" s="2">
        <f t="shared" si="5"/>
        <v>0</v>
      </c>
    </row>
    <row r="7" spans="1:21" hidden="1">
      <c r="A7" s="58">
        <v>4</v>
      </c>
      <c r="B7" s="58" t="s">
        <v>521</v>
      </c>
      <c r="C7" s="58" t="s">
        <v>522</v>
      </c>
      <c r="D7" s="20" t="s">
        <v>311</v>
      </c>
      <c r="E7" s="59" t="s">
        <v>523</v>
      </c>
      <c r="F7" s="105" t="s">
        <v>530</v>
      </c>
      <c r="G7" s="9">
        <v>914501011</v>
      </c>
      <c r="H7" s="76" t="s">
        <v>531</v>
      </c>
      <c r="I7" s="63">
        <v>203.9</v>
      </c>
      <c r="J7" s="114">
        <v>465</v>
      </c>
      <c r="K7" s="114">
        <v>493</v>
      </c>
      <c r="L7" s="114">
        <v>533</v>
      </c>
      <c r="M7" s="115"/>
      <c r="N7" s="4"/>
      <c r="O7" s="4"/>
      <c r="P7" s="2">
        <f t="shared" si="6"/>
        <v>94813.5</v>
      </c>
      <c r="Q7" s="2">
        <f t="shared" si="1"/>
        <v>100522.7</v>
      </c>
      <c r="R7" s="2">
        <f t="shared" si="2"/>
        <v>108678.7</v>
      </c>
      <c r="S7" s="2">
        <f t="shared" si="3"/>
        <v>0</v>
      </c>
      <c r="T7" s="2">
        <f t="shared" si="4"/>
        <v>0</v>
      </c>
      <c r="U7" s="2">
        <f t="shared" si="5"/>
        <v>0</v>
      </c>
    </row>
    <row r="8" spans="1:21" hidden="1">
      <c r="A8" s="20">
        <v>5</v>
      </c>
      <c r="B8" s="58" t="s">
        <v>521</v>
      </c>
      <c r="C8" s="58" t="s">
        <v>522</v>
      </c>
      <c r="D8" s="20" t="s">
        <v>311</v>
      </c>
      <c r="E8" s="59" t="s">
        <v>523</v>
      </c>
      <c r="F8" s="105" t="s">
        <v>532</v>
      </c>
      <c r="G8" s="9">
        <v>914501014</v>
      </c>
      <c r="H8" s="76" t="s">
        <v>533</v>
      </c>
      <c r="I8" s="63">
        <v>195.86</v>
      </c>
      <c r="J8" s="114">
        <f>J6+J5</f>
        <v>6055</v>
      </c>
      <c r="K8" s="114">
        <f>K4+K6</f>
        <v>5349</v>
      </c>
      <c r="L8" s="114">
        <f>L7+L5</f>
        <v>7613</v>
      </c>
      <c r="M8" s="115"/>
      <c r="N8" s="4"/>
      <c r="O8" s="4"/>
      <c r="P8" s="2">
        <f t="shared" si="6"/>
        <v>1185932.3</v>
      </c>
      <c r="Q8" s="2">
        <f t="shared" si="1"/>
        <v>1047655.1400000001</v>
      </c>
      <c r="R8" s="2">
        <f t="shared" si="2"/>
        <v>1491082.1800000002</v>
      </c>
      <c r="S8" s="2">
        <f t="shared" si="3"/>
        <v>0</v>
      </c>
      <c r="T8" s="2">
        <f t="shared" si="4"/>
        <v>0</v>
      </c>
      <c r="U8" s="2">
        <f t="shared" si="5"/>
        <v>0</v>
      </c>
    </row>
    <row r="9" spans="1:21" hidden="1">
      <c r="A9" s="20">
        <v>6</v>
      </c>
      <c r="B9" s="58" t="s">
        <v>521</v>
      </c>
      <c r="C9" s="58" t="s">
        <v>522</v>
      </c>
      <c r="D9" s="20" t="s">
        <v>311</v>
      </c>
      <c r="E9" s="59" t="s">
        <v>523</v>
      </c>
      <c r="F9" s="105" t="s">
        <v>534</v>
      </c>
      <c r="G9" s="9">
        <v>914501015</v>
      </c>
      <c r="H9" s="76" t="s">
        <v>535</v>
      </c>
      <c r="I9" s="63">
        <v>195.77</v>
      </c>
      <c r="J9" s="114">
        <v>6055</v>
      </c>
      <c r="K9" s="114">
        <v>5349</v>
      </c>
      <c r="L9" s="114">
        <v>7613</v>
      </c>
      <c r="M9" s="115"/>
      <c r="N9" s="4"/>
      <c r="O9" s="4"/>
      <c r="P9" s="2">
        <f t="shared" si="6"/>
        <v>1185387.3500000001</v>
      </c>
      <c r="Q9" s="2">
        <f t="shared" si="1"/>
        <v>1047173.7300000001</v>
      </c>
      <c r="R9" s="2">
        <f t="shared" si="2"/>
        <v>1490397.01</v>
      </c>
      <c r="S9" s="2">
        <f t="shared" si="3"/>
        <v>0</v>
      </c>
      <c r="T9" s="2">
        <f t="shared" si="4"/>
        <v>0</v>
      </c>
      <c r="U9" s="2">
        <f t="shared" si="5"/>
        <v>0</v>
      </c>
    </row>
    <row r="10" spans="1:21" hidden="1">
      <c r="A10" s="58">
        <v>7</v>
      </c>
      <c r="B10" s="58" t="s">
        <v>521</v>
      </c>
      <c r="C10" s="58" t="s">
        <v>522</v>
      </c>
      <c r="D10" s="20" t="s">
        <v>311</v>
      </c>
      <c r="E10" s="59" t="s">
        <v>523</v>
      </c>
      <c r="F10" s="105" t="s">
        <v>536</v>
      </c>
      <c r="G10" s="9">
        <v>914504011</v>
      </c>
      <c r="H10" s="76" t="s">
        <v>537</v>
      </c>
      <c r="I10" s="63">
        <v>288.39</v>
      </c>
      <c r="J10" s="114">
        <v>6055</v>
      </c>
      <c r="K10" s="114">
        <v>5349</v>
      </c>
      <c r="L10" s="114">
        <v>7613</v>
      </c>
      <c r="M10" s="115"/>
      <c r="N10" s="4"/>
      <c r="O10" s="4"/>
      <c r="P10" s="2">
        <f t="shared" si="6"/>
        <v>1746201.45</v>
      </c>
      <c r="Q10" s="2">
        <f t="shared" si="1"/>
        <v>1542598.1099999999</v>
      </c>
      <c r="R10" s="2">
        <f t="shared" si="2"/>
        <v>2195513.0699999998</v>
      </c>
      <c r="S10" s="2">
        <f t="shared" si="3"/>
        <v>0</v>
      </c>
      <c r="T10" s="2">
        <f t="shared" si="4"/>
        <v>0</v>
      </c>
      <c r="U10" s="2">
        <f t="shared" si="5"/>
        <v>0</v>
      </c>
    </row>
    <row r="11" spans="1:21" hidden="1">
      <c r="A11" s="20">
        <v>8</v>
      </c>
      <c r="B11" s="58" t="s">
        <v>521</v>
      </c>
      <c r="C11" s="58" t="s">
        <v>522</v>
      </c>
      <c r="D11" s="20" t="s">
        <v>311</v>
      </c>
      <c r="E11" s="59" t="s">
        <v>523</v>
      </c>
      <c r="F11" s="105" t="s">
        <v>538</v>
      </c>
      <c r="G11" s="9">
        <v>914504012</v>
      </c>
      <c r="H11" s="76" t="s">
        <v>539</v>
      </c>
      <c r="I11" s="63">
        <v>288.39</v>
      </c>
      <c r="J11" s="114">
        <v>6055</v>
      </c>
      <c r="K11" s="114">
        <v>5349</v>
      </c>
      <c r="L11" s="114">
        <v>7613</v>
      </c>
      <c r="M11" s="115"/>
      <c r="N11" s="4"/>
      <c r="O11" s="4"/>
      <c r="P11" s="2">
        <f t="shared" si="6"/>
        <v>1746201.45</v>
      </c>
      <c r="Q11" s="2">
        <f t="shared" si="1"/>
        <v>1542598.1099999999</v>
      </c>
      <c r="R11" s="2">
        <f t="shared" si="2"/>
        <v>2195513.0699999998</v>
      </c>
      <c r="S11" s="2">
        <f t="shared" si="3"/>
        <v>0</v>
      </c>
      <c r="T11" s="2">
        <f t="shared" si="4"/>
        <v>0</v>
      </c>
      <c r="U11" s="2">
        <f t="shared" si="5"/>
        <v>0</v>
      </c>
    </row>
    <row r="12" spans="1:21" hidden="1">
      <c r="A12" s="20">
        <v>9</v>
      </c>
      <c r="B12" s="58" t="s">
        <v>521</v>
      </c>
      <c r="C12" s="58" t="s">
        <v>522</v>
      </c>
      <c r="D12" s="20" t="s">
        <v>311</v>
      </c>
      <c r="E12" s="59" t="s">
        <v>523</v>
      </c>
      <c r="F12" s="105" t="s">
        <v>540</v>
      </c>
      <c r="G12" s="9">
        <v>914504013</v>
      </c>
      <c r="H12" s="76" t="s">
        <v>541</v>
      </c>
      <c r="I12" s="63">
        <v>252.11</v>
      </c>
      <c r="J12" s="114">
        <v>6055</v>
      </c>
      <c r="K12" s="114">
        <v>5349</v>
      </c>
      <c r="L12" s="114">
        <v>7613</v>
      </c>
      <c r="M12" s="115"/>
      <c r="N12" s="4"/>
      <c r="O12" s="4"/>
      <c r="P12" s="2">
        <f t="shared" si="6"/>
        <v>1526526.05</v>
      </c>
      <c r="Q12" s="2">
        <f t="shared" si="1"/>
        <v>1348536.3900000001</v>
      </c>
      <c r="R12" s="2">
        <f t="shared" si="2"/>
        <v>1919313.4300000002</v>
      </c>
      <c r="S12" s="2">
        <f t="shared" si="3"/>
        <v>0</v>
      </c>
      <c r="T12" s="2">
        <f t="shared" si="4"/>
        <v>0</v>
      </c>
      <c r="U12" s="2">
        <f t="shared" si="5"/>
        <v>0</v>
      </c>
    </row>
    <row r="13" spans="1:21" hidden="1">
      <c r="A13" s="58">
        <v>10</v>
      </c>
      <c r="B13" s="58" t="s">
        <v>521</v>
      </c>
      <c r="C13" s="58" t="s">
        <v>522</v>
      </c>
      <c r="D13" s="20" t="s">
        <v>311</v>
      </c>
      <c r="E13" s="59" t="s">
        <v>523</v>
      </c>
      <c r="F13" s="105" t="s">
        <v>542</v>
      </c>
      <c r="G13" s="9">
        <v>914504014</v>
      </c>
      <c r="H13" s="76" t="s">
        <v>543</v>
      </c>
      <c r="I13" s="63">
        <v>232.31</v>
      </c>
      <c r="J13" s="114">
        <v>6055</v>
      </c>
      <c r="K13" s="114">
        <v>5349</v>
      </c>
      <c r="L13" s="114">
        <v>7613</v>
      </c>
      <c r="M13" s="115"/>
      <c r="N13" s="4"/>
      <c r="O13" s="4"/>
      <c r="P13" s="2">
        <f t="shared" si="6"/>
        <v>1406637.05</v>
      </c>
      <c r="Q13" s="2">
        <f t="shared" si="1"/>
        <v>1242626.19</v>
      </c>
      <c r="R13" s="2">
        <f t="shared" si="2"/>
        <v>1768576.03</v>
      </c>
      <c r="S13" s="2">
        <f t="shared" si="3"/>
        <v>0</v>
      </c>
      <c r="T13" s="2">
        <f t="shared" si="4"/>
        <v>0</v>
      </c>
      <c r="U13" s="2">
        <f t="shared" si="5"/>
        <v>0</v>
      </c>
    </row>
    <row r="14" spans="1:21" hidden="1">
      <c r="A14" s="20">
        <v>11</v>
      </c>
      <c r="B14" s="20" t="s">
        <v>521</v>
      </c>
      <c r="C14" s="20" t="s">
        <v>544</v>
      </c>
      <c r="D14" s="20" t="s">
        <v>545</v>
      </c>
      <c r="E14" s="21" t="s">
        <v>546</v>
      </c>
      <c r="F14" s="22" t="s">
        <v>547</v>
      </c>
      <c r="G14" s="77">
        <v>912709005</v>
      </c>
      <c r="H14" s="64" t="s">
        <v>548</v>
      </c>
      <c r="I14" s="63">
        <v>113.11</v>
      </c>
      <c r="J14" s="114">
        <v>5951</v>
      </c>
      <c r="K14" s="116">
        <v>5655</v>
      </c>
      <c r="L14" s="116">
        <v>5597</v>
      </c>
      <c r="M14" s="115">
        <v>5612</v>
      </c>
      <c r="N14" s="4">
        <v>5635</v>
      </c>
      <c r="O14" s="4">
        <v>5599</v>
      </c>
      <c r="P14" s="2">
        <f t="shared" si="6"/>
        <v>673117.61</v>
      </c>
      <c r="Q14" s="2">
        <f t="shared" si="1"/>
        <v>639637.05000000005</v>
      </c>
      <c r="R14" s="2">
        <f t="shared" si="2"/>
        <v>633076.67000000004</v>
      </c>
      <c r="S14" s="2">
        <f t="shared" si="3"/>
        <v>634773.31999999995</v>
      </c>
      <c r="T14" s="2">
        <f t="shared" si="4"/>
        <v>637374.85</v>
      </c>
      <c r="U14" s="2">
        <f t="shared" si="5"/>
        <v>633302.89</v>
      </c>
    </row>
    <row r="15" spans="1:21" hidden="1">
      <c r="A15" s="20">
        <v>12</v>
      </c>
      <c r="B15" s="20" t="s">
        <v>521</v>
      </c>
      <c r="C15" s="20" t="s">
        <v>544</v>
      </c>
      <c r="D15" s="20" t="s">
        <v>545</v>
      </c>
      <c r="E15" s="21" t="s">
        <v>546</v>
      </c>
      <c r="F15" s="22" t="s">
        <v>549</v>
      </c>
      <c r="G15" s="77">
        <v>912704001</v>
      </c>
      <c r="H15" s="64" t="s">
        <v>550</v>
      </c>
      <c r="I15" s="63">
        <v>215.77</v>
      </c>
      <c r="J15" s="114">
        <v>5890</v>
      </c>
      <c r="K15" s="116">
        <v>5655</v>
      </c>
      <c r="L15" s="116">
        <v>5597</v>
      </c>
      <c r="M15" s="115">
        <v>5612</v>
      </c>
      <c r="N15" s="4">
        <v>5635</v>
      </c>
      <c r="O15" s="4">
        <v>5599</v>
      </c>
      <c r="P15" s="2">
        <f t="shared" si="6"/>
        <v>1270885.3</v>
      </c>
      <c r="Q15" s="2">
        <f t="shared" si="1"/>
        <v>1220179.3500000001</v>
      </c>
      <c r="R15" s="2">
        <f t="shared" si="2"/>
        <v>1207664.69</v>
      </c>
      <c r="S15" s="2">
        <f t="shared" si="3"/>
        <v>1210901.24</v>
      </c>
      <c r="T15" s="2">
        <f t="shared" si="4"/>
        <v>1215863.95</v>
      </c>
      <c r="U15" s="2">
        <f t="shared" si="5"/>
        <v>1208096.23</v>
      </c>
    </row>
    <row r="16" spans="1:21" hidden="1">
      <c r="A16" s="58">
        <v>13</v>
      </c>
      <c r="B16" s="20" t="s">
        <v>521</v>
      </c>
      <c r="C16" s="20" t="s">
        <v>544</v>
      </c>
      <c r="D16" s="20" t="s">
        <v>545</v>
      </c>
      <c r="E16" s="21" t="s">
        <v>546</v>
      </c>
      <c r="F16" s="22" t="s">
        <v>551</v>
      </c>
      <c r="G16" s="77">
        <v>912704002</v>
      </c>
      <c r="H16" s="64" t="s">
        <v>552</v>
      </c>
      <c r="I16" s="63">
        <v>215.77</v>
      </c>
      <c r="J16" s="114">
        <v>6255</v>
      </c>
      <c r="K16" s="116">
        <v>5655</v>
      </c>
      <c r="L16" s="116">
        <v>5597</v>
      </c>
      <c r="M16" s="115">
        <v>5612</v>
      </c>
      <c r="N16" s="4">
        <v>5635</v>
      </c>
      <c r="O16" s="4">
        <v>5599</v>
      </c>
      <c r="P16" s="2">
        <f t="shared" si="6"/>
        <v>1349641.35</v>
      </c>
      <c r="Q16" s="2">
        <f t="shared" si="1"/>
        <v>1220179.3500000001</v>
      </c>
      <c r="R16" s="2">
        <f t="shared" si="2"/>
        <v>1207664.69</v>
      </c>
      <c r="S16" s="2">
        <f t="shared" si="3"/>
        <v>1210901.24</v>
      </c>
      <c r="T16" s="2">
        <f t="shared" si="4"/>
        <v>1215863.95</v>
      </c>
      <c r="U16" s="2">
        <f t="shared" si="5"/>
        <v>1208096.23</v>
      </c>
    </row>
    <row r="17" spans="1:21" hidden="1">
      <c r="A17" s="20">
        <v>14</v>
      </c>
      <c r="B17" s="20" t="s">
        <v>521</v>
      </c>
      <c r="C17" s="20" t="s">
        <v>544</v>
      </c>
      <c r="D17" s="20" t="s">
        <v>545</v>
      </c>
      <c r="E17" s="21" t="s">
        <v>546</v>
      </c>
      <c r="F17" s="22" t="s">
        <v>553</v>
      </c>
      <c r="G17" s="77">
        <v>912704003</v>
      </c>
      <c r="H17" s="64" t="s">
        <v>554</v>
      </c>
      <c r="I17" s="63">
        <v>183.14</v>
      </c>
      <c r="J17" s="114">
        <v>4431</v>
      </c>
      <c r="K17" s="116">
        <v>4689</v>
      </c>
      <c r="L17" s="116">
        <v>4589</v>
      </c>
      <c r="M17" s="115">
        <v>4588</v>
      </c>
      <c r="N17" s="4">
        <v>4536</v>
      </c>
      <c r="O17" s="4">
        <v>4488</v>
      </c>
      <c r="P17" s="2">
        <f t="shared" si="6"/>
        <v>811493.34</v>
      </c>
      <c r="Q17" s="2">
        <f t="shared" si="1"/>
        <v>858743.46</v>
      </c>
      <c r="R17" s="2">
        <f t="shared" si="2"/>
        <v>840429.46</v>
      </c>
      <c r="S17" s="2">
        <f t="shared" si="3"/>
        <v>840246.32</v>
      </c>
      <c r="T17" s="2">
        <f t="shared" si="4"/>
        <v>830723.03999999992</v>
      </c>
      <c r="U17" s="2">
        <f t="shared" si="5"/>
        <v>821932.32</v>
      </c>
    </row>
    <row r="18" spans="1:21" hidden="1">
      <c r="A18" s="20">
        <v>15</v>
      </c>
      <c r="B18" s="20" t="s">
        <v>521</v>
      </c>
      <c r="C18" s="20" t="s">
        <v>544</v>
      </c>
      <c r="D18" s="20" t="s">
        <v>545</v>
      </c>
      <c r="E18" s="21" t="s">
        <v>546</v>
      </c>
      <c r="F18" s="22" t="s">
        <v>555</v>
      </c>
      <c r="G18" s="77">
        <v>912704004</v>
      </c>
      <c r="H18" s="64" t="s">
        <v>556</v>
      </c>
      <c r="I18" s="63">
        <v>183.14</v>
      </c>
      <c r="J18" s="114">
        <v>4656</v>
      </c>
      <c r="K18" s="116">
        <v>4689</v>
      </c>
      <c r="L18" s="116">
        <v>4589</v>
      </c>
      <c r="M18" s="115">
        <v>4588</v>
      </c>
      <c r="N18" s="4">
        <v>4536</v>
      </c>
      <c r="O18" s="4">
        <v>4488</v>
      </c>
      <c r="P18" s="2">
        <f t="shared" si="6"/>
        <v>852699.84</v>
      </c>
      <c r="Q18" s="2">
        <f t="shared" si="1"/>
        <v>858743.46</v>
      </c>
      <c r="R18" s="2">
        <f t="shared" si="2"/>
        <v>840429.46</v>
      </c>
      <c r="S18" s="2">
        <f t="shared" si="3"/>
        <v>840246.32</v>
      </c>
      <c r="T18" s="2">
        <f t="shared" si="4"/>
        <v>830723.03999999992</v>
      </c>
      <c r="U18" s="2">
        <f t="shared" si="5"/>
        <v>821932.32</v>
      </c>
    </row>
    <row r="19" spans="1:21" hidden="1">
      <c r="A19" s="58">
        <v>16</v>
      </c>
      <c r="B19" s="20" t="s">
        <v>521</v>
      </c>
      <c r="C19" s="20" t="s">
        <v>544</v>
      </c>
      <c r="D19" s="20" t="s">
        <v>545</v>
      </c>
      <c r="E19" s="21" t="s">
        <v>546</v>
      </c>
      <c r="F19" s="22" t="s">
        <v>557</v>
      </c>
      <c r="G19" s="77">
        <v>912724002</v>
      </c>
      <c r="H19" s="64" t="s">
        <v>558</v>
      </c>
      <c r="I19" s="63">
        <v>39.49</v>
      </c>
      <c r="J19" s="114">
        <v>7647</v>
      </c>
      <c r="K19" s="116">
        <v>4689</v>
      </c>
      <c r="L19" s="116">
        <v>4589</v>
      </c>
      <c r="M19" s="115">
        <v>4588</v>
      </c>
      <c r="N19" s="4">
        <v>4536</v>
      </c>
      <c r="O19" s="4">
        <v>4488</v>
      </c>
      <c r="P19" s="2">
        <f t="shared" si="6"/>
        <v>301980.03000000003</v>
      </c>
      <c r="Q19" s="2">
        <f t="shared" si="1"/>
        <v>185168.61000000002</v>
      </c>
      <c r="R19" s="2">
        <f t="shared" si="2"/>
        <v>181219.61000000002</v>
      </c>
      <c r="S19" s="2">
        <f t="shared" si="3"/>
        <v>181180.12</v>
      </c>
      <c r="T19" s="2">
        <f t="shared" si="4"/>
        <v>179126.64</v>
      </c>
      <c r="U19" s="2">
        <f t="shared" si="5"/>
        <v>177231.12</v>
      </c>
    </row>
    <row r="20" spans="1:21" hidden="1">
      <c r="A20" s="20">
        <v>17</v>
      </c>
      <c r="B20" s="20" t="s">
        <v>521</v>
      </c>
      <c r="C20" s="20" t="s">
        <v>544</v>
      </c>
      <c r="D20" s="20" t="s">
        <v>545</v>
      </c>
      <c r="E20" s="21" t="s">
        <v>546</v>
      </c>
      <c r="F20" s="22" t="s">
        <v>559</v>
      </c>
      <c r="G20" s="77">
        <v>912724001</v>
      </c>
      <c r="H20" s="64" t="s">
        <v>560</v>
      </c>
      <c r="I20" s="63">
        <v>39.49</v>
      </c>
      <c r="J20" s="114">
        <v>7978</v>
      </c>
      <c r="K20" s="116">
        <v>4689</v>
      </c>
      <c r="L20" s="116">
        <v>4589</v>
      </c>
      <c r="M20" s="115">
        <v>4588</v>
      </c>
      <c r="N20" s="4">
        <v>4536</v>
      </c>
      <c r="O20" s="4">
        <v>4488</v>
      </c>
      <c r="P20" s="2">
        <f t="shared" si="6"/>
        <v>315051.22000000003</v>
      </c>
      <c r="Q20" s="2">
        <f t="shared" si="1"/>
        <v>185168.61000000002</v>
      </c>
      <c r="R20" s="2">
        <f t="shared" si="2"/>
        <v>181219.61000000002</v>
      </c>
      <c r="S20" s="2">
        <f t="shared" si="3"/>
        <v>181180.12</v>
      </c>
      <c r="T20" s="2">
        <f t="shared" si="4"/>
        <v>179126.64</v>
      </c>
      <c r="U20" s="2">
        <f t="shared" si="5"/>
        <v>177231.12</v>
      </c>
    </row>
    <row r="21" spans="1:21" hidden="1">
      <c r="A21" s="20">
        <v>18</v>
      </c>
      <c r="B21" s="20" t="s">
        <v>521</v>
      </c>
      <c r="C21" s="20" t="s">
        <v>544</v>
      </c>
      <c r="D21" s="20" t="s">
        <v>545</v>
      </c>
      <c r="E21" s="21" t="s">
        <v>546</v>
      </c>
      <c r="F21" s="22" t="s">
        <v>561</v>
      </c>
      <c r="G21" s="77">
        <v>912712001</v>
      </c>
      <c r="H21" s="64" t="s">
        <v>562</v>
      </c>
      <c r="I21" s="63">
        <v>145.16</v>
      </c>
      <c r="J21" s="114">
        <v>705</v>
      </c>
      <c r="K21" s="116">
        <v>705</v>
      </c>
      <c r="L21" s="116">
        <v>705</v>
      </c>
      <c r="M21" s="115">
        <v>705</v>
      </c>
      <c r="N21" s="4">
        <v>705</v>
      </c>
      <c r="O21" s="4">
        <v>705</v>
      </c>
      <c r="P21" s="2">
        <f t="shared" si="6"/>
        <v>102337.8</v>
      </c>
      <c r="Q21" s="2">
        <f t="shared" si="1"/>
        <v>102337.8</v>
      </c>
      <c r="R21" s="2">
        <f t="shared" si="2"/>
        <v>102337.8</v>
      </c>
      <c r="S21" s="2">
        <f t="shared" si="3"/>
        <v>102337.8</v>
      </c>
      <c r="T21" s="2">
        <f t="shared" si="4"/>
        <v>102337.8</v>
      </c>
      <c r="U21" s="2">
        <f t="shared" si="5"/>
        <v>102337.8</v>
      </c>
    </row>
    <row r="22" spans="1:21" hidden="1">
      <c r="A22" s="58">
        <v>19</v>
      </c>
      <c r="B22" s="20" t="s">
        <v>521</v>
      </c>
      <c r="C22" s="20" t="s">
        <v>544</v>
      </c>
      <c r="D22" s="20" t="s">
        <v>545</v>
      </c>
      <c r="E22" s="21" t="s">
        <v>546</v>
      </c>
      <c r="F22" s="22" t="s">
        <v>563</v>
      </c>
      <c r="G22" s="77">
        <v>912712002</v>
      </c>
      <c r="H22" s="64" t="s">
        <v>564</v>
      </c>
      <c r="I22" s="63">
        <v>145.16</v>
      </c>
      <c r="J22" s="114">
        <v>584</v>
      </c>
      <c r="K22" s="116">
        <v>705</v>
      </c>
      <c r="L22" s="116">
        <v>705</v>
      </c>
      <c r="M22" s="115">
        <v>705</v>
      </c>
      <c r="N22" s="4">
        <v>705</v>
      </c>
      <c r="O22" s="4">
        <v>705</v>
      </c>
      <c r="P22" s="2">
        <f t="shared" si="6"/>
        <v>84773.440000000002</v>
      </c>
      <c r="Q22" s="2">
        <f t="shared" si="1"/>
        <v>102337.8</v>
      </c>
      <c r="R22" s="2">
        <f t="shared" si="2"/>
        <v>102337.8</v>
      </c>
      <c r="S22" s="2">
        <f t="shared" si="3"/>
        <v>102337.8</v>
      </c>
      <c r="T22" s="2">
        <f t="shared" si="4"/>
        <v>102337.8</v>
      </c>
      <c r="U22" s="2">
        <f t="shared" si="5"/>
        <v>102337.8</v>
      </c>
    </row>
    <row r="23" spans="1:21" hidden="1">
      <c r="A23" s="20">
        <v>20</v>
      </c>
      <c r="B23" s="20" t="s">
        <v>521</v>
      </c>
      <c r="C23" s="20" t="s">
        <v>544</v>
      </c>
      <c r="D23" s="20" t="s">
        <v>545</v>
      </c>
      <c r="E23" s="21" t="s">
        <v>546</v>
      </c>
      <c r="F23" s="22" t="s">
        <v>565</v>
      </c>
      <c r="G23" s="77">
        <v>912713005</v>
      </c>
      <c r="H23" s="64" t="s">
        <v>566</v>
      </c>
      <c r="I23" s="63">
        <v>163.92</v>
      </c>
      <c r="J23" s="114">
        <v>4450</v>
      </c>
      <c r="K23" s="116">
        <v>3984</v>
      </c>
      <c r="L23" s="116">
        <v>3884</v>
      </c>
      <c r="M23" s="115">
        <v>3883</v>
      </c>
      <c r="N23" s="4">
        <v>3831</v>
      </c>
      <c r="O23" s="4">
        <v>3783</v>
      </c>
      <c r="P23" s="2">
        <f t="shared" si="6"/>
        <v>729444</v>
      </c>
      <c r="Q23" s="2">
        <f t="shared" si="1"/>
        <v>653057.27999999991</v>
      </c>
      <c r="R23" s="2">
        <f t="shared" si="2"/>
        <v>636665.27999999991</v>
      </c>
      <c r="S23" s="2">
        <f t="shared" si="3"/>
        <v>636501.36</v>
      </c>
      <c r="T23" s="2">
        <f t="shared" si="4"/>
        <v>627977.5199999999</v>
      </c>
      <c r="U23" s="2">
        <f t="shared" si="5"/>
        <v>620109.36</v>
      </c>
    </row>
    <row r="24" spans="1:21" hidden="1">
      <c r="A24" s="20">
        <v>21</v>
      </c>
      <c r="B24" s="20" t="s">
        <v>521</v>
      </c>
      <c r="C24" s="20" t="s">
        <v>544</v>
      </c>
      <c r="D24" s="20" t="s">
        <v>545</v>
      </c>
      <c r="E24" s="21" t="s">
        <v>546</v>
      </c>
      <c r="F24" s="22" t="s">
        <v>567</v>
      </c>
      <c r="G24" s="77">
        <v>912713006</v>
      </c>
      <c r="H24" s="64" t="s">
        <v>568</v>
      </c>
      <c r="I24" s="63">
        <v>163.92</v>
      </c>
      <c r="J24" s="114">
        <v>4379</v>
      </c>
      <c r="K24" s="116">
        <v>3984</v>
      </c>
      <c r="L24" s="116">
        <v>3884</v>
      </c>
      <c r="M24" s="115">
        <v>3883</v>
      </c>
      <c r="N24" s="4">
        <v>3831</v>
      </c>
      <c r="O24" s="4">
        <v>3783</v>
      </c>
      <c r="P24" s="2">
        <f t="shared" si="6"/>
        <v>717805.67999999993</v>
      </c>
      <c r="Q24" s="2">
        <f t="shared" si="1"/>
        <v>653057.27999999991</v>
      </c>
      <c r="R24" s="2">
        <f t="shared" si="2"/>
        <v>636665.27999999991</v>
      </c>
      <c r="S24" s="2">
        <f t="shared" si="3"/>
        <v>636501.36</v>
      </c>
      <c r="T24" s="2">
        <f t="shared" si="4"/>
        <v>627977.5199999999</v>
      </c>
      <c r="U24" s="2">
        <f t="shared" si="5"/>
        <v>620109.36</v>
      </c>
    </row>
    <row r="25" spans="1:21" hidden="1">
      <c r="A25" s="58">
        <v>22</v>
      </c>
      <c r="B25" s="20" t="s">
        <v>521</v>
      </c>
      <c r="C25" s="20" t="s">
        <v>544</v>
      </c>
      <c r="D25" s="20" t="s">
        <v>545</v>
      </c>
      <c r="E25" s="21" t="s">
        <v>546</v>
      </c>
      <c r="F25" s="22" t="s">
        <v>569</v>
      </c>
      <c r="G25" s="77">
        <v>912710002</v>
      </c>
      <c r="H25" s="64" t="s">
        <v>570</v>
      </c>
      <c r="I25" s="63">
        <v>453.38</v>
      </c>
      <c r="J25" s="114">
        <v>2138</v>
      </c>
      <c r="K25" s="116">
        <v>1823</v>
      </c>
      <c r="L25" s="116">
        <v>1767</v>
      </c>
      <c r="M25" s="115">
        <v>1866</v>
      </c>
      <c r="N25" s="4">
        <v>1805</v>
      </c>
      <c r="O25" s="4">
        <v>1684</v>
      </c>
      <c r="P25" s="2">
        <f t="shared" si="6"/>
        <v>969326.44</v>
      </c>
      <c r="Q25" s="2">
        <f t="shared" si="1"/>
        <v>826511.74</v>
      </c>
      <c r="R25" s="2">
        <f t="shared" si="2"/>
        <v>801122.46</v>
      </c>
      <c r="S25" s="2">
        <f t="shared" si="3"/>
        <v>846007.08</v>
      </c>
      <c r="T25" s="2">
        <f t="shared" si="4"/>
        <v>818350.9</v>
      </c>
      <c r="U25" s="2">
        <f t="shared" si="5"/>
        <v>763491.92</v>
      </c>
    </row>
    <row r="26" spans="1:21" hidden="1">
      <c r="A26" s="20">
        <v>23</v>
      </c>
      <c r="B26" s="20" t="s">
        <v>521</v>
      </c>
      <c r="C26" s="20" t="s">
        <v>544</v>
      </c>
      <c r="D26" s="20" t="s">
        <v>545</v>
      </c>
      <c r="E26" s="21" t="s">
        <v>546</v>
      </c>
      <c r="F26" s="22" t="s">
        <v>571</v>
      </c>
      <c r="G26" s="77">
        <v>912713008</v>
      </c>
      <c r="H26" s="64" t="s">
        <v>572</v>
      </c>
      <c r="I26" s="63">
        <v>186.91</v>
      </c>
      <c r="J26" s="114">
        <v>7427</v>
      </c>
      <c r="K26" s="116">
        <v>7664</v>
      </c>
      <c r="L26" s="116">
        <v>7660</v>
      </c>
      <c r="M26" s="115">
        <v>7492</v>
      </c>
      <c r="N26" s="4">
        <v>7660</v>
      </c>
      <c r="O26" s="4">
        <v>7830</v>
      </c>
      <c r="P26" s="2">
        <f t="shared" si="6"/>
        <v>1388180.57</v>
      </c>
      <c r="Q26" s="2">
        <f t="shared" si="1"/>
        <v>1432478.24</v>
      </c>
      <c r="R26" s="2">
        <f t="shared" si="2"/>
        <v>1431730.5999999999</v>
      </c>
      <c r="S26" s="2">
        <f t="shared" si="3"/>
        <v>1400329.72</v>
      </c>
      <c r="T26" s="2">
        <f t="shared" si="4"/>
        <v>1431730.5999999999</v>
      </c>
      <c r="U26" s="2">
        <f t="shared" si="5"/>
        <v>1463505.3</v>
      </c>
    </row>
    <row r="27" spans="1:21" hidden="1">
      <c r="A27" s="20">
        <v>24</v>
      </c>
      <c r="B27" s="20" t="s">
        <v>521</v>
      </c>
      <c r="C27" s="20" t="s">
        <v>544</v>
      </c>
      <c r="D27" s="20" t="s">
        <v>545</v>
      </c>
      <c r="E27" s="21" t="s">
        <v>546</v>
      </c>
      <c r="F27" s="22" t="s">
        <v>573</v>
      </c>
      <c r="G27" s="77">
        <v>913706009</v>
      </c>
      <c r="H27" s="64" t="s">
        <v>574</v>
      </c>
      <c r="I27" s="63">
        <v>2.64</v>
      </c>
      <c r="J27" s="114">
        <v>21182</v>
      </c>
      <c r="K27" s="116">
        <v>9718</v>
      </c>
      <c r="L27" s="116">
        <v>9530</v>
      </c>
      <c r="M27" s="115">
        <v>9742</v>
      </c>
      <c r="N27" s="4">
        <v>9586</v>
      </c>
      <c r="O27" s="4">
        <v>9398</v>
      </c>
      <c r="P27" s="2">
        <f t="shared" si="6"/>
        <v>55920.480000000003</v>
      </c>
      <c r="Q27" s="2">
        <f t="shared" si="1"/>
        <v>25655.52</v>
      </c>
      <c r="R27" s="2">
        <f t="shared" si="2"/>
        <v>25159.200000000001</v>
      </c>
      <c r="S27" s="2">
        <f t="shared" si="3"/>
        <v>25718.880000000001</v>
      </c>
      <c r="T27" s="2">
        <f t="shared" si="4"/>
        <v>25307.040000000001</v>
      </c>
      <c r="U27" s="2">
        <f t="shared" si="5"/>
        <v>24810.720000000001</v>
      </c>
    </row>
    <row r="28" spans="1:21" hidden="1">
      <c r="A28" s="58">
        <v>25</v>
      </c>
      <c r="B28" s="20" t="s">
        <v>521</v>
      </c>
      <c r="C28" s="20" t="s">
        <v>544</v>
      </c>
      <c r="D28" s="20" t="s">
        <v>545</v>
      </c>
      <c r="E28" s="21" t="s">
        <v>546</v>
      </c>
      <c r="F28" s="22" t="s">
        <v>575</v>
      </c>
      <c r="G28" s="77">
        <v>912703001</v>
      </c>
      <c r="H28" s="64" t="s">
        <v>576</v>
      </c>
      <c r="I28" s="63">
        <v>95.45</v>
      </c>
      <c r="J28" s="114">
        <v>5133</v>
      </c>
      <c r="K28" s="116">
        <v>5655</v>
      </c>
      <c r="L28" s="116">
        <v>5597</v>
      </c>
      <c r="M28" s="115">
        <v>5612</v>
      </c>
      <c r="N28" s="4">
        <v>5635</v>
      </c>
      <c r="O28" s="4">
        <v>5599</v>
      </c>
      <c r="P28" s="2">
        <f t="shared" si="6"/>
        <v>489944.85000000003</v>
      </c>
      <c r="Q28" s="2">
        <f t="shared" si="1"/>
        <v>539769.75</v>
      </c>
      <c r="R28" s="2">
        <f t="shared" si="2"/>
        <v>534233.65</v>
      </c>
      <c r="S28" s="2">
        <f t="shared" si="3"/>
        <v>535665.4</v>
      </c>
      <c r="T28" s="2">
        <f t="shared" si="4"/>
        <v>537860.75</v>
      </c>
      <c r="U28" s="2">
        <f t="shared" si="5"/>
        <v>534424.55000000005</v>
      </c>
    </row>
    <row r="29" spans="1:21" hidden="1">
      <c r="A29" s="20">
        <v>26</v>
      </c>
      <c r="B29" s="20" t="s">
        <v>521</v>
      </c>
      <c r="C29" s="20" t="s">
        <v>544</v>
      </c>
      <c r="D29" s="20" t="s">
        <v>545</v>
      </c>
      <c r="E29" s="21" t="s">
        <v>546</v>
      </c>
      <c r="F29" s="22" t="s">
        <v>577</v>
      </c>
      <c r="G29" s="77">
        <v>912706002</v>
      </c>
      <c r="H29" s="64" t="s">
        <v>578</v>
      </c>
      <c r="I29" s="63">
        <v>293.55</v>
      </c>
      <c r="J29" s="114">
        <v>12793</v>
      </c>
      <c r="K29" s="116">
        <v>11310</v>
      </c>
      <c r="L29" s="116">
        <v>11194</v>
      </c>
      <c r="M29" s="115">
        <v>11224</v>
      </c>
      <c r="N29" s="4">
        <v>11270</v>
      </c>
      <c r="O29" s="4">
        <v>11198</v>
      </c>
      <c r="P29" s="2">
        <f t="shared" si="6"/>
        <v>3755385.1500000004</v>
      </c>
      <c r="Q29" s="2">
        <f t="shared" si="1"/>
        <v>3320050.5</v>
      </c>
      <c r="R29" s="2">
        <f t="shared" si="2"/>
        <v>3285998.7</v>
      </c>
      <c r="S29" s="2">
        <f t="shared" si="3"/>
        <v>3294805.2</v>
      </c>
      <c r="T29" s="2">
        <f t="shared" si="4"/>
        <v>3308308.5</v>
      </c>
      <c r="U29" s="2">
        <f t="shared" si="5"/>
        <v>3287172.9</v>
      </c>
    </row>
    <row r="30" spans="1:21" hidden="1">
      <c r="A30" s="20">
        <v>27</v>
      </c>
      <c r="B30" s="20" t="s">
        <v>521</v>
      </c>
      <c r="C30" s="20" t="s">
        <v>544</v>
      </c>
      <c r="D30" s="20" t="s">
        <v>545</v>
      </c>
      <c r="E30" s="21" t="s">
        <v>546</v>
      </c>
      <c r="F30" s="22" t="s">
        <v>579</v>
      </c>
      <c r="G30" s="77">
        <v>912706004</v>
      </c>
      <c r="H30" s="64" t="s">
        <v>580</v>
      </c>
      <c r="I30" s="63">
        <v>279.06</v>
      </c>
      <c r="J30" s="114">
        <v>9996</v>
      </c>
      <c r="K30" s="116">
        <v>9378</v>
      </c>
      <c r="L30" s="116">
        <v>9178</v>
      </c>
      <c r="M30" s="115">
        <v>9176</v>
      </c>
      <c r="N30" s="4">
        <v>9072</v>
      </c>
      <c r="O30" s="4">
        <v>8976</v>
      </c>
      <c r="P30" s="2">
        <f t="shared" si="6"/>
        <v>2789483.7600000002</v>
      </c>
      <c r="Q30" s="2">
        <f t="shared" si="1"/>
        <v>2617024.6800000002</v>
      </c>
      <c r="R30" s="2">
        <f t="shared" si="2"/>
        <v>2561212.6800000002</v>
      </c>
      <c r="S30" s="2">
        <f t="shared" si="3"/>
        <v>2560654.56</v>
      </c>
      <c r="T30" s="2">
        <f t="shared" si="4"/>
        <v>2531632.3199999998</v>
      </c>
      <c r="U30" s="2">
        <f t="shared" si="5"/>
        <v>2504842.56</v>
      </c>
    </row>
    <row r="31" spans="1:21" hidden="1">
      <c r="A31" s="58">
        <v>28</v>
      </c>
      <c r="B31" s="20" t="s">
        <v>521</v>
      </c>
      <c r="C31" s="20" t="s">
        <v>544</v>
      </c>
      <c r="D31" s="20" t="s">
        <v>545</v>
      </c>
      <c r="E31" s="21" t="s">
        <v>546</v>
      </c>
      <c r="F31" s="22" t="s">
        <v>581</v>
      </c>
      <c r="G31" s="77">
        <v>912702001</v>
      </c>
      <c r="H31" s="64" t="s">
        <v>582</v>
      </c>
      <c r="I31" s="63">
        <v>364.97</v>
      </c>
      <c r="J31" s="117">
        <v>4130</v>
      </c>
      <c r="K31" s="117">
        <v>3832</v>
      </c>
      <c r="L31" s="117">
        <v>3830</v>
      </c>
      <c r="M31" s="117">
        <v>3746</v>
      </c>
      <c r="N31" s="117">
        <v>3830</v>
      </c>
      <c r="O31" s="117">
        <v>3915</v>
      </c>
      <c r="P31" s="2">
        <f t="shared" si="6"/>
        <v>1507326.1</v>
      </c>
      <c r="Q31" s="2">
        <f t="shared" si="1"/>
        <v>1398565.04</v>
      </c>
      <c r="R31" s="2">
        <f t="shared" si="2"/>
        <v>1397835.1</v>
      </c>
      <c r="S31" s="2">
        <f t="shared" si="3"/>
        <v>1367177.62</v>
      </c>
      <c r="T31" s="2">
        <f t="shared" si="4"/>
        <v>1397835.1</v>
      </c>
      <c r="U31" s="2">
        <f t="shared" si="5"/>
        <v>1428857.55</v>
      </c>
    </row>
    <row r="32" spans="1:21" hidden="1">
      <c r="A32" s="20">
        <v>29</v>
      </c>
      <c r="B32" s="20" t="s">
        <v>521</v>
      </c>
      <c r="C32" s="20" t="s">
        <v>544</v>
      </c>
      <c r="D32" s="20" t="s">
        <v>545</v>
      </c>
      <c r="E32" s="21" t="s">
        <v>546</v>
      </c>
      <c r="F32" s="22" t="s">
        <v>583</v>
      </c>
      <c r="G32" s="77">
        <v>912706005</v>
      </c>
      <c r="H32" s="64" t="s">
        <v>584</v>
      </c>
      <c r="I32" s="63">
        <v>8.8800000000000008</v>
      </c>
      <c r="J32" s="114">
        <v>0</v>
      </c>
      <c r="K32" s="116">
        <v>3611</v>
      </c>
      <c r="L32" s="116">
        <v>3620</v>
      </c>
      <c r="M32" s="115">
        <v>3620</v>
      </c>
      <c r="N32" s="4">
        <v>3620</v>
      </c>
      <c r="O32" s="4">
        <v>3600</v>
      </c>
      <c r="P32" s="2">
        <f t="shared" si="6"/>
        <v>0</v>
      </c>
      <c r="Q32" s="2">
        <f t="shared" si="1"/>
        <v>32065.680000000004</v>
      </c>
      <c r="R32" s="2">
        <f t="shared" si="2"/>
        <v>32145.600000000002</v>
      </c>
      <c r="S32" s="2">
        <f t="shared" si="3"/>
        <v>32145.600000000002</v>
      </c>
      <c r="T32" s="2">
        <f t="shared" si="4"/>
        <v>32145.600000000002</v>
      </c>
      <c r="U32" s="2">
        <f t="shared" si="5"/>
        <v>31968.000000000004</v>
      </c>
    </row>
    <row r="33" spans="1:21" hidden="1">
      <c r="A33" s="20">
        <v>30</v>
      </c>
      <c r="B33" s="20" t="s">
        <v>521</v>
      </c>
      <c r="C33" s="20" t="s">
        <v>544</v>
      </c>
      <c r="D33" s="20" t="s">
        <v>545</v>
      </c>
      <c r="E33" s="21" t="s">
        <v>546</v>
      </c>
      <c r="F33" s="22" t="s">
        <v>585</v>
      </c>
      <c r="G33" s="77">
        <v>912702004</v>
      </c>
      <c r="H33" s="64" t="s">
        <v>586</v>
      </c>
      <c r="I33" s="63">
        <v>94.25</v>
      </c>
      <c r="J33" s="114">
        <v>0</v>
      </c>
      <c r="K33" s="116">
        <v>602</v>
      </c>
      <c r="L33" s="116">
        <v>705</v>
      </c>
      <c r="M33" s="115">
        <v>833</v>
      </c>
      <c r="N33" s="4">
        <v>705</v>
      </c>
      <c r="O33" s="4">
        <v>761</v>
      </c>
      <c r="P33" s="2">
        <f t="shared" si="6"/>
        <v>0</v>
      </c>
      <c r="Q33" s="2">
        <f t="shared" si="1"/>
        <v>56738.5</v>
      </c>
      <c r="R33" s="2">
        <f t="shared" si="2"/>
        <v>66446.25</v>
      </c>
      <c r="S33" s="2">
        <f t="shared" si="3"/>
        <v>78510.25</v>
      </c>
      <c r="T33" s="2">
        <f t="shared" si="4"/>
        <v>66446.25</v>
      </c>
      <c r="U33" s="2">
        <f t="shared" si="5"/>
        <v>71724.25</v>
      </c>
    </row>
    <row r="34" spans="1:21" hidden="1">
      <c r="A34" s="58">
        <v>31</v>
      </c>
      <c r="B34" s="20" t="s">
        <v>521</v>
      </c>
      <c r="C34" s="20" t="s">
        <v>544</v>
      </c>
      <c r="D34" s="20" t="s">
        <v>545</v>
      </c>
      <c r="E34" s="21" t="s">
        <v>546</v>
      </c>
      <c r="F34" s="22" t="s">
        <v>587</v>
      </c>
      <c r="G34" s="77">
        <v>912702005</v>
      </c>
      <c r="H34" s="64" t="s">
        <v>588</v>
      </c>
      <c r="I34" s="63">
        <v>117.36</v>
      </c>
      <c r="J34" s="114">
        <v>2617</v>
      </c>
      <c r="K34" s="116">
        <v>2942</v>
      </c>
      <c r="L34" s="116">
        <v>3125</v>
      </c>
      <c r="M34" s="115">
        <v>2913</v>
      </c>
      <c r="N34" s="4">
        <v>3125</v>
      </c>
      <c r="O34" s="4">
        <v>3154</v>
      </c>
      <c r="P34" s="2">
        <f t="shared" si="6"/>
        <v>307131.12</v>
      </c>
      <c r="Q34" s="2">
        <f t="shared" si="1"/>
        <v>345273.12</v>
      </c>
      <c r="R34" s="2">
        <f t="shared" si="2"/>
        <v>366750</v>
      </c>
      <c r="S34" s="2">
        <f t="shared" si="3"/>
        <v>341869.68</v>
      </c>
      <c r="T34" s="2">
        <f t="shared" si="4"/>
        <v>366750</v>
      </c>
      <c r="U34" s="2">
        <f t="shared" si="5"/>
        <v>370153.44</v>
      </c>
    </row>
    <row r="35" spans="1:21" hidden="1">
      <c r="A35" s="20">
        <v>32</v>
      </c>
      <c r="B35" s="20" t="s">
        <v>521</v>
      </c>
      <c r="C35" s="20" t="s">
        <v>544</v>
      </c>
      <c r="D35" s="20" t="s">
        <v>545</v>
      </c>
      <c r="E35" s="21" t="s">
        <v>546</v>
      </c>
      <c r="F35" s="22" t="s">
        <v>589</v>
      </c>
      <c r="G35" s="77">
        <v>915920001</v>
      </c>
      <c r="H35" s="64" t="s">
        <v>590</v>
      </c>
      <c r="I35" s="63">
        <v>43.93</v>
      </c>
      <c r="J35" s="114">
        <v>9941</v>
      </c>
      <c r="K35" s="116">
        <v>5655</v>
      </c>
      <c r="L35" s="116">
        <v>5597</v>
      </c>
      <c r="M35" s="115">
        <v>5612</v>
      </c>
      <c r="N35" s="4">
        <v>5635</v>
      </c>
      <c r="O35" s="4">
        <v>5599</v>
      </c>
      <c r="P35" s="2">
        <f t="shared" si="6"/>
        <v>436708.13</v>
      </c>
      <c r="Q35" s="2">
        <f t="shared" si="1"/>
        <v>248424.15</v>
      </c>
      <c r="R35" s="2">
        <f t="shared" si="2"/>
        <v>245876.21</v>
      </c>
      <c r="S35" s="2">
        <f t="shared" si="3"/>
        <v>246535.16</v>
      </c>
      <c r="T35" s="2">
        <f t="shared" si="4"/>
        <v>247545.55</v>
      </c>
      <c r="U35" s="2">
        <f t="shared" si="5"/>
        <v>245964.07</v>
      </c>
    </row>
    <row r="36" spans="1:21" hidden="1">
      <c r="A36" s="20">
        <v>33</v>
      </c>
      <c r="B36" s="20" t="s">
        <v>521</v>
      </c>
      <c r="C36" s="20" t="s">
        <v>544</v>
      </c>
      <c r="D36" s="20" t="s">
        <v>545</v>
      </c>
      <c r="E36" s="21" t="s">
        <v>546</v>
      </c>
      <c r="F36" s="22" t="s">
        <v>591</v>
      </c>
      <c r="G36" s="77">
        <v>915906001</v>
      </c>
      <c r="H36" s="64" t="s">
        <v>592</v>
      </c>
      <c r="I36" s="63">
        <v>22.58</v>
      </c>
      <c r="J36" s="115">
        <v>4498</v>
      </c>
      <c r="K36" s="118">
        <v>2942</v>
      </c>
      <c r="L36" s="118">
        <v>3125</v>
      </c>
      <c r="M36" s="115">
        <v>2913</v>
      </c>
      <c r="N36" s="4">
        <v>3125</v>
      </c>
      <c r="O36" s="4">
        <v>3154</v>
      </c>
      <c r="P36" s="2">
        <f t="shared" si="6"/>
        <v>101564.84</v>
      </c>
      <c r="Q36" s="2">
        <f t="shared" si="1"/>
        <v>66430.36</v>
      </c>
      <c r="R36" s="2">
        <f t="shared" si="2"/>
        <v>70562.5</v>
      </c>
      <c r="S36" s="2">
        <f t="shared" si="3"/>
        <v>65775.539999999994</v>
      </c>
      <c r="T36" s="2">
        <f t="shared" si="4"/>
        <v>70562.5</v>
      </c>
      <c r="U36" s="2">
        <f t="shared" si="5"/>
        <v>71217.319999999992</v>
      </c>
    </row>
    <row r="37" spans="1:21" hidden="1">
      <c r="A37" s="58">
        <v>34</v>
      </c>
      <c r="B37" s="20" t="s">
        <v>521</v>
      </c>
      <c r="C37" s="20" t="s">
        <v>544</v>
      </c>
      <c r="D37" s="20" t="s">
        <v>545</v>
      </c>
      <c r="E37" s="21" t="s">
        <v>593</v>
      </c>
      <c r="F37" s="22" t="s">
        <v>594</v>
      </c>
      <c r="G37" s="20">
        <v>918604002</v>
      </c>
      <c r="H37" s="64" t="s">
        <v>595</v>
      </c>
      <c r="I37" s="63">
        <v>160.05000000000001</v>
      </c>
      <c r="J37" s="111">
        <v>507</v>
      </c>
      <c r="K37" s="4">
        <v>500</v>
      </c>
      <c r="L37" s="4">
        <v>500</v>
      </c>
      <c r="M37" s="115">
        <v>500</v>
      </c>
      <c r="N37" s="4">
        <v>500</v>
      </c>
      <c r="O37" s="4">
        <v>0</v>
      </c>
      <c r="P37" s="2">
        <f t="shared" si="6"/>
        <v>81145.350000000006</v>
      </c>
      <c r="Q37" s="2">
        <f t="shared" si="1"/>
        <v>80025</v>
      </c>
      <c r="R37" s="2">
        <f t="shared" si="2"/>
        <v>80025</v>
      </c>
      <c r="S37" s="2">
        <f t="shared" si="3"/>
        <v>80025</v>
      </c>
      <c r="T37" s="2">
        <f t="shared" si="4"/>
        <v>80025</v>
      </c>
      <c r="U37" s="2">
        <f t="shared" si="5"/>
        <v>0</v>
      </c>
    </row>
    <row r="38" spans="1:21" hidden="1">
      <c r="A38" s="20">
        <v>35</v>
      </c>
      <c r="B38" s="20" t="s">
        <v>521</v>
      </c>
      <c r="C38" s="20" t="s">
        <v>544</v>
      </c>
      <c r="D38" s="20" t="s">
        <v>545</v>
      </c>
      <c r="E38" s="21" t="s">
        <v>593</v>
      </c>
      <c r="F38" s="78" t="s">
        <v>596</v>
      </c>
      <c r="G38" s="20">
        <v>918604001</v>
      </c>
      <c r="H38" s="20" t="s">
        <v>597</v>
      </c>
      <c r="I38" s="63">
        <v>160.05000000000001</v>
      </c>
      <c r="J38" s="112">
        <v>482</v>
      </c>
      <c r="K38" s="79">
        <v>500</v>
      </c>
      <c r="L38" s="79">
        <v>500</v>
      </c>
      <c r="M38" s="115">
        <v>500</v>
      </c>
      <c r="N38" s="4">
        <v>500</v>
      </c>
      <c r="O38" s="4">
        <v>0</v>
      </c>
      <c r="P38" s="2">
        <f t="shared" si="6"/>
        <v>77144.100000000006</v>
      </c>
      <c r="Q38" s="2">
        <f t="shared" si="1"/>
        <v>80025</v>
      </c>
      <c r="R38" s="2">
        <f t="shared" si="2"/>
        <v>80025</v>
      </c>
      <c r="S38" s="2">
        <f t="shared" si="3"/>
        <v>80025</v>
      </c>
      <c r="T38" s="2">
        <f t="shared" si="4"/>
        <v>80025</v>
      </c>
      <c r="U38" s="2">
        <f t="shared" si="5"/>
        <v>0</v>
      </c>
    </row>
    <row r="39" spans="1:21" hidden="1">
      <c r="A39" s="20">
        <v>36</v>
      </c>
      <c r="B39" s="20" t="s">
        <v>521</v>
      </c>
      <c r="C39" s="20" t="s">
        <v>544</v>
      </c>
      <c r="D39" s="20" t="s">
        <v>545</v>
      </c>
      <c r="E39" s="21" t="s">
        <v>593</v>
      </c>
      <c r="F39" s="78" t="s">
        <v>598</v>
      </c>
      <c r="G39" s="20">
        <v>918604004</v>
      </c>
      <c r="H39" s="20" t="s">
        <v>599</v>
      </c>
      <c r="I39" s="63">
        <v>181.92</v>
      </c>
      <c r="J39" s="112">
        <v>562</v>
      </c>
      <c r="K39" s="79">
        <v>500</v>
      </c>
      <c r="L39" s="79">
        <v>500</v>
      </c>
      <c r="M39" s="115">
        <v>500</v>
      </c>
      <c r="N39" s="4">
        <v>500</v>
      </c>
      <c r="O39" s="4">
        <v>0</v>
      </c>
      <c r="P39" s="2">
        <f t="shared" si="6"/>
        <v>102239.03999999999</v>
      </c>
      <c r="Q39" s="2">
        <f t="shared" si="1"/>
        <v>90960</v>
      </c>
      <c r="R39" s="2">
        <f t="shared" si="2"/>
        <v>90960</v>
      </c>
      <c r="S39" s="2">
        <f t="shared" si="3"/>
        <v>90960</v>
      </c>
      <c r="T39" s="2">
        <f t="shared" si="4"/>
        <v>90960</v>
      </c>
      <c r="U39" s="2">
        <f t="shared" si="5"/>
        <v>0</v>
      </c>
    </row>
    <row r="40" spans="1:21" hidden="1">
      <c r="A40" s="58">
        <v>37</v>
      </c>
      <c r="B40" s="20" t="s">
        <v>521</v>
      </c>
      <c r="C40" s="20" t="s">
        <v>544</v>
      </c>
      <c r="D40" s="20" t="s">
        <v>545</v>
      </c>
      <c r="E40" s="21" t="s">
        <v>593</v>
      </c>
      <c r="F40" s="78" t="s">
        <v>600</v>
      </c>
      <c r="G40" s="20">
        <v>918604003</v>
      </c>
      <c r="H40" s="20" t="s">
        <v>601</v>
      </c>
      <c r="I40" s="63">
        <v>181.92</v>
      </c>
      <c r="J40" s="112">
        <v>405</v>
      </c>
      <c r="K40" s="79">
        <v>500</v>
      </c>
      <c r="L40" s="79">
        <v>500</v>
      </c>
      <c r="M40" s="115">
        <v>500</v>
      </c>
      <c r="N40" s="4">
        <v>500</v>
      </c>
      <c r="O40" s="4">
        <v>0</v>
      </c>
      <c r="P40" s="2">
        <f t="shared" si="6"/>
        <v>73677.599999999991</v>
      </c>
      <c r="Q40" s="2">
        <f t="shared" si="1"/>
        <v>90960</v>
      </c>
      <c r="R40" s="2">
        <f t="shared" si="2"/>
        <v>90960</v>
      </c>
      <c r="S40" s="2">
        <f t="shared" si="3"/>
        <v>90960</v>
      </c>
      <c r="T40" s="2">
        <f t="shared" si="4"/>
        <v>90960</v>
      </c>
      <c r="U40" s="2">
        <f t="shared" si="5"/>
        <v>0</v>
      </c>
    </row>
    <row r="41" spans="1:21" hidden="1">
      <c r="A41" s="20">
        <v>38</v>
      </c>
      <c r="B41" s="20" t="s">
        <v>521</v>
      </c>
      <c r="C41" s="20" t="s">
        <v>544</v>
      </c>
      <c r="D41" s="20" t="s">
        <v>545</v>
      </c>
      <c r="E41" s="21" t="s">
        <v>593</v>
      </c>
      <c r="F41" s="78" t="s">
        <v>602</v>
      </c>
      <c r="G41" s="20">
        <v>917401001</v>
      </c>
      <c r="H41" s="20" t="s">
        <v>603</v>
      </c>
      <c r="I41" s="63">
        <v>245.43</v>
      </c>
      <c r="J41" s="112">
        <v>445</v>
      </c>
      <c r="K41" s="79">
        <v>500</v>
      </c>
      <c r="L41" s="79">
        <v>500</v>
      </c>
      <c r="M41" s="115">
        <v>500</v>
      </c>
      <c r="N41" s="4">
        <v>500</v>
      </c>
      <c r="O41" s="4">
        <v>0</v>
      </c>
      <c r="P41" s="2">
        <f t="shared" si="6"/>
        <v>109216.35</v>
      </c>
      <c r="Q41" s="2">
        <f t="shared" si="1"/>
        <v>122715</v>
      </c>
      <c r="R41" s="2">
        <f t="shared" si="2"/>
        <v>122715</v>
      </c>
      <c r="S41" s="2">
        <f t="shared" si="3"/>
        <v>122715</v>
      </c>
      <c r="T41" s="2">
        <f t="shared" si="4"/>
        <v>122715</v>
      </c>
      <c r="U41" s="2">
        <f t="shared" si="5"/>
        <v>0</v>
      </c>
    </row>
    <row r="42" spans="1:21" hidden="1">
      <c r="A42" s="20">
        <v>39</v>
      </c>
      <c r="B42" s="20" t="s">
        <v>521</v>
      </c>
      <c r="C42" s="20" t="s">
        <v>544</v>
      </c>
      <c r="D42" s="20" t="s">
        <v>545</v>
      </c>
      <c r="E42" s="21" t="s">
        <v>593</v>
      </c>
      <c r="F42" s="78" t="s">
        <v>604</v>
      </c>
      <c r="G42" s="20">
        <v>917401002</v>
      </c>
      <c r="H42" s="20" t="s">
        <v>605</v>
      </c>
      <c r="I42" s="63">
        <v>245.43</v>
      </c>
      <c r="J42" s="112">
        <v>438</v>
      </c>
      <c r="K42" s="79">
        <v>500</v>
      </c>
      <c r="L42" s="79">
        <v>500</v>
      </c>
      <c r="M42" s="115">
        <v>500</v>
      </c>
      <c r="N42" s="4">
        <v>500</v>
      </c>
      <c r="O42" s="4">
        <v>0</v>
      </c>
      <c r="P42" s="2">
        <f t="shared" si="6"/>
        <v>107498.34</v>
      </c>
      <c r="Q42" s="2">
        <f t="shared" si="1"/>
        <v>122715</v>
      </c>
      <c r="R42" s="2">
        <f t="shared" si="2"/>
        <v>122715</v>
      </c>
      <c r="S42" s="2">
        <f t="shared" si="3"/>
        <v>122715</v>
      </c>
      <c r="T42" s="2">
        <f t="shared" si="4"/>
        <v>122715</v>
      </c>
      <c r="U42" s="2">
        <f t="shared" si="5"/>
        <v>0</v>
      </c>
    </row>
    <row r="43" spans="1:21" hidden="1">
      <c r="A43" s="58">
        <v>40</v>
      </c>
      <c r="B43" s="20" t="s">
        <v>521</v>
      </c>
      <c r="C43" s="20" t="s">
        <v>544</v>
      </c>
      <c r="D43" s="20" t="s">
        <v>545</v>
      </c>
      <c r="E43" s="21" t="s">
        <v>593</v>
      </c>
      <c r="F43" s="78" t="s">
        <v>606</v>
      </c>
      <c r="G43" s="20">
        <v>917401003</v>
      </c>
      <c r="H43" s="20" t="s">
        <v>607</v>
      </c>
      <c r="I43" s="63">
        <v>269.56</v>
      </c>
      <c r="J43" s="112">
        <v>506</v>
      </c>
      <c r="K43" s="79">
        <v>500</v>
      </c>
      <c r="L43" s="79">
        <v>500</v>
      </c>
      <c r="M43" s="115">
        <v>500</v>
      </c>
      <c r="N43" s="4">
        <v>500</v>
      </c>
      <c r="O43" s="4">
        <v>0</v>
      </c>
      <c r="P43" s="2">
        <f t="shared" si="6"/>
        <v>136397.36000000002</v>
      </c>
      <c r="Q43" s="2">
        <f t="shared" si="1"/>
        <v>134780</v>
      </c>
      <c r="R43" s="2">
        <f t="shared" si="2"/>
        <v>134780</v>
      </c>
      <c r="S43" s="2">
        <f t="shared" si="3"/>
        <v>134780</v>
      </c>
      <c r="T43" s="2">
        <f t="shared" si="4"/>
        <v>134780</v>
      </c>
      <c r="U43" s="2">
        <f t="shared" si="5"/>
        <v>0</v>
      </c>
    </row>
    <row r="44" spans="1:21" hidden="1">
      <c r="A44" s="20">
        <v>41</v>
      </c>
      <c r="B44" s="20" t="s">
        <v>521</v>
      </c>
      <c r="C44" s="20" t="s">
        <v>544</v>
      </c>
      <c r="D44" s="20" t="s">
        <v>545</v>
      </c>
      <c r="E44" s="21" t="s">
        <v>593</v>
      </c>
      <c r="F44" s="78" t="s">
        <v>608</v>
      </c>
      <c r="G44" s="20">
        <v>917401004</v>
      </c>
      <c r="H44" s="20" t="s">
        <v>609</v>
      </c>
      <c r="I44" s="63">
        <v>269.56</v>
      </c>
      <c r="J44" s="112">
        <v>488</v>
      </c>
      <c r="K44" s="79">
        <v>500</v>
      </c>
      <c r="L44" s="79">
        <v>500</v>
      </c>
      <c r="M44" s="115">
        <v>500</v>
      </c>
      <c r="N44" s="4">
        <v>500</v>
      </c>
      <c r="O44" s="4">
        <v>0</v>
      </c>
      <c r="P44" s="2">
        <f t="shared" si="6"/>
        <v>131545.28</v>
      </c>
      <c r="Q44" s="2">
        <f t="shared" si="1"/>
        <v>134780</v>
      </c>
      <c r="R44" s="2">
        <f t="shared" si="2"/>
        <v>134780</v>
      </c>
      <c r="S44" s="2">
        <f t="shared" si="3"/>
        <v>134780</v>
      </c>
      <c r="T44" s="2">
        <f t="shared" si="4"/>
        <v>134780</v>
      </c>
      <c r="U44" s="2">
        <f t="shared" si="5"/>
        <v>0</v>
      </c>
    </row>
    <row r="45" spans="1:21" hidden="1">
      <c r="A45" s="20">
        <v>42</v>
      </c>
      <c r="B45" s="20" t="s">
        <v>521</v>
      </c>
      <c r="C45" s="20" t="s">
        <v>544</v>
      </c>
      <c r="D45" s="20" t="s">
        <v>545</v>
      </c>
      <c r="E45" s="21" t="s">
        <v>593</v>
      </c>
      <c r="F45" s="78" t="s">
        <v>610</v>
      </c>
      <c r="G45" s="20">
        <v>917424001</v>
      </c>
      <c r="H45" s="20" t="s">
        <v>611</v>
      </c>
      <c r="I45" s="63">
        <v>376.82</v>
      </c>
      <c r="J45" s="112">
        <v>544</v>
      </c>
      <c r="K45" s="79">
        <v>500</v>
      </c>
      <c r="L45" s="79">
        <v>500</v>
      </c>
      <c r="M45" s="115">
        <v>500</v>
      </c>
      <c r="N45" s="4">
        <v>500</v>
      </c>
      <c r="O45" s="4">
        <v>0</v>
      </c>
      <c r="P45" s="2">
        <f t="shared" si="6"/>
        <v>204990.07999999999</v>
      </c>
      <c r="Q45" s="2">
        <f t="shared" si="1"/>
        <v>188410</v>
      </c>
      <c r="R45" s="2">
        <f t="shared" si="2"/>
        <v>188410</v>
      </c>
      <c r="S45" s="2">
        <f t="shared" si="3"/>
        <v>188410</v>
      </c>
      <c r="T45" s="2">
        <f t="shared" si="4"/>
        <v>188410</v>
      </c>
      <c r="U45" s="2">
        <f t="shared" si="5"/>
        <v>0</v>
      </c>
    </row>
    <row r="46" spans="1:21" hidden="1">
      <c r="A46" s="58">
        <v>43</v>
      </c>
      <c r="B46" s="20" t="s">
        <v>521</v>
      </c>
      <c r="C46" s="20" t="s">
        <v>544</v>
      </c>
      <c r="D46" s="20" t="s">
        <v>545</v>
      </c>
      <c r="E46" s="21" t="s">
        <v>593</v>
      </c>
      <c r="F46" s="78" t="s">
        <v>612</v>
      </c>
      <c r="G46" s="20">
        <v>917424002</v>
      </c>
      <c r="H46" s="20" t="s">
        <v>613</v>
      </c>
      <c r="I46" s="63">
        <v>376.82</v>
      </c>
      <c r="J46" s="112">
        <v>567</v>
      </c>
      <c r="K46" s="79">
        <v>500</v>
      </c>
      <c r="L46" s="79">
        <v>500</v>
      </c>
      <c r="M46" s="115">
        <v>500</v>
      </c>
      <c r="N46" s="4">
        <v>500</v>
      </c>
      <c r="O46" s="4">
        <v>0</v>
      </c>
      <c r="P46" s="2">
        <f t="shared" si="6"/>
        <v>213656.94</v>
      </c>
      <c r="Q46" s="2">
        <f t="shared" si="1"/>
        <v>188410</v>
      </c>
      <c r="R46" s="2">
        <f t="shared" si="2"/>
        <v>188410</v>
      </c>
      <c r="S46" s="2">
        <f t="shared" si="3"/>
        <v>188410</v>
      </c>
      <c r="T46" s="2">
        <f t="shared" si="4"/>
        <v>188410</v>
      </c>
      <c r="U46" s="2">
        <f t="shared" si="5"/>
        <v>0</v>
      </c>
    </row>
    <row r="47" spans="1:21" hidden="1">
      <c r="A47" s="20">
        <v>44</v>
      </c>
      <c r="B47" s="20" t="s">
        <v>521</v>
      </c>
      <c r="C47" s="20" t="s">
        <v>544</v>
      </c>
      <c r="D47" s="20" t="s">
        <v>545</v>
      </c>
      <c r="E47" s="21" t="s">
        <v>593</v>
      </c>
      <c r="F47" s="78" t="s">
        <v>614</v>
      </c>
      <c r="G47" s="20">
        <v>917424003</v>
      </c>
      <c r="H47" s="20" t="s">
        <v>615</v>
      </c>
      <c r="I47" s="63">
        <v>327.20999999999998</v>
      </c>
      <c r="J47" s="112">
        <v>511</v>
      </c>
      <c r="K47" s="79">
        <v>500</v>
      </c>
      <c r="L47" s="79">
        <v>500</v>
      </c>
      <c r="M47" s="115">
        <v>500</v>
      </c>
      <c r="N47" s="4">
        <v>500</v>
      </c>
      <c r="O47" s="4">
        <v>0</v>
      </c>
      <c r="P47" s="2">
        <f t="shared" si="6"/>
        <v>167204.31</v>
      </c>
      <c r="Q47" s="2">
        <f t="shared" si="1"/>
        <v>163605</v>
      </c>
      <c r="R47" s="2">
        <f t="shared" si="2"/>
        <v>163605</v>
      </c>
      <c r="S47" s="2">
        <f t="shared" si="3"/>
        <v>163605</v>
      </c>
      <c r="T47" s="2">
        <f t="shared" si="4"/>
        <v>163605</v>
      </c>
      <c r="U47" s="2">
        <f t="shared" si="5"/>
        <v>0</v>
      </c>
    </row>
    <row r="48" spans="1:21" hidden="1">
      <c r="A48" s="20">
        <v>45</v>
      </c>
      <c r="B48" s="20" t="s">
        <v>521</v>
      </c>
      <c r="C48" s="20" t="s">
        <v>544</v>
      </c>
      <c r="D48" s="20" t="s">
        <v>545</v>
      </c>
      <c r="E48" s="21" t="s">
        <v>593</v>
      </c>
      <c r="F48" s="78" t="s">
        <v>616</v>
      </c>
      <c r="G48" s="20">
        <v>917424004</v>
      </c>
      <c r="H48" s="20" t="s">
        <v>617</v>
      </c>
      <c r="I48" s="63">
        <v>379.22</v>
      </c>
      <c r="J48" s="112">
        <v>510</v>
      </c>
      <c r="K48" s="79">
        <v>500</v>
      </c>
      <c r="L48" s="79">
        <v>500</v>
      </c>
      <c r="M48" s="115">
        <v>500</v>
      </c>
      <c r="N48" s="4">
        <v>500</v>
      </c>
      <c r="O48" s="4">
        <v>0</v>
      </c>
      <c r="P48" s="2">
        <f t="shared" si="6"/>
        <v>193402.2</v>
      </c>
      <c r="Q48" s="2">
        <f t="shared" si="1"/>
        <v>189610</v>
      </c>
      <c r="R48" s="2">
        <f t="shared" si="2"/>
        <v>189610</v>
      </c>
      <c r="S48" s="2">
        <f t="shared" si="3"/>
        <v>189610</v>
      </c>
      <c r="T48" s="2">
        <f t="shared" si="4"/>
        <v>189610</v>
      </c>
      <c r="U48" s="2">
        <f t="shared" si="5"/>
        <v>0</v>
      </c>
    </row>
    <row r="49" spans="1:21" hidden="1">
      <c r="A49" s="58">
        <v>46</v>
      </c>
      <c r="B49" s="20" t="s">
        <v>521</v>
      </c>
      <c r="C49" s="20" t="s">
        <v>544</v>
      </c>
      <c r="D49" s="20" t="s">
        <v>545</v>
      </c>
      <c r="E49" s="21" t="s">
        <v>593</v>
      </c>
      <c r="F49" s="78" t="s">
        <v>618</v>
      </c>
      <c r="G49" s="20">
        <v>917418001</v>
      </c>
      <c r="H49" s="20" t="s">
        <v>619</v>
      </c>
      <c r="I49" s="63">
        <v>409.3</v>
      </c>
      <c r="J49" s="112">
        <v>516</v>
      </c>
      <c r="K49" s="79">
        <v>500</v>
      </c>
      <c r="L49" s="79">
        <v>500</v>
      </c>
      <c r="M49" s="115">
        <v>500</v>
      </c>
      <c r="N49" s="4">
        <v>500</v>
      </c>
      <c r="O49" s="4">
        <v>0</v>
      </c>
      <c r="P49" s="2">
        <f t="shared" si="6"/>
        <v>211198.80000000002</v>
      </c>
      <c r="Q49" s="2">
        <f t="shared" si="1"/>
        <v>204650</v>
      </c>
      <c r="R49" s="2">
        <f t="shared" si="2"/>
        <v>204650</v>
      </c>
      <c r="S49" s="2">
        <f t="shared" si="3"/>
        <v>204650</v>
      </c>
      <c r="T49" s="2">
        <f t="shared" si="4"/>
        <v>204650</v>
      </c>
      <c r="U49" s="2">
        <f t="shared" si="5"/>
        <v>0</v>
      </c>
    </row>
    <row r="50" spans="1:21" hidden="1">
      <c r="A50" s="20">
        <v>47</v>
      </c>
      <c r="B50" s="20" t="s">
        <v>521</v>
      </c>
      <c r="C50" s="20" t="s">
        <v>544</v>
      </c>
      <c r="D50" s="20" t="s">
        <v>545</v>
      </c>
      <c r="E50" s="21" t="s">
        <v>593</v>
      </c>
      <c r="F50" s="80" t="s">
        <v>620</v>
      </c>
      <c r="G50" s="81">
        <v>917411001</v>
      </c>
      <c r="H50" s="9" t="s">
        <v>621</v>
      </c>
      <c r="I50" s="63">
        <v>39.07</v>
      </c>
      <c r="J50" s="112">
        <v>0</v>
      </c>
      <c r="K50" s="79">
        <v>0</v>
      </c>
      <c r="L50" s="79">
        <v>0</v>
      </c>
      <c r="M50" s="115">
        <v>64</v>
      </c>
      <c r="N50" s="4">
        <v>70</v>
      </c>
      <c r="O50" s="4">
        <v>0</v>
      </c>
      <c r="P50" s="2">
        <f t="shared" si="6"/>
        <v>0</v>
      </c>
      <c r="Q50" s="2">
        <f t="shared" si="1"/>
        <v>0</v>
      </c>
      <c r="R50" s="2">
        <f t="shared" si="2"/>
        <v>0</v>
      </c>
      <c r="S50" s="2">
        <f t="shared" si="3"/>
        <v>2500.48</v>
      </c>
      <c r="T50" s="2">
        <f t="shared" si="4"/>
        <v>2734.9</v>
      </c>
      <c r="U50" s="2">
        <f t="shared" si="5"/>
        <v>0</v>
      </c>
    </row>
    <row r="51" spans="1:21" hidden="1">
      <c r="A51" s="20">
        <v>48</v>
      </c>
      <c r="B51" s="20" t="s">
        <v>521</v>
      </c>
      <c r="C51" s="20" t="s">
        <v>544</v>
      </c>
      <c r="D51" s="20" t="s">
        <v>545</v>
      </c>
      <c r="E51" s="21" t="s">
        <v>593</v>
      </c>
      <c r="F51" s="82" t="s">
        <v>622</v>
      </c>
      <c r="G51" s="78">
        <v>917411002</v>
      </c>
      <c r="H51" s="20" t="s">
        <v>623</v>
      </c>
      <c r="I51" s="63">
        <v>39.07</v>
      </c>
      <c r="J51" s="112"/>
      <c r="K51" s="79"/>
      <c r="L51" s="79"/>
      <c r="M51" s="115"/>
      <c r="N51" s="4"/>
      <c r="O51" s="4"/>
      <c r="P51" s="2">
        <f t="shared" si="6"/>
        <v>0</v>
      </c>
      <c r="Q51" s="2">
        <f t="shared" si="1"/>
        <v>0</v>
      </c>
      <c r="R51" s="2">
        <f t="shared" si="2"/>
        <v>0</v>
      </c>
      <c r="S51" s="2">
        <f t="shared" si="3"/>
        <v>0</v>
      </c>
      <c r="T51" s="2">
        <f t="shared" si="4"/>
        <v>0</v>
      </c>
      <c r="U51" s="2">
        <f t="shared" si="5"/>
        <v>0</v>
      </c>
    </row>
    <row r="52" spans="1:21" hidden="1">
      <c r="A52" s="58">
        <v>49</v>
      </c>
      <c r="B52" s="20" t="s">
        <v>521</v>
      </c>
      <c r="C52" s="20" t="s">
        <v>544</v>
      </c>
      <c r="D52" s="20" t="s">
        <v>545</v>
      </c>
      <c r="E52" s="21" t="s">
        <v>593</v>
      </c>
      <c r="F52" s="82" t="s">
        <v>624</v>
      </c>
      <c r="G52" s="78">
        <v>917411003</v>
      </c>
      <c r="H52" s="20" t="s">
        <v>625</v>
      </c>
      <c r="I52" s="63">
        <v>29.15</v>
      </c>
      <c r="J52" s="112">
        <v>195</v>
      </c>
      <c r="K52" s="79">
        <v>53</v>
      </c>
      <c r="L52" s="79">
        <v>70</v>
      </c>
      <c r="M52" s="115">
        <v>70</v>
      </c>
      <c r="N52" s="4">
        <v>70</v>
      </c>
      <c r="O52" s="4">
        <v>0</v>
      </c>
      <c r="P52" s="2">
        <f t="shared" si="6"/>
        <v>5684.25</v>
      </c>
      <c r="Q52" s="2">
        <f t="shared" si="1"/>
        <v>1544.9499999999998</v>
      </c>
      <c r="R52" s="2">
        <f t="shared" si="2"/>
        <v>2040.5</v>
      </c>
      <c r="S52" s="2">
        <f t="shared" si="3"/>
        <v>2040.5</v>
      </c>
      <c r="T52" s="2">
        <f t="shared" si="4"/>
        <v>2040.5</v>
      </c>
      <c r="U52" s="2">
        <f t="shared" si="5"/>
        <v>0</v>
      </c>
    </row>
    <row r="53" spans="1:21" hidden="1">
      <c r="A53" s="20">
        <v>50</v>
      </c>
      <c r="B53" s="20" t="s">
        <v>521</v>
      </c>
      <c r="C53" s="20" t="s">
        <v>544</v>
      </c>
      <c r="D53" s="20" t="s">
        <v>545</v>
      </c>
      <c r="E53" s="21" t="s">
        <v>593</v>
      </c>
      <c r="F53" s="82" t="s">
        <v>626</v>
      </c>
      <c r="G53" s="78">
        <v>917411004</v>
      </c>
      <c r="H53" s="20" t="s">
        <v>627</v>
      </c>
      <c r="I53" s="63">
        <v>29.15</v>
      </c>
      <c r="J53" s="112">
        <v>265</v>
      </c>
      <c r="K53" s="79">
        <v>53</v>
      </c>
      <c r="L53" s="79">
        <v>70</v>
      </c>
      <c r="M53" s="115">
        <v>70</v>
      </c>
      <c r="N53" s="4">
        <v>70</v>
      </c>
      <c r="O53" s="4">
        <v>0</v>
      </c>
      <c r="P53" s="2">
        <f t="shared" si="6"/>
        <v>7724.75</v>
      </c>
      <c r="Q53" s="2">
        <f t="shared" si="1"/>
        <v>1544.9499999999998</v>
      </c>
      <c r="R53" s="2">
        <f t="shared" si="2"/>
        <v>2040.5</v>
      </c>
      <c r="S53" s="2">
        <f t="shared" si="3"/>
        <v>2040.5</v>
      </c>
      <c r="T53" s="2">
        <f t="shared" si="4"/>
        <v>2040.5</v>
      </c>
      <c r="U53" s="2">
        <f t="shared" si="5"/>
        <v>0</v>
      </c>
    </row>
    <row r="54" spans="1:21" hidden="1">
      <c r="A54" s="20">
        <v>51</v>
      </c>
      <c r="B54" s="20" t="s">
        <v>521</v>
      </c>
      <c r="C54" s="20" t="s">
        <v>544</v>
      </c>
      <c r="D54" s="20" t="s">
        <v>545</v>
      </c>
      <c r="E54" s="21" t="s">
        <v>593</v>
      </c>
      <c r="F54" s="82" t="s">
        <v>628</v>
      </c>
      <c r="G54" s="78">
        <v>917405020</v>
      </c>
      <c r="H54" s="20" t="s">
        <v>629</v>
      </c>
      <c r="I54" s="63">
        <v>106.3</v>
      </c>
      <c r="J54" s="112">
        <v>403</v>
      </c>
      <c r="K54" s="79">
        <v>447</v>
      </c>
      <c r="L54" s="79">
        <v>430</v>
      </c>
      <c r="M54" s="115">
        <v>430</v>
      </c>
      <c r="N54" s="4">
        <v>430</v>
      </c>
      <c r="O54" s="4">
        <v>0</v>
      </c>
      <c r="P54" s="2">
        <f t="shared" si="6"/>
        <v>42838.9</v>
      </c>
      <c r="Q54" s="2">
        <f t="shared" si="1"/>
        <v>47516.1</v>
      </c>
      <c r="R54" s="2">
        <f t="shared" si="2"/>
        <v>45709</v>
      </c>
      <c r="S54" s="2">
        <f t="shared" si="3"/>
        <v>45709</v>
      </c>
      <c r="T54" s="2">
        <f t="shared" si="4"/>
        <v>45709</v>
      </c>
      <c r="U54" s="2">
        <f t="shared" si="5"/>
        <v>0</v>
      </c>
    </row>
    <row r="55" spans="1:21" hidden="1">
      <c r="A55" s="58">
        <v>52</v>
      </c>
      <c r="B55" s="20" t="s">
        <v>521</v>
      </c>
      <c r="C55" s="20" t="s">
        <v>544</v>
      </c>
      <c r="D55" s="20" t="s">
        <v>545</v>
      </c>
      <c r="E55" s="21" t="s">
        <v>593</v>
      </c>
      <c r="F55" s="82" t="s">
        <v>630</v>
      </c>
      <c r="G55" s="78">
        <v>917405019</v>
      </c>
      <c r="H55" s="20" t="s">
        <v>631</v>
      </c>
      <c r="I55" s="63">
        <v>106.3</v>
      </c>
      <c r="J55" s="112">
        <v>408</v>
      </c>
      <c r="K55" s="79">
        <v>447</v>
      </c>
      <c r="L55" s="79">
        <v>430</v>
      </c>
      <c r="M55" s="115">
        <v>430</v>
      </c>
      <c r="N55" s="4">
        <v>430</v>
      </c>
      <c r="O55" s="4">
        <v>0</v>
      </c>
      <c r="P55" s="2">
        <f t="shared" si="6"/>
        <v>43370.400000000001</v>
      </c>
      <c r="Q55" s="2">
        <f t="shared" si="1"/>
        <v>47516.1</v>
      </c>
      <c r="R55" s="2">
        <f t="shared" si="2"/>
        <v>45709</v>
      </c>
      <c r="S55" s="2">
        <f t="shared" si="3"/>
        <v>45709</v>
      </c>
      <c r="T55" s="2">
        <f t="shared" si="4"/>
        <v>45709</v>
      </c>
      <c r="U55" s="2">
        <f t="shared" si="5"/>
        <v>0</v>
      </c>
    </row>
    <row r="56" spans="1:21" hidden="1">
      <c r="A56" s="20">
        <v>53</v>
      </c>
      <c r="B56" s="20" t="s">
        <v>521</v>
      </c>
      <c r="C56" s="20" t="s">
        <v>544</v>
      </c>
      <c r="D56" s="20" t="s">
        <v>545</v>
      </c>
      <c r="E56" s="21" t="s">
        <v>593</v>
      </c>
      <c r="F56" s="82" t="s">
        <v>632</v>
      </c>
      <c r="G56" s="78">
        <v>917405022</v>
      </c>
      <c r="H56" s="20" t="s">
        <v>633</v>
      </c>
      <c r="I56" s="63">
        <v>109.07</v>
      </c>
      <c r="J56" s="112">
        <v>354</v>
      </c>
      <c r="K56" s="79">
        <v>447</v>
      </c>
      <c r="L56" s="79">
        <v>430</v>
      </c>
      <c r="M56" s="115">
        <v>430</v>
      </c>
      <c r="N56" s="4">
        <v>430</v>
      </c>
      <c r="O56" s="4">
        <v>0</v>
      </c>
      <c r="P56" s="2">
        <f t="shared" si="6"/>
        <v>38610.78</v>
      </c>
      <c r="Q56" s="2">
        <f t="shared" si="1"/>
        <v>48754.289999999994</v>
      </c>
      <c r="R56" s="2">
        <f t="shared" si="2"/>
        <v>46900.1</v>
      </c>
      <c r="S56" s="2">
        <f t="shared" si="3"/>
        <v>46900.1</v>
      </c>
      <c r="T56" s="2">
        <f t="shared" si="4"/>
        <v>46900.1</v>
      </c>
      <c r="U56" s="2">
        <f t="shared" si="5"/>
        <v>0</v>
      </c>
    </row>
    <row r="57" spans="1:21" hidden="1">
      <c r="A57" s="20">
        <v>54</v>
      </c>
      <c r="B57" s="20" t="s">
        <v>521</v>
      </c>
      <c r="C57" s="20" t="s">
        <v>544</v>
      </c>
      <c r="D57" s="20" t="s">
        <v>545</v>
      </c>
      <c r="E57" s="21" t="s">
        <v>593</v>
      </c>
      <c r="F57" s="82" t="s">
        <v>634</v>
      </c>
      <c r="G57" s="78">
        <v>917405021</v>
      </c>
      <c r="H57" s="83" t="s">
        <v>635</v>
      </c>
      <c r="I57" s="63">
        <v>109.07</v>
      </c>
      <c r="J57" s="112">
        <v>392</v>
      </c>
      <c r="K57" s="79">
        <v>447</v>
      </c>
      <c r="L57" s="79">
        <v>430</v>
      </c>
      <c r="M57" s="115">
        <v>430</v>
      </c>
      <c r="N57" s="4">
        <v>430</v>
      </c>
      <c r="O57" s="4">
        <v>0</v>
      </c>
      <c r="P57" s="2">
        <f t="shared" si="6"/>
        <v>42755.439999999995</v>
      </c>
      <c r="Q57" s="2">
        <f t="shared" si="1"/>
        <v>48754.289999999994</v>
      </c>
      <c r="R57" s="2">
        <f t="shared" si="2"/>
        <v>46900.1</v>
      </c>
      <c r="S57" s="2">
        <f t="shared" si="3"/>
        <v>46900.1</v>
      </c>
      <c r="T57" s="2">
        <f t="shared" si="4"/>
        <v>46900.1</v>
      </c>
      <c r="U57" s="2">
        <f t="shared" si="5"/>
        <v>0</v>
      </c>
    </row>
    <row r="58" spans="1:21" hidden="1">
      <c r="A58" s="58">
        <v>55</v>
      </c>
      <c r="B58" s="20" t="s">
        <v>521</v>
      </c>
      <c r="C58" s="20" t="s">
        <v>544</v>
      </c>
      <c r="D58" s="20" t="s">
        <v>545</v>
      </c>
      <c r="E58" s="21" t="s">
        <v>593</v>
      </c>
      <c r="F58" s="82" t="s">
        <v>636</v>
      </c>
      <c r="G58" s="78">
        <v>918605002</v>
      </c>
      <c r="H58" s="20" t="s">
        <v>637</v>
      </c>
      <c r="I58" s="63">
        <v>79.67</v>
      </c>
      <c r="J58" s="112">
        <v>510</v>
      </c>
      <c r="K58" s="79">
        <v>500</v>
      </c>
      <c r="L58" s="79">
        <v>500</v>
      </c>
      <c r="M58" s="115">
        <v>500</v>
      </c>
      <c r="N58" s="4">
        <v>500</v>
      </c>
      <c r="O58" s="4">
        <v>0</v>
      </c>
      <c r="P58" s="2">
        <f t="shared" si="6"/>
        <v>40631.700000000004</v>
      </c>
      <c r="Q58" s="2">
        <f t="shared" si="1"/>
        <v>39835</v>
      </c>
      <c r="R58" s="2">
        <f t="shared" si="2"/>
        <v>39835</v>
      </c>
      <c r="S58" s="2">
        <f t="shared" si="3"/>
        <v>39835</v>
      </c>
      <c r="T58" s="2">
        <f t="shared" si="4"/>
        <v>39835</v>
      </c>
      <c r="U58" s="2">
        <f t="shared" si="5"/>
        <v>0</v>
      </c>
    </row>
    <row r="59" spans="1:21" hidden="1">
      <c r="A59" s="20">
        <v>56</v>
      </c>
      <c r="B59" s="20" t="s">
        <v>521</v>
      </c>
      <c r="C59" s="20" t="s">
        <v>544</v>
      </c>
      <c r="D59" s="20" t="s">
        <v>545</v>
      </c>
      <c r="E59" s="21" t="s">
        <v>593</v>
      </c>
      <c r="F59" s="78" t="s">
        <v>638</v>
      </c>
      <c r="G59" s="9">
        <v>918605001</v>
      </c>
      <c r="H59" s="9" t="s">
        <v>639</v>
      </c>
      <c r="I59" s="63">
        <v>79.67</v>
      </c>
      <c r="J59" s="112">
        <v>399</v>
      </c>
      <c r="K59" s="79">
        <v>500</v>
      </c>
      <c r="L59" s="79">
        <v>500</v>
      </c>
      <c r="M59" s="115">
        <v>500</v>
      </c>
      <c r="N59" s="4">
        <v>500</v>
      </c>
      <c r="O59" s="4">
        <v>0</v>
      </c>
      <c r="P59" s="2">
        <f t="shared" si="6"/>
        <v>31788.33</v>
      </c>
      <c r="Q59" s="2">
        <f t="shared" si="1"/>
        <v>39835</v>
      </c>
      <c r="R59" s="2">
        <f t="shared" si="2"/>
        <v>39835</v>
      </c>
      <c r="S59" s="2">
        <f t="shared" si="3"/>
        <v>39835</v>
      </c>
      <c r="T59" s="2">
        <f t="shared" si="4"/>
        <v>39835</v>
      </c>
      <c r="U59" s="2">
        <f t="shared" si="5"/>
        <v>0</v>
      </c>
    </row>
    <row r="60" spans="1:21" hidden="1">
      <c r="A60" s="20">
        <v>57</v>
      </c>
      <c r="B60" s="20" t="s">
        <v>521</v>
      </c>
      <c r="C60" s="20" t="s">
        <v>544</v>
      </c>
      <c r="D60" s="20" t="s">
        <v>545</v>
      </c>
      <c r="E60" s="21" t="s">
        <v>593</v>
      </c>
      <c r="F60" s="78" t="s">
        <v>640</v>
      </c>
      <c r="G60" s="9">
        <v>918605004</v>
      </c>
      <c r="H60" s="9" t="s">
        <v>641</v>
      </c>
      <c r="I60" s="63">
        <v>78.430000000000007</v>
      </c>
      <c r="J60" s="112">
        <v>281</v>
      </c>
      <c r="K60" s="79">
        <v>500</v>
      </c>
      <c r="L60" s="79">
        <v>500</v>
      </c>
      <c r="M60" s="115">
        <v>500</v>
      </c>
      <c r="N60" s="4">
        <v>500</v>
      </c>
      <c r="O60" s="4">
        <v>0</v>
      </c>
      <c r="P60" s="2">
        <f t="shared" si="6"/>
        <v>22038.83</v>
      </c>
      <c r="Q60" s="2">
        <f t="shared" si="1"/>
        <v>39215</v>
      </c>
      <c r="R60" s="2">
        <f t="shared" si="2"/>
        <v>39215</v>
      </c>
      <c r="S60" s="2">
        <f t="shared" si="3"/>
        <v>39215</v>
      </c>
      <c r="T60" s="2">
        <f t="shared" si="4"/>
        <v>39215</v>
      </c>
      <c r="U60" s="2">
        <f t="shared" si="5"/>
        <v>0</v>
      </c>
    </row>
    <row r="61" spans="1:21" hidden="1">
      <c r="A61" s="58">
        <v>58</v>
      </c>
      <c r="B61" s="20" t="s">
        <v>521</v>
      </c>
      <c r="C61" s="20" t="s">
        <v>544</v>
      </c>
      <c r="D61" s="20" t="s">
        <v>545</v>
      </c>
      <c r="E61" s="21" t="s">
        <v>593</v>
      </c>
      <c r="F61" s="78" t="s">
        <v>642</v>
      </c>
      <c r="G61" s="9">
        <v>918605003</v>
      </c>
      <c r="H61" s="9" t="s">
        <v>643</v>
      </c>
      <c r="I61" s="63">
        <v>78.430000000000007</v>
      </c>
      <c r="J61" s="112">
        <v>480</v>
      </c>
      <c r="K61" s="79">
        <v>500</v>
      </c>
      <c r="L61" s="79">
        <v>500</v>
      </c>
      <c r="M61" s="115">
        <v>500</v>
      </c>
      <c r="N61" s="4">
        <v>500</v>
      </c>
      <c r="O61" s="4">
        <v>0</v>
      </c>
      <c r="P61" s="2">
        <f t="shared" si="6"/>
        <v>37646.400000000001</v>
      </c>
      <c r="Q61" s="2">
        <f t="shared" si="1"/>
        <v>39215</v>
      </c>
      <c r="R61" s="2">
        <f t="shared" si="2"/>
        <v>39215</v>
      </c>
      <c r="S61" s="2">
        <f t="shared" si="3"/>
        <v>39215</v>
      </c>
      <c r="T61" s="2">
        <f t="shared" si="4"/>
        <v>39215</v>
      </c>
      <c r="U61" s="2">
        <f t="shared" si="5"/>
        <v>0</v>
      </c>
    </row>
    <row r="62" spans="1:21" hidden="1">
      <c r="A62" s="20">
        <v>59</v>
      </c>
      <c r="B62" s="20" t="s">
        <v>521</v>
      </c>
      <c r="C62" s="20" t="s">
        <v>544</v>
      </c>
      <c r="D62" s="20" t="s">
        <v>545</v>
      </c>
      <c r="E62" s="21" t="s">
        <v>593</v>
      </c>
      <c r="F62" s="78" t="s">
        <v>644</v>
      </c>
      <c r="G62" s="9">
        <v>917403001</v>
      </c>
      <c r="H62" s="9" t="s">
        <v>645</v>
      </c>
      <c r="I62" s="63">
        <v>75.64</v>
      </c>
      <c r="J62" s="112">
        <v>400</v>
      </c>
      <c r="K62" s="79">
        <v>500</v>
      </c>
      <c r="L62" s="79">
        <v>500</v>
      </c>
      <c r="M62" s="115">
        <v>500</v>
      </c>
      <c r="N62" s="4">
        <v>500</v>
      </c>
      <c r="O62" s="4">
        <v>0</v>
      </c>
      <c r="P62" s="2">
        <f t="shared" si="6"/>
        <v>30256</v>
      </c>
      <c r="Q62" s="2">
        <f t="shared" si="1"/>
        <v>37820</v>
      </c>
      <c r="R62" s="2">
        <f t="shared" si="2"/>
        <v>37820</v>
      </c>
      <c r="S62" s="2">
        <f t="shared" si="3"/>
        <v>37820</v>
      </c>
      <c r="T62" s="2">
        <f t="shared" si="4"/>
        <v>37820</v>
      </c>
      <c r="U62" s="2">
        <f t="shared" si="5"/>
        <v>0</v>
      </c>
    </row>
    <row r="63" spans="1:21" hidden="1">
      <c r="A63" s="20">
        <v>60</v>
      </c>
      <c r="B63" s="20" t="s">
        <v>521</v>
      </c>
      <c r="C63" s="20" t="s">
        <v>544</v>
      </c>
      <c r="D63" s="20" t="s">
        <v>545</v>
      </c>
      <c r="E63" s="21" t="s">
        <v>593</v>
      </c>
      <c r="F63" s="78" t="s">
        <v>646</v>
      </c>
      <c r="G63" s="9">
        <v>917405001</v>
      </c>
      <c r="H63" s="9" t="s">
        <v>647</v>
      </c>
      <c r="I63" s="63">
        <v>249.27</v>
      </c>
      <c r="J63" s="112">
        <v>218</v>
      </c>
      <c r="K63" s="79">
        <v>53</v>
      </c>
      <c r="L63" s="79">
        <v>70</v>
      </c>
      <c r="M63" s="115">
        <v>70</v>
      </c>
      <c r="N63" s="4">
        <v>70</v>
      </c>
      <c r="O63" s="4">
        <v>0</v>
      </c>
      <c r="P63" s="2">
        <f t="shared" si="6"/>
        <v>54340.86</v>
      </c>
      <c r="Q63" s="2">
        <f t="shared" si="1"/>
        <v>13211.310000000001</v>
      </c>
      <c r="R63" s="2">
        <f t="shared" si="2"/>
        <v>17448.900000000001</v>
      </c>
      <c r="S63" s="2">
        <f t="shared" si="3"/>
        <v>17448.900000000001</v>
      </c>
      <c r="T63" s="2">
        <f t="shared" si="4"/>
        <v>17448.900000000001</v>
      </c>
      <c r="U63" s="2">
        <f t="shared" si="5"/>
        <v>0</v>
      </c>
    </row>
    <row r="64" spans="1:21" hidden="1">
      <c r="A64" s="58">
        <v>61</v>
      </c>
      <c r="B64" s="20" t="s">
        <v>521</v>
      </c>
      <c r="C64" s="20" t="s">
        <v>544</v>
      </c>
      <c r="D64" s="20" t="s">
        <v>545</v>
      </c>
      <c r="E64" s="21" t="s">
        <v>593</v>
      </c>
      <c r="F64" s="78" t="s">
        <v>648</v>
      </c>
      <c r="G64" s="9">
        <v>917405002</v>
      </c>
      <c r="H64" s="9" t="s">
        <v>649</v>
      </c>
      <c r="I64" s="63">
        <v>249.27</v>
      </c>
      <c r="J64" s="112">
        <v>113</v>
      </c>
      <c r="K64" s="79">
        <v>53</v>
      </c>
      <c r="L64" s="79">
        <v>70</v>
      </c>
      <c r="M64" s="115">
        <v>70</v>
      </c>
      <c r="N64" s="4">
        <v>70</v>
      </c>
      <c r="O64" s="4">
        <v>0</v>
      </c>
      <c r="P64" s="2">
        <f t="shared" si="6"/>
        <v>28167.510000000002</v>
      </c>
      <c r="Q64" s="2">
        <f t="shared" si="1"/>
        <v>13211.310000000001</v>
      </c>
      <c r="R64" s="2">
        <f t="shared" si="2"/>
        <v>17448.900000000001</v>
      </c>
      <c r="S64" s="2">
        <f t="shared" si="3"/>
        <v>17448.900000000001</v>
      </c>
      <c r="T64" s="2">
        <f t="shared" si="4"/>
        <v>17448.900000000001</v>
      </c>
      <c r="U64" s="2">
        <f t="shared" si="5"/>
        <v>0</v>
      </c>
    </row>
    <row r="65" spans="1:21" hidden="1">
      <c r="A65" s="20">
        <v>62</v>
      </c>
      <c r="B65" s="20" t="s">
        <v>521</v>
      </c>
      <c r="C65" s="20" t="s">
        <v>544</v>
      </c>
      <c r="D65" s="20" t="s">
        <v>545</v>
      </c>
      <c r="E65" s="21" t="s">
        <v>593</v>
      </c>
      <c r="F65" s="78" t="s">
        <v>650</v>
      </c>
      <c r="G65" s="9">
        <v>917405003</v>
      </c>
      <c r="H65" s="9" t="s">
        <v>651</v>
      </c>
      <c r="I65" s="63">
        <v>253.34</v>
      </c>
      <c r="J65" s="112">
        <v>151</v>
      </c>
      <c r="K65" s="79">
        <v>53</v>
      </c>
      <c r="L65" s="79">
        <v>70</v>
      </c>
      <c r="M65" s="115">
        <v>70</v>
      </c>
      <c r="N65" s="4">
        <v>70</v>
      </c>
      <c r="O65" s="4">
        <v>0</v>
      </c>
      <c r="P65" s="2">
        <f t="shared" si="6"/>
        <v>38254.340000000004</v>
      </c>
      <c r="Q65" s="2">
        <f t="shared" si="1"/>
        <v>13427.02</v>
      </c>
      <c r="R65" s="2">
        <f t="shared" si="2"/>
        <v>17733.8</v>
      </c>
      <c r="S65" s="2">
        <f t="shared" si="3"/>
        <v>17733.8</v>
      </c>
      <c r="T65" s="2">
        <f t="shared" si="4"/>
        <v>17733.8</v>
      </c>
      <c r="U65" s="2">
        <f t="shared" si="5"/>
        <v>0</v>
      </c>
    </row>
    <row r="66" spans="1:21" hidden="1">
      <c r="A66" s="20">
        <v>63</v>
      </c>
      <c r="B66" s="20" t="s">
        <v>521</v>
      </c>
      <c r="C66" s="20" t="s">
        <v>544</v>
      </c>
      <c r="D66" s="20" t="s">
        <v>545</v>
      </c>
      <c r="E66" s="21" t="s">
        <v>593</v>
      </c>
      <c r="F66" s="78" t="s">
        <v>652</v>
      </c>
      <c r="G66" s="9">
        <v>917405004</v>
      </c>
      <c r="H66" s="9" t="s">
        <v>653</v>
      </c>
      <c r="I66" s="63">
        <v>253.34</v>
      </c>
      <c r="J66" s="112">
        <v>168</v>
      </c>
      <c r="K66" s="79">
        <v>53</v>
      </c>
      <c r="L66" s="79">
        <v>70</v>
      </c>
      <c r="M66" s="115">
        <v>70</v>
      </c>
      <c r="N66" s="4">
        <v>70</v>
      </c>
      <c r="O66" s="4">
        <v>0</v>
      </c>
      <c r="P66" s="2">
        <f t="shared" si="6"/>
        <v>42561.120000000003</v>
      </c>
      <c r="Q66" s="2">
        <f t="shared" si="1"/>
        <v>13427.02</v>
      </c>
      <c r="R66" s="2">
        <f t="shared" si="2"/>
        <v>17733.8</v>
      </c>
      <c r="S66" s="2">
        <f t="shared" si="3"/>
        <v>17733.8</v>
      </c>
      <c r="T66" s="2">
        <f t="shared" si="4"/>
        <v>17733.8</v>
      </c>
      <c r="U66" s="2">
        <f t="shared" si="5"/>
        <v>0</v>
      </c>
    </row>
    <row r="67" spans="1:21" hidden="1">
      <c r="A67" s="58">
        <v>64</v>
      </c>
      <c r="B67" s="20" t="s">
        <v>521</v>
      </c>
      <c r="C67" s="20" t="s">
        <v>544</v>
      </c>
      <c r="D67" s="20" t="s">
        <v>545</v>
      </c>
      <c r="E67" s="21" t="s">
        <v>593</v>
      </c>
      <c r="F67" s="78" t="s">
        <v>654</v>
      </c>
      <c r="G67" s="78">
        <v>917405006</v>
      </c>
      <c r="H67" s="9" t="s">
        <v>655</v>
      </c>
      <c r="I67" s="63">
        <v>85.78</v>
      </c>
      <c r="J67" s="112">
        <v>218</v>
      </c>
      <c r="K67" s="79">
        <v>53</v>
      </c>
      <c r="L67" s="79">
        <v>70</v>
      </c>
      <c r="M67" s="115">
        <v>70</v>
      </c>
      <c r="N67" s="4">
        <v>70</v>
      </c>
      <c r="O67" s="4">
        <v>0</v>
      </c>
      <c r="P67" s="2">
        <f t="shared" si="6"/>
        <v>18700.04</v>
      </c>
      <c r="Q67" s="2">
        <f t="shared" si="1"/>
        <v>4546.34</v>
      </c>
      <c r="R67" s="2">
        <f t="shared" si="2"/>
        <v>6004.6</v>
      </c>
      <c r="S67" s="2">
        <f t="shared" si="3"/>
        <v>6004.6</v>
      </c>
      <c r="T67" s="2">
        <f t="shared" si="4"/>
        <v>6004.6</v>
      </c>
      <c r="U67" s="2">
        <f t="shared" si="5"/>
        <v>0</v>
      </c>
    </row>
    <row r="68" spans="1:21" hidden="1">
      <c r="A68" s="20">
        <v>65</v>
      </c>
      <c r="B68" s="20" t="s">
        <v>521</v>
      </c>
      <c r="C68" s="20" t="s">
        <v>544</v>
      </c>
      <c r="D68" s="20" t="s">
        <v>545</v>
      </c>
      <c r="E68" s="21" t="s">
        <v>593</v>
      </c>
      <c r="F68" s="78" t="s">
        <v>656</v>
      </c>
      <c r="G68" s="78">
        <v>917405005</v>
      </c>
      <c r="H68" s="9" t="s">
        <v>657</v>
      </c>
      <c r="I68" s="63">
        <v>85.78</v>
      </c>
      <c r="J68" s="112">
        <v>113</v>
      </c>
      <c r="K68" s="79">
        <v>53</v>
      </c>
      <c r="L68" s="79">
        <v>70</v>
      </c>
      <c r="M68" s="115">
        <v>70</v>
      </c>
      <c r="N68" s="4">
        <v>70</v>
      </c>
      <c r="O68" s="4">
        <v>0</v>
      </c>
      <c r="P68" s="2">
        <f t="shared" si="6"/>
        <v>9693.14</v>
      </c>
      <c r="Q68" s="2">
        <f t="shared" ref="Q68:Q131" si="7">K68*I68</f>
        <v>4546.34</v>
      </c>
      <c r="R68" s="2">
        <f t="shared" ref="R68:R131" si="8">L68*I68</f>
        <v>6004.6</v>
      </c>
      <c r="S68" s="2">
        <f t="shared" ref="S68:S131" si="9">M68*I68</f>
        <v>6004.6</v>
      </c>
      <c r="T68" s="2">
        <f t="shared" ref="T68:T131" si="10">N68*I68</f>
        <v>6004.6</v>
      </c>
      <c r="U68" s="2">
        <f t="shared" ref="U68:U131" si="11">O68*I68</f>
        <v>0</v>
      </c>
    </row>
    <row r="69" spans="1:21" hidden="1">
      <c r="A69" s="20">
        <v>66</v>
      </c>
      <c r="B69" s="20" t="s">
        <v>521</v>
      </c>
      <c r="C69" s="20" t="s">
        <v>544</v>
      </c>
      <c r="D69" s="20" t="s">
        <v>545</v>
      </c>
      <c r="E69" s="21" t="s">
        <v>593</v>
      </c>
      <c r="F69" s="78" t="s">
        <v>658</v>
      </c>
      <c r="G69" s="78">
        <v>917405007</v>
      </c>
      <c r="H69" s="9" t="s">
        <v>659</v>
      </c>
      <c r="I69" s="63">
        <v>155.82</v>
      </c>
      <c r="J69" s="112">
        <v>151</v>
      </c>
      <c r="K69" s="79">
        <v>53</v>
      </c>
      <c r="L69" s="79">
        <v>70</v>
      </c>
      <c r="M69" s="115">
        <v>70</v>
      </c>
      <c r="N69" s="4">
        <v>70</v>
      </c>
      <c r="O69" s="4">
        <v>0</v>
      </c>
      <c r="P69" s="2">
        <f t="shared" ref="P69:P132" si="12">J69*I69</f>
        <v>23528.82</v>
      </c>
      <c r="Q69" s="2">
        <f t="shared" si="7"/>
        <v>8258.4599999999991</v>
      </c>
      <c r="R69" s="2">
        <f t="shared" si="8"/>
        <v>10907.4</v>
      </c>
      <c r="S69" s="2">
        <f t="shared" si="9"/>
        <v>10907.4</v>
      </c>
      <c r="T69" s="2">
        <f t="shared" si="10"/>
        <v>10907.4</v>
      </c>
      <c r="U69" s="2">
        <f t="shared" si="11"/>
        <v>0</v>
      </c>
    </row>
    <row r="70" spans="1:21" hidden="1">
      <c r="A70" s="58">
        <v>67</v>
      </c>
      <c r="B70" s="20" t="s">
        <v>521</v>
      </c>
      <c r="C70" s="20" t="s">
        <v>544</v>
      </c>
      <c r="D70" s="20" t="s">
        <v>545</v>
      </c>
      <c r="E70" s="21" t="s">
        <v>593</v>
      </c>
      <c r="F70" s="78" t="s">
        <v>660</v>
      </c>
      <c r="G70" s="78">
        <v>917405008</v>
      </c>
      <c r="H70" s="9" t="s">
        <v>661</v>
      </c>
      <c r="I70" s="63">
        <v>155.82</v>
      </c>
      <c r="J70" s="112">
        <v>168</v>
      </c>
      <c r="K70" s="79">
        <v>53</v>
      </c>
      <c r="L70" s="79">
        <v>70</v>
      </c>
      <c r="M70" s="115">
        <v>70</v>
      </c>
      <c r="N70" s="4">
        <v>70</v>
      </c>
      <c r="O70" s="4">
        <v>0</v>
      </c>
      <c r="P70" s="2">
        <f t="shared" si="12"/>
        <v>26177.759999999998</v>
      </c>
      <c r="Q70" s="2">
        <f t="shared" si="7"/>
        <v>8258.4599999999991</v>
      </c>
      <c r="R70" s="2">
        <f t="shared" si="8"/>
        <v>10907.4</v>
      </c>
      <c r="S70" s="2">
        <f t="shared" si="9"/>
        <v>10907.4</v>
      </c>
      <c r="T70" s="2">
        <f t="shared" si="10"/>
        <v>10907.4</v>
      </c>
      <c r="U70" s="2">
        <f t="shared" si="11"/>
        <v>0</v>
      </c>
    </row>
    <row r="71" spans="1:21" hidden="1">
      <c r="A71" s="20">
        <v>68</v>
      </c>
      <c r="B71" s="20" t="s">
        <v>521</v>
      </c>
      <c r="C71" s="20" t="s">
        <v>544</v>
      </c>
      <c r="D71" s="20" t="s">
        <v>545</v>
      </c>
      <c r="E71" s="21" t="s">
        <v>593</v>
      </c>
      <c r="F71" s="84" t="s">
        <v>662</v>
      </c>
      <c r="G71" s="78">
        <v>917405011</v>
      </c>
      <c r="H71" s="9" t="s">
        <v>663</v>
      </c>
      <c r="I71" s="63">
        <v>28.91</v>
      </c>
      <c r="J71" s="112">
        <v>979</v>
      </c>
      <c r="K71" s="79">
        <v>447</v>
      </c>
      <c r="L71" s="79">
        <v>430</v>
      </c>
      <c r="M71" s="115">
        <v>430</v>
      </c>
      <c r="N71" s="4">
        <v>430</v>
      </c>
      <c r="O71" s="4">
        <v>0</v>
      </c>
      <c r="P71" s="2">
        <f t="shared" si="12"/>
        <v>28302.89</v>
      </c>
      <c r="Q71" s="2">
        <f t="shared" si="7"/>
        <v>12922.77</v>
      </c>
      <c r="R71" s="2">
        <f t="shared" si="8"/>
        <v>12431.3</v>
      </c>
      <c r="S71" s="2">
        <f t="shared" si="9"/>
        <v>12431.3</v>
      </c>
      <c r="T71" s="2">
        <f t="shared" si="10"/>
        <v>12431.3</v>
      </c>
      <c r="U71" s="2">
        <f t="shared" si="11"/>
        <v>0</v>
      </c>
    </row>
    <row r="72" spans="1:21" hidden="1">
      <c r="A72" s="20">
        <v>69</v>
      </c>
      <c r="B72" s="20" t="s">
        <v>521</v>
      </c>
      <c r="C72" s="20" t="s">
        <v>544</v>
      </c>
      <c r="D72" s="20" t="s">
        <v>545</v>
      </c>
      <c r="E72" s="21" t="s">
        <v>593</v>
      </c>
      <c r="F72" s="84" t="s">
        <v>664</v>
      </c>
      <c r="G72" s="78">
        <v>917405012</v>
      </c>
      <c r="H72" s="9" t="s">
        <v>665</v>
      </c>
      <c r="I72" s="63">
        <v>28.91</v>
      </c>
      <c r="J72" s="112">
        <v>987</v>
      </c>
      <c r="K72" s="79">
        <v>447</v>
      </c>
      <c r="L72" s="79">
        <v>430</v>
      </c>
      <c r="M72" s="115">
        <v>430</v>
      </c>
      <c r="N72" s="4">
        <v>430</v>
      </c>
      <c r="O72" s="4">
        <v>0</v>
      </c>
      <c r="P72" s="2">
        <f t="shared" si="12"/>
        <v>28534.170000000002</v>
      </c>
      <c r="Q72" s="2">
        <f t="shared" si="7"/>
        <v>12922.77</v>
      </c>
      <c r="R72" s="2">
        <f t="shared" si="8"/>
        <v>12431.3</v>
      </c>
      <c r="S72" s="2">
        <f t="shared" si="9"/>
        <v>12431.3</v>
      </c>
      <c r="T72" s="2">
        <f t="shared" si="10"/>
        <v>12431.3</v>
      </c>
      <c r="U72" s="2">
        <f t="shared" si="11"/>
        <v>0</v>
      </c>
    </row>
    <row r="73" spans="1:21" hidden="1">
      <c r="A73" s="58">
        <v>70</v>
      </c>
      <c r="B73" s="20" t="s">
        <v>521</v>
      </c>
      <c r="C73" s="20" t="s">
        <v>544</v>
      </c>
      <c r="D73" s="20" t="s">
        <v>545</v>
      </c>
      <c r="E73" s="21" t="s">
        <v>593</v>
      </c>
      <c r="F73" s="85" t="s">
        <v>666</v>
      </c>
      <c r="G73" s="85">
        <v>917405010</v>
      </c>
      <c r="H73" s="9" t="s">
        <v>667</v>
      </c>
      <c r="I73" s="63">
        <v>59.31</v>
      </c>
      <c r="J73" s="113">
        <v>511</v>
      </c>
      <c r="K73" s="86">
        <v>447</v>
      </c>
      <c r="L73" s="86">
        <v>430</v>
      </c>
      <c r="M73" s="115">
        <v>430</v>
      </c>
      <c r="N73" s="4">
        <v>430</v>
      </c>
      <c r="O73" s="4">
        <v>0</v>
      </c>
      <c r="P73" s="2">
        <f t="shared" si="12"/>
        <v>30307.41</v>
      </c>
      <c r="Q73" s="2">
        <f t="shared" si="7"/>
        <v>26511.57</v>
      </c>
      <c r="R73" s="2">
        <f t="shared" si="8"/>
        <v>25503.3</v>
      </c>
      <c r="S73" s="2">
        <f t="shared" si="9"/>
        <v>25503.3</v>
      </c>
      <c r="T73" s="2">
        <f t="shared" si="10"/>
        <v>25503.3</v>
      </c>
      <c r="U73" s="2">
        <f t="shared" si="11"/>
        <v>0</v>
      </c>
    </row>
    <row r="74" spans="1:21" hidden="1">
      <c r="A74" s="20">
        <v>71</v>
      </c>
      <c r="B74" s="20" t="s">
        <v>521</v>
      </c>
      <c r="C74" s="20" t="s">
        <v>544</v>
      </c>
      <c r="D74" s="20" t="s">
        <v>545</v>
      </c>
      <c r="E74" s="21" t="s">
        <v>593</v>
      </c>
      <c r="F74" s="85" t="s">
        <v>668</v>
      </c>
      <c r="G74" s="85">
        <v>917405009</v>
      </c>
      <c r="H74" s="9" t="s">
        <v>669</v>
      </c>
      <c r="I74" s="63">
        <v>59.31</v>
      </c>
      <c r="J74" s="113">
        <v>353</v>
      </c>
      <c r="K74" s="86">
        <v>447</v>
      </c>
      <c r="L74" s="86">
        <v>430</v>
      </c>
      <c r="M74" s="115">
        <v>430</v>
      </c>
      <c r="N74" s="4">
        <v>430</v>
      </c>
      <c r="O74" s="4">
        <v>0</v>
      </c>
      <c r="P74" s="2">
        <f t="shared" si="12"/>
        <v>20936.43</v>
      </c>
      <c r="Q74" s="2">
        <f t="shared" si="7"/>
        <v>26511.57</v>
      </c>
      <c r="R74" s="2">
        <f t="shared" si="8"/>
        <v>25503.3</v>
      </c>
      <c r="S74" s="2">
        <f t="shared" si="9"/>
        <v>25503.3</v>
      </c>
      <c r="T74" s="2">
        <f t="shared" si="10"/>
        <v>25503.3</v>
      </c>
      <c r="U74" s="2">
        <f t="shared" si="11"/>
        <v>0</v>
      </c>
    </row>
    <row r="75" spans="1:21" hidden="1">
      <c r="A75" s="20">
        <v>72</v>
      </c>
      <c r="B75" s="20" t="s">
        <v>521</v>
      </c>
      <c r="C75" s="20" t="s">
        <v>544</v>
      </c>
      <c r="D75" s="20" t="s">
        <v>545</v>
      </c>
      <c r="E75" s="21" t="s">
        <v>593</v>
      </c>
      <c r="F75" s="85" t="s">
        <v>670</v>
      </c>
      <c r="G75" s="85">
        <v>917408001</v>
      </c>
      <c r="H75" s="9" t="s">
        <v>671</v>
      </c>
      <c r="I75" s="63">
        <v>252.64</v>
      </c>
      <c r="J75" s="113">
        <v>508</v>
      </c>
      <c r="K75" s="86">
        <v>500</v>
      </c>
      <c r="L75" s="86">
        <v>500</v>
      </c>
      <c r="M75" s="115">
        <v>500</v>
      </c>
      <c r="N75" s="4">
        <v>500</v>
      </c>
      <c r="O75" s="4">
        <v>0</v>
      </c>
      <c r="P75" s="2">
        <f t="shared" si="12"/>
        <v>128341.12</v>
      </c>
      <c r="Q75" s="2">
        <f t="shared" si="7"/>
        <v>126320</v>
      </c>
      <c r="R75" s="2">
        <f t="shared" si="8"/>
        <v>126320</v>
      </c>
      <c r="S75" s="2">
        <f t="shared" si="9"/>
        <v>126320</v>
      </c>
      <c r="T75" s="2">
        <f t="shared" si="10"/>
        <v>126320</v>
      </c>
      <c r="U75" s="2">
        <f t="shared" si="11"/>
        <v>0</v>
      </c>
    </row>
    <row r="76" spans="1:21" hidden="1">
      <c r="A76" s="58">
        <v>73</v>
      </c>
      <c r="B76" s="20" t="s">
        <v>521</v>
      </c>
      <c r="C76" s="20" t="s">
        <v>544</v>
      </c>
      <c r="D76" s="20" t="s">
        <v>545</v>
      </c>
      <c r="E76" s="21" t="s">
        <v>593</v>
      </c>
      <c r="F76" s="85" t="s">
        <v>672</v>
      </c>
      <c r="G76" s="85">
        <v>917408002</v>
      </c>
      <c r="H76" s="9" t="s">
        <v>673</v>
      </c>
      <c r="I76" s="63">
        <v>252.64</v>
      </c>
      <c r="J76" s="113">
        <v>399</v>
      </c>
      <c r="K76" s="86">
        <v>500</v>
      </c>
      <c r="L76" s="86">
        <v>500</v>
      </c>
      <c r="M76" s="115">
        <v>500</v>
      </c>
      <c r="N76" s="4">
        <v>500</v>
      </c>
      <c r="O76" s="4">
        <v>0</v>
      </c>
      <c r="P76" s="2">
        <f t="shared" si="12"/>
        <v>100803.36</v>
      </c>
      <c r="Q76" s="2">
        <f t="shared" si="7"/>
        <v>126320</v>
      </c>
      <c r="R76" s="2">
        <f t="shared" si="8"/>
        <v>126320</v>
      </c>
      <c r="S76" s="2">
        <f t="shared" si="9"/>
        <v>126320</v>
      </c>
      <c r="T76" s="2">
        <f t="shared" si="10"/>
        <v>126320</v>
      </c>
      <c r="U76" s="2">
        <f t="shared" si="11"/>
        <v>0</v>
      </c>
    </row>
    <row r="77" spans="1:21" hidden="1">
      <c r="A77" s="20">
        <v>74</v>
      </c>
      <c r="B77" s="20" t="s">
        <v>521</v>
      </c>
      <c r="C77" s="20" t="s">
        <v>544</v>
      </c>
      <c r="D77" s="20" t="s">
        <v>545</v>
      </c>
      <c r="E77" s="21" t="s">
        <v>593</v>
      </c>
      <c r="F77" s="85" t="s">
        <v>674</v>
      </c>
      <c r="G77" s="85">
        <v>917403002</v>
      </c>
      <c r="H77" s="87" t="s">
        <v>675</v>
      </c>
      <c r="I77" s="63">
        <v>35.75</v>
      </c>
      <c r="J77" s="113">
        <v>400</v>
      </c>
      <c r="K77" s="88">
        <v>500</v>
      </c>
      <c r="L77" s="88">
        <v>500</v>
      </c>
      <c r="M77" s="115">
        <v>500</v>
      </c>
      <c r="N77" s="4">
        <v>500</v>
      </c>
      <c r="O77" s="4">
        <v>0</v>
      </c>
      <c r="P77" s="2">
        <f t="shared" si="12"/>
        <v>14300</v>
      </c>
      <c r="Q77" s="2">
        <f t="shared" si="7"/>
        <v>17875</v>
      </c>
      <c r="R77" s="2">
        <f t="shared" si="8"/>
        <v>17875</v>
      </c>
      <c r="S77" s="2">
        <f t="shared" si="9"/>
        <v>17875</v>
      </c>
      <c r="T77" s="2">
        <f t="shared" si="10"/>
        <v>17875</v>
      </c>
      <c r="U77" s="2">
        <f t="shared" si="11"/>
        <v>0</v>
      </c>
    </row>
    <row r="78" spans="1:21" hidden="1">
      <c r="A78" s="20">
        <v>75</v>
      </c>
      <c r="B78" s="20" t="s">
        <v>521</v>
      </c>
      <c r="C78" s="20" t="s">
        <v>544</v>
      </c>
      <c r="D78" s="20" t="s">
        <v>545</v>
      </c>
      <c r="E78" s="21" t="s">
        <v>593</v>
      </c>
      <c r="F78" s="85" t="s">
        <v>676</v>
      </c>
      <c r="G78" s="85">
        <v>918617001</v>
      </c>
      <c r="H78" s="87" t="s">
        <v>677</v>
      </c>
      <c r="I78" s="63">
        <v>41.06</v>
      </c>
      <c r="J78" s="113">
        <v>400</v>
      </c>
      <c r="K78" s="88">
        <v>500</v>
      </c>
      <c r="L78" s="88">
        <v>500</v>
      </c>
      <c r="M78" s="115">
        <v>500</v>
      </c>
      <c r="N78" s="4">
        <v>500</v>
      </c>
      <c r="O78" s="4">
        <v>0</v>
      </c>
      <c r="P78" s="2">
        <f t="shared" si="12"/>
        <v>16424</v>
      </c>
      <c r="Q78" s="2">
        <f t="shared" si="7"/>
        <v>20530</v>
      </c>
      <c r="R78" s="2">
        <f t="shared" si="8"/>
        <v>20530</v>
      </c>
      <c r="S78" s="2">
        <f t="shared" si="9"/>
        <v>20530</v>
      </c>
      <c r="T78" s="2">
        <f t="shared" si="10"/>
        <v>20530</v>
      </c>
      <c r="U78" s="2">
        <f t="shared" si="11"/>
        <v>0</v>
      </c>
    </row>
    <row r="79" spans="1:21" ht="20.149999999999999" hidden="1" customHeight="1">
      <c r="A79" s="58">
        <v>76</v>
      </c>
      <c r="B79" s="20" t="s">
        <v>521</v>
      </c>
      <c r="C79" s="20" t="s">
        <v>544</v>
      </c>
      <c r="D79" s="20" t="s">
        <v>545</v>
      </c>
      <c r="E79" s="21" t="s">
        <v>593</v>
      </c>
      <c r="F79" s="85" t="s">
        <v>678</v>
      </c>
      <c r="G79" s="85">
        <v>917418002</v>
      </c>
      <c r="H79" s="87" t="s">
        <v>679</v>
      </c>
      <c r="I79" s="63">
        <v>77.8</v>
      </c>
      <c r="J79" s="113">
        <v>400</v>
      </c>
      <c r="K79" s="88">
        <v>500</v>
      </c>
      <c r="L79" s="88">
        <v>500</v>
      </c>
      <c r="M79" s="115">
        <v>500</v>
      </c>
      <c r="N79" s="4">
        <v>500</v>
      </c>
      <c r="O79" s="4">
        <v>0</v>
      </c>
      <c r="P79" s="2">
        <f t="shared" si="12"/>
        <v>31120</v>
      </c>
      <c r="Q79" s="2">
        <f t="shared" si="7"/>
        <v>38900</v>
      </c>
      <c r="R79" s="2">
        <f t="shared" si="8"/>
        <v>38900</v>
      </c>
      <c r="S79" s="2">
        <f t="shared" si="9"/>
        <v>38900</v>
      </c>
      <c r="T79" s="2">
        <f t="shared" si="10"/>
        <v>38900</v>
      </c>
      <c r="U79" s="2">
        <f t="shared" si="11"/>
        <v>0</v>
      </c>
    </row>
    <row r="80" spans="1:21" hidden="1">
      <c r="A80" s="20">
        <v>77</v>
      </c>
      <c r="B80" s="20" t="s">
        <v>521</v>
      </c>
      <c r="C80" s="20" t="s">
        <v>544</v>
      </c>
      <c r="D80" s="20" t="s">
        <v>307</v>
      </c>
      <c r="E80" s="9" t="s">
        <v>680</v>
      </c>
      <c r="F80" s="85" t="s">
        <v>681</v>
      </c>
      <c r="G80" s="85">
        <v>917709001</v>
      </c>
      <c r="H80" s="87" t="s">
        <v>682</v>
      </c>
      <c r="I80" s="63">
        <v>643.73</v>
      </c>
      <c r="J80" s="113">
        <v>442</v>
      </c>
      <c r="K80" s="88">
        <v>265</v>
      </c>
      <c r="L80" s="88">
        <v>312</v>
      </c>
      <c r="M80" s="115">
        <v>265</v>
      </c>
      <c r="N80" s="4">
        <v>219</v>
      </c>
      <c r="O80" s="4">
        <v>167</v>
      </c>
      <c r="P80" s="2">
        <f t="shared" si="12"/>
        <v>284528.66000000003</v>
      </c>
      <c r="Q80" s="2">
        <f t="shared" si="7"/>
        <v>170588.45</v>
      </c>
      <c r="R80" s="2">
        <f t="shared" si="8"/>
        <v>200843.76</v>
      </c>
      <c r="S80" s="2">
        <f t="shared" si="9"/>
        <v>170588.45</v>
      </c>
      <c r="T80" s="2">
        <f t="shared" si="10"/>
        <v>140976.87</v>
      </c>
      <c r="U80" s="2">
        <f t="shared" si="11"/>
        <v>107502.91</v>
      </c>
    </row>
    <row r="81" spans="1:21" hidden="1">
      <c r="A81" s="20">
        <v>78</v>
      </c>
      <c r="B81" s="20" t="s">
        <v>521</v>
      </c>
      <c r="C81" s="20" t="s">
        <v>544</v>
      </c>
      <c r="D81" s="20" t="s">
        <v>307</v>
      </c>
      <c r="E81" s="9" t="s">
        <v>680</v>
      </c>
      <c r="F81" s="85" t="s">
        <v>683</v>
      </c>
      <c r="G81" s="85">
        <v>917701002</v>
      </c>
      <c r="H81" s="89" t="s">
        <v>684</v>
      </c>
      <c r="I81" s="63">
        <v>357.31</v>
      </c>
      <c r="J81" s="113">
        <v>1306</v>
      </c>
      <c r="K81" s="86">
        <v>730</v>
      </c>
      <c r="L81" s="86">
        <v>718</v>
      </c>
      <c r="M81" s="115">
        <v>750</v>
      </c>
      <c r="N81" s="4">
        <v>638</v>
      </c>
      <c r="O81" s="4">
        <v>534</v>
      </c>
      <c r="P81" s="2">
        <f t="shared" si="12"/>
        <v>466646.86</v>
      </c>
      <c r="Q81" s="2">
        <f t="shared" si="7"/>
        <v>260836.3</v>
      </c>
      <c r="R81" s="2">
        <f t="shared" si="8"/>
        <v>256548.58</v>
      </c>
      <c r="S81" s="2">
        <f t="shared" si="9"/>
        <v>267982.5</v>
      </c>
      <c r="T81" s="2">
        <f t="shared" si="10"/>
        <v>227963.78</v>
      </c>
      <c r="U81" s="2">
        <f t="shared" si="11"/>
        <v>190803.54</v>
      </c>
    </row>
    <row r="82" spans="1:21" hidden="1">
      <c r="A82" s="58">
        <v>79</v>
      </c>
      <c r="B82" s="20" t="s">
        <v>521</v>
      </c>
      <c r="C82" s="20" t="s">
        <v>544</v>
      </c>
      <c r="D82" s="20" t="s">
        <v>307</v>
      </c>
      <c r="E82" s="9" t="s">
        <v>680</v>
      </c>
      <c r="F82" s="78" t="s">
        <v>685</v>
      </c>
      <c r="G82" s="9">
        <v>917718001</v>
      </c>
      <c r="H82" s="9" t="s">
        <v>686</v>
      </c>
      <c r="I82" s="63">
        <v>208.57</v>
      </c>
      <c r="J82" s="112">
        <v>650</v>
      </c>
      <c r="K82" s="4">
        <v>365</v>
      </c>
      <c r="L82" s="4">
        <v>359</v>
      </c>
      <c r="M82" s="115">
        <v>375</v>
      </c>
      <c r="N82" s="4">
        <v>319</v>
      </c>
      <c r="O82" s="4">
        <v>267</v>
      </c>
      <c r="P82" s="2">
        <f t="shared" si="12"/>
        <v>135570.5</v>
      </c>
      <c r="Q82" s="2">
        <f t="shared" si="7"/>
        <v>76128.05</v>
      </c>
      <c r="R82" s="2">
        <f t="shared" si="8"/>
        <v>74876.63</v>
      </c>
      <c r="S82" s="2">
        <f t="shared" si="9"/>
        <v>78213.75</v>
      </c>
      <c r="T82" s="2">
        <f t="shared" si="10"/>
        <v>66533.83</v>
      </c>
      <c r="U82" s="2">
        <f t="shared" si="11"/>
        <v>55688.189999999995</v>
      </c>
    </row>
    <row r="83" spans="1:21" hidden="1">
      <c r="A83" s="20">
        <v>80</v>
      </c>
      <c r="B83" s="20" t="s">
        <v>521</v>
      </c>
      <c r="C83" s="20" t="s">
        <v>544</v>
      </c>
      <c r="D83" s="20" t="s">
        <v>307</v>
      </c>
      <c r="E83" s="9" t="s">
        <v>680</v>
      </c>
      <c r="F83" s="78" t="s">
        <v>687</v>
      </c>
      <c r="G83" s="9">
        <v>917718002</v>
      </c>
      <c r="H83" s="9" t="s">
        <v>686</v>
      </c>
      <c r="I83" s="63">
        <v>208.57</v>
      </c>
      <c r="J83" s="112">
        <v>640</v>
      </c>
      <c r="K83" s="4">
        <v>365</v>
      </c>
      <c r="L83" s="4">
        <v>359</v>
      </c>
      <c r="M83" s="115">
        <v>375</v>
      </c>
      <c r="N83" s="4">
        <v>319</v>
      </c>
      <c r="O83" s="4">
        <v>267</v>
      </c>
      <c r="P83" s="2">
        <f t="shared" si="12"/>
        <v>133484.79999999999</v>
      </c>
      <c r="Q83" s="2">
        <f t="shared" si="7"/>
        <v>76128.05</v>
      </c>
      <c r="R83" s="2">
        <f t="shared" si="8"/>
        <v>74876.63</v>
      </c>
      <c r="S83" s="2">
        <f t="shared" si="9"/>
        <v>78213.75</v>
      </c>
      <c r="T83" s="2">
        <f t="shared" si="10"/>
        <v>66533.83</v>
      </c>
      <c r="U83" s="2">
        <f t="shared" si="11"/>
        <v>55688.189999999995</v>
      </c>
    </row>
    <row r="84" spans="1:21" hidden="1">
      <c r="A84" s="20">
        <v>81</v>
      </c>
      <c r="B84" s="20" t="s">
        <v>521</v>
      </c>
      <c r="C84" s="20" t="s">
        <v>544</v>
      </c>
      <c r="D84" s="20" t="s">
        <v>307</v>
      </c>
      <c r="E84" s="9" t="s">
        <v>680</v>
      </c>
      <c r="F84" s="78" t="s">
        <v>688</v>
      </c>
      <c r="G84" s="9">
        <v>17709002</v>
      </c>
      <c r="H84" s="9" t="s">
        <v>689</v>
      </c>
      <c r="I84" s="63">
        <v>557.97</v>
      </c>
      <c r="J84" s="112">
        <v>142</v>
      </c>
      <c r="K84" s="4">
        <v>100</v>
      </c>
      <c r="L84" s="4">
        <v>47</v>
      </c>
      <c r="M84" s="115">
        <v>110</v>
      </c>
      <c r="N84" s="4">
        <v>100</v>
      </c>
      <c r="O84" s="4">
        <v>100</v>
      </c>
      <c r="P84" s="2">
        <f t="shared" si="12"/>
        <v>79231.740000000005</v>
      </c>
      <c r="Q84" s="2">
        <f t="shared" si="7"/>
        <v>55797</v>
      </c>
      <c r="R84" s="2">
        <f t="shared" si="8"/>
        <v>26224.59</v>
      </c>
      <c r="S84" s="2">
        <f t="shared" si="9"/>
        <v>61376.700000000004</v>
      </c>
      <c r="T84" s="2">
        <f t="shared" si="10"/>
        <v>55797</v>
      </c>
      <c r="U84" s="2">
        <f t="shared" si="11"/>
        <v>55797</v>
      </c>
    </row>
    <row r="85" spans="1:21" hidden="1">
      <c r="A85" s="58">
        <v>82</v>
      </c>
      <c r="B85" s="20" t="s">
        <v>521</v>
      </c>
      <c r="C85" s="20" t="s">
        <v>544</v>
      </c>
      <c r="D85" s="20" t="s">
        <v>307</v>
      </c>
      <c r="E85" s="9" t="s">
        <v>690</v>
      </c>
      <c r="F85" s="78" t="s">
        <v>691</v>
      </c>
      <c r="G85" s="9">
        <v>914301001</v>
      </c>
      <c r="H85" s="9" t="s">
        <v>692</v>
      </c>
      <c r="I85" s="63">
        <v>341.78</v>
      </c>
      <c r="J85" s="112">
        <v>1799</v>
      </c>
      <c r="K85" s="4">
        <v>1008</v>
      </c>
      <c r="L85" s="4">
        <v>994</v>
      </c>
      <c r="M85" s="115">
        <v>1090</v>
      </c>
      <c r="N85" s="4">
        <v>802</v>
      </c>
      <c r="O85" s="4">
        <v>786</v>
      </c>
      <c r="P85" s="2">
        <f t="shared" si="12"/>
        <v>614862.22</v>
      </c>
      <c r="Q85" s="2">
        <f t="shared" si="7"/>
        <v>344514.24</v>
      </c>
      <c r="R85" s="2">
        <f t="shared" si="8"/>
        <v>339729.31999999995</v>
      </c>
      <c r="S85" s="2">
        <f t="shared" si="9"/>
        <v>372540.19999999995</v>
      </c>
      <c r="T85" s="2">
        <f t="shared" si="10"/>
        <v>274107.56</v>
      </c>
      <c r="U85" s="2">
        <f t="shared" si="11"/>
        <v>268639.07999999996</v>
      </c>
    </row>
    <row r="86" spans="1:21" hidden="1">
      <c r="A86" s="20">
        <v>83</v>
      </c>
      <c r="B86" s="20" t="s">
        <v>521</v>
      </c>
      <c r="C86" s="20" t="s">
        <v>544</v>
      </c>
      <c r="D86" s="20" t="s">
        <v>307</v>
      </c>
      <c r="E86" s="9" t="s">
        <v>690</v>
      </c>
      <c r="F86" s="78" t="s">
        <v>693</v>
      </c>
      <c r="G86" s="9">
        <v>914301003</v>
      </c>
      <c r="H86" s="9" t="s">
        <v>694</v>
      </c>
      <c r="I86" s="63">
        <v>170.92</v>
      </c>
      <c r="J86" s="112">
        <v>881</v>
      </c>
      <c r="K86" s="4">
        <v>504</v>
      </c>
      <c r="L86" s="4">
        <v>497</v>
      </c>
      <c r="M86" s="115">
        <v>545</v>
      </c>
      <c r="N86" s="4">
        <v>401</v>
      </c>
      <c r="O86" s="4">
        <v>393</v>
      </c>
      <c r="P86" s="2">
        <f t="shared" si="12"/>
        <v>150580.51999999999</v>
      </c>
      <c r="Q86" s="2">
        <f t="shared" si="7"/>
        <v>86143.679999999993</v>
      </c>
      <c r="R86" s="2">
        <f t="shared" si="8"/>
        <v>84947.239999999991</v>
      </c>
      <c r="S86" s="2">
        <f t="shared" si="9"/>
        <v>93151.4</v>
      </c>
      <c r="T86" s="2">
        <f t="shared" si="10"/>
        <v>68538.92</v>
      </c>
      <c r="U86" s="2">
        <f t="shared" si="11"/>
        <v>67171.56</v>
      </c>
    </row>
    <row r="87" spans="1:21" hidden="1">
      <c r="A87" s="20">
        <v>84</v>
      </c>
      <c r="B87" s="20" t="s">
        <v>521</v>
      </c>
      <c r="C87" s="20" t="s">
        <v>544</v>
      </c>
      <c r="D87" s="20" t="s">
        <v>307</v>
      </c>
      <c r="E87" s="9" t="s">
        <v>690</v>
      </c>
      <c r="F87" s="78" t="s">
        <v>695</v>
      </c>
      <c r="G87" s="9">
        <v>914301004</v>
      </c>
      <c r="H87" s="9" t="s">
        <v>696</v>
      </c>
      <c r="I87" s="63">
        <v>170.92</v>
      </c>
      <c r="J87" s="112">
        <v>964</v>
      </c>
      <c r="K87" s="4">
        <v>504</v>
      </c>
      <c r="L87" s="4">
        <v>497</v>
      </c>
      <c r="M87" s="115">
        <v>545</v>
      </c>
      <c r="N87" s="4">
        <v>401</v>
      </c>
      <c r="O87" s="4">
        <v>393</v>
      </c>
      <c r="P87" s="2">
        <f t="shared" si="12"/>
        <v>164766.87999999998</v>
      </c>
      <c r="Q87" s="2">
        <f t="shared" si="7"/>
        <v>86143.679999999993</v>
      </c>
      <c r="R87" s="2">
        <f t="shared" si="8"/>
        <v>84947.239999999991</v>
      </c>
      <c r="S87" s="2">
        <f t="shared" si="9"/>
        <v>93151.4</v>
      </c>
      <c r="T87" s="2">
        <f t="shared" si="10"/>
        <v>68538.92</v>
      </c>
      <c r="U87" s="2">
        <f t="shared" si="11"/>
        <v>67171.56</v>
      </c>
    </row>
    <row r="88" spans="1:21" hidden="1">
      <c r="A88" s="58">
        <v>85</v>
      </c>
      <c r="B88" s="20" t="s">
        <v>521</v>
      </c>
      <c r="C88" s="20" t="s">
        <v>544</v>
      </c>
      <c r="D88" s="20" t="s">
        <v>307</v>
      </c>
      <c r="E88" s="9" t="s">
        <v>690</v>
      </c>
      <c r="F88" s="78" t="s">
        <v>697</v>
      </c>
      <c r="G88" s="9">
        <v>914304001</v>
      </c>
      <c r="H88" s="9" t="s">
        <v>698</v>
      </c>
      <c r="I88" s="63">
        <v>166.12</v>
      </c>
      <c r="J88" s="112">
        <v>923</v>
      </c>
      <c r="K88" s="4">
        <v>504</v>
      </c>
      <c r="L88" s="4">
        <v>497</v>
      </c>
      <c r="M88" s="115">
        <v>545</v>
      </c>
      <c r="N88" s="4">
        <v>401</v>
      </c>
      <c r="O88" s="4">
        <v>393</v>
      </c>
      <c r="P88" s="2">
        <f t="shared" si="12"/>
        <v>153328.76</v>
      </c>
      <c r="Q88" s="2">
        <f t="shared" si="7"/>
        <v>83724.479999999996</v>
      </c>
      <c r="R88" s="2">
        <f t="shared" si="8"/>
        <v>82561.64</v>
      </c>
      <c r="S88" s="2">
        <f t="shared" si="9"/>
        <v>90535.400000000009</v>
      </c>
      <c r="T88" s="2">
        <f t="shared" si="10"/>
        <v>66614.12</v>
      </c>
      <c r="U88" s="2">
        <f t="shared" si="11"/>
        <v>65285.16</v>
      </c>
    </row>
    <row r="89" spans="1:21" hidden="1">
      <c r="A89" s="20">
        <v>86</v>
      </c>
      <c r="B89" s="20" t="s">
        <v>521</v>
      </c>
      <c r="C89" s="20" t="s">
        <v>544</v>
      </c>
      <c r="D89" s="20" t="s">
        <v>307</v>
      </c>
      <c r="E89" s="9" t="s">
        <v>690</v>
      </c>
      <c r="F89" s="78" t="s">
        <v>699</v>
      </c>
      <c r="G89" s="9">
        <v>914304002</v>
      </c>
      <c r="H89" s="9" t="s">
        <v>700</v>
      </c>
      <c r="I89" s="63">
        <v>166.12</v>
      </c>
      <c r="J89" s="112">
        <v>804</v>
      </c>
      <c r="K89" s="4">
        <v>504</v>
      </c>
      <c r="L89" s="4">
        <v>497</v>
      </c>
      <c r="M89" s="115">
        <v>545</v>
      </c>
      <c r="N89" s="4">
        <v>401</v>
      </c>
      <c r="O89" s="4">
        <v>393</v>
      </c>
      <c r="P89" s="2">
        <f t="shared" si="12"/>
        <v>133560.48000000001</v>
      </c>
      <c r="Q89" s="2">
        <f t="shared" si="7"/>
        <v>83724.479999999996</v>
      </c>
      <c r="R89" s="2">
        <f t="shared" si="8"/>
        <v>82561.64</v>
      </c>
      <c r="S89" s="2">
        <f t="shared" si="9"/>
        <v>90535.400000000009</v>
      </c>
      <c r="T89" s="2">
        <f t="shared" si="10"/>
        <v>66614.12</v>
      </c>
      <c r="U89" s="2">
        <f t="shared" si="11"/>
        <v>65285.16</v>
      </c>
    </row>
    <row r="90" spans="1:21" hidden="1">
      <c r="A90" s="20">
        <v>87</v>
      </c>
      <c r="B90" s="20" t="s">
        <v>521</v>
      </c>
      <c r="C90" s="20" t="s">
        <v>544</v>
      </c>
      <c r="D90" s="20" t="s">
        <v>307</v>
      </c>
      <c r="E90" s="9" t="s">
        <v>690</v>
      </c>
      <c r="F90" s="78" t="s">
        <v>701</v>
      </c>
      <c r="G90" s="9">
        <v>914303001</v>
      </c>
      <c r="H90" s="90" t="s">
        <v>702</v>
      </c>
      <c r="I90" s="63">
        <v>67.239999999999995</v>
      </c>
      <c r="J90" s="112">
        <v>1600</v>
      </c>
      <c r="K90" s="4">
        <v>782</v>
      </c>
      <c r="L90" s="4">
        <v>732</v>
      </c>
      <c r="M90" s="115">
        <v>788</v>
      </c>
      <c r="N90" s="4">
        <v>566</v>
      </c>
      <c r="O90" s="4">
        <v>482</v>
      </c>
      <c r="P90" s="2">
        <f t="shared" si="12"/>
        <v>107583.99999999999</v>
      </c>
      <c r="Q90" s="2">
        <f t="shared" si="7"/>
        <v>52581.679999999993</v>
      </c>
      <c r="R90" s="2">
        <f t="shared" si="8"/>
        <v>49219.679999999993</v>
      </c>
      <c r="S90" s="2">
        <f t="shared" si="9"/>
        <v>52985.119999999995</v>
      </c>
      <c r="T90" s="2">
        <f t="shared" si="10"/>
        <v>38057.839999999997</v>
      </c>
      <c r="U90" s="2">
        <f t="shared" si="11"/>
        <v>32409.679999999997</v>
      </c>
    </row>
    <row r="91" spans="1:21" hidden="1">
      <c r="A91" s="58">
        <v>88</v>
      </c>
      <c r="B91" s="20" t="s">
        <v>521</v>
      </c>
      <c r="C91" s="20" t="s">
        <v>544</v>
      </c>
      <c r="D91" s="20" t="s">
        <v>307</v>
      </c>
      <c r="E91" s="9" t="s">
        <v>690</v>
      </c>
      <c r="F91" s="78" t="s">
        <v>703</v>
      </c>
      <c r="G91" s="9">
        <v>914309001</v>
      </c>
      <c r="H91" s="9" t="s">
        <v>704</v>
      </c>
      <c r="I91" s="63">
        <v>160.31</v>
      </c>
      <c r="J91" s="112">
        <v>870</v>
      </c>
      <c r="K91" s="4">
        <v>504</v>
      </c>
      <c r="L91" s="4">
        <v>497</v>
      </c>
      <c r="M91" s="115">
        <v>545</v>
      </c>
      <c r="N91" s="4">
        <v>401</v>
      </c>
      <c r="O91" s="4">
        <v>393</v>
      </c>
      <c r="P91" s="2">
        <f t="shared" si="12"/>
        <v>139469.70000000001</v>
      </c>
      <c r="Q91" s="2">
        <f t="shared" si="7"/>
        <v>80796.240000000005</v>
      </c>
      <c r="R91" s="2">
        <f t="shared" si="8"/>
        <v>79674.070000000007</v>
      </c>
      <c r="S91" s="2">
        <f t="shared" si="9"/>
        <v>87368.95</v>
      </c>
      <c r="T91" s="2">
        <f t="shared" si="10"/>
        <v>64284.31</v>
      </c>
      <c r="U91" s="2">
        <f t="shared" si="11"/>
        <v>63001.83</v>
      </c>
    </row>
    <row r="92" spans="1:21" hidden="1">
      <c r="A92" s="20">
        <v>89</v>
      </c>
      <c r="B92" s="20" t="s">
        <v>521</v>
      </c>
      <c r="C92" s="20" t="s">
        <v>544</v>
      </c>
      <c r="D92" s="20" t="s">
        <v>307</v>
      </c>
      <c r="E92" s="9" t="s">
        <v>690</v>
      </c>
      <c r="F92" s="78" t="s">
        <v>705</v>
      </c>
      <c r="G92" s="9">
        <v>914317002</v>
      </c>
      <c r="H92" s="9" t="s">
        <v>706</v>
      </c>
      <c r="I92" s="63">
        <v>19.420000000000002</v>
      </c>
      <c r="J92" s="112">
        <v>8873</v>
      </c>
      <c r="K92" s="4">
        <v>4032</v>
      </c>
      <c r="L92" s="4">
        <v>3976</v>
      </c>
      <c r="M92" s="115">
        <v>4360</v>
      </c>
      <c r="N92" s="4">
        <v>3208</v>
      </c>
      <c r="O92" s="4">
        <v>3144</v>
      </c>
      <c r="P92" s="2">
        <f t="shared" si="12"/>
        <v>172313.66</v>
      </c>
      <c r="Q92" s="2">
        <f t="shared" si="7"/>
        <v>78301.440000000002</v>
      </c>
      <c r="R92" s="2">
        <f t="shared" si="8"/>
        <v>77213.920000000013</v>
      </c>
      <c r="S92" s="2">
        <f t="shared" si="9"/>
        <v>84671.200000000012</v>
      </c>
      <c r="T92" s="2">
        <f t="shared" si="10"/>
        <v>62299.360000000008</v>
      </c>
      <c r="U92" s="2">
        <f t="shared" si="11"/>
        <v>61056.480000000003</v>
      </c>
    </row>
    <row r="93" spans="1:21" hidden="1">
      <c r="A93" s="20">
        <v>90</v>
      </c>
      <c r="B93" s="20" t="s">
        <v>521</v>
      </c>
      <c r="C93" s="20" t="s">
        <v>544</v>
      </c>
      <c r="D93" s="20" t="s">
        <v>307</v>
      </c>
      <c r="E93" s="9" t="s">
        <v>690</v>
      </c>
      <c r="F93" s="78" t="s">
        <v>707</v>
      </c>
      <c r="G93" s="9">
        <v>914309002</v>
      </c>
      <c r="H93" s="9" t="s">
        <v>708</v>
      </c>
      <c r="I93" s="63">
        <v>3.65</v>
      </c>
      <c r="J93" s="112">
        <v>0</v>
      </c>
      <c r="K93" s="4">
        <v>35</v>
      </c>
      <c r="L93" s="4">
        <v>994</v>
      </c>
      <c r="M93" s="115">
        <v>1090</v>
      </c>
      <c r="N93" s="4">
        <v>802</v>
      </c>
      <c r="O93" s="4">
        <v>786</v>
      </c>
      <c r="P93" s="2">
        <f t="shared" si="12"/>
        <v>0</v>
      </c>
      <c r="Q93" s="2">
        <f t="shared" si="7"/>
        <v>127.75</v>
      </c>
      <c r="R93" s="2">
        <f t="shared" si="8"/>
        <v>3628.1</v>
      </c>
      <c r="S93" s="2">
        <f t="shared" si="9"/>
        <v>3978.5</v>
      </c>
      <c r="T93" s="2">
        <f t="shared" si="10"/>
        <v>2927.2999999999997</v>
      </c>
      <c r="U93" s="2">
        <f t="shared" si="11"/>
        <v>2868.9</v>
      </c>
    </row>
    <row r="94" spans="1:21" hidden="1">
      <c r="A94" s="58">
        <v>91</v>
      </c>
      <c r="B94" s="20" t="s">
        <v>521</v>
      </c>
      <c r="C94" s="20" t="s">
        <v>544</v>
      </c>
      <c r="D94" s="20" t="s">
        <v>307</v>
      </c>
      <c r="E94" s="9" t="s">
        <v>690</v>
      </c>
      <c r="F94" s="78" t="s">
        <v>709</v>
      </c>
      <c r="G94" s="9">
        <v>914313001</v>
      </c>
      <c r="H94" s="9" t="s">
        <v>710</v>
      </c>
      <c r="I94" s="63">
        <v>99.88</v>
      </c>
      <c r="J94" s="112">
        <v>1747</v>
      </c>
      <c r="K94" s="4">
        <v>782</v>
      </c>
      <c r="L94" s="4">
        <v>732</v>
      </c>
      <c r="M94" s="115">
        <v>788</v>
      </c>
      <c r="N94" s="4">
        <v>566</v>
      </c>
      <c r="O94" s="4">
        <v>482</v>
      </c>
      <c r="P94" s="2">
        <f t="shared" si="12"/>
        <v>174490.36</v>
      </c>
      <c r="Q94" s="2">
        <f t="shared" si="7"/>
        <v>78106.16</v>
      </c>
      <c r="R94" s="2">
        <f t="shared" si="8"/>
        <v>73112.160000000003</v>
      </c>
      <c r="S94" s="2">
        <f t="shared" si="9"/>
        <v>78705.440000000002</v>
      </c>
      <c r="T94" s="2">
        <f t="shared" si="10"/>
        <v>56532.079999999994</v>
      </c>
      <c r="U94" s="2">
        <f t="shared" si="11"/>
        <v>48142.159999999996</v>
      </c>
    </row>
    <row r="95" spans="1:21" hidden="1">
      <c r="A95" s="20">
        <v>92</v>
      </c>
      <c r="B95" s="20" t="s">
        <v>521</v>
      </c>
      <c r="C95" s="20" t="s">
        <v>544</v>
      </c>
      <c r="D95" s="20" t="s">
        <v>307</v>
      </c>
      <c r="E95" s="9" t="s">
        <v>690</v>
      </c>
      <c r="F95" s="78" t="s">
        <v>711</v>
      </c>
      <c r="G95" s="9">
        <v>914317001</v>
      </c>
      <c r="H95" s="9" t="s">
        <v>712</v>
      </c>
      <c r="I95" s="63">
        <v>29.72</v>
      </c>
      <c r="J95" s="112">
        <v>1560</v>
      </c>
      <c r="K95" s="4">
        <v>782</v>
      </c>
      <c r="L95" s="4">
        <v>732</v>
      </c>
      <c r="M95" s="115">
        <v>788</v>
      </c>
      <c r="N95" s="4">
        <v>566</v>
      </c>
      <c r="O95" s="4">
        <v>482</v>
      </c>
      <c r="P95" s="2">
        <f t="shared" si="12"/>
        <v>46363.199999999997</v>
      </c>
      <c r="Q95" s="2">
        <f t="shared" si="7"/>
        <v>23241.040000000001</v>
      </c>
      <c r="R95" s="2">
        <f t="shared" si="8"/>
        <v>21755.040000000001</v>
      </c>
      <c r="S95" s="2">
        <f t="shared" si="9"/>
        <v>23419.360000000001</v>
      </c>
      <c r="T95" s="2">
        <f t="shared" si="10"/>
        <v>16821.52</v>
      </c>
      <c r="U95" s="2">
        <f t="shared" si="11"/>
        <v>14325.039999999999</v>
      </c>
    </row>
    <row r="96" spans="1:21" hidden="1">
      <c r="A96" s="20">
        <v>93</v>
      </c>
      <c r="B96" s="20" t="s">
        <v>521</v>
      </c>
      <c r="C96" s="20" t="s">
        <v>544</v>
      </c>
      <c r="D96" s="20" t="s">
        <v>307</v>
      </c>
      <c r="E96" s="9" t="s">
        <v>690</v>
      </c>
      <c r="F96" s="78" t="s">
        <v>713</v>
      </c>
      <c r="G96" s="9">
        <v>914317005</v>
      </c>
      <c r="H96" s="9" t="s">
        <v>714</v>
      </c>
      <c r="I96" s="63">
        <v>146.21</v>
      </c>
      <c r="J96" s="112">
        <v>826</v>
      </c>
      <c r="K96" s="4">
        <v>504</v>
      </c>
      <c r="L96" s="4">
        <v>497</v>
      </c>
      <c r="M96" s="115">
        <v>545</v>
      </c>
      <c r="N96" s="4">
        <v>401</v>
      </c>
      <c r="O96" s="4">
        <v>393</v>
      </c>
      <c r="P96" s="2">
        <f t="shared" si="12"/>
        <v>120769.46</v>
      </c>
      <c r="Q96" s="2">
        <f t="shared" si="7"/>
        <v>73689.840000000011</v>
      </c>
      <c r="R96" s="2">
        <f t="shared" si="8"/>
        <v>72666.37000000001</v>
      </c>
      <c r="S96" s="2">
        <f t="shared" si="9"/>
        <v>79684.45</v>
      </c>
      <c r="T96" s="2">
        <f t="shared" si="10"/>
        <v>58630.210000000006</v>
      </c>
      <c r="U96" s="2">
        <f t="shared" si="11"/>
        <v>57460.530000000006</v>
      </c>
    </row>
    <row r="97" spans="1:23" hidden="1">
      <c r="A97" s="58">
        <v>94</v>
      </c>
      <c r="B97" s="20" t="s">
        <v>521</v>
      </c>
      <c r="C97" s="20" t="s">
        <v>544</v>
      </c>
      <c r="D97" s="20" t="s">
        <v>307</v>
      </c>
      <c r="E97" s="9" t="s">
        <v>690</v>
      </c>
      <c r="F97" s="78" t="s">
        <v>715</v>
      </c>
      <c r="G97" s="9">
        <v>914317004</v>
      </c>
      <c r="H97" s="9" t="s">
        <v>716</v>
      </c>
      <c r="I97" s="63">
        <v>106.15</v>
      </c>
      <c r="J97" s="112">
        <v>1152</v>
      </c>
      <c r="K97" s="4">
        <v>504</v>
      </c>
      <c r="L97" s="4">
        <v>497</v>
      </c>
      <c r="M97" s="115">
        <v>545</v>
      </c>
      <c r="N97" s="4">
        <v>401</v>
      </c>
      <c r="O97" s="4">
        <v>393</v>
      </c>
      <c r="P97" s="2">
        <f t="shared" si="12"/>
        <v>122284.8</v>
      </c>
      <c r="Q97" s="2">
        <f t="shared" si="7"/>
        <v>53499.600000000006</v>
      </c>
      <c r="R97" s="2">
        <f t="shared" si="8"/>
        <v>52756.55</v>
      </c>
      <c r="S97" s="2">
        <f t="shared" si="9"/>
        <v>57851.75</v>
      </c>
      <c r="T97" s="2">
        <f t="shared" si="10"/>
        <v>42566.15</v>
      </c>
      <c r="U97" s="2">
        <f t="shared" si="11"/>
        <v>41716.950000000004</v>
      </c>
    </row>
    <row r="98" spans="1:23" hidden="1">
      <c r="A98" s="20">
        <v>95</v>
      </c>
      <c r="B98" s="20" t="s">
        <v>521</v>
      </c>
      <c r="C98" s="20" t="s">
        <v>544</v>
      </c>
      <c r="D98" s="20" t="s">
        <v>307</v>
      </c>
      <c r="E98" s="9" t="s">
        <v>690</v>
      </c>
      <c r="F98" s="78" t="s">
        <v>717</v>
      </c>
      <c r="G98" s="9">
        <v>914317008</v>
      </c>
      <c r="H98" s="91" t="s">
        <v>702</v>
      </c>
      <c r="I98" s="63">
        <v>22.84</v>
      </c>
      <c r="J98" s="112">
        <v>938</v>
      </c>
      <c r="K98" s="4">
        <v>1008</v>
      </c>
      <c r="L98" s="4">
        <v>994</v>
      </c>
      <c r="M98" s="115">
        <v>1090</v>
      </c>
      <c r="N98" s="4">
        <v>802</v>
      </c>
      <c r="O98" s="4">
        <v>786</v>
      </c>
      <c r="P98" s="2">
        <f t="shared" si="12"/>
        <v>21423.919999999998</v>
      </c>
      <c r="Q98" s="2">
        <f t="shared" si="7"/>
        <v>23022.720000000001</v>
      </c>
      <c r="R98" s="2">
        <f t="shared" si="8"/>
        <v>22702.959999999999</v>
      </c>
      <c r="S98" s="2">
        <f t="shared" si="9"/>
        <v>24895.599999999999</v>
      </c>
      <c r="T98" s="2">
        <f t="shared" si="10"/>
        <v>18317.68</v>
      </c>
      <c r="U98" s="2">
        <f t="shared" si="11"/>
        <v>17952.240000000002</v>
      </c>
    </row>
    <row r="99" spans="1:23" hidden="1">
      <c r="A99" s="20">
        <v>96</v>
      </c>
      <c r="B99" s="20" t="s">
        <v>521</v>
      </c>
      <c r="C99" s="20" t="s">
        <v>544</v>
      </c>
      <c r="D99" s="20" t="s">
        <v>307</v>
      </c>
      <c r="E99" s="9" t="s">
        <v>690</v>
      </c>
      <c r="F99" s="78" t="s">
        <v>718</v>
      </c>
      <c r="G99" s="9">
        <v>914317009</v>
      </c>
      <c r="H99" s="91" t="s">
        <v>719</v>
      </c>
      <c r="I99" s="63">
        <v>42.17</v>
      </c>
      <c r="J99" s="112"/>
      <c r="K99" s="4"/>
      <c r="L99" s="4"/>
      <c r="M99" s="115"/>
      <c r="N99" s="4"/>
      <c r="O99" s="4"/>
      <c r="P99" s="2">
        <f t="shared" si="12"/>
        <v>0</v>
      </c>
      <c r="Q99" s="2">
        <f t="shared" si="7"/>
        <v>0</v>
      </c>
      <c r="R99" s="2">
        <f t="shared" si="8"/>
        <v>0</v>
      </c>
      <c r="S99" s="2">
        <f t="shared" si="9"/>
        <v>0</v>
      </c>
      <c r="T99" s="2">
        <f t="shared" si="10"/>
        <v>0</v>
      </c>
      <c r="U99" s="2">
        <f t="shared" si="11"/>
        <v>0</v>
      </c>
    </row>
    <row r="100" spans="1:23">
      <c r="A100" s="58">
        <v>97</v>
      </c>
      <c r="B100" s="20" t="s">
        <v>521</v>
      </c>
      <c r="C100" s="20" t="s">
        <v>312</v>
      </c>
      <c r="D100" s="20" t="s">
        <v>720</v>
      </c>
      <c r="E100" s="9" t="s">
        <v>721</v>
      </c>
      <c r="F100" s="82" t="s">
        <v>722</v>
      </c>
      <c r="G100" s="20">
        <v>914604003</v>
      </c>
      <c r="H100" s="92" t="s">
        <v>723</v>
      </c>
      <c r="I100" s="93">
        <v>153.21</v>
      </c>
      <c r="J100" s="112">
        <v>17499</v>
      </c>
      <c r="K100" s="94">
        <v>14701</v>
      </c>
      <c r="L100" s="94">
        <v>16104</v>
      </c>
      <c r="M100" s="115">
        <v>14696</v>
      </c>
      <c r="N100" s="4">
        <v>17500</v>
      </c>
      <c r="O100" s="4">
        <v>4900</v>
      </c>
      <c r="P100" s="2">
        <f t="shared" si="12"/>
        <v>2681021.79</v>
      </c>
      <c r="Q100" s="2">
        <f t="shared" si="7"/>
        <v>2252340.21</v>
      </c>
      <c r="R100" s="2">
        <f t="shared" si="8"/>
        <v>2467293.8400000003</v>
      </c>
      <c r="S100" s="2">
        <f t="shared" si="9"/>
        <v>2251574.16</v>
      </c>
      <c r="T100" s="2">
        <f t="shared" si="10"/>
        <v>2681175</v>
      </c>
      <c r="U100" s="2">
        <f t="shared" si="11"/>
        <v>750729</v>
      </c>
    </row>
    <row r="101" spans="1:23">
      <c r="A101" s="20">
        <v>98</v>
      </c>
      <c r="B101" s="20" t="s">
        <v>521</v>
      </c>
      <c r="C101" s="20" t="s">
        <v>312</v>
      </c>
      <c r="D101" s="20" t="s">
        <v>720</v>
      </c>
      <c r="E101" s="9" t="s">
        <v>721</v>
      </c>
      <c r="F101" s="82" t="s">
        <v>724</v>
      </c>
      <c r="G101" s="20">
        <v>914604004</v>
      </c>
      <c r="H101" s="92" t="s">
        <v>725</v>
      </c>
      <c r="I101" s="63">
        <v>153.22</v>
      </c>
      <c r="J101" s="112">
        <v>17499</v>
      </c>
      <c r="K101" s="94">
        <v>14701</v>
      </c>
      <c r="L101" s="94">
        <v>16104</v>
      </c>
      <c r="M101" s="115">
        <v>14696</v>
      </c>
      <c r="N101" s="4">
        <v>17500</v>
      </c>
      <c r="O101" s="4">
        <v>4900</v>
      </c>
      <c r="P101" s="2">
        <f t="shared" si="12"/>
        <v>2681196.7799999998</v>
      </c>
      <c r="Q101" s="2">
        <f t="shared" si="7"/>
        <v>2252487.2200000002</v>
      </c>
      <c r="R101" s="2">
        <f t="shared" si="8"/>
        <v>2467454.88</v>
      </c>
      <c r="S101" s="2">
        <f t="shared" si="9"/>
        <v>2251721.12</v>
      </c>
      <c r="T101" s="2">
        <f t="shared" si="10"/>
        <v>2681350</v>
      </c>
      <c r="U101" s="2">
        <f t="shared" si="11"/>
        <v>750778</v>
      </c>
    </row>
    <row r="102" spans="1:23">
      <c r="A102" s="20">
        <v>99</v>
      </c>
      <c r="B102" s="20" t="s">
        <v>521</v>
      </c>
      <c r="C102" s="20" t="s">
        <v>312</v>
      </c>
      <c r="D102" s="20" t="s">
        <v>720</v>
      </c>
      <c r="E102" s="9" t="s">
        <v>721</v>
      </c>
      <c r="F102" s="82" t="s">
        <v>726</v>
      </c>
      <c r="G102" s="20">
        <v>914604002</v>
      </c>
      <c r="H102" s="92" t="s">
        <v>727</v>
      </c>
      <c r="I102" s="63">
        <v>126.33</v>
      </c>
      <c r="J102" s="112">
        <v>17499</v>
      </c>
      <c r="K102" s="94">
        <v>14701</v>
      </c>
      <c r="L102" s="94">
        <v>16104</v>
      </c>
      <c r="M102" s="115">
        <v>14696</v>
      </c>
      <c r="N102" s="4">
        <v>17500</v>
      </c>
      <c r="O102" s="4">
        <v>4900</v>
      </c>
      <c r="P102" s="2">
        <f t="shared" si="12"/>
        <v>2210648.67</v>
      </c>
      <c r="Q102" s="2">
        <f t="shared" si="7"/>
        <v>1857177.33</v>
      </c>
      <c r="R102" s="2">
        <f t="shared" si="8"/>
        <v>2034418.32</v>
      </c>
      <c r="S102" s="2">
        <f t="shared" si="9"/>
        <v>1856545.68</v>
      </c>
      <c r="T102" s="2">
        <f t="shared" si="10"/>
        <v>2210775</v>
      </c>
      <c r="U102" s="2">
        <f t="shared" si="11"/>
        <v>619017</v>
      </c>
    </row>
    <row r="103" spans="1:23">
      <c r="A103" s="58">
        <v>100</v>
      </c>
      <c r="B103" s="20" t="s">
        <v>521</v>
      </c>
      <c r="C103" s="20" t="s">
        <v>312</v>
      </c>
      <c r="D103" s="20" t="s">
        <v>720</v>
      </c>
      <c r="E103" s="9" t="s">
        <v>721</v>
      </c>
      <c r="F103" s="82" t="s">
        <v>728</v>
      </c>
      <c r="G103" s="20">
        <v>94604001</v>
      </c>
      <c r="H103" s="92" t="s">
        <v>729</v>
      </c>
      <c r="I103" s="63">
        <v>126.33</v>
      </c>
      <c r="J103" s="112">
        <v>17499</v>
      </c>
      <c r="K103" s="94">
        <v>14701</v>
      </c>
      <c r="L103" s="94">
        <v>16104</v>
      </c>
      <c r="M103" s="115">
        <v>14696</v>
      </c>
      <c r="N103" s="4">
        <v>17500</v>
      </c>
      <c r="O103" s="4">
        <v>4900</v>
      </c>
      <c r="P103" s="2">
        <f t="shared" si="12"/>
        <v>2210648.67</v>
      </c>
      <c r="Q103" s="2">
        <f t="shared" si="7"/>
        <v>1857177.33</v>
      </c>
      <c r="R103" s="2">
        <f t="shared" si="8"/>
        <v>2034418.32</v>
      </c>
      <c r="S103" s="2">
        <f t="shared" si="9"/>
        <v>1856545.68</v>
      </c>
      <c r="T103" s="2">
        <f t="shared" si="10"/>
        <v>2210775</v>
      </c>
      <c r="U103" s="2">
        <f t="shared" si="11"/>
        <v>619017</v>
      </c>
      <c r="W103" s="65"/>
    </row>
    <row r="104" spans="1:23">
      <c r="A104" s="20">
        <v>101</v>
      </c>
      <c r="B104" s="20" t="s">
        <v>521</v>
      </c>
      <c r="C104" s="20" t="s">
        <v>312</v>
      </c>
      <c r="D104" s="20" t="s">
        <v>720</v>
      </c>
      <c r="E104" s="9" t="s">
        <v>721</v>
      </c>
      <c r="F104" s="82" t="s">
        <v>730</v>
      </c>
      <c r="G104" s="20">
        <v>914602001</v>
      </c>
      <c r="H104" s="92" t="s">
        <v>731</v>
      </c>
      <c r="I104" s="63">
        <v>173.72</v>
      </c>
      <c r="J104" s="112">
        <v>17499</v>
      </c>
      <c r="K104" s="94">
        <v>14701</v>
      </c>
      <c r="L104" s="94">
        <v>16104</v>
      </c>
      <c r="M104" s="115">
        <v>14696</v>
      </c>
      <c r="N104" s="4">
        <v>17500</v>
      </c>
      <c r="O104" s="4">
        <v>4900</v>
      </c>
      <c r="P104" s="2">
        <f t="shared" si="12"/>
        <v>3039926.28</v>
      </c>
      <c r="Q104" s="2">
        <f t="shared" si="7"/>
        <v>2553857.7200000002</v>
      </c>
      <c r="R104" s="2">
        <f t="shared" si="8"/>
        <v>2797586.88</v>
      </c>
      <c r="S104" s="2">
        <f t="shared" si="9"/>
        <v>2552989.12</v>
      </c>
      <c r="T104" s="2">
        <f t="shared" si="10"/>
        <v>3040100</v>
      </c>
      <c r="U104" s="2">
        <f t="shared" si="11"/>
        <v>851228</v>
      </c>
      <c r="W104" s="65"/>
    </row>
    <row r="105" spans="1:23">
      <c r="A105" s="20">
        <v>102</v>
      </c>
      <c r="B105" s="20" t="s">
        <v>521</v>
      </c>
      <c r="C105" s="20" t="s">
        <v>312</v>
      </c>
      <c r="D105" s="20" t="s">
        <v>720</v>
      </c>
      <c r="E105" s="9" t="s">
        <v>721</v>
      </c>
      <c r="F105" s="82" t="s">
        <v>732</v>
      </c>
      <c r="G105" s="20">
        <v>914603001</v>
      </c>
      <c r="H105" s="92" t="s">
        <v>733</v>
      </c>
      <c r="I105" s="63">
        <v>15.05</v>
      </c>
      <c r="J105" s="112">
        <v>17499</v>
      </c>
      <c r="K105" s="94">
        <v>14701</v>
      </c>
      <c r="L105" s="94">
        <v>16104</v>
      </c>
      <c r="M105" s="115">
        <v>14696</v>
      </c>
      <c r="N105" s="4">
        <v>17500</v>
      </c>
      <c r="O105" s="4">
        <v>4900</v>
      </c>
      <c r="P105" s="2">
        <f t="shared" si="12"/>
        <v>263359.95</v>
      </c>
      <c r="Q105" s="2">
        <f t="shared" si="7"/>
        <v>221250.05000000002</v>
      </c>
      <c r="R105" s="2">
        <f t="shared" si="8"/>
        <v>242365.2</v>
      </c>
      <c r="S105" s="2">
        <f t="shared" si="9"/>
        <v>221174.80000000002</v>
      </c>
      <c r="T105" s="2">
        <f t="shared" si="10"/>
        <v>263375</v>
      </c>
      <c r="U105" s="2">
        <f t="shared" si="11"/>
        <v>73745</v>
      </c>
      <c r="W105" s="65"/>
    </row>
    <row r="106" spans="1:23">
      <c r="A106" s="58">
        <v>103</v>
      </c>
      <c r="B106" s="20" t="s">
        <v>521</v>
      </c>
      <c r="C106" s="20" t="s">
        <v>312</v>
      </c>
      <c r="D106" s="20" t="s">
        <v>720</v>
      </c>
      <c r="E106" s="9" t="s">
        <v>734</v>
      </c>
      <c r="F106" s="82" t="s">
        <v>735</v>
      </c>
      <c r="G106" s="20">
        <v>916218001</v>
      </c>
      <c r="H106" s="92" t="s">
        <v>731</v>
      </c>
      <c r="I106" s="63">
        <v>213.75</v>
      </c>
      <c r="J106" s="112">
        <v>0</v>
      </c>
      <c r="K106" s="94">
        <v>0</v>
      </c>
      <c r="L106" s="94">
        <v>0</v>
      </c>
      <c r="M106" s="115">
        <v>0</v>
      </c>
      <c r="N106" s="4">
        <v>0</v>
      </c>
      <c r="O106" s="4">
        <v>0</v>
      </c>
      <c r="P106" s="2">
        <f t="shared" si="12"/>
        <v>0</v>
      </c>
      <c r="Q106" s="2">
        <f t="shared" si="7"/>
        <v>0</v>
      </c>
      <c r="R106" s="2">
        <f t="shared" si="8"/>
        <v>0</v>
      </c>
      <c r="S106" s="2">
        <f t="shared" si="9"/>
        <v>0</v>
      </c>
      <c r="T106" s="2">
        <f t="shared" si="10"/>
        <v>0</v>
      </c>
      <c r="U106" s="2">
        <f t="shared" si="11"/>
        <v>0</v>
      </c>
      <c r="W106" s="65"/>
    </row>
    <row r="107" spans="1:23">
      <c r="A107" s="20">
        <v>104</v>
      </c>
      <c r="B107" s="20" t="s">
        <v>521</v>
      </c>
      <c r="C107" s="20" t="s">
        <v>312</v>
      </c>
      <c r="D107" s="20" t="s">
        <v>720</v>
      </c>
      <c r="E107" s="9" t="s">
        <v>734</v>
      </c>
      <c r="F107" s="82" t="s">
        <v>736</v>
      </c>
      <c r="G107" s="20">
        <v>913403006</v>
      </c>
      <c r="H107" s="92" t="s">
        <v>737</v>
      </c>
      <c r="I107" s="63">
        <v>37.909999999999997</v>
      </c>
      <c r="J107" s="112">
        <v>0</v>
      </c>
      <c r="K107" s="94">
        <v>0</v>
      </c>
      <c r="L107" s="94">
        <v>0</v>
      </c>
      <c r="M107" s="115">
        <v>0</v>
      </c>
      <c r="N107" s="4">
        <v>0</v>
      </c>
      <c r="O107" s="4">
        <v>0</v>
      </c>
      <c r="P107" s="2">
        <f t="shared" si="12"/>
        <v>0</v>
      </c>
      <c r="Q107" s="2">
        <f t="shared" si="7"/>
        <v>0</v>
      </c>
      <c r="R107" s="2">
        <f t="shared" si="8"/>
        <v>0</v>
      </c>
      <c r="S107" s="2">
        <f t="shared" si="9"/>
        <v>0</v>
      </c>
      <c r="T107" s="2">
        <f t="shared" si="10"/>
        <v>0</v>
      </c>
      <c r="U107" s="2">
        <f t="shared" si="11"/>
        <v>0</v>
      </c>
      <c r="W107" s="65"/>
    </row>
    <row r="108" spans="1:23" ht="15.5">
      <c r="A108" s="20">
        <v>105</v>
      </c>
      <c r="B108" s="20" t="s">
        <v>521</v>
      </c>
      <c r="C108" s="20" t="s">
        <v>312</v>
      </c>
      <c r="D108" s="20" t="s">
        <v>521</v>
      </c>
      <c r="E108" s="9" t="s">
        <v>738</v>
      </c>
      <c r="F108" s="82" t="s">
        <v>739</v>
      </c>
      <c r="G108" s="20">
        <v>913902004</v>
      </c>
      <c r="H108" s="92" t="s">
        <v>731</v>
      </c>
      <c r="I108" s="63">
        <v>172.97</v>
      </c>
      <c r="J108" s="119">
        <v>3446</v>
      </c>
      <c r="K108" s="119">
        <v>3087</v>
      </c>
      <c r="L108" s="119">
        <v>4030</v>
      </c>
      <c r="M108" s="115">
        <v>3623</v>
      </c>
      <c r="N108" s="4">
        <v>1850</v>
      </c>
      <c r="O108" s="4">
        <v>1850</v>
      </c>
      <c r="P108" s="2">
        <f t="shared" si="12"/>
        <v>596054.62</v>
      </c>
      <c r="Q108" s="2">
        <f t="shared" si="7"/>
        <v>533958.39</v>
      </c>
      <c r="R108" s="2">
        <f t="shared" si="8"/>
        <v>697069.1</v>
      </c>
      <c r="S108" s="2">
        <f t="shared" si="9"/>
        <v>626670.30999999994</v>
      </c>
      <c r="T108" s="2">
        <f t="shared" si="10"/>
        <v>319994.5</v>
      </c>
      <c r="U108" s="2">
        <f t="shared" si="11"/>
        <v>319994.5</v>
      </c>
      <c r="W108" s="65"/>
    </row>
    <row r="109" spans="1:23" ht="15.5">
      <c r="A109" s="58">
        <v>106</v>
      </c>
      <c r="B109" s="20" t="s">
        <v>521</v>
      </c>
      <c r="C109" s="20" t="s">
        <v>312</v>
      </c>
      <c r="D109" s="20" t="s">
        <v>720</v>
      </c>
      <c r="E109" s="9" t="s">
        <v>738</v>
      </c>
      <c r="F109" s="82" t="s">
        <v>740</v>
      </c>
      <c r="G109" s="20">
        <v>913903011</v>
      </c>
      <c r="H109" s="92" t="s">
        <v>741</v>
      </c>
      <c r="I109" s="63">
        <v>22.4</v>
      </c>
      <c r="J109" s="119">
        <v>3446</v>
      </c>
      <c r="K109" s="119">
        <v>3087</v>
      </c>
      <c r="L109" s="119">
        <v>4030</v>
      </c>
      <c r="M109" s="115">
        <v>3623</v>
      </c>
      <c r="N109" s="4">
        <v>1850</v>
      </c>
      <c r="O109" s="4">
        <v>1850</v>
      </c>
      <c r="P109" s="2">
        <f t="shared" si="12"/>
        <v>77190.399999999994</v>
      </c>
      <c r="Q109" s="2">
        <f t="shared" si="7"/>
        <v>69148.799999999988</v>
      </c>
      <c r="R109" s="2">
        <f t="shared" si="8"/>
        <v>90272</v>
      </c>
      <c r="S109" s="2">
        <f t="shared" si="9"/>
        <v>81155.199999999997</v>
      </c>
      <c r="T109" s="2">
        <f t="shared" si="10"/>
        <v>41440</v>
      </c>
      <c r="U109" s="2">
        <f t="shared" si="11"/>
        <v>41440</v>
      </c>
      <c r="W109" s="65"/>
    </row>
    <row r="110" spans="1:23" ht="15.5">
      <c r="A110" s="20">
        <v>107</v>
      </c>
      <c r="B110" s="20" t="s">
        <v>521</v>
      </c>
      <c r="C110" s="20" t="s">
        <v>312</v>
      </c>
      <c r="D110" s="20" t="s">
        <v>720</v>
      </c>
      <c r="E110" s="9" t="s">
        <v>742</v>
      </c>
      <c r="F110" s="82" t="s">
        <v>743</v>
      </c>
      <c r="G110" s="20">
        <v>913401007</v>
      </c>
      <c r="H110" s="92" t="s">
        <v>744</v>
      </c>
      <c r="I110" s="63">
        <v>144.47</v>
      </c>
      <c r="J110" s="119">
        <v>12425</v>
      </c>
      <c r="K110" s="119">
        <v>10844</v>
      </c>
      <c r="L110" s="119">
        <v>11357</v>
      </c>
      <c r="M110" s="115">
        <v>10366</v>
      </c>
      <c r="N110" s="4">
        <v>12393</v>
      </c>
      <c r="O110" s="4">
        <v>11403</v>
      </c>
      <c r="P110" s="2">
        <f t="shared" si="12"/>
        <v>1795039.75</v>
      </c>
      <c r="Q110" s="2">
        <f t="shared" si="7"/>
        <v>1566632.68</v>
      </c>
      <c r="R110" s="2">
        <f t="shared" si="8"/>
        <v>1640745.79</v>
      </c>
      <c r="S110" s="2">
        <f t="shared" si="9"/>
        <v>1497576.02</v>
      </c>
      <c r="T110" s="2">
        <f t="shared" si="10"/>
        <v>1790416.71</v>
      </c>
      <c r="U110" s="2">
        <f t="shared" si="11"/>
        <v>1647391.41</v>
      </c>
      <c r="W110" s="65"/>
    </row>
    <row r="111" spans="1:23" ht="15.5">
      <c r="A111" s="20">
        <v>108</v>
      </c>
      <c r="B111" s="20" t="s">
        <v>521</v>
      </c>
      <c r="C111" s="20" t="s">
        <v>312</v>
      </c>
      <c r="D111" s="20" t="s">
        <v>720</v>
      </c>
      <c r="E111" s="9" t="s">
        <v>742</v>
      </c>
      <c r="F111" s="82" t="s">
        <v>745</v>
      </c>
      <c r="G111" s="20">
        <v>913401008</v>
      </c>
      <c r="H111" s="92" t="s">
        <v>746</v>
      </c>
      <c r="I111" s="63">
        <v>144.47</v>
      </c>
      <c r="J111" s="119">
        <v>12425</v>
      </c>
      <c r="K111" s="119">
        <v>10844</v>
      </c>
      <c r="L111" s="119">
        <v>11357</v>
      </c>
      <c r="M111" s="115">
        <v>10366</v>
      </c>
      <c r="N111" s="4">
        <v>12393</v>
      </c>
      <c r="O111" s="4">
        <v>11403</v>
      </c>
      <c r="P111" s="2">
        <f t="shared" si="12"/>
        <v>1795039.75</v>
      </c>
      <c r="Q111" s="2">
        <f t="shared" si="7"/>
        <v>1566632.68</v>
      </c>
      <c r="R111" s="2">
        <f t="shared" si="8"/>
        <v>1640745.79</v>
      </c>
      <c r="S111" s="2">
        <f t="shared" si="9"/>
        <v>1497576.02</v>
      </c>
      <c r="T111" s="2">
        <f t="shared" si="10"/>
        <v>1790416.71</v>
      </c>
      <c r="U111" s="2">
        <f t="shared" si="11"/>
        <v>1647391.41</v>
      </c>
      <c r="W111" s="65"/>
    </row>
    <row r="112" spans="1:23" ht="15.5">
      <c r="A112" s="58">
        <v>109</v>
      </c>
      <c r="B112" s="20" t="s">
        <v>521</v>
      </c>
      <c r="C112" s="20" t="s">
        <v>312</v>
      </c>
      <c r="D112" s="20" t="s">
        <v>720</v>
      </c>
      <c r="E112" s="9" t="s">
        <v>742</v>
      </c>
      <c r="F112" s="82" t="s">
        <v>747</v>
      </c>
      <c r="G112" s="20">
        <v>913403002</v>
      </c>
      <c r="H112" s="92" t="s">
        <v>748</v>
      </c>
      <c r="I112" s="63">
        <v>36.229999999999997</v>
      </c>
      <c r="J112" s="119">
        <v>12425</v>
      </c>
      <c r="K112" s="119">
        <v>10844</v>
      </c>
      <c r="L112" s="119">
        <v>11357</v>
      </c>
      <c r="M112" s="115">
        <v>10366</v>
      </c>
      <c r="N112" s="4">
        <v>12393</v>
      </c>
      <c r="O112" s="4">
        <v>11403</v>
      </c>
      <c r="P112" s="2">
        <f t="shared" si="12"/>
        <v>450157.74999999994</v>
      </c>
      <c r="Q112" s="2">
        <f t="shared" si="7"/>
        <v>392878.11999999994</v>
      </c>
      <c r="R112" s="2">
        <f t="shared" si="8"/>
        <v>411464.11</v>
      </c>
      <c r="S112" s="2">
        <f t="shared" si="9"/>
        <v>375560.18</v>
      </c>
      <c r="T112" s="2">
        <f t="shared" si="10"/>
        <v>448998.38999999996</v>
      </c>
      <c r="U112" s="2">
        <f t="shared" si="11"/>
        <v>413130.68999999994</v>
      </c>
      <c r="W112" s="65"/>
    </row>
    <row r="113" spans="1:21">
      <c r="A113" s="20">
        <v>110</v>
      </c>
      <c r="B113" s="20" t="s">
        <v>521</v>
      </c>
      <c r="C113" s="20" t="s">
        <v>312</v>
      </c>
      <c r="D113" s="20" t="s">
        <v>720</v>
      </c>
      <c r="E113" s="9" t="s">
        <v>742</v>
      </c>
      <c r="F113" s="82" t="s">
        <v>749</v>
      </c>
      <c r="G113" s="20">
        <v>913410002</v>
      </c>
      <c r="H113" s="92" t="s">
        <v>750</v>
      </c>
      <c r="I113" s="63">
        <v>155.63999999999999</v>
      </c>
      <c r="J113" s="112">
        <f>2*J112</f>
        <v>24850</v>
      </c>
      <c r="K113" s="94">
        <f>K112*2</f>
        <v>21688</v>
      </c>
      <c r="L113" s="94">
        <f>L112*2</f>
        <v>22714</v>
      </c>
      <c r="M113" s="94">
        <f>2*M112</f>
        <v>20732</v>
      </c>
      <c r="N113" s="94">
        <f>2*N112</f>
        <v>24786</v>
      </c>
      <c r="O113" s="94">
        <f>O112*2</f>
        <v>22806</v>
      </c>
      <c r="P113" s="2">
        <f t="shared" si="12"/>
        <v>3867653.9999999995</v>
      </c>
      <c r="Q113" s="2">
        <f t="shared" si="7"/>
        <v>3375520.32</v>
      </c>
      <c r="R113" s="2">
        <f t="shared" si="8"/>
        <v>3535206.9599999995</v>
      </c>
      <c r="S113" s="2">
        <f t="shared" si="9"/>
        <v>3226728.4799999995</v>
      </c>
      <c r="T113" s="2">
        <f t="shared" si="10"/>
        <v>3857693.0399999996</v>
      </c>
      <c r="U113" s="2">
        <f t="shared" si="11"/>
        <v>3549525.84</v>
      </c>
    </row>
    <row r="114" spans="1:21" ht="15.5">
      <c r="A114" s="20">
        <v>111</v>
      </c>
      <c r="B114" s="20" t="s">
        <v>521</v>
      </c>
      <c r="C114" s="20" t="s">
        <v>312</v>
      </c>
      <c r="D114" s="20" t="s">
        <v>720</v>
      </c>
      <c r="E114" s="9" t="s">
        <v>742</v>
      </c>
      <c r="F114" s="82" t="s">
        <v>751</v>
      </c>
      <c r="G114" s="20">
        <v>913410001</v>
      </c>
      <c r="H114" s="92" t="s">
        <v>752</v>
      </c>
      <c r="I114" s="63">
        <v>184.41</v>
      </c>
      <c r="J114" s="119">
        <v>12425</v>
      </c>
      <c r="K114" s="119">
        <v>10844</v>
      </c>
      <c r="L114" s="119">
        <v>11357</v>
      </c>
      <c r="M114" s="115">
        <v>10366</v>
      </c>
      <c r="N114" s="4">
        <v>12393</v>
      </c>
      <c r="O114" s="4">
        <v>11403</v>
      </c>
      <c r="P114" s="2">
        <f t="shared" si="12"/>
        <v>2291294.25</v>
      </c>
      <c r="Q114" s="2">
        <f t="shared" si="7"/>
        <v>1999742.04</v>
      </c>
      <c r="R114" s="2">
        <f t="shared" si="8"/>
        <v>2094344.3699999999</v>
      </c>
      <c r="S114" s="2">
        <f t="shared" si="9"/>
        <v>1911594.06</v>
      </c>
      <c r="T114" s="2">
        <f t="shared" si="10"/>
        <v>2285393.13</v>
      </c>
      <c r="U114" s="2">
        <f t="shared" si="11"/>
        <v>2102827.23</v>
      </c>
    </row>
    <row r="115" spans="1:21">
      <c r="A115" s="58">
        <v>112</v>
      </c>
      <c r="B115" s="20" t="s">
        <v>521</v>
      </c>
      <c r="C115" s="20" t="s">
        <v>312</v>
      </c>
      <c r="D115" s="20" t="s">
        <v>720</v>
      </c>
      <c r="E115" s="9" t="s">
        <v>742</v>
      </c>
      <c r="F115" s="82" t="s">
        <v>753</v>
      </c>
      <c r="G115" s="20">
        <v>913402002</v>
      </c>
      <c r="H115" s="92" t="s">
        <v>754</v>
      </c>
      <c r="I115" s="63">
        <v>191.14</v>
      </c>
      <c r="J115" s="112">
        <v>12425</v>
      </c>
      <c r="K115" s="94">
        <v>10844</v>
      </c>
      <c r="L115" s="94">
        <v>11357</v>
      </c>
      <c r="M115" s="115">
        <v>10366</v>
      </c>
      <c r="N115" s="4">
        <v>12393</v>
      </c>
      <c r="O115" s="4">
        <v>11403</v>
      </c>
      <c r="P115" s="2">
        <f t="shared" si="12"/>
        <v>2374914.5</v>
      </c>
      <c r="Q115" s="2">
        <f t="shared" si="7"/>
        <v>2072722.16</v>
      </c>
      <c r="R115" s="2">
        <f t="shared" si="8"/>
        <v>2170776.98</v>
      </c>
      <c r="S115" s="2">
        <f t="shared" si="9"/>
        <v>1981357.2399999998</v>
      </c>
      <c r="T115" s="2">
        <f t="shared" si="10"/>
        <v>2368798.02</v>
      </c>
      <c r="U115" s="2">
        <f t="shared" si="11"/>
        <v>2179569.42</v>
      </c>
    </row>
    <row r="116" spans="1:21">
      <c r="A116" s="20">
        <v>113</v>
      </c>
      <c r="B116" s="20" t="s">
        <v>521</v>
      </c>
      <c r="C116" s="20" t="s">
        <v>312</v>
      </c>
      <c r="D116" s="20" t="s">
        <v>720</v>
      </c>
      <c r="E116" s="9" t="s">
        <v>742</v>
      </c>
      <c r="F116" s="82" t="s">
        <v>755</v>
      </c>
      <c r="G116" s="20">
        <v>913401001</v>
      </c>
      <c r="H116" s="92" t="s">
        <v>756</v>
      </c>
      <c r="I116" s="63">
        <v>189.73</v>
      </c>
      <c r="J116" s="112">
        <v>24850</v>
      </c>
      <c r="K116" s="94">
        <v>21688</v>
      </c>
      <c r="L116" s="94">
        <v>22714</v>
      </c>
      <c r="M116" s="115">
        <v>20732</v>
      </c>
      <c r="N116" s="4">
        <v>24786</v>
      </c>
      <c r="O116" s="4">
        <v>22806</v>
      </c>
      <c r="P116" s="2">
        <f t="shared" si="12"/>
        <v>4714790.5</v>
      </c>
      <c r="Q116" s="2">
        <f t="shared" si="7"/>
        <v>4114864.2399999998</v>
      </c>
      <c r="R116" s="2">
        <f t="shared" si="8"/>
        <v>4309527.22</v>
      </c>
      <c r="S116" s="2">
        <f t="shared" si="9"/>
        <v>3933482.36</v>
      </c>
      <c r="T116" s="2">
        <f t="shared" si="10"/>
        <v>4702647.7799999993</v>
      </c>
      <c r="U116" s="2">
        <f t="shared" si="11"/>
        <v>4326982.38</v>
      </c>
    </row>
    <row r="117" spans="1:21">
      <c r="A117" s="20">
        <v>114</v>
      </c>
      <c r="B117" s="20" t="s">
        <v>521</v>
      </c>
      <c r="C117" s="20" t="s">
        <v>312</v>
      </c>
      <c r="D117" s="20" t="s">
        <v>720</v>
      </c>
      <c r="E117" s="9" t="s">
        <v>757</v>
      </c>
      <c r="F117" s="82" t="s">
        <v>758</v>
      </c>
      <c r="G117" s="20">
        <v>919501001</v>
      </c>
      <c r="H117" s="92" t="s">
        <v>744</v>
      </c>
      <c r="I117" s="63">
        <v>148.84</v>
      </c>
      <c r="J117" s="112">
        <v>85</v>
      </c>
      <c r="K117" s="94">
        <v>168</v>
      </c>
      <c r="L117" s="94">
        <v>283</v>
      </c>
      <c r="M117" s="115">
        <v>289</v>
      </c>
      <c r="N117" s="4">
        <v>319</v>
      </c>
      <c r="O117" s="4">
        <v>300</v>
      </c>
      <c r="P117" s="2">
        <f t="shared" si="12"/>
        <v>12651.4</v>
      </c>
      <c r="Q117" s="2">
        <f t="shared" si="7"/>
        <v>25005.119999999999</v>
      </c>
      <c r="R117" s="2">
        <f t="shared" si="8"/>
        <v>42121.72</v>
      </c>
      <c r="S117" s="2">
        <f t="shared" si="9"/>
        <v>43014.76</v>
      </c>
      <c r="T117" s="2">
        <f t="shared" si="10"/>
        <v>47479.96</v>
      </c>
      <c r="U117" s="2">
        <f t="shared" si="11"/>
        <v>44652</v>
      </c>
    </row>
    <row r="118" spans="1:21">
      <c r="A118" s="58">
        <v>115</v>
      </c>
      <c r="B118" s="20" t="s">
        <v>521</v>
      </c>
      <c r="C118" s="20" t="s">
        <v>312</v>
      </c>
      <c r="D118" s="20" t="s">
        <v>720</v>
      </c>
      <c r="E118" s="9" t="s">
        <v>757</v>
      </c>
      <c r="F118" s="82" t="s">
        <v>759</v>
      </c>
      <c r="G118" s="20">
        <v>919501002</v>
      </c>
      <c r="H118" s="92" t="s">
        <v>746</v>
      </c>
      <c r="I118" s="63">
        <v>148.84</v>
      </c>
      <c r="J118" s="112">
        <v>85</v>
      </c>
      <c r="K118" s="94">
        <v>168</v>
      </c>
      <c r="L118" s="94">
        <v>283</v>
      </c>
      <c r="M118" s="115">
        <v>289</v>
      </c>
      <c r="N118" s="4">
        <v>319</v>
      </c>
      <c r="O118" s="4">
        <v>300</v>
      </c>
      <c r="P118" s="2">
        <f t="shared" si="12"/>
        <v>12651.4</v>
      </c>
      <c r="Q118" s="2">
        <f t="shared" si="7"/>
        <v>25005.119999999999</v>
      </c>
      <c r="R118" s="2">
        <f t="shared" si="8"/>
        <v>42121.72</v>
      </c>
      <c r="S118" s="2">
        <f t="shared" si="9"/>
        <v>43014.76</v>
      </c>
      <c r="T118" s="2">
        <f t="shared" si="10"/>
        <v>47479.96</v>
      </c>
      <c r="U118" s="2">
        <f t="shared" si="11"/>
        <v>44652</v>
      </c>
    </row>
    <row r="119" spans="1:21">
      <c r="A119" s="20">
        <v>116</v>
      </c>
      <c r="B119" s="20" t="s">
        <v>521</v>
      </c>
      <c r="C119" s="20" t="s">
        <v>312</v>
      </c>
      <c r="D119" s="20" t="s">
        <v>720</v>
      </c>
      <c r="E119" s="9" t="s">
        <v>757</v>
      </c>
      <c r="F119" s="82" t="s">
        <v>760</v>
      </c>
      <c r="G119" s="20">
        <v>919518001</v>
      </c>
      <c r="H119" s="92" t="s">
        <v>761</v>
      </c>
      <c r="I119" s="63">
        <v>203.31</v>
      </c>
      <c r="J119" s="112">
        <v>85</v>
      </c>
      <c r="K119" s="94">
        <v>168</v>
      </c>
      <c r="L119" s="94">
        <v>283</v>
      </c>
      <c r="M119" s="115">
        <v>289</v>
      </c>
      <c r="N119" s="4">
        <v>319</v>
      </c>
      <c r="O119" s="4">
        <v>300</v>
      </c>
      <c r="P119" s="2">
        <f t="shared" si="12"/>
        <v>17281.349999999999</v>
      </c>
      <c r="Q119" s="2">
        <f t="shared" si="7"/>
        <v>34156.080000000002</v>
      </c>
      <c r="R119" s="2">
        <f t="shared" si="8"/>
        <v>57536.73</v>
      </c>
      <c r="S119" s="2">
        <f t="shared" si="9"/>
        <v>58756.590000000004</v>
      </c>
      <c r="T119" s="2">
        <f t="shared" si="10"/>
        <v>64855.89</v>
      </c>
      <c r="U119" s="2">
        <f t="shared" si="11"/>
        <v>60993</v>
      </c>
    </row>
    <row r="120" spans="1:21">
      <c r="A120" s="20">
        <v>117</v>
      </c>
      <c r="B120" s="20" t="s">
        <v>521</v>
      </c>
      <c r="C120" s="20" t="s">
        <v>312</v>
      </c>
      <c r="D120" s="20" t="s">
        <v>720</v>
      </c>
      <c r="E120" s="9" t="s">
        <v>762</v>
      </c>
      <c r="F120" s="82" t="s">
        <v>763</v>
      </c>
      <c r="G120" s="20">
        <v>913903008</v>
      </c>
      <c r="H120" s="92" t="s">
        <v>741</v>
      </c>
      <c r="I120" s="63">
        <v>22</v>
      </c>
      <c r="J120" s="112">
        <v>3575</v>
      </c>
      <c r="K120" s="94">
        <v>3575</v>
      </c>
      <c r="L120" s="94">
        <v>3575</v>
      </c>
      <c r="M120" s="115">
        <v>3575</v>
      </c>
      <c r="N120" s="4">
        <v>0</v>
      </c>
      <c r="O120" s="4">
        <v>0</v>
      </c>
      <c r="P120" s="2">
        <f t="shared" si="12"/>
        <v>78650</v>
      </c>
      <c r="Q120" s="2">
        <f t="shared" si="7"/>
        <v>78650</v>
      </c>
      <c r="R120" s="2">
        <f t="shared" si="8"/>
        <v>78650</v>
      </c>
      <c r="S120" s="2">
        <f t="shared" si="9"/>
        <v>78650</v>
      </c>
      <c r="T120" s="2">
        <f t="shared" si="10"/>
        <v>0</v>
      </c>
      <c r="U120" s="2">
        <f t="shared" si="11"/>
        <v>0</v>
      </c>
    </row>
    <row r="121" spans="1:21">
      <c r="A121" s="58">
        <v>118</v>
      </c>
      <c r="B121" s="20" t="s">
        <v>521</v>
      </c>
      <c r="C121" s="20" t="s">
        <v>312</v>
      </c>
      <c r="D121" s="20" t="s">
        <v>720</v>
      </c>
      <c r="E121" s="9" t="s">
        <v>764</v>
      </c>
      <c r="F121" s="82" t="s">
        <v>765</v>
      </c>
      <c r="G121" s="20">
        <v>915610001</v>
      </c>
      <c r="H121" s="92" t="s">
        <v>766</v>
      </c>
      <c r="I121" s="63">
        <v>122.68</v>
      </c>
      <c r="J121" s="112">
        <v>2898</v>
      </c>
      <c r="K121" s="94">
        <v>2310</v>
      </c>
      <c r="L121" s="94">
        <v>2526</v>
      </c>
      <c r="M121" s="115">
        <v>2320</v>
      </c>
      <c r="N121" s="4">
        <v>2755</v>
      </c>
      <c r="O121" s="4">
        <v>2527</v>
      </c>
      <c r="P121" s="2">
        <f t="shared" si="12"/>
        <v>355526.64</v>
      </c>
      <c r="Q121" s="2">
        <f t="shared" si="7"/>
        <v>283390.8</v>
      </c>
      <c r="R121" s="2">
        <f t="shared" si="8"/>
        <v>309889.68</v>
      </c>
      <c r="S121" s="2">
        <f t="shared" si="9"/>
        <v>284617.60000000003</v>
      </c>
      <c r="T121" s="2">
        <f t="shared" si="10"/>
        <v>337983.4</v>
      </c>
      <c r="U121" s="2">
        <f t="shared" si="11"/>
        <v>310012.36000000004</v>
      </c>
    </row>
    <row r="122" spans="1:21">
      <c r="A122" s="20">
        <v>119</v>
      </c>
      <c r="B122" s="20" t="s">
        <v>521</v>
      </c>
      <c r="C122" s="20" t="s">
        <v>312</v>
      </c>
      <c r="D122" s="20" t="s">
        <v>720</v>
      </c>
      <c r="E122" s="9" t="s">
        <v>764</v>
      </c>
      <c r="F122" s="82" t="s">
        <v>767</v>
      </c>
      <c r="G122" s="20">
        <v>915611001</v>
      </c>
      <c r="H122" s="92" t="s">
        <v>768</v>
      </c>
      <c r="I122" s="63">
        <v>17.89</v>
      </c>
      <c r="J122" s="112">
        <v>2898</v>
      </c>
      <c r="K122" s="94">
        <v>2310</v>
      </c>
      <c r="L122" s="94">
        <v>2526</v>
      </c>
      <c r="M122" s="115">
        <v>2320</v>
      </c>
      <c r="N122" s="4">
        <v>2755</v>
      </c>
      <c r="O122" s="4">
        <v>2527</v>
      </c>
      <c r="P122" s="2">
        <f t="shared" si="12"/>
        <v>51845.22</v>
      </c>
      <c r="Q122" s="2">
        <f t="shared" si="7"/>
        <v>41325.9</v>
      </c>
      <c r="R122" s="2">
        <f t="shared" si="8"/>
        <v>45190.14</v>
      </c>
      <c r="S122" s="2">
        <f t="shared" si="9"/>
        <v>41504.800000000003</v>
      </c>
      <c r="T122" s="2">
        <f t="shared" si="10"/>
        <v>49286.950000000004</v>
      </c>
      <c r="U122" s="2">
        <f t="shared" si="11"/>
        <v>45208.03</v>
      </c>
    </row>
    <row r="123" spans="1:21">
      <c r="A123" s="20">
        <v>120</v>
      </c>
      <c r="B123" s="20" t="s">
        <v>521</v>
      </c>
      <c r="C123" s="20" t="s">
        <v>312</v>
      </c>
      <c r="D123" s="20" t="s">
        <v>720</v>
      </c>
      <c r="E123" s="9" t="s">
        <v>764</v>
      </c>
      <c r="F123" s="82" t="s">
        <v>769</v>
      </c>
      <c r="G123" s="20">
        <v>915617002</v>
      </c>
      <c r="H123" s="92" t="s">
        <v>770</v>
      </c>
      <c r="I123" s="63">
        <v>74.06</v>
      </c>
      <c r="J123" s="112">
        <v>2898</v>
      </c>
      <c r="K123" s="94">
        <v>2310</v>
      </c>
      <c r="L123" s="94">
        <v>2526</v>
      </c>
      <c r="M123" s="115">
        <v>2320</v>
      </c>
      <c r="N123" s="4">
        <v>2755</v>
      </c>
      <c r="O123" s="4">
        <v>2527</v>
      </c>
      <c r="P123" s="2">
        <f t="shared" si="12"/>
        <v>214625.88</v>
      </c>
      <c r="Q123" s="2">
        <f t="shared" si="7"/>
        <v>171078.6</v>
      </c>
      <c r="R123" s="2">
        <f t="shared" si="8"/>
        <v>187075.56</v>
      </c>
      <c r="S123" s="2">
        <f t="shared" si="9"/>
        <v>171819.2</v>
      </c>
      <c r="T123" s="2">
        <f t="shared" si="10"/>
        <v>204035.30000000002</v>
      </c>
      <c r="U123" s="2">
        <f t="shared" si="11"/>
        <v>187149.62</v>
      </c>
    </row>
    <row r="124" spans="1:21">
      <c r="A124" s="58">
        <v>121</v>
      </c>
      <c r="B124" s="20" t="s">
        <v>521</v>
      </c>
      <c r="C124" s="20" t="s">
        <v>312</v>
      </c>
      <c r="D124" s="20" t="s">
        <v>720</v>
      </c>
      <c r="E124" s="9" t="s">
        <v>764</v>
      </c>
      <c r="F124" s="82" t="s">
        <v>771</v>
      </c>
      <c r="G124" s="20">
        <v>915617003</v>
      </c>
      <c r="H124" s="95" t="s">
        <v>772</v>
      </c>
      <c r="I124" s="63">
        <v>78.36</v>
      </c>
      <c r="J124" s="112">
        <v>2898</v>
      </c>
      <c r="K124" s="94">
        <v>2310</v>
      </c>
      <c r="L124" s="94">
        <v>2526</v>
      </c>
      <c r="M124" s="115">
        <v>2320</v>
      </c>
      <c r="N124" s="4">
        <v>2755</v>
      </c>
      <c r="O124" s="4">
        <v>2527</v>
      </c>
      <c r="P124" s="2">
        <f t="shared" si="12"/>
        <v>227087.28</v>
      </c>
      <c r="Q124" s="2">
        <f t="shared" si="7"/>
        <v>181011.6</v>
      </c>
      <c r="R124" s="2">
        <f t="shared" si="8"/>
        <v>197937.36</v>
      </c>
      <c r="S124" s="2">
        <f t="shared" si="9"/>
        <v>181795.20000000001</v>
      </c>
      <c r="T124" s="2">
        <f t="shared" si="10"/>
        <v>215881.8</v>
      </c>
      <c r="U124" s="2">
        <f t="shared" si="11"/>
        <v>198015.72</v>
      </c>
    </row>
    <row r="125" spans="1:21">
      <c r="A125" s="20">
        <v>122</v>
      </c>
      <c r="B125" s="20" t="s">
        <v>521</v>
      </c>
      <c r="C125" s="20" t="s">
        <v>312</v>
      </c>
      <c r="D125" s="20" t="s">
        <v>720</v>
      </c>
      <c r="E125" s="9" t="s">
        <v>773</v>
      </c>
      <c r="F125" s="82" t="s">
        <v>774</v>
      </c>
      <c r="G125" s="20">
        <v>913903005</v>
      </c>
      <c r="H125" s="95" t="s">
        <v>775</v>
      </c>
      <c r="I125" s="63">
        <v>39.14</v>
      </c>
      <c r="J125" s="112">
        <v>827</v>
      </c>
      <c r="K125" s="94">
        <v>900</v>
      </c>
      <c r="L125" s="94">
        <v>794</v>
      </c>
      <c r="M125" s="115">
        <v>794</v>
      </c>
      <c r="N125" s="4">
        <v>808</v>
      </c>
      <c r="O125" s="4">
        <v>769</v>
      </c>
      <c r="P125" s="2">
        <f t="shared" si="12"/>
        <v>32368.78</v>
      </c>
      <c r="Q125" s="2">
        <f t="shared" si="7"/>
        <v>35226</v>
      </c>
      <c r="R125" s="2">
        <f t="shared" si="8"/>
        <v>31077.16</v>
      </c>
      <c r="S125" s="2">
        <f t="shared" si="9"/>
        <v>31077.16</v>
      </c>
      <c r="T125" s="2">
        <f t="shared" si="10"/>
        <v>31625.119999999999</v>
      </c>
      <c r="U125" s="2">
        <f t="shared" si="11"/>
        <v>30098.66</v>
      </c>
    </row>
    <row r="126" spans="1:21">
      <c r="A126" s="20">
        <v>123</v>
      </c>
      <c r="B126" s="20" t="s">
        <v>521</v>
      </c>
      <c r="C126" s="20" t="s">
        <v>312</v>
      </c>
      <c r="D126" s="20" t="s">
        <v>720</v>
      </c>
      <c r="E126" s="9" t="s">
        <v>773</v>
      </c>
      <c r="F126" s="82" t="s">
        <v>776</v>
      </c>
      <c r="G126" s="20">
        <v>913917001</v>
      </c>
      <c r="H126" s="95" t="s">
        <v>777</v>
      </c>
      <c r="I126" s="63">
        <v>46.71</v>
      </c>
      <c r="J126" s="112">
        <v>827</v>
      </c>
      <c r="K126" s="94">
        <v>900</v>
      </c>
      <c r="L126" s="94">
        <v>794</v>
      </c>
      <c r="M126" s="115">
        <v>794</v>
      </c>
      <c r="N126" s="4">
        <v>808</v>
      </c>
      <c r="O126" s="4">
        <v>769</v>
      </c>
      <c r="P126" s="2">
        <f t="shared" si="12"/>
        <v>38629.17</v>
      </c>
      <c r="Q126" s="2">
        <f t="shared" si="7"/>
        <v>42039</v>
      </c>
      <c r="R126" s="2">
        <f t="shared" si="8"/>
        <v>37087.74</v>
      </c>
      <c r="S126" s="2">
        <f t="shared" si="9"/>
        <v>37087.74</v>
      </c>
      <c r="T126" s="2">
        <f t="shared" si="10"/>
        <v>37741.68</v>
      </c>
      <c r="U126" s="2">
        <f t="shared" si="11"/>
        <v>35919.99</v>
      </c>
    </row>
    <row r="127" spans="1:21">
      <c r="A127" s="58">
        <v>124</v>
      </c>
      <c r="B127" s="20" t="s">
        <v>521</v>
      </c>
      <c r="C127" s="20" t="s">
        <v>312</v>
      </c>
      <c r="D127" s="20" t="s">
        <v>720</v>
      </c>
      <c r="E127" s="9" t="s">
        <v>778</v>
      </c>
      <c r="F127" s="82" t="s">
        <v>779</v>
      </c>
      <c r="G127" s="20">
        <v>917803001</v>
      </c>
      <c r="H127" s="95" t="s">
        <v>748</v>
      </c>
      <c r="I127" s="63">
        <v>54.39</v>
      </c>
      <c r="J127" s="112">
        <v>6096</v>
      </c>
      <c r="K127" s="94">
        <v>4244</v>
      </c>
      <c r="L127" s="94">
        <v>4623</v>
      </c>
      <c r="M127" s="115">
        <v>4210</v>
      </c>
      <c r="N127" s="4">
        <v>5005</v>
      </c>
      <c r="O127" s="4">
        <v>4657</v>
      </c>
      <c r="P127" s="2">
        <f t="shared" si="12"/>
        <v>331561.44</v>
      </c>
      <c r="Q127" s="2">
        <f t="shared" si="7"/>
        <v>230831.16</v>
      </c>
      <c r="R127" s="2">
        <f t="shared" si="8"/>
        <v>251444.97</v>
      </c>
      <c r="S127" s="2">
        <f t="shared" si="9"/>
        <v>228981.9</v>
      </c>
      <c r="T127" s="2">
        <f t="shared" si="10"/>
        <v>272221.95</v>
      </c>
      <c r="U127" s="2">
        <f t="shared" si="11"/>
        <v>253294.23</v>
      </c>
    </row>
    <row r="128" spans="1:21">
      <c r="A128" s="20">
        <v>125</v>
      </c>
      <c r="B128" s="20" t="s">
        <v>521</v>
      </c>
      <c r="C128" s="20" t="s">
        <v>312</v>
      </c>
      <c r="D128" s="20" t="s">
        <v>720</v>
      </c>
      <c r="E128" s="9" t="s">
        <v>780</v>
      </c>
      <c r="F128" s="82" t="s">
        <v>781</v>
      </c>
      <c r="G128" s="20">
        <v>913904005</v>
      </c>
      <c r="H128" s="95" t="s">
        <v>723</v>
      </c>
      <c r="I128" s="63">
        <v>167.51</v>
      </c>
      <c r="J128" s="112">
        <v>1090</v>
      </c>
      <c r="K128" s="94">
        <v>1075</v>
      </c>
      <c r="L128" s="94">
        <v>1000</v>
      </c>
      <c r="M128" s="115">
        <v>1080</v>
      </c>
      <c r="N128" s="4">
        <v>1080</v>
      </c>
      <c r="O128" s="4">
        <v>848</v>
      </c>
      <c r="P128" s="2">
        <f t="shared" si="12"/>
        <v>182585.9</v>
      </c>
      <c r="Q128" s="2">
        <f t="shared" si="7"/>
        <v>180073.25</v>
      </c>
      <c r="R128" s="2">
        <f t="shared" si="8"/>
        <v>167510</v>
      </c>
      <c r="S128" s="2">
        <f t="shared" si="9"/>
        <v>180910.8</v>
      </c>
      <c r="T128" s="2">
        <f t="shared" si="10"/>
        <v>180910.8</v>
      </c>
      <c r="U128" s="2">
        <f t="shared" si="11"/>
        <v>142048.47999999998</v>
      </c>
    </row>
    <row r="129" spans="1:21">
      <c r="A129" s="20">
        <v>126</v>
      </c>
      <c r="B129" s="20" t="s">
        <v>521</v>
      </c>
      <c r="C129" s="20" t="s">
        <v>312</v>
      </c>
      <c r="D129" s="20" t="s">
        <v>720</v>
      </c>
      <c r="E129" s="9" t="s">
        <v>780</v>
      </c>
      <c r="F129" s="82" t="s">
        <v>782</v>
      </c>
      <c r="G129" s="20">
        <v>913904006</v>
      </c>
      <c r="H129" s="20" t="s">
        <v>725</v>
      </c>
      <c r="I129" s="63">
        <v>167.51</v>
      </c>
      <c r="J129" s="112">
        <v>1090</v>
      </c>
      <c r="K129" s="94">
        <v>1075</v>
      </c>
      <c r="L129" s="94">
        <v>1000</v>
      </c>
      <c r="M129" s="115">
        <v>1080</v>
      </c>
      <c r="N129" s="4">
        <v>1080</v>
      </c>
      <c r="O129" s="4">
        <v>848</v>
      </c>
      <c r="P129" s="2">
        <f t="shared" si="12"/>
        <v>182585.9</v>
      </c>
      <c r="Q129" s="2">
        <f t="shared" si="7"/>
        <v>180073.25</v>
      </c>
      <c r="R129" s="2">
        <f t="shared" si="8"/>
        <v>167510</v>
      </c>
      <c r="S129" s="2">
        <f t="shared" si="9"/>
        <v>180910.8</v>
      </c>
      <c r="T129" s="2">
        <f t="shared" si="10"/>
        <v>180910.8</v>
      </c>
      <c r="U129" s="2">
        <f t="shared" si="11"/>
        <v>142048.47999999998</v>
      </c>
    </row>
    <row r="130" spans="1:21">
      <c r="A130" s="58">
        <v>127</v>
      </c>
      <c r="B130" s="20" t="s">
        <v>521</v>
      </c>
      <c r="C130" s="20" t="s">
        <v>312</v>
      </c>
      <c r="D130" s="20" t="s">
        <v>720</v>
      </c>
      <c r="E130" s="9" t="s">
        <v>780</v>
      </c>
      <c r="F130" s="82" t="s">
        <v>783</v>
      </c>
      <c r="G130" s="20">
        <v>913904007</v>
      </c>
      <c r="H130" s="20" t="s">
        <v>727</v>
      </c>
      <c r="I130" s="63">
        <v>153.27000000000001</v>
      </c>
      <c r="J130" s="112">
        <v>1090</v>
      </c>
      <c r="K130" s="94">
        <v>1075</v>
      </c>
      <c r="L130" s="94">
        <v>1000</v>
      </c>
      <c r="M130" s="115">
        <v>1080</v>
      </c>
      <c r="N130" s="4">
        <v>1080</v>
      </c>
      <c r="O130" s="4">
        <v>848</v>
      </c>
      <c r="P130" s="2">
        <f t="shared" si="12"/>
        <v>167064.30000000002</v>
      </c>
      <c r="Q130" s="2">
        <f t="shared" si="7"/>
        <v>164765.25</v>
      </c>
      <c r="R130" s="2">
        <f t="shared" si="8"/>
        <v>153270</v>
      </c>
      <c r="S130" s="2">
        <f t="shared" si="9"/>
        <v>165531.6</v>
      </c>
      <c r="T130" s="2">
        <f t="shared" si="10"/>
        <v>165531.6</v>
      </c>
      <c r="U130" s="2">
        <f t="shared" si="11"/>
        <v>129972.96</v>
      </c>
    </row>
    <row r="131" spans="1:21">
      <c r="A131" s="20">
        <v>128</v>
      </c>
      <c r="B131" s="20" t="s">
        <v>521</v>
      </c>
      <c r="C131" s="20" t="s">
        <v>312</v>
      </c>
      <c r="D131" s="20" t="s">
        <v>720</v>
      </c>
      <c r="E131" s="9" t="s">
        <v>780</v>
      </c>
      <c r="F131" s="82" t="s">
        <v>784</v>
      </c>
      <c r="G131" s="20">
        <v>913904008</v>
      </c>
      <c r="H131" s="20" t="s">
        <v>729</v>
      </c>
      <c r="I131" s="63">
        <v>153.27000000000001</v>
      </c>
      <c r="J131" s="112">
        <v>1090</v>
      </c>
      <c r="K131" s="94">
        <v>1075</v>
      </c>
      <c r="L131" s="94">
        <v>1000</v>
      </c>
      <c r="M131" s="115">
        <v>1080</v>
      </c>
      <c r="N131" s="4">
        <v>1080</v>
      </c>
      <c r="O131" s="4">
        <v>848</v>
      </c>
      <c r="P131" s="2">
        <f t="shared" si="12"/>
        <v>167064.30000000002</v>
      </c>
      <c r="Q131" s="2">
        <f t="shared" si="7"/>
        <v>164765.25</v>
      </c>
      <c r="R131" s="2">
        <f t="shared" si="8"/>
        <v>153270</v>
      </c>
      <c r="S131" s="2">
        <f t="shared" si="9"/>
        <v>165531.6</v>
      </c>
      <c r="T131" s="2">
        <f t="shared" si="10"/>
        <v>165531.6</v>
      </c>
      <c r="U131" s="2">
        <f t="shared" si="11"/>
        <v>129972.96</v>
      </c>
    </row>
    <row r="132" spans="1:21">
      <c r="A132" s="20">
        <v>129</v>
      </c>
      <c r="B132" s="20" t="s">
        <v>521</v>
      </c>
      <c r="C132" s="20" t="s">
        <v>312</v>
      </c>
      <c r="D132" s="20" t="s">
        <v>720</v>
      </c>
      <c r="E132" s="9" t="s">
        <v>780</v>
      </c>
      <c r="F132" s="82" t="s">
        <v>785</v>
      </c>
      <c r="G132" s="20">
        <v>913902002</v>
      </c>
      <c r="H132" s="20" t="s">
        <v>786</v>
      </c>
      <c r="I132" s="63">
        <v>193.48</v>
      </c>
      <c r="J132" s="112">
        <v>1090</v>
      </c>
      <c r="K132" s="94">
        <v>1075</v>
      </c>
      <c r="L132" s="94">
        <v>1000</v>
      </c>
      <c r="M132" s="115">
        <v>1080</v>
      </c>
      <c r="N132" s="4">
        <v>1080</v>
      </c>
      <c r="O132" s="4">
        <v>848</v>
      </c>
      <c r="P132" s="2">
        <f t="shared" si="12"/>
        <v>210893.19999999998</v>
      </c>
      <c r="Q132" s="2">
        <f t="shared" ref="Q132:Q195" si="13">K132*I132</f>
        <v>207991</v>
      </c>
      <c r="R132" s="2">
        <f t="shared" ref="R132:R195" si="14">L132*I132</f>
        <v>193480</v>
      </c>
      <c r="S132" s="2">
        <f t="shared" ref="S132:S195" si="15">M132*I132</f>
        <v>208958.4</v>
      </c>
      <c r="T132" s="2">
        <f t="shared" ref="T132:T195" si="16">N132*I132</f>
        <v>208958.4</v>
      </c>
      <c r="U132" s="2">
        <f t="shared" ref="U132:U195" si="17">O132*I132</f>
        <v>164071.03999999998</v>
      </c>
    </row>
    <row r="133" spans="1:21">
      <c r="A133" s="58">
        <v>130</v>
      </c>
      <c r="B133" s="20" t="s">
        <v>521</v>
      </c>
      <c r="C133" s="20" t="s">
        <v>312</v>
      </c>
      <c r="D133" s="20" t="s">
        <v>720</v>
      </c>
      <c r="E133" s="9" t="s">
        <v>787</v>
      </c>
      <c r="F133" s="82" t="s">
        <v>788</v>
      </c>
      <c r="G133" s="20">
        <v>910610002</v>
      </c>
      <c r="H133" s="20" t="s">
        <v>789</v>
      </c>
      <c r="I133" s="63">
        <v>193.04</v>
      </c>
      <c r="J133" s="112">
        <v>84</v>
      </c>
      <c r="K133" s="96">
        <v>82</v>
      </c>
      <c r="L133" s="96">
        <v>99</v>
      </c>
      <c r="M133" s="115">
        <v>87</v>
      </c>
      <c r="N133" s="4">
        <v>116</v>
      </c>
      <c r="O133" s="4">
        <v>98</v>
      </c>
      <c r="P133" s="2">
        <f>J133*I133</f>
        <v>16215.359999999999</v>
      </c>
      <c r="Q133" s="2">
        <f t="shared" si="13"/>
        <v>15829.279999999999</v>
      </c>
      <c r="R133" s="2">
        <f t="shared" si="14"/>
        <v>19110.96</v>
      </c>
      <c r="S133" s="2">
        <f t="shared" si="15"/>
        <v>16794.48</v>
      </c>
      <c r="T133" s="2">
        <f t="shared" si="16"/>
        <v>22392.639999999999</v>
      </c>
      <c r="U133" s="2">
        <f t="shared" si="17"/>
        <v>18917.919999999998</v>
      </c>
    </row>
    <row r="134" spans="1:21">
      <c r="A134" s="20">
        <v>131</v>
      </c>
      <c r="B134" s="20" t="s">
        <v>521</v>
      </c>
      <c r="C134" s="20" t="s">
        <v>312</v>
      </c>
      <c r="D134" s="20" t="s">
        <v>720</v>
      </c>
      <c r="E134" s="9" t="s">
        <v>787</v>
      </c>
      <c r="F134" s="82" t="s">
        <v>790</v>
      </c>
      <c r="G134" s="20">
        <v>910609001</v>
      </c>
      <c r="H134" s="20" t="s">
        <v>791</v>
      </c>
      <c r="I134" s="63">
        <v>201.72</v>
      </c>
      <c r="J134" s="112">
        <v>100</v>
      </c>
      <c r="K134" s="96">
        <v>84</v>
      </c>
      <c r="L134" s="96">
        <v>82</v>
      </c>
      <c r="M134" s="115">
        <v>99</v>
      </c>
      <c r="N134" s="4">
        <v>87</v>
      </c>
      <c r="O134" s="4">
        <v>116</v>
      </c>
      <c r="P134" s="2">
        <f>J134*I134</f>
        <v>20172</v>
      </c>
      <c r="Q134" s="2">
        <f t="shared" si="13"/>
        <v>16944.48</v>
      </c>
      <c r="R134" s="2">
        <f t="shared" si="14"/>
        <v>16541.04</v>
      </c>
      <c r="S134" s="2">
        <f t="shared" si="15"/>
        <v>19970.28</v>
      </c>
      <c r="T134" s="2">
        <f t="shared" si="16"/>
        <v>17549.64</v>
      </c>
      <c r="U134" s="2">
        <f t="shared" si="17"/>
        <v>23399.52</v>
      </c>
    </row>
    <row r="135" spans="1:21">
      <c r="A135" s="20">
        <v>132</v>
      </c>
      <c r="B135" s="20" t="s">
        <v>521</v>
      </c>
      <c r="C135" s="20" t="s">
        <v>312</v>
      </c>
      <c r="D135" s="20" t="s">
        <v>720</v>
      </c>
      <c r="E135" s="9" t="s">
        <v>787</v>
      </c>
      <c r="F135" s="82" t="s">
        <v>792</v>
      </c>
      <c r="G135" s="20">
        <v>910602002</v>
      </c>
      <c r="H135" s="20" t="s">
        <v>793</v>
      </c>
      <c r="I135" s="63">
        <v>63.34</v>
      </c>
      <c r="J135" s="112">
        <v>84</v>
      </c>
      <c r="K135" s="94">
        <v>82</v>
      </c>
      <c r="L135" s="94">
        <v>99</v>
      </c>
      <c r="M135" s="115">
        <v>87</v>
      </c>
      <c r="N135" s="4">
        <v>116</v>
      </c>
      <c r="O135" s="4">
        <v>98</v>
      </c>
      <c r="P135" s="2">
        <f t="shared" ref="P135:P198" si="18">J135*I135</f>
        <v>5320.56</v>
      </c>
      <c r="Q135" s="2">
        <f t="shared" si="13"/>
        <v>5193.88</v>
      </c>
      <c r="R135" s="2">
        <f t="shared" si="14"/>
        <v>6270.6600000000008</v>
      </c>
      <c r="S135" s="2">
        <f t="shared" si="15"/>
        <v>5510.58</v>
      </c>
      <c r="T135" s="2">
        <f t="shared" si="16"/>
        <v>7347.4400000000005</v>
      </c>
      <c r="U135" s="2">
        <f t="shared" si="17"/>
        <v>6207.3200000000006</v>
      </c>
    </row>
    <row r="136" spans="1:21">
      <c r="A136" s="58">
        <v>133</v>
      </c>
      <c r="B136" s="20" t="s">
        <v>521</v>
      </c>
      <c r="C136" s="20" t="s">
        <v>312</v>
      </c>
      <c r="D136" s="20" t="s">
        <v>720</v>
      </c>
      <c r="E136" s="9" t="s">
        <v>787</v>
      </c>
      <c r="F136" s="82" t="s">
        <v>794</v>
      </c>
      <c r="G136" s="20">
        <v>910617003</v>
      </c>
      <c r="H136" s="20" t="s">
        <v>754</v>
      </c>
      <c r="I136" s="63">
        <v>246.24</v>
      </c>
      <c r="J136" s="112">
        <v>84</v>
      </c>
      <c r="K136" s="96">
        <v>82</v>
      </c>
      <c r="L136" s="96">
        <v>99</v>
      </c>
      <c r="M136" s="115">
        <v>87</v>
      </c>
      <c r="N136" s="4">
        <v>116</v>
      </c>
      <c r="O136" s="4">
        <v>98</v>
      </c>
      <c r="P136" s="2">
        <f t="shared" si="18"/>
        <v>20684.16</v>
      </c>
      <c r="Q136" s="2">
        <f t="shared" si="13"/>
        <v>20191.68</v>
      </c>
      <c r="R136" s="2">
        <f t="shared" si="14"/>
        <v>24377.760000000002</v>
      </c>
      <c r="S136" s="2">
        <f t="shared" si="15"/>
        <v>21422.880000000001</v>
      </c>
      <c r="T136" s="2">
        <f t="shared" si="16"/>
        <v>28563.84</v>
      </c>
      <c r="U136" s="2">
        <f t="shared" si="17"/>
        <v>24131.52</v>
      </c>
    </row>
    <row r="137" spans="1:21">
      <c r="A137" s="20">
        <v>134</v>
      </c>
      <c r="B137" s="20" t="s">
        <v>521</v>
      </c>
      <c r="C137" s="20" t="s">
        <v>312</v>
      </c>
      <c r="D137" s="20" t="s">
        <v>720</v>
      </c>
      <c r="E137" s="9" t="s">
        <v>795</v>
      </c>
      <c r="F137" s="97" t="s">
        <v>796</v>
      </c>
      <c r="G137" s="97">
        <v>910509001</v>
      </c>
      <c r="H137" s="97" t="s">
        <v>791</v>
      </c>
      <c r="I137" s="98">
        <v>197.42</v>
      </c>
      <c r="J137" s="112">
        <v>84</v>
      </c>
      <c r="K137" s="94">
        <v>82</v>
      </c>
      <c r="L137" s="94">
        <v>99</v>
      </c>
      <c r="M137" s="115">
        <v>87</v>
      </c>
      <c r="N137" s="4">
        <v>116</v>
      </c>
      <c r="O137" s="4">
        <v>98</v>
      </c>
      <c r="P137" s="2">
        <f t="shared" si="18"/>
        <v>16583.28</v>
      </c>
      <c r="Q137" s="2">
        <f t="shared" si="13"/>
        <v>16188.439999999999</v>
      </c>
      <c r="R137" s="2">
        <f t="shared" si="14"/>
        <v>19544.579999999998</v>
      </c>
      <c r="S137" s="2">
        <f t="shared" si="15"/>
        <v>17175.539999999997</v>
      </c>
      <c r="T137" s="2">
        <f t="shared" si="16"/>
        <v>22900.719999999998</v>
      </c>
      <c r="U137" s="2">
        <f t="shared" si="17"/>
        <v>19347.16</v>
      </c>
    </row>
    <row r="138" spans="1:21">
      <c r="A138" s="20">
        <v>135</v>
      </c>
      <c r="B138" s="20" t="s">
        <v>521</v>
      </c>
      <c r="C138" s="20" t="s">
        <v>312</v>
      </c>
      <c r="D138" s="20" t="s">
        <v>720</v>
      </c>
      <c r="E138" s="9" t="s">
        <v>795</v>
      </c>
      <c r="F138" s="97" t="s">
        <v>797</v>
      </c>
      <c r="G138" s="97">
        <v>910510001</v>
      </c>
      <c r="H138" s="97" t="s">
        <v>798</v>
      </c>
      <c r="I138" s="98">
        <v>156.85</v>
      </c>
      <c r="J138" s="112">
        <v>444</v>
      </c>
      <c r="K138" s="94">
        <v>449</v>
      </c>
      <c r="L138" s="94">
        <v>368</v>
      </c>
      <c r="M138" s="115">
        <v>348</v>
      </c>
      <c r="N138" s="4">
        <v>344</v>
      </c>
      <c r="O138" s="4">
        <v>347</v>
      </c>
      <c r="P138" s="2">
        <f t="shared" si="18"/>
        <v>69641.399999999994</v>
      </c>
      <c r="Q138" s="2">
        <f t="shared" si="13"/>
        <v>70425.649999999994</v>
      </c>
      <c r="R138" s="2">
        <f t="shared" si="14"/>
        <v>57720.799999999996</v>
      </c>
      <c r="S138" s="2">
        <f t="shared" si="15"/>
        <v>54583.799999999996</v>
      </c>
      <c r="T138" s="2">
        <f t="shared" si="16"/>
        <v>53956.4</v>
      </c>
      <c r="U138" s="2">
        <f t="shared" si="17"/>
        <v>54426.95</v>
      </c>
    </row>
    <row r="139" spans="1:21">
      <c r="A139" s="58">
        <v>136</v>
      </c>
      <c r="B139" s="20" t="s">
        <v>521</v>
      </c>
      <c r="C139" s="20" t="s">
        <v>312</v>
      </c>
      <c r="D139" s="20" t="s">
        <v>720</v>
      </c>
      <c r="E139" s="9" t="s">
        <v>795</v>
      </c>
      <c r="F139" s="97" t="s">
        <v>799</v>
      </c>
      <c r="G139" s="97">
        <v>910513001</v>
      </c>
      <c r="H139" s="97" t="s">
        <v>750</v>
      </c>
      <c r="I139" s="98">
        <v>113.21</v>
      </c>
      <c r="J139" s="112">
        <v>444</v>
      </c>
      <c r="K139" s="94">
        <v>449</v>
      </c>
      <c r="L139" s="94">
        <v>368</v>
      </c>
      <c r="M139" s="115">
        <v>348</v>
      </c>
      <c r="N139" s="4">
        <v>344</v>
      </c>
      <c r="O139" s="4">
        <v>347</v>
      </c>
      <c r="P139" s="2">
        <f t="shared" si="18"/>
        <v>50265.24</v>
      </c>
      <c r="Q139" s="2">
        <f t="shared" si="13"/>
        <v>50831.289999999994</v>
      </c>
      <c r="R139" s="2">
        <f t="shared" si="14"/>
        <v>41661.279999999999</v>
      </c>
      <c r="S139" s="2">
        <f t="shared" si="15"/>
        <v>39397.079999999994</v>
      </c>
      <c r="T139" s="2">
        <f t="shared" si="16"/>
        <v>38944.239999999998</v>
      </c>
      <c r="U139" s="2">
        <f t="shared" si="17"/>
        <v>39283.869999999995</v>
      </c>
    </row>
    <row r="140" spans="1:21">
      <c r="A140" s="20">
        <v>137</v>
      </c>
      <c r="B140" s="20" t="s">
        <v>521</v>
      </c>
      <c r="C140" s="20" t="s">
        <v>312</v>
      </c>
      <c r="D140" s="20" t="s">
        <v>720</v>
      </c>
      <c r="E140" s="9" t="s">
        <v>795</v>
      </c>
      <c r="F140" s="97" t="s">
        <v>800</v>
      </c>
      <c r="G140" s="97">
        <v>910512001</v>
      </c>
      <c r="H140" s="97" t="s">
        <v>801</v>
      </c>
      <c r="I140" s="98">
        <v>162.44</v>
      </c>
      <c r="J140" s="112">
        <v>444</v>
      </c>
      <c r="K140" s="94">
        <v>449</v>
      </c>
      <c r="L140" s="94">
        <v>368</v>
      </c>
      <c r="M140" s="115">
        <v>348</v>
      </c>
      <c r="N140" s="4">
        <v>344</v>
      </c>
      <c r="O140" s="4">
        <v>347</v>
      </c>
      <c r="P140" s="2">
        <f t="shared" si="18"/>
        <v>72123.360000000001</v>
      </c>
      <c r="Q140" s="2">
        <f t="shared" si="13"/>
        <v>72935.56</v>
      </c>
      <c r="R140" s="2">
        <f t="shared" si="14"/>
        <v>59777.919999999998</v>
      </c>
      <c r="S140" s="2">
        <f t="shared" si="15"/>
        <v>56529.120000000003</v>
      </c>
      <c r="T140" s="2">
        <f t="shared" si="16"/>
        <v>55879.360000000001</v>
      </c>
      <c r="U140" s="2">
        <f t="shared" si="17"/>
        <v>56366.68</v>
      </c>
    </row>
    <row r="141" spans="1:21">
      <c r="A141" s="20">
        <v>138</v>
      </c>
      <c r="B141" s="20" t="s">
        <v>521</v>
      </c>
      <c r="C141" s="20" t="s">
        <v>312</v>
      </c>
      <c r="D141" s="20" t="s">
        <v>720</v>
      </c>
      <c r="E141" s="9" t="s">
        <v>795</v>
      </c>
      <c r="F141" s="97" t="s">
        <v>802</v>
      </c>
      <c r="G141" s="97">
        <v>910512002</v>
      </c>
      <c r="H141" s="97" t="s">
        <v>803</v>
      </c>
      <c r="I141" s="98">
        <v>162.44</v>
      </c>
      <c r="J141" s="112">
        <v>444</v>
      </c>
      <c r="K141" s="94">
        <v>449</v>
      </c>
      <c r="L141" s="94">
        <v>368</v>
      </c>
      <c r="M141" s="115">
        <v>348</v>
      </c>
      <c r="N141" s="4">
        <v>344</v>
      </c>
      <c r="O141" s="4">
        <v>347</v>
      </c>
      <c r="P141" s="2">
        <f t="shared" si="18"/>
        <v>72123.360000000001</v>
      </c>
      <c r="Q141" s="2">
        <f t="shared" si="13"/>
        <v>72935.56</v>
      </c>
      <c r="R141" s="2">
        <f t="shared" si="14"/>
        <v>59777.919999999998</v>
      </c>
      <c r="S141" s="2">
        <f t="shared" si="15"/>
        <v>56529.120000000003</v>
      </c>
      <c r="T141" s="2">
        <f t="shared" si="16"/>
        <v>55879.360000000001</v>
      </c>
      <c r="U141" s="2">
        <f t="shared" si="17"/>
        <v>56366.68</v>
      </c>
    </row>
    <row r="142" spans="1:21">
      <c r="A142" s="58">
        <v>139</v>
      </c>
      <c r="B142" s="20" t="s">
        <v>521</v>
      </c>
      <c r="C142" s="20" t="s">
        <v>312</v>
      </c>
      <c r="D142" s="20" t="s">
        <v>720</v>
      </c>
      <c r="E142" s="9" t="s">
        <v>795</v>
      </c>
      <c r="F142" s="97" t="s">
        <v>804</v>
      </c>
      <c r="G142" s="97">
        <v>910504001</v>
      </c>
      <c r="H142" s="97" t="s">
        <v>805</v>
      </c>
      <c r="I142" s="98">
        <v>60.38</v>
      </c>
      <c r="J142" s="112">
        <v>444</v>
      </c>
      <c r="K142" s="94">
        <v>449</v>
      </c>
      <c r="L142" s="94">
        <v>368</v>
      </c>
      <c r="M142" s="115">
        <v>348</v>
      </c>
      <c r="N142" s="4">
        <v>344</v>
      </c>
      <c r="O142" s="4">
        <v>347</v>
      </c>
      <c r="P142" s="2">
        <f t="shared" si="18"/>
        <v>26808.720000000001</v>
      </c>
      <c r="Q142" s="2">
        <f t="shared" si="13"/>
        <v>27110.620000000003</v>
      </c>
      <c r="R142" s="2">
        <f t="shared" si="14"/>
        <v>22219.84</v>
      </c>
      <c r="S142" s="2">
        <f t="shared" si="15"/>
        <v>21012.240000000002</v>
      </c>
      <c r="T142" s="2">
        <f t="shared" si="16"/>
        <v>20770.72</v>
      </c>
      <c r="U142" s="2">
        <f t="shared" si="17"/>
        <v>20951.86</v>
      </c>
    </row>
    <row r="143" spans="1:21">
      <c r="A143" s="20">
        <v>140</v>
      </c>
      <c r="B143" s="20" t="s">
        <v>521</v>
      </c>
      <c r="C143" s="20" t="s">
        <v>312</v>
      </c>
      <c r="D143" s="20" t="s">
        <v>720</v>
      </c>
      <c r="E143" s="9" t="s">
        <v>795</v>
      </c>
      <c r="F143" s="97" t="s">
        <v>806</v>
      </c>
      <c r="G143" s="97">
        <v>910501004</v>
      </c>
      <c r="H143" s="97" t="s">
        <v>807</v>
      </c>
      <c r="I143" s="98">
        <v>13.74</v>
      </c>
      <c r="J143" s="112">
        <v>444</v>
      </c>
      <c r="K143" s="94">
        <v>449</v>
      </c>
      <c r="L143" s="94">
        <v>368</v>
      </c>
      <c r="M143" s="115">
        <v>348</v>
      </c>
      <c r="N143" s="4">
        <v>344</v>
      </c>
      <c r="O143" s="4">
        <v>347</v>
      </c>
      <c r="P143" s="2">
        <f t="shared" si="18"/>
        <v>6100.56</v>
      </c>
      <c r="Q143" s="2">
        <f t="shared" si="13"/>
        <v>6169.26</v>
      </c>
      <c r="R143" s="2">
        <f t="shared" si="14"/>
        <v>5056.32</v>
      </c>
      <c r="S143" s="2">
        <f t="shared" si="15"/>
        <v>4781.5200000000004</v>
      </c>
      <c r="T143" s="2">
        <f t="shared" si="16"/>
        <v>4726.5600000000004</v>
      </c>
      <c r="U143" s="2">
        <f t="shared" si="17"/>
        <v>4767.78</v>
      </c>
    </row>
    <row r="144" spans="1:21">
      <c r="A144" s="20">
        <v>141</v>
      </c>
      <c r="B144" s="20" t="s">
        <v>521</v>
      </c>
      <c r="C144" s="20" t="s">
        <v>312</v>
      </c>
      <c r="D144" s="20" t="s">
        <v>720</v>
      </c>
      <c r="E144" s="9" t="s">
        <v>795</v>
      </c>
      <c r="F144" s="97" t="s">
        <v>808</v>
      </c>
      <c r="G144" s="97">
        <v>910501005</v>
      </c>
      <c r="H144" s="97" t="s">
        <v>807</v>
      </c>
      <c r="I144" s="98">
        <v>13.74</v>
      </c>
      <c r="J144" s="112">
        <v>444</v>
      </c>
      <c r="K144" s="94">
        <v>449</v>
      </c>
      <c r="L144" s="94">
        <v>368</v>
      </c>
      <c r="M144" s="115">
        <v>348</v>
      </c>
      <c r="N144" s="4">
        <v>344</v>
      </c>
      <c r="O144" s="4">
        <v>347</v>
      </c>
      <c r="P144" s="2">
        <f t="shared" si="18"/>
        <v>6100.56</v>
      </c>
      <c r="Q144" s="2">
        <f t="shared" si="13"/>
        <v>6169.26</v>
      </c>
      <c r="R144" s="2">
        <f t="shared" si="14"/>
        <v>5056.32</v>
      </c>
      <c r="S144" s="2">
        <f t="shared" si="15"/>
        <v>4781.5200000000004</v>
      </c>
      <c r="T144" s="2">
        <f t="shared" si="16"/>
        <v>4726.5600000000004</v>
      </c>
      <c r="U144" s="2">
        <f t="shared" si="17"/>
        <v>4767.78</v>
      </c>
    </row>
    <row r="145" spans="1:21">
      <c r="A145" s="58">
        <v>142</v>
      </c>
      <c r="B145" s="20" t="s">
        <v>521</v>
      </c>
      <c r="C145" s="20" t="s">
        <v>312</v>
      </c>
      <c r="D145" s="20" t="s">
        <v>720</v>
      </c>
      <c r="E145" s="9" t="s">
        <v>795</v>
      </c>
      <c r="F145" s="97" t="s">
        <v>809</v>
      </c>
      <c r="G145" s="97">
        <v>910511001</v>
      </c>
      <c r="H145" s="97" t="s">
        <v>810</v>
      </c>
      <c r="I145" s="98">
        <v>17.649999999999999</v>
      </c>
      <c r="J145" s="112">
        <v>444</v>
      </c>
      <c r="K145" s="94">
        <v>449</v>
      </c>
      <c r="L145" s="94">
        <v>368</v>
      </c>
      <c r="M145" s="115">
        <v>348</v>
      </c>
      <c r="N145" s="4">
        <v>344</v>
      </c>
      <c r="O145" s="4">
        <v>347</v>
      </c>
      <c r="P145" s="2">
        <f t="shared" si="18"/>
        <v>7836.5999999999995</v>
      </c>
      <c r="Q145" s="2">
        <f t="shared" si="13"/>
        <v>7924.8499999999995</v>
      </c>
      <c r="R145" s="2">
        <f t="shared" si="14"/>
        <v>6495.2</v>
      </c>
      <c r="S145" s="2">
        <f t="shared" si="15"/>
        <v>6142.2</v>
      </c>
      <c r="T145" s="2">
        <f t="shared" si="16"/>
        <v>6071.5999999999995</v>
      </c>
      <c r="U145" s="2">
        <f t="shared" si="17"/>
        <v>6124.5499999999993</v>
      </c>
    </row>
    <row r="146" spans="1:21">
      <c r="A146" s="20">
        <v>143</v>
      </c>
      <c r="B146" s="20" t="s">
        <v>521</v>
      </c>
      <c r="C146" s="20" t="s">
        <v>312</v>
      </c>
      <c r="D146" s="20" t="s">
        <v>720</v>
      </c>
      <c r="E146" s="9" t="s">
        <v>795</v>
      </c>
      <c r="F146" s="97" t="s">
        <v>811</v>
      </c>
      <c r="G146" s="97">
        <v>910501001</v>
      </c>
      <c r="H146" s="97" t="s">
        <v>756</v>
      </c>
      <c r="I146" s="98">
        <v>177.21</v>
      </c>
      <c r="J146" s="112">
        <v>444</v>
      </c>
      <c r="K146" s="94">
        <v>449</v>
      </c>
      <c r="L146" s="94">
        <v>368</v>
      </c>
      <c r="M146" s="115">
        <v>348</v>
      </c>
      <c r="N146" s="4">
        <v>344</v>
      </c>
      <c r="O146" s="4">
        <v>347</v>
      </c>
      <c r="P146" s="2">
        <f t="shared" si="18"/>
        <v>78681.240000000005</v>
      </c>
      <c r="Q146" s="2">
        <f t="shared" si="13"/>
        <v>79567.290000000008</v>
      </c>
      <c r="R146" s="2">
        <f t="shared" si="14"/>
        <v>65213.280000000006</v>
      </c>
      <c r="S146" s="2">
        <f t="shared" si="15"/>
        <v>61669.08</v>
      </c>
      <c r="T146" s="2">
        <f t="shared" si="16"/>
        <v>60960.240000000005</v>
      </c>
      <c r="U146" s="2">
        <f t="shared" si="17"/>
        <v>61491.87</v>
      </c>
    </row>
    <row r="147" spans="1:21">
      <c r="A147" s="20">
        <v>144</v>
      </c>
      <c r="B147" s="20" t="s">
        <v>521</v>
      </c>
      <c r="C147" s="20" t="s">
        <v>312</v>
      </c>
      <c r="D147" s="20" t="s">
        <v>720</v>
      </c>
      <c r="E147" s="9" t="s">
        <v>812</v>
      </c>
      <c r="F147" s="97" t="s">
        <v>813</v>
      </c>
      <c r="G147" s="97">
        <v>913913001</v>
      </c>
      <c r="H147" s="97" t="s">
        <v>814</v>
      </c>
      <c r="I147" s="98">
        <v>19.64</v>
      </c>
      <c r="J147" s="112">
        <v>106</v>
      </c>
      <c r="K147" s="94">
        <v>80</v>
      </c>
      <c r="L147" s="94">
        <v>65</v>
      </c>
      <c r="M147" s="115">
        <v>88</v>
      </c>
      <c r="N147" s="4">
        <v>111</v>
      </c>
      <c r="O147" s="4">
        <v>77</v>
      </c>
      <c r="P147" s="2">
        <f t="shared" si="18"/>
        <v>2081.84</v>
      </c>
      <c r="Q147" s="2">
        <f t="shared" si="13"/>
        <v>1571.2</v>
      </c>
      <c r="R147" s="2">
        <f t="shared" si="14"/>
        <v>1276.6000000000001</v>
      </c>
      <c r="S147" s="2">
        <f t="shared" si="15"/>
        <v>1728.3200000000002</v>
      </c>
      <c r="T147" s="2">
        <f t="shared" si="16"/>
        <v>2180.04</v>
      </c>
      <c r="U147" s="2">
        <f t="shared" si="17"/>
        <v>1512.28</v>
      </c>
    </row>
    <row r="148" spans="1:21">
      <c r="A148" s="58">
        <v>145</v>
      </c>
      <c r="B148" s="20" t="s">
        <v>521</v>
      </c>
      <c r="C148" s="20" t="s">
        <v>312</v>
      </c>
      <c r="D148" s="20" t="s">
        <v>720</v>
      </c>
      <c r="E148" s="9" t="s">
        <v>815</v>
      </c>
      <c r="F148" s="97" t="s">
        <v>816</v>
      </c>
      <c r="G148" s="97">
        <v>913901005</v>
      </c>
      <c r="H148" s="97" t="s">
        <v>817</v>
      </c>
      <c r="I148" s="98">
        <v>174.59</v>
      </c>
      <c r="J148" s="112">
        <v>22</v>
      </c>
      <c r="K148" s="94">
        <v>22</v>
      </c>
      <c r="L148" s="94">
        <v>22</v>
      </c>
      <c r="M148" s="115">
        <v>22</v>
      </c>
      <c r="N148" s="4">
        <v>22</v>
      </c>
      <c r="O148" s="4">
        <v>22</v>
      </c>
      <c r="P148" s="2">
        <f t="shared" si="18"/>
        <v>3840.98</v>
      </c>
      <c r="Q148" s="2">
        <f t="shared" si="13"/>
        <v>3840.98</v>
      </c>
      <c r="R148" s="2">
        <f t="shared" si="14"/>
        <v>3840.98</v>
      </c>
      <c r="S148" s="2">
        <f t="shared" si="15"/>
        <v>3840.98</v>
      </c>
      <c r="T148" s="2">
        <f t="shared" si="16"/>
        <v>3840.98</v>
      </c>
      <c r="U148" s="2">
        <f t="shared" si="17"/>
        <v>3840.98</v>
      </c>
    </row>
    <row r="149" spans="1:21">
      <c r="A149" s="20">
        <v>146</v>
      </c>
      <c r="B149" s="20" t="s">
        <v>521</v>
      </c>
      <c r="C149" s="20" t="s">
        <v>312</v>
      </c>
      <c r="D149" s="20" t="s">
        <v>720</v>
      </c>
      <c r="E149" s="9" t="s">
        <v>815</v>
      </c>
      <c r="F149" s="97" t="s">
        <v>818</v>
      </c>
      <c r="G149" s="97">
        <v>913901006</v>
      </c>
      <c r="H149" s="97" t="s">
        <v>819</v>
      </c>
      <c r="I149" s="98">
        <v>174.6</v>
      </c>
      <c r="J149" s="112">
        <v>22</v>
      </c>
      <c r="K149" s="94">
        <v>22</v>
      </c>
      <c r="L149" s="94">
        <v>22</v>
      </c>
      <c r="M149" s="115">
        <v>22</v>
      </c>
      <c r="N149" s="4">
        <v>22</v>
      </c>
      <c r="O149" s="4">
        <v>22</v>
      </c>
      <c r="P149" s="2">
        <f t="shared" si="18"/>
        <v>3841.2</v>
      </c>
      <c r="Q149" s="2">
        <f t="shared" si="13"/>
        <v>3841.2</v>
      </c>
      <c r="R149" s="2">
        <f t="shared" si="14"/>
        <v>3841.2</v>
      </c>
      <c r="S149" s="2">
        <f t="shared" si="15"/>
        <v>3841.2</v>
      </c>
      <c r="T149" s="2">
        <f t="shared" si="16"/>
        <v>3841.2</v>
      </c>
      <c r="U149" s="2">
        <f t="shared" si="17"/>
        <v>3841.2</v>
      </c>
    </row>
    <row r="150" spans="1:21">
      <c r="A150" s="20">
        <v>147</v>
      </c>
      <c r="B150" s="20" t="s">
        <v>521</v>
      </c>
      <c r="C150" s="20" t="s">
        <v>312</v>
      </c>
      <c r="D150" s="20" t="s">
        <v>720</v>
      </c>
      <c r="E150" s="9" t="s">
        <v>815</v>
      </c>
      <c r="F150" s="97" t="s">
        <v>820</v>
      </c>
      <c r="G150" s="97">
        <v>913901007</v>
      </c>
      <c r="H150" s="97" t="s">
        <v>821</v>
      </c>
      <c r="I150" s="98">
        <v>170.87</v>
      </c>
      <c r="J150" s="112">
        <v>22</v>
      </c>
      <c r="K150" s="94">
        <v>22</v>
      </c>
      <c r="L150" s="94">
        <v>22</v>
      </c>
      <c r="M150" s="115">
        <v>22</v>
      </c>
      <c r="N150" s="4">
        <v>22</v>
      </c>
      <c r="O150" s="4">
        <v>22</v>
      </c>
      <c r="P150" s="2">
        <f t="shared" si="18"/>
        <v>3759.1400000000003</v>
      </c>
      <c r="Q150" s="2">
        <f t="shared" si="13"/>
        <v>3759.1400000000003</v>
      </c>
      <c r="R150" s="2">
        <f t="shared" si="14"/>
        <v>3759.1400000000003</v>
      </c>
      <c r="S150" s="2">
        <f t="shared" si="15"/>
        <v>3759.1400000000003</v>
      </c>
      <c r="T150" s="2">
        <f t="shared" si="16"/>
        <v>3759.1400000000003</v>
      </c>
      <c r="U150" s="2">
        <f t="shared" si="17"/>
        <v>3759.1400000000003</v>
      </c>
    </row>
    <row r="151" spans="1:21">
      <c r="A151" s="58">
        <v>148</v>
      </c>
      <c r="B151" s="20" t="s">
        <v>521</v>
      </c>
      <c r="C151" s="20" t="s">
        <v>312</v>
      </c>
      <c r="D151" s="20" t="s">
        <v>720</v>
      </c>
      <c r="E151" s="9" t="s">
        <v>815</v>
      </c>
      <c r="F151" s="97" t="s">
        <v>822</v>
      </c>
      <c r="G151" s="97">
        <v>913901008</v>
      </c>
      <c r="H151" s="97" t="s">
        <v>823</v>
      </c>
      <c r="I151" s="98">
        <v>170.87</v>
      </c>
      <c r="J151" s="112">
        <v>22</v>
      </c>
      <c r="K151" s="94">
        <v>22</v>
      </c>
      <c r="L151" s="94">
        <v>22</v>
      </c>
      <c r="M151" s="115">
        <v>22</v>
      </c>
      <c r="N151" s="4">
        <v>22</v>
      </c>
      <c r="O151" s="4">
        <v>22</v>
      </c>
      <c r="P151" s="2">
        <f t="shared" si="18"/>
        <v>3759.1400000000003</v>
      </c>
      <c r="Q151" s="2">
        <f t="shared" si="13"/>
        <v>3759.1400000000003</v>
      </c>
      <c r="R151" s="2">
        <f t="shared" si="14"/>
        <v>3759.1400000000003</v>
      </c>
      <c r="S151" s="2">
        <f t="shared" si="15"/>
        <v>3759.1400000000003</v>
      </c>
      <c r="T151" s="2">
        <f t="shared" si="16"/>
        <v>3759.1400000000003</v>
      </c>
      <c r="U151" s="2">
        <f t="shared" si="17"/>
        <v>3759.1400000000003</v>
      </c>
    </row>
    <row r="152" spans="1:21">
      <c r="A152" s="20">
        <v>149</v>
      </c>
      <c r="B152" s="20" t="s">
        <v>521</v>
      </c>
      <c r="C152" s="20" t="s">
        <v>312</v>
      </c>
      <c r="D152" s="20" t="s">
        <v>720</v>
      </c>
      <c r="E152" s="9" t="s">
        <v>815</v>
      </c>
      <c r="F152" s="97" t="s">
        <v>824</v>
      </c>
      <c r="G152" s="97">
        <v>913902001</v>
      </c>
      <c r="H152" s="97" t="s">
        <v>825</v>
      </c>
      <c r="I152" s="98">
        <v>130.12</v>
      </c>
      <c r="J152" s="112">
        <v>22</v>
      </c>
      <c r="K152" s="94">
        <v>22</v>
      </c>
      <c r="L152" s="94">
        <v>22</v>
      </c>
      <c r="M152" s="115">
        <v>22</v>
      </c>
      <c r="N152" s="4">
        <v>22</v>
      </c>
      <c r="O152" s="4">
        <v>22</v>
      </c>
      <c r="P152" s="2">
        <f t="shared" si="18"/>
        <v>2862.6400000000003</v>
      </c>
      <c r="Q152" s="2">
        <f t="shared" si="13"/>
        <v>2862.6400000000003</v>
      </c>
      <c r="R152" s="2">
        <f t="shared" si="14"/>
        <v>2862.6400000000003</v>
      </c>
      <c r="S152" s="2">
        <f t="shared" si="15"/>
        <v>2862.6400000000003</v>
      </c>
      <c r="T152" s="2">
        <f t="shared" si="16"/>
        <v>2862.6400000000003</v>
      </c>
      <c r="U152" s="2">
        <f t="shared" si="17"/>
        <v>2862.6400000000003</v>
      </c>
    </row>
    <row r="153" spans="1:21">
      <c r="A153" s="20">
        <v>150</v>
      </c>
      <c r="B153" s="20" t="s">
        <v>521</v>
      </c>
      <c r="C153" s="20" t="s">
        <v>312</v>
      </c>
      <c r="D153" s="20" t="s">
        <v>720</v>
      </c>
      <c r="E153" s="9" t="s">
        <v>815</v>
      </c>
      <c r="F153" s="97" t="s">
        <v>826</v>
      </c>
      <c r="G153" s="97">
        <v>913903009</v>
      </c>
      <c r="H153" s="97" t="s">
        <v>827</v>
      </c>
      <c r="I153" s="98">
        <v>37.85</v>
      </c>
      <c r="J153" s="112">
        <v>22</v>
      </c>
      <c r="K153" s="94">
        <v>22</v>
      </c>
      <c r="L153" s="94">
        <v>22</v>
      </c>
      <c r="M153" s="115">
        <v>22</v>
      </c>
      <c r="N153" s="4">
        <v>22</v>
      </c>
      <c r="O153" s="4">
        <v>22</v>
      </c>
      <c r="P153" s="2">
        <f t="shared" si="18"/>
        <v>832.7</v>
      </c>
      <c r="Q153" s="2">
        <f t="shared" si="13"/>
        <v>832.7</v>
      </c>
      <c r="R153" s="2">
        <f t="shared" si="14"/>
        <v>832.7</v>
      </c>
      <c r="S153" s="2">
        <f t="shared" si="15"/>
        <v>832.7</v>
      </c>
      <c r="T153" s="2">
        <f t="shared" si="16"/>
        <v>832.7</v>
      </c>
      <c r="U153" s="2">
        <f t="shared" si="17"/>
        <v>832.7</v>
      </c>
    </row>
    <row r="154" spans="1:21">
      <c r="A154" s="58">
        <v>151</v>
      </c>
      <c r="B154" s="20" t="s">
        <v>521</v>
      </c>
      <c r="C154" s="20" t="s">
        <v>312</v>
      </c>
      <c r="D154" s="20" t="s">
        <v>720</v>
      </c>
      <c r="E154" s="9" t="s">
        <v>815</v>
      </c>
      <c r="F154" s="97" t="s">
        <v>828</v>
      </c>
      <c r="G154" s="97">
        <v>913906003</v>
      </c>
      <c r="H154" s="97" t="s">
        <v>829</v>
      </c>
      <c r="I154" s="98">
        <v>52.83</v>
      </c>
      <c r="J154" s="112">
        <v>22</v>
      </c>
      <c r="K154" s="94">
        <v>22</v>
      </c>
      <c r="L154" s="94">
        <v>22</v>
      </c>
      <c r="M154" s="115">
        <v>22</v>
      </c>
      <c r="N154" s="4">
        <v>22</v>
      </c>
      <c r="O154" s="4">
        <v>22</v>
      </c>
      <c r="P154" s="2">
        <f t="shared" si="18"/>
        <v>1162.26</v>
      </c>
      <c r="Q154" s="2">
        <f t="shared" si="13"/>
        <v>1162.26</v>
      </c>
      <c r="R154" s="2">
        <f t="shared" si="14"/>
        <v>1162.26</v>
      </c>
      <c r="S154" s="2">
        <f t="shared" si="15"/>
        <v>1162.26</v>
      </c>
      <c r="T154" s="2">
        <f t="shared" si="16"/>
        <v>1162.26</v>
      </c>
      <c r="U154" s="2">
        <f t="shared" si="17"/>
        <v>1162.26</v>
      </c>
    </row>
    <row r="155" spans="1:21">
      <c r="A155" s="20">
        <v>152</v>
      </c>
      <c r="B155" s="20" t="s">
        <v>521</v>
      </c>
      <c r="C155" s="20" t="s">
        <v>312</v>
      </c>
      <c r="D155" s="20" t="s">
        <v>720</v>
      </c>
      <c r="E155" s="9" t="s">
        <v>815</v>
      </c>
      <c r="F155" s="97" t="s">
        <v>830</v>
      </c>
      <c r="G155" s="97">
        <v>913906005</v>
      </c>
      <c r="H155" s="97" t="s">
        <v>831</v>
      </c>
      <c r="I155" s="98">
        <v>45.74</v>
      </c>
      <c r="J155" s="112">
        <v>22</v>
      </c>
      <c r="K155" s="94">
        <v>22</v>
      </c>
      <c r="L155" s="94">
        <v>22</v>
      </c>
      <c r="M155" s="115">
        <v>22</v>
      </c>
      <c r="N155" s="4">
        <v>22</v>
      </c>
      <c r="O155" s="4">
        <v>22</v>
      </c>
      <c r="P155" s="2">
        <f t="shared" si="18"/>
        <v>1006.2800000000001</v>
      </c>
      <c r="Q155" s="2">
        <f t="shared" si="13"/>
        <v>1006.2800000000001</v>
      </c>
      <c r="R155" s="2">
        <f t="shared" si="14"/>
        <v>1006.2800000000001</v>
      </c>
      <c r="S155" s="2">
        <f t="shared" si="15"/>
        <v>1006.2800000000001</v>
      </c>
      <c r="T155" s="2">
        <f t="shared" si="16"/>
        <v>1006.2800000000001</v>
      </c>
      <c r="U155" s="2">
        <f t="shared" si="17"/>
        <v>1006.2800000000001</v>
      </c>
    </row>
    <row r="156" spans="1:21">
      <c r="A156" s="20">
        <v>153</v>
      </c>
      <c r="B156" s="20" t="s">
        <v>521</v>
      </c>
      <c r="C156" s="20" t="s">
        <v>312</v>
      </c>
      <c r="D156" s="20" t="s">
        <v>720</v>
      </c>
      <c r="E156" s="9" t="s">
        <v>815</v>
      </c>
      <c r="F156" s="97" t="s">
        <v>832</v>
      </c>
      <c r="G156" s="97">
        <v>913903010</v>
      </c>
      <c r="H156" s="97" t="s">
        <v>827</v>
      </c>
      <c r="I156" s="98">
        <v>36.96</v>
      </c>
      <c r="J156" s="112">
        <v>22</v>
      </c>
      <c r="K156" s="94">
        <v>22</v>
      </c>
      <c r="L156" s="94">
        <v>22</v>
      </c>
      <c r="M156" s="115">
        <v>22</v>
      </c>
      <c r="N156" s="4">
        <v>22</v>
      </c>
      <c r="O156" s="4">
        <v>22</v>
      </c>
      <c r="P156" s="2">
        <f t="shared" si="18"/>
        <v>813.12</v>
      </c>
      <c r="Q156" s="2">
        <f t="shared" si="13"/>
        <v>813.12</v>
      </c>
      <c r="R156" s="2">
        <f t="shared" si="14"/>
        <v>813.12</v>
      </c>
      <c r="S156" s="2">
        <f t="shared" si="15"/>
        <v>813.12</v>
      </c>
      <c r="T156" s="2">
        <f t="shared" si="16"/>
        <v>813.12</v>
      </c>
      <c r="U156" s="2">
        <f t="shared" si="17"/>
        <v>813.12</v>
      </c>
    </row>
    <row r="157" spans="1:21">
      <c r="A157" s="58">
        <v>154</v>
      </c>
      <c r="B157" s="20" t="s">
        <v>521</v>
      </c>
      <c r="C157" s="20" t="s">
        <v>312</v>
      </c>
      <c r="D157" s="20" t="s">
        <v>720</v>
      </c>
      <c r="E157" s="9" t="s">
        <v>833</v>
      </c>
      <c r="F157" s="97" t="s">
        <v>834</v>
      </c>
      <c r="G157" s="97">
        <v>913910001</v>
      </c>
      <c r="H157" s="97" t="s">
        <v>835</v>
      </c>
      <c r="I157" s="98">
        <v>146.66999999999999</v>
      </c>
      <c r="J157" s="112">
        <v>396</v>
      </c>
      <c r="K157" s="94">
        <v>388</v>
      </c>
      <c r="L157" s="94">
        <v>371</v>
      </c>
      <c r="M157" s="115">
        <v>330</v>
      </c>
      <c r="N157" s="4">
        <v>297</v>
      </c>
      <c r="O157" s="4">
        <v>280</v>
      </c>
      <c r="P157" s="2">
        <f t="shared" si="18"/>
        <v>58081.319999999992</v>
      </c>
      <c r="Q157" s="2">
        <f t="shared" si="13"/>
        <v>56907.959999999992</v>
      </c>
      <c r="R157" s="2">
        <f t="shared" si="14"/>
        <v>54414.569999999992</v>
      </c>
      <c r="S157" s="2">
        <f t="shared" si="15"/>
        <v>48401.1</v>
      </c>
      <c r="T157" s="2">
        <f t="shared" si="16"/>
        <v>43560.99</v>
      </c>
      <c r="U157" s="2">
        <f t="shared" si="17"/>
        <v>41067.599999999999</v>
      </c>
    </row>
    <row r="158" spans="1:21">
      <c r="A158" s="20">
        <v>155</v>
      </c>
      <c r="B158" s="20" t="s">
        <v>521</v>
      </c>
      <c r="C158" s="20" t="s">
        <v>312</v>
      </c>
      <c r="D158" s="20" t="s">
        <v>720</v>
      </c>
      <c r="E158" s="9" t="s">
        <v>833</v>
      </c>
      <c r="F158" s="97" t="s">
        <v>836</v>
      </c>
      <c r="G158" s="97">
        <v>913903001</v>
      </c>
      <c r="H158" s="97" t="s">
        <v>741</v>
      </c>
      <c r="I158" s="98">
        <v>13.51</v>
      </c>
      <c r="J158" s="112">
        <v>396</v>
      </c>
      <c r="K158" s="94">
        <v>388</v>
      </c>
      <c r="L158" s="94">
        <v>371</v>
      </c>
      <c r="M158" s="115">
        <v>330</v>
      </c>
      <c r="N158" s="4">
        <v>297</v>
      </c>
      <c r="O158" s="4">
        <v>280</v>
      </c>
      <c r="P158" s="2">
        <f t="shared" si="18"/>
        <v>5349.96</v>
      </c>
      <c r="Q158" s="2">
        <f t="shared" si="13"/>
        <v>5241.88</v>
      </c>
      <c r="R158" s="2">
        <f t="shared" si="14"/>
        <v>5012.21</v>
      </c>
      <c r="S158" s="2">
        <f t="shared" si="15"/>
        <v>4458.3</v>
      </c>
      <c r="T158" s="2">
        <f t="shared" si="16"/>
        <v>4012.47</v>
      </c>
      <c r="U158" s="2">
        <f t="shared" si="17"/>
        <v>3782.7999999999997</v>
      </c>
    </row>
    <row r="159" spans="1:21">
      <c r="A159" s="20">
        <v>156</v>
      </c>
      <c r="B159" s="20" t="s">
        <v>521</v>
      </c>
      <c r="C159" s="20" t="s">
        <v>312</v>
      </c>
      <c r="D159" s="20" t="s">
        <v>720</v>
      </c>
      <c r="E159" s="9" t="s">
        <v>833</v>
      </c>
      <c r="F159" s="97" t="s">
        <v>837</v>
      </c>
      <c r="G159" s="97">
        <v>913904002</v>
      </c>
      <c r="H159" s="97" t="s">
        <v>838</v>
      </c>
      <c r="I159" s="98">
        <v>163.44999999999999</v>
      </c>
      <c r="J159" s="112">
        <v>396</v>
      </c>
      <c r="K159" s="94">
        <v>388</v>
      </c>
      <c r="L159" s="94">
        <v>371</v>
      </c>
      <c r="M159" s="115">
        <v>330</v>
      </c>
      <c r="N159" s="4">
        <v>297</v>
      </c>
      <c r="O159" s="4">
        <v>280</v>
      </c>
      <c r="P159" s="2">
        <f t="shared" si="18"/>
        <v>64726.2</v>
      </c>
      <c r="Q159" s="2">
        <f t="shared" si="13"/>
        <v>63418.6</v>
      </c>
      <c r="R159" s="2">
        <f t="shared" si="14"/>
        <v>60639.95</v>
      </c>
      <c r="S159" s="2">
        <f t="shared" si="15"/>
        <v>53938.499999999993</v>
      </c>
      <c r="T159" s="2">
        <f t="shared" si="16"/>
        <v>48544.649999999994</v>
      </c>
      <c r="U159" s="2">
        <f t="shared" si="17"/>
        <v>45766</v>
      </c>
    </row>
    <row r="160" spans="1:21">
      <c r="A160" s="58">
        <v>157</v>
      </c>
      <c r="B160" s="20" t="s">
        <v>521</v>
      </c>
      <c r="C160" s="20" t="s">
        <v>312</v>
      </c>
      <c r="D160" s="20" t="s">
        <v>720</v>
      </c>
      <c r="E160" s="9" t="s">
        <v>833</v>
      </c>
      <c r="F160" s="97" t="s">
        <v>839</v>
      </c>
      <c r="G160" s="97">
        <v>913904003</v>
      </c>
      <c r="H160" s="97" t="s">
        <v>840</v>
      </c>
      <c r="I160" s="98">
        <v>135.53</v>
      </c>
      <c r="J160" s="112">
        <v>396</v>
      </c>
      <c r="K160" s="94">
        <v>388</v>
      </c>
      <c r="L160" s="94">
        <v>371</v>
      </c>
      <c r="M160" s="115">
        <v>330</v>
      </c>
      <c r="N160" s="4">
        <v>297</v>
      </c>
      <c r="O160" s="4">
        <v>280</v>
      </c>
      <c r="P160" s="2">
        <f t="shared" si="18"/>
        <v>53669.88</v>
      </c>
      <c r="Q160" s="2">
        <f t="shared" si="13"/>
        <v>52585.64</v>
      </c>
      <c r="R160" s="2">
        <f t="shared" si="14"/>
        <v>50281.63</v>
      </c>
      <c r="S160" s="2">
        <f t="shared" si="15"/>
        <v>44724.9</v>
      </c>
      <c r="T160" s="2">
        <f t="shared" si="16"/>
        <v>40252.410000000003</v>
      </c>
      <c r="U160" s="2">
        <f t="shared" si="17"/>
        <v>37948.400000000001</v>
      </c>
    </row>
    <row r="161" spans="1:21">
      <c r="A161" s="20">
        <v>158</v>
      </c>
      <c r="B161" s="20" t="s">
        <v>521</v>
      </c>
      <c r="C161" s="20" t="s">
        <v>312</v>
      </c>
      <c r="D161" s="20" t="s">
        <v>720</v>
      </c>
      <c r="E161" s="9" t="s">
        <v>833</v>
      </c>
      <c r="F161" s="99" t="s">
        <v>841</v>
      </c>
      <c r="G161" s="20">
        <v>913904004</v>
      </c>
      <c r="H161" s="20" t="s">
        <v>842</v>
      </c>
      <c r="I161" s="100">
        <v>135.53</v>
      </c>
      <c r="J161" s="112">
        <v>396</v>
      </c>
      <c r="K161" s="94">
        <v>388</v>
      </c>
      <c r="L161" s="94">
        <v>371</v>
      </c>
      <c r="M161" s="115">
        <v>330</v>
      </c>
      <c r="N161" s="4">
        <v>297</v>
      </c>
      <c r="O161" s="4">
        <v>280</v>
      </c>
      <c r="P161" s="2">
        <f t="shared" si="18"/>
        <v>53669.88</v>
      </c>
      <c r="Q161" s="2">
        <f t="shared" si="13"/>
        <v>52585.64</v>
      </c>
      <c r="R161" s="2">
        <f t="shared" si="14"/>
        <v>50281.63</v>
      </c>
      <c r="S161" s="2">
        <f t="shared" si="15"/>
        <v>44724.9</v>
      </c>
      <c r="T161" s="2">
        <f t="shared" si="16"/>
        <v>40252.410000000003</v>
      </c>
      <c r="U161" s="2">
        <f t="shared" si="17"/>
        <v>37948.400000000001</v>
      </c>
    </row>
    <row r="162" spans="1:21">
      <c r="A162" s="20">
        <v>159</v>
      </c>
      <c r="B162" s="20" t="s">
        <v>521</v>
      </c>
      <c r="C162" s="20" t="s">
        <v>312</v>
      </c>
      <c r="D162" s="20" t="s">
        <v>720</v>
      </c>
      <c r="E162" s="9" t="s">
        <v>833</v>
      </c>
      <c r="F162" s="99" t="s">
        <v>843</v>
      </c>
      <c r="G162" s="20">
        <v>913904010</v>
      </c>
      <c r="H162" s="20" t="s">
        <v>844</v>
      </c>
      <c r="I162" s="100">
        <v>148.47</v>
      </c>
      <c r="J162" s="112">
        <v>396</v>
      </c>
      <c r="K162" s="94">
        <v>388</v>
      </c>
      <c r="L162" s="94">
        <v>371</v>
      </c>
      <c r="M162" s="115">
        <v>330</v>
      </c>
      <c r="N162" s="4">
        <v>297</v>
      </c>
      <c r="O162" s="4">
        <v>280</v>
      </c>
      <c r="P162" s="2">
        <f t="shared" si="18"/>
        <v>58794.12</v>
      </c>
      <c r="Q162" s="2">
        <f t="shared" si="13"/>
        <v>57606.36</v>
      </c>
      <c r="R162" s="2">
        <f t="shared" si="14"/>
        <v>55082.37</v>
      </c>
      <c r="S162" s="2">
        <f t="shared" si="15"/>
        <v>48995.1</v>
      </c>
      <c r="T162" s="2">
        <f t="shared" si="16"/>
        <v>44095.59</v>
      </c>
      <c r="U162" s="2">
        <f t="shared" si="17"/>
        <v>41571.599999999999</v>
      </c>
    </row>
    <row r="163" spans="1:21">
      <c r="A163" s="58">
        <v>160</v>
      </c>
      <c r="B163" s="20" t="s">
        <v>521</v>
      </c>
      <c r="C163" s="20" t="s">
        <v>312</v>
      </c>
      <c r="D163" s="20" t="s">
        <v>720</v>
      </c>
      <c r="E163" s="9" t="s">
        <v>833</v>
      </c>
      <c r="F163" s="99" t="s">
        <v>845</v>
      </c>
      <c r="G163" s="20">
        <v>913904001</v>
      </c>
      <c r="H163" s="20" t="s">
        <v>846</v>
      </c>
      <c r="I163" s="100">
        <v>167.12</v>
      </c>
      <c r="J163" s="112">
        <v>396</v>
      </c>
      <c r="K163" s="94">
        <v>388</v>
      </c>
      <c r="L163" s="94">
        <v>371</v>
      </c>
      <c r="M163" s="115">
        <v>330</v>
      </c>
      <c r="N163" s="4">
        <v>297</v>
      </c>
      <c r="O163" s="4">
        <v>280</v>
      </c>
      <c r="P163" s="2">
        <f t="shared" si="18"/>
        <v>66179.520000000004</v>
      </c>
      <c r="Q163" s="2">
        <f t="shared" si="13"/>
        <v>64842.560000000005</v>
      </c>
      <c r="R163" s="2">
        <f t="shared" si="14"/>
        <v>62001.520000000004</v>
      </c>
      <c r="S163" s="2">
        <f t="shared" si="15"/>
        <v>55149.599999999999</v>
      </c>
      <c r="T163" s="2">
        <f t="shared" si="16"/>
        <v>49634.64</v>
      </c>
      <c r="U163" s="2">
        <f t="shared" si="17"/>
        <v>46793.599999999999</v>
      </c>
    </row>
    <row r="164" spans="1:21">
      <c r="A164" s="20">
        <v>161</v>
      </c>
      <c r="B164" s="20" t="s">
        <v>521</v>
      </c>
      <c r="C164" s="20" t="s">
        <v>312</v>
      </c>
      <c r="D164" s="20" t="s">
        <v>720</v>
      </c>
      <c r="E164" s="9" t="s">
        <v>833</v>
      </c>
      <c r="F164" s="99" t="s">
        <v>847</v>
      </c>
      <c r="G164" s="20">
        <v>913904009</v>
      </c>
      <c r="H164" s="20" t="s">
        <v>848</v>
      </c>
      <c r="I164" s="100">
        <v>148.47</v>
      </c>
      <c r="J164" s="112">
        <v>396</v>
      </c>
      <c r="K164" s="94">
        <v>388</v>
      </c>
      <c r="L164" s="94">
        <v>371</v>
      </c>
      <c r="M164" s="115">
        <v>330</v>
      </c>
      <c r="N164" s="4">
        <v>297</v>
      </c>
      <c r="O164" s="4">
        <v>280</v>
      </c>
      <c r="P164" s="2">
        <f t="shared" si="18"/>
        <v>58794.12</v>
      </c>
      <c r="Q164" s="2">
        <f t="shared" si="13"/>
        <v>57606.36</v>
      </c>
      <c r="R164" s="2">
        <f t="shared" si="14"/>
        <v>55082.37</v>
      </c>
      <c r="S164" s="2">
        <f t="shared" si="15"/>
        <v>48995.1</v>
      </c>
      <c r="T164" s="2">
        <f t="shared" si="16"/>
        <v>44095.59</v>
      </c>
      <c r="U164" s="2">
        <f t="shared" si="17"/>
        <v>41571.599999999999</v>
      </c>
    </row>
    <row r="165" spans="1:21">
      <c r="A165" s="20">
        <v>162</v>
      </c>
      <c r="B165" s="20" t="s">
        <v>521</v>
      </c>
      <c r="C165" s="20" t="s">
        <v>312</v>
      </c>
      <c r="D165" s="20" t="s">
        <v>720</v>
      </c>
      <c r="E165" s="9" t="s">
        <v>849</v>
      </c>
      <c r="F165" s="99" t="s">
        <v>850</v>
      </c>
      <c r="G165" s="20">
        <v>913401006</v>
      </c>
      <c r="H165" s="20" t="s">
        <v>851</v>
      </c>
      <c r="I165" s="100">
        <v>132.02000000000001</v>
      </c>
      <c r="J165" s="112">
        <v>27</v>
      </c>
      <c r="K165" s="94">
        <v>29</v>
      </c>
      <c r="L165" s="94">
        <v>25</v>
      </c>
      <c r="M165" s="115">
        <v>27</v>
      </c>
      <c r="N165" s="4">
        <v>25</v>
      </c>
      <c r="O165" s="4">
        <v>24</v>
      </c>
      <c r="P165" s="2">
        <f t="shared" si="18"/>
        <v>3564.5400000000004</v>
      </c>
      <c r="Q165" s="2">
        <f t="shared" si="13"/>
        <v>3828.5800000000004</v>
      </c>
      <c r="R165" s="2">
        <f t="shared" si="14"/>
        <v>3300.5000000000005</v>
      </c>
      <c r="S165" s="2">
        <f t="shared" si="15"/>
        <v>3564.5400000000004</v>
      </c>
      <c r="T165" s="2">
        <f t="shared" si="16"/>
        <v>3300.5000000000005</v>
      </c>
      <c r="U165" s="2">
        <f t="shared" si="17"/>
        <v>3168.4800000000005</v>
      </c>
    </row>
    <row r="166" spans="1:21">
      <c r="A166" s="58">
        <v>163</v>
      </c>
      <c r="B166" s="20" t="s">
        <v>521</v>
      </c>
      <c r="C166" s="20" t="s">
        <v>312</v>
      </c>
      <c r="D166" s="20" t="s">
        <v>720</v>
      </c>
      <c r="E166" s="9" t="s">
        <v>849</v>
      </c>
      <c r="F166" s="99" t="s">
        <v>852</v>
      </c>
      <c r="G166" s="20">
        <v>913401003</v>
      </c>
      <c r="H166" s="20" t="s">
        <v>853</v>
      </c>
      <c r="I166" s="100">
        <v>134.41</v>
      </c>
      <c r="J166" s="112">
        <v>27</v>
      </c>
      <c r="K166" s="94">
        <v>29</v>
      </c>
      <c r="L166" s="94">
        <v>25</v>
      </c>
      <c r="M166" s="115">
        <v>27</v>
      </c>
      <c r="N166" s="4">
        <v>25</v>
      </c>
      <c r="O166" s="4">
        <v>24</v>
      </c>
      <c r="P166" s="2">
        <f t="shared" si="18"/>
        <v>3629.0699999999997</v>
      </c>
      <c r="Q166" s="2">
        <f t="shared" si="13"/>
        <v>3897.89</v>
      </c>
      <c r="R166" s="2">
        <f t="shared" si="14"/>
        <v>3360.25</v>
      </c>
      <c r="S166" s="2">
        <f t="shared" si="15"/>
        <v>3629.0699999999997</v>
      </c>
      <c r="T166" s="2">
        <f t="shared" si="16"/>
        <v>3360.25</v>
      </c>
      <c r="U166" s="2">
        <f t="shared" si="17"/>
        <v>3225.84</v>
      </c>
    </row>
    <row r="167" spans="1:21">
      <c r="A167" s="20">
        <v>164</v>
      </c>
      <c r="B167" s="20" t="s">
        <v>521</v>
      </c>
      <c r="C167" s="20" t="s">
        <v>312</v>
      </c>
      <c r="D167" s="20" t="s">
        <v>720</v>
      </c>
      <c r="E167" s="9" t="s">
        <v>849</v>
      </c>
      <c r="F167" s="99" t="s">
        <v>854</v>
      </c>
      <c r="G167" s="20">
        <v>913401004</v>
      </c>
      <c r="H167" s="20" t="s">
        <v>855</v>
      </c>
      <c r="I167" s="100">
        <v>134.41999999999999</v>
      </c>
      <c r="J167" s="112">
        <v>27</v>
      </c>
      <c r="K167" s="94">
        <v>29</v>
      </c>
      <c r="L167" s="94">
        <v>25</v>
      </c>
      <c r="M167" s="115">
        <v>27</v>
      </c>
      <c r="N167" s="4">
        <v>25</v>
      </c>
      <c r="O167" s="4">
        <v>24</v>
      </c>
      <c r="P167" s="2">
        <f t="shared" si="18"/>
        <v>3629.3399999999997</v>
      </c>
      <c r="Q167" s="2">
        <f t="shared" si="13"/>
        <v>3898.18</v>
      </c>
      <c r="R167" s="2">
        <f t="shared" si="14"/>
        <v>3360.4999999999995</v>
      </c>
      <c r="S167" s="2">
        <f t="shared" si="15"/>
        <v>3629.3399999999997</v>
      </c>
      <c r="T167" s="2">
        <f t="shared" si="16"/>
        <v>3360.4999999999995</v>
      </c>
      <c r="U167" s="2">
        <f t="shared" si="17"/>
        <v>3226.08</v>
      </c>
    </row>
    <row r="168" spans="1:21">
      <c r="A168" s="20">
        <v>165</v>
      </c>
      <c r="B168" s="20" t="s">
        <v>521</v>
      </c>
      <c r="C168" s="20" t="s">
        <v>312</v>
      </c>
      <c r="D168" s="20" t="s">
        <v>720</v>
      </c>
      <c r="E168" s="9" t="s">
        <v>849</v>
      </c>
      <c r="F168" s="99" t="s">
        <v>856</v>
      </c>
      <c r="G168" s="20">
        <v>913401005</v>
      </c>
      <c r="H168" s="20" t="s">
        <v>857</v>
      </c>
      <c r="I168" s="100">
        <v>130.9</v>
      </c>
      <c r="J168" s="112">
        <v>27</v>
      </c>
      <c r="K168" s="94">
        <v>29</v>
      </c>
      <c r="L168" s="94">
        <v>25</v>
      </c>
      <c r="M168" s="115">
        <v>27</v>
      </c>
      <c r="N168" s="4">
        <v>25</v>
      </c>
      <c r="O168" s="4">
        <v>24</v>
      </c>
      <c r="P168" s="2">
        <f t="shared" si="18"/>
        <v>3534.3</v>
      </c>
      <c r="Q168" s="2">
        <f t="shared" si="13"/>
        <v>3796.1000000000004</v>
      </c>
      <c r="R168" s="2">
        <f t="shared" si="14"/>
        <v>3272.5</v>
      </c>
      <c r="S168" s="2">
        <f t="shared" si="15"/>
        <v>3534.3</v>
      </c>
      <c r="T168" s="2">
        <f t="shared" si="16"/>
        <v>3272.5</v>
      </c>
      <c r="U168" s="2">
        <f t="shared" si="17"/>
        <v>3141.6000000000004</v>
      </c>
    </row>
    <row r="169" spans="1:21">
      <c r="A169" s="58">
        <v>166</v>
      </c>
      <c r="B169" s="20" t="s">
        <v>521</v>
      </c>
      <c r="C169" s="20" t="s">
        <v>312</v>
      </c>
      <c r="D169" s="20" t="s">
        <v>720</v>
      </c>
      <c r="E169" s="9" t="s">
        <v>849</v>
      </c>
      <c r="F169" s="99" t="s">
        <v>858</v>
      </c>
      <c r="G169" s="20">
        <v>913403005</v>
      </c>
      <c r="H169" s="20" t="s">
        <v>741</v>
      </c>
      <c r="I169" s="100">
        <v>27.97</v>
      </c>
      <c r="J169" s="112">
        <v>27</v>
      </c>
      <c r="K169" s="94">
        <v>29</v>
      </c>
      <c r="L169" s="94">
        <v>25</v>
      </c>
      <c r="M169" s="115">
        <v>27</v>
      </c>
      <c r="N169" s="4">
        <v>25</v>
      </c>
      <c r="O169" s="4">
        <v>24</v>
      </c>
      <c r="P169" s="2">
        <f t="shared" si="18"/>
        <v>755.18999999999994</v>
      </c>
      <c r="Q169" s="2">
        <f t="shared" si="13"/>
        <v>811.13</v>
      </c>
      <c r="R169" s="2">
        <f t="shared" si="14"/>
        <v>699.25</v>
      </c>
      <c r="S169" s="2">
        <f t="shared" si="15"/>
        <v>755.18999999999994</v>
      </c>
      <c r="T169" s="2">
        <f t="shared" si="16"/>
        <v>699.25</v>
      </c>
      <c r="U169" s="2">
        <f t="shared" si="17"/>
        <v>671.28</v>
      </c>
    </row>
    <row r="170" spans="1:21">
      <c r="A170" s="20">
        <v>167</v>
      </c>
      <c r="B170" s="20" t="s">
        <v>521</v>
      </c>
      <c r="C170" s="20" t="s">
        <v>312</v>
      </c>
      <c r="D170" s="20" t="s">
        <v>720</v>
      </c>
      <c r="E170" s="9" t="s">
        <v>859</v>
      </c>
      <c r="F170" s="99" t="s">
        <v>860</v>
      </c>
      <c r="G170" s="20">
        <v>913102001</v>
      </c>
      <c r="H170" s="20" t="s">
        <v>861</v>
      </c>
      <c r="I170" s="100">
        <v>117.68</v>
      </c>
      <c r="J170" s="112">
        <v>814</v>
      </c>
      <c r="K170" s="94">
        <v>862</v>
      </c>
      <c r="L170" s="94">
        <v>729</v>
      </c>
      <c r="M170" s="115">
        <v>799</v>
      </c>
      <c r="N170" s="4">
        <v>863</v>
      </c>
      <c r="O170" s="4">
        <v>864</v>
      </c>
      <c r="P170" s="2">
        <f t="shared" si="18"/>
        <v>95791.52</v>
      </c>
      <c r="Q170" s="2">
        <f t="shared" si="13"/>
        <v>101440.16</v>
      </c>
      <c r="R170" s="2">
        <f t="shared" si="14"/>
        <v>85788.72</v>
      </c>
      <c r="S170" s="2">
        <f t="shared" si="15"/>
        <v>94026.32</v>
      </c>
      <c r="T170" s="2">
        <f t="shared" si="16"/>
        <v>101557.84000000001</v>
      </c>
      <c r="U170" s="2">
        <f t="shared" si="17"/>
        <v>101675.52</v>
      </c>
    </row>
    <row r="171" spans="1:21">
      <c r="A171" s="20">
        <v>168</v>
      </c>
      <c r="B171" s="20" t="s">
        <v>521</v>
      </c>
      <c r="C171" s="20" t="s">
        <v>312</v>
      </c>
      <c r="D171" s="20" t="s">
        <v>720</v>
      </c>
      <c r="E171" s="9" t="s">
        <v>859</v>
      </c>
      <c r="F171" s="99" t="s">
        <v>862</v>
      </c>
      <c r="G171" s="20">
        <v>913104003</v>
      </c>
      <c r="H171" s="20" t="s">
        <v>863</v>
      </c>
      <c r="I171" s="100">
        <v>89.65</v>
      </c>
      <c r="J171" s="112">
        <v>814</v>
      </c>
      <c r="K171" s="94">
        <v>862</v>
      </c>
      <c r="L171" s="94">
        <v>729</v>
      </c>
      <c r="M171" s="115">
        <v>799</v>
      </c>
      <c r="N171" s="4">
        <v>863</v>
      </c>
      <c r="O171" s="4">
        <v>864</v>
      </c>
      <c r="P171" s="2">
        <f t="shared" si="18"/>
        <v>72975.100000000006</v>
      </c>
      <c r="Q171" s="2">
        <f t="shared" si="13"/>
        <v>77278.3</v>
      </c>
      <c r="R171" s="2">
        <f t="shared" si="14"/>
        <v>65354.850000000006</v>
      </c>
      <c r="S171" s="2">
        <f t="shared" si="15"/>
        <v>71630.350000000006</v>
      </c>
      <c r="T171" s="2">
        <f t="shared" si="16"/>
        <v>77367.950000000012</v>
      </c>
      <c r="U171" s="2">
        <f t="shared" si="17"/>
        <v>77457.600000000006</v>
      </c>
    </row>
    <row r="172" spans="1:21">
      <c r="A172" s="58">
        <v>169</v>
      </c>
      <c r="B172" s="20" t="s">
        <v>521</v>
      </c>
      <c r="C172" s="20" t="s">
        <v>312</v>
      </c>
      <c r="D172" s="20" t="s">
        <v>720</v>
      </c>
      <c r="E172" s="9" t="s">
        <v>859</v>
      </c>
      <c r="F172" s="99" t="s">
        <v>864</v>
      </c>
      <c r="G172" s="20">
        <v>913104004</v>
      </c>
      <c r="H172" s="20" t="s">
        <v>865</v>
      </c>
      <c r="I172" s="100">
        <v>84.9</v>
      </c>
      <c r="J172" s="112">
        <v>814</v>
      </c>
      <c r="K172" s="94">
        <v>862</v>
      </c>
      <c r="L172" s="94">
        <v>729</v>
      </c>
      <c r="M172" s="115">
        <v>799</v>
      </c>
      <c r="N172" s="4">
        <v>863</v>
      </c>
      <c r="O172" s="4">
        <v>864</v>
      </c>
      <c r="P172" s="2">
        <f t="shared" si="18"/>
        <v>69108.600000000006</v>
      </c>
      <c r="Q172" s="2">
        <f t="shared" si="13"/>
        <v>73183.8</v>
      </c>
      <c r="R172" s="2">
        <f t="shared" si="14"/>
        <v>61892.100000000006</v>
      </c>
      <c r="S172" s="2">
        <f t="shared" si="15"/>
        <v>67835.100000000006</v>
      </c>
      <c r="T172" s="2">
        <f t="shared" si="16"/>
        <v>73268.700000000012</v>
      </c>
      <c r="U172" s="2">
        <f t="shared" si="17"/>
        <v>73353.600000000006</v>
      </c>
    </row>
    <row r="173" spans="1:21" ht="15.5">
      <c r="A173" s="20">
        <v>170</v>
      </c>
      <c r="B173" s="20" t="s">
        <v>521</v>
      </c>
      <c r="C173" s="20" t="s">
        <v>312</v>
      </c>
      <c r="D173" s="20" t="s">
        <v>720</v>
      </c>
      <c r="E173" s="9" t="s">
        <v>859</v>
      </c>
      <c r="F173" s="82" t="s">
        <v>866</v>
      </c>
      <c r="G173" s="20">
        <v>913104005</v>
      </c>
      <c r="H173" s="20" t="s">
        <v>867</v>
      </c>
      <c r="I173" s="101">
        <v>91.31</v>
      </c>
      <c r="J173" s="112">
        <v>814</v>
      </c>
      <c r="K173" s="94">
        <v>862</v>
      </c>
      <c r="L173" s="94">
        <v>729</v>
      </c>
      <c r="M173" s="115">
        <v>799</v>
      </c>
      <c r="N173" s="4">
        <v>863</v>
      </c>
      <c r="O173" s="4">
        <v>864</v>
      </c>
      <c r="P173" s="2">
        <f t="shared" si="18"/>
        <v>74326.34</v>
      </c>
      <c r="Q173" s="2">
        <f t="shared" si="13"/>
        <v>78709.22</v>
      </c>
      <c r="R173" s="2">
        <f t="shared" si="14"/>
        <v>66564.990000000005</v>
      </c>
      <c r="S173" s="2">
        <f t="shared" si="15"/>
        <v>72956.69</v>
      </c>
      <c r="T173" s="2">
        <f t="shared" si="16"/>
        <v>78800.53</v>
      </c>
      <c r="U173" s="2">
        <f t="shared" si="17"/>
        <v>78891.839999999997</v>
      </c>
    </row>
    <row r="174" spans="1:21" ht="15.5">
      <c r="A174" s="20">
        <v>171</v>
      </c>
      <c r="B174" s="20" t="s">
        <v>521</v>
      </c>
      <c r="C174" s="20" t="s">
        <v>312</v>
      </c>
      <c r="D174" s="20" t="s">
        <v>720</v>
      </c>
      <c r="E174" s="9" t="s">
        <v>859</v>
      </c>
      <c r="F174" s="82" t="s">
        <v>868</v>
      </c>
      <c r="G174" s="20">
        <v>913104006</v>
      </c>
      <c r="H174" s="20" t="s">
        <v>869</v>
      </c>
      <c r="I174" s="101">
        <v>91.31</v>
      </c>
      <c r="J174" s="112">
        <v>814</v>
      </c>
      <c r="K174" s="94">
        <v>862</v>
      </c>
      <c r="L174" s="94">
        <v>729</v>
      </c>
      <c r="M174" s="115">
        <v>799</v>
      </c>
      <c r="N174" s="4">
        <v>863</v>
      </c>
      <c r="O174" s="4">
        <v>864</v>
      </c>
      <c r="P174" s="2">
        <f t="shared" si="18"/>
        <v>74326.34</v>
      </c>
      <c r="Q174" s="2">
        <f t="shared" si="13"/>
        <v>78709.22</v>
      </c>
      <c r="R174" s="2">
        <f t="shared" si="14"/>
        <v>66564.990000000005</v>
      </c>
      <c r="S174" s="2">
        <f t="shared" si="15"/>
        <v>72956.69</v>
      </c>
      <c r="T174" s="2">
        <f t="shared" si="16"/>
        <v>78800.53</v>
      </c>
      <c r="U174" s="2">
        <f t="shared" si="17"/>
        <v>78891.839999999997</v>
      </c>
    </row>
    <row r="175" spans="1:21" ht="15.5">
      <c r="A175" s="58">
        <v>172</v>
      </c>
      <c r="B175" s="20" t="s">
        <v>521</v>
      </c>
      <c r="C175" s="20" t="s">
        <v>312</v>
      </c>
      <c r="D175" s="20" t="s">
        <v>720</v>
      </c>
      <c r="E175" s="9" t="s">
        <v>859</v>
      </c>
      <c r="F175" s="82" t="s">
        <v>870</v>
      </c>
      <c r="G175" s="20">
        <v>913104007</v>
      </c>
      <c r="H175" s="20" t="s">
        <v>3</v>
      </c>
      <c r="I175" s="101">
        <v>84.8</v>
      </c>
      <c r="J175" s="112">
        <v>814</v>
      </c>
      <c r="K175" s="94">
        <v>862</v>
      </c>
      <c r="L175" s="94">
        <v>729</v>
      </c>
      <c r="M175" s="115">
        <v>799</v>
      </c>
      <c r="N175" s="4">
        <v>863</v>
      </c>
      <c r="O175" s="4">
        <v>864</v>
      </c>
      <c r="P175" s="2">
        <f t="shared" si="18"/>
        <v>69027.199999999997</v>
      </c>
      <c r="Q175" s="2">
        <f t="shared" si="13"/>
        <v>73097.599999999991</v>
      </c>
      <c r="R175" s="2">
        <f t="shared" si="14"/>
        <v>61819.199999999997</v>
      </c>
      <c r="S175" s="2">
        <f t="shared" si="15"/>
        <v>67755.199999999997</v>
      </c>
      <c r="T175" s="2">
        <f t="shared" si="16"/>
        <v>73182.399999999994</v>
      </c>
      <c r="U175" s="2">
        <f t="shared" si="17"/>
        <v>73267.199999999997</v>
      </c>
    </row>
    <row r="176" spans="1:21" ht="15.5">
      <c r="A176" s="20">
        <v>173</v>
      </c>
      <c r="B176" s="20" t="s">
        <v>521</v>
      </c>
      <c r="C176" s="20" t="s">
        <v>312</v>
      </c>
      <c r="D176" s="20" t="s">
        <v>720</v>
      </c>
      <c r="E176" s="9" t="s">
        <v>859</v>
      </c>
      <c r="F176" s="82" t="s">
        <v>871</v>
      </c>
      <c r="G176" s="20">
        <v>913403004</v>
      </c>
      <c r="H176" s="20" t="s">
        <v>872</v>
      </c>
      <c r="I176" s="101">
        <v>5.82</v>
      </c>
      <c r="J176" s="112">
        <v>814</v>
      </c>
      <c r="K176" s="94">
        <v>862</v>
      </c>
      <c r="L176" s="94">
        <v>729</v>
      </c>
      <c r="M176" s="115">
        <v>799</v>
      </c>
      <c r="N176" s="4">
        <v>863</v>
      </c>
      <c r="O176" s="4">
        <v>864</v>
      </c>
      <c r="P176" s="2">
        <f t="shared" si="18"/>
        <v>4737.4800000000005</v>
      </c>
      <c r="Q176" s="2">
        <f t="shared" si="13"/>
        <v>5016.84</v>
      </c>
      <c r="R176" s="2">
        <f t="shared" si="14"/>
        <v>4242.7800000000007</v>
      </c>
      <c r="S176" s="2">
        <f t="shared" si="15"/>
        <v>4650.18</v>
      </c>
      <c r="T176" s="2">
        <f t="shared" si="16"/>
        <v>5022.66</v>
      </c>
      <c r="U176" s="2">
        <f t="shared" si="17"/>
        <v>5028.4800000000005</v>
      </c>
    </row>
    <row r="177" spans="1:21" ht="15.5">
      <c r="A177" s="20">
        <v>174</v>
      </c>
      <c r="B177" s="20" t="s">
        <v>521</v>
      </c>
      <c r="C177" s="20" t="s">
        <v>312</v>
      </c>
      <c r="D177" s="20" t="s">
        <v>720</v>
      </c>
      <c r="E177" s="9" t="s">
        <v>859</v>
      </c>
      <c r="F177" s="82" t="s">
        <v>873</v>
      </c>
      <c r="G177" s="20">
        <v>913104008</v>
      </c>
      <c r="H177" s="20" t="s">
        <v>865</v>
      </c>
      <c r="I177" s="101">
        <v>82.18</v>
      </c>
      <c r="J177" s="112">
        <v>814</v>
      </c>
      <c r="K177" s="94">
        <v>862</v>
      </c>
      <c r="L177" s="94">
        <v>729</v>
      </c>
      <c r="M177" s="115">
        <v>799</v>
      </c>
      <c r="N177" s="4">
        <v>863</v>
      </c>
      <c r="O177" s="4">
        <v>864</v>
      </c>
      <c r="P177" s="2">
        <f t="shared" si="18"/>
        <v>66894.52</v>
      </c>
      <c r="Q177" s="2">
        <f t="shared" si="13"/>
        <v>70839.16</v>
      </c>
      <c r="R177" s="2">
        <f t="shared" si="14"/>
        <v>59909.220000000008</v>
      </c>
      <c r="S177" s="2">
        <f t="shared" si="15"/>
        <v>65661.820000000007</v>
      </c>
      <c r="T177" s="2">
        <f t="shared" si="16"/>
        <v>70921.340000000011</v>
      </c>
      <c r="U177" s="2">
        <f t="shared" si="17"/>
        <v>71003.520000000004</v>
      </c>
    </row>
    <row r="178" spans="1:21" ht="15.5">
      <c r="A178" s="58">
        <v>175</v>
      </c>
      <c r="B178" s="20" t="s">
        <v>521</v>
      </c>
      <c r="C178" s="20" t="s">
        <v>312</v>
      </c>
      <c r="D178" s="20" t="s">
        <v>720</v>
      </c>
      <c r="E178" s="9" t="s">
        <v>859</v>
      </c>
      <c r="F178" s="82" t="s">
        <v>874</v>
      </c>
      <c r="G178" s="20">
        <v>913403001</v>
      </c>
      <c r="H178" s="20" t="s">
        <v>875</v>
      </c>
      <c r="I178" s="101">
        <v>10.26</v>
      </c>
      <c r="J178" s="112">
        <v>814</v>
      </c>
      <c r="K178" s="94">
        <v>862</v>
      </c>
      <c r="L178" s="94">
        <v>729</v>
      </c>
      <c r="M178" s="115">
        <v>799</v>
      </c>
      <c r="N178" s="4">
        <v>863</v>
      </c>
      <c r="O178" s="4">
        <v>864</v>
      </c>
      <c r="P178" s="2">
        <f t="shared" si="18"/>
        <v>8351.64</v>
      </c>
      <c r="Q178" s="2">
        <f t="shared" si="13"/>
        <v>8844.119999999999</v>
      </c>
      <c r="R178" s="2">
        <f t="shared" si="14"/>
        <v>7479.54</v>
      </c>
      <c r="S178" s="2">
        <f t="shared" si="15"/>
        <v>8197.74</v>
      </c>
      <c r="T178" s="2">
        <f t="shared" si="16"/>
        <v>8854.3799999999992</v>
      </c>
      <c r="U178" s="2">
        <f t="shared" si="17"/>
        <v>8864.64</v>
      </c>
    </row>
    <row r="179" spans="1:21" ht="15.5">
      <c r="A179" s="20">
        <v>176</v>
      </c>
      <c r="B179" s="20" t="s">
        <v>521</v>
      </c>
      <c r="C179" s="20" t="s">
        <v>312</v>
      </c>
      <c r="D179" s="20" t="s">
        <v>720</v>
      </c>
      <c r="E179" s="9" t="s">
        <v>859</v>
      </c>
      <c r="F179" s="82" t="s">
        <v>876</v>
      </c>
      <c r="G179" s="20">
        <v>913103001</v>
      </c>
      <c r="H179" s="20" t="s">
        <v>877</v>
      </c>
      <c r="I179" s="101">
        <v>22.33</v>
      </c>
      <c r="J179" s="112">
        <v>814</v>
      </c>
      <c r="K179" s="94">
        <v>862</v>
      </c>
      <c r="L179" s="94">
        <v>729</v>
      </c>
      <c r="M179" s="115">
        <v>799</v>
      </c>
      <c r="N179" s="4">
        <v>863</v>
      </c>
      <c r="O179" s="4">
        <v>864</v>
      </c>
      <c r="P179" s="2">
        <f t="shared" si="18"/>
        <v>18176.62</v>
      </c>
      <c r="Q179" s="2">
        <f t="shared" si="13"/>
        <v>19248.46</v>
      </c>
      <c r="R179" s="2">
        <f t="shared" si="14"/>
        <v>16278.569999999998</v>
      </c>
      <c r="S179" s="2">
        <f t="shared" si="15"/>
        <v>17841.669999999998</v>
      </c>
      <c r="T179" s="2">
        <f t="shared" si="16"/>
        <v>19270.789999999997</v>
      </c>
      <c r="U179" s="2">
        <f t="shared" si="17"/>
        <v>19293.12</v>
      </c>
    </row>
    <row r="180" spans="1:21" ht="15.5">
      <c r="A180" s="20">
        <v>177</v>
      </c>
      <c r="B180" s="20" t="s">
        <v>521</v>
      </c>
      <c r="C180" s="20" t="s">
        <v>312</v>
      </c>
      <c r="D180" s="20" t="s">
        <v>720</v>
      </c>
      <c r="E180" s="9" t="s">
        <v>859</v>
      </c>
      <c r="F180" s="82" t="s">
        <v>878</v>
      </c>
      <c r="G180" s="20">
        <v>913104001</v>
      </c>
      <c r="H180" s="20" t="s">
        <v>867</v>
      </c>
      <c r="I180" s="101">
        <v>91.64</v>
      </c>
      <c r="J180" s="112">
        <v>814</v>
      </c>
      <c r="K180" s="94">
        <v>862</v>
      </c>
      <c r="L180" s="94">
        <v>729</v>
      </c>
      <c r="M180" s="115">
        <v>799</v>
      </c>
      <c r="N180" s="4">
        <v>863</v>
      </c>
      <c r="O180" s="4">
        <v>864</v>
      </c>
      <c r="P180" s="2">
        <f t="shared" si="18"/>
        <v>74594.960000000006</v>
      </c>
      <c r="Q180" s="2">
        <f t="shared" si="13"/>
        <v>78993.680000000008</v>
      </c>
      <c r="R180" s="2">
        <f t="shared" si="14"/>
        <v>66805.56</v>
      </c>
      <c r="S180" s="2">
        <f t="shared" si="15"/>
        <v>73220.36</v>
      </c>
      <c r="T180" s="2">
        <f t="shared" si="16"/>
        <v>79085.320000000007</v>
      </c>
      <c r="U180" s="2">
        <f t="shared" si="17"/>
        <v>79176.960000000006</v>
      </c>
    </row>
    <row r="181" spans="1:21" ht="15.5">
      <c r="A181" s="58">
        <v>178</v>
      </c>
      <c r="B181" s="20" t="s">
        <v>521</v>
      </c>
      <c r="C181" s="20" t="s">
        <v>312</v>
      </c>
      <c r="D181" s="20" t="s">
        <v>720</v>
      </c>
      <c r="E181" s="9" t="s">
        <v>859</v>
      </c>
      <c r="F181" s="82" t="s">
        <v>879</v>
      </c>
      <c r="G181" s="20">
        <v>913104002</v>
      </c>
      <c r="H181" s="20" t="s">
        <v>869</v>
      </c>
      <c r="I181" s="101">
        <v>97.71</v>
      </c>
      <c r="J181" s="112">
        <v>814</v>
      </c>
      <c r="K181" s="94">
        <v>862</v>
      </c>
      <c r="L181" s="94">
        <v>729</v>
      </c>
      <c r="M181" s="115">
        <v>799</v>
      </c>
      <c r="N181" s="4">
        <v>863</v>
      </c>
      <c r="O181" s="4">
        <v>864</v>
      </c>
      <c r="P181" s="2">
        <f t="shared" si="18"/>
        <v>79535.939999999988</v>
      </c>
      <c r="Q181" s="2">
        <f t="shared" si="13"/>
        <v>84226.01999999999</v>
      </c>
      <c r="R181" s="2">
        <f t="shared" si="14"/>
        <v>71230.59</v>
      </c>
      <c r="S181" s="2">
        <f t="shared" si="15"/>
        <v>78070.289999999994</v>
      </c>
      <c r="T181" s="2">
        <f t="shared" si="16"/>
        <v>84323.73</v>
      </c>
      <c r="U181" s="2">
        <f t="shared" si="17"/>
        <v>84421.439999999988</v>
      </c>
    </row>
    <row r="182" spans="1:21" ht="15.5">
      <c r="A182" s="20">
        <v>179</v>
      </c>
      <c r="B182" s="20" t="s">
        <v>521</v>
      </c>
      <c r="C182" s="20" t="s">
        <v>312</v>
      </c>
      <c r="D182" s="20" t="s">
        <v>720</v>
      </c>
      <c r="E182" s="9" t="s">
        <v>859</v>
      </c>
      <c r="F182" s="82" t="s">
        <v>880</v>
      </c>
      <c r="G182" s="20">
        <v>913110001</v>
      </c>
      <c r="H182" s="20" t="s">
        <v>881</v>
      </c>
      <c r="I182" s="101">
        <v>130.15</v>
      </c>
      <c r="J182" s="112">
        <v>814</v>
      </c>
      <c r="K182" s="94">
        <v>862</v>
      </c>
      <c r="L182" s="94">
        <v>729</v>
      </c>
      <c r="M182" s="115">
        <v>799</v>
      </c>
      <c r="N182" s="4">
        <v>863</v>
      </c>
      <c r="O182" s="4">
        <v>864</v>
      </c>
      <c r="P182" s="2">
        <f t="shared" si="18"/>
        <v>105942.1</v>
      </c>
      <c r="Q182" s="2">
        <f t="shared" si="13"/>
        <v>112189.3</v>
      </c>
      <c r="R182" s="2">
        <f t="shared" si="14"/>
        <v>94879.35</v>
      </c>
      <c r="S182" s="2">
        <f t="shared" si="15"/>
        <v>103989.85</v>
      </c>
      <c r="T182" s="2">
        <f t="shared" si="16"/>
        <v>112319.45000000001</v>
      </c>
      <c r="U182" s="2">
        <f t="shared" si="17"/>
        <v>112449.60000000001</v>
      </c>
    </row>
    <row r="183" spans="1:21" ht="15.5">
      <c r="A183" s="20">
        <v>180</v>
      </c>
      <c r="B183" s="20" t="s">
        <v>521</v>
      </c>
      <c r="C183" s="20" t="s">
        <v>312</v>
      </c>
      <c r="D183" s="20" t="s">
        <v>720</v>
      </c>
      <c r="E183" s="9" t="s">
        <v>859</v>
      </c>
      <c r="F183" s="82" t="s">
        <v>882</v>
      </c>
      <c r="G183" s="20">
        <v>913114001</v>
      </c>
      <c r="H183" s="20" t="s">
        <v>883</v>
      </c>
      <c r="I183" s="101">
        <v>97.43</v>
      </c>
      <c r="J183" s="112">
        <v>814</v>
      </c>
      <c r="K183" s="94">
        <v>862</v>
      </c>
      <c r="L183" s="94">
        <v>729</v>
      </c>
      <c r="M183" s="115">
        <v>799</v>
      </c>
      <c r="N183" s="4">
        <v>863</v>
      </c>
      <c r="O183" s="4">
        <v>864</v>
      </c>
      <c r="P183" s="2">
        <f t="shared" si="18"/>
        <v>79308.02</v>
      </c>
      <c r="Q183" s="2">
        <f t="shared" si="13"/>
        <v>83984.66</v>
      </c>
      <c r="R183" s="2">
        <f t="shared" si="14"/>
        <v>71026.47</v>
      </c>
      <c r="S183" s="2">
        <f t="shared" si="15"/>
        <v>77846.570000000007</v>
      </c>
      <c r="T183" s="2">
        <f t="shared" si="16"/>
        <v>84082.090000000011</v>
      </c>
      <c r="U183" s="2">
        <f t="shared" si="17"/>
        <v>84179.520000000004</v>
      </c>
    </row>
    <row r="184" spans="1:21" ht="15.5">
      <c r="A184" s="58">
        <v>181</v>
      </c>
      <c r="B184" s="20" t="s">
        <v>521</v>
      </c>
      <c r="C184" s="20" t="s">
        <v>312</v>
      </c>
      <c r="D184" s="20" t="s">
        <v>720</v>
      </c>
      <c r="E184" s="9" t="s">
        <v>859</v>
      </c>
      <c r="F184" s="82" t="s">
        <v>884</v>
      </c>
      <c r="G184" s="20">
        <v>913114002</v>
      </c>
      <c r="H184" s="20" t="s">
        <v>885</v>
      </c>
      <c r="I184" s="101">
        <v>98.02</v>
      </c>
      <c r="J184" s="112">
        <v>814</v>
      </c>
      <c r="K184" s="94">
        <v>862</v>
      </c>
      <c r="L184" s="94">
        <v>729</v>
      </c>
      <c r="M184" s="115">
        <v>799</v>
      </c>
      <c r="N184" s="4">
        <v>863</v>
      </c>
      <c r="O184" s="4">
        <v>864</v>
      </c>
      <c r="P184" s="2">
        <f t="shared" si="18"/>
        <v>79788.28</v>
      </c>
      <c r="Q184" s="2">
        <f t="shared" si="13"/>
        <v>84493.239999999991</v>
      </c>
      <c r="R184" s="2">
        <f t="shared" si="14"/>
        <v>71456.58</v>
      </c>
      <c r="S184" s="2">
        <f t="shared" si="15"/>
        <v>78317.98</v>
      </c>
      <c r="T184" s="2">
        <f t="shared" si="16"/>
        <v>84591.26</v>
      </c>
      <c r="U184" s="2">
        <f t="shared" si="17"/>
        <v>84689.279999999999</v>
      </c>
    </row>
    <row r="185" spans="1:21">
      <c r="A185" s="20">
        <v>182</v>
      </c>
      <c r="B185" s="20" t="s">
        <v>521</v>
      </c>
      <c r="C185" s="20" t="s">
        <v>312</v>
      </c>
      <c r="D185" s="20" t="s">
        <v>720</v>
      </c>
      <c r="E185" s="9" t="s">
        <v>859</v>
      </c>
      <c r="F185" s="20" t="s">
        <v>886</v>
      </c>
      <c r="G185" s="20">
        <v>913114003</v>
      </c>
      <c r="H185" s="102" t="s">
        <v>887</v>
      </c>
      <c r="I185" s="103">
        <v>93.15</v>
      </c>
      <c r="J185" s="112">
        <v>814</v>
      </c>
      <c r="K185" s="94">
        <v>862</v>
      </c>
      <c r="L185" s="94">
        <v>729</v>
      </c>
      <c r="M185" s="115">
        <v>799</v>
      </c>
      <c r="N185" s="4">
        <v>863</v>
      </c>
      <c r="O185" s="4">
        <v>864</v>
      </c>
      <c r="P185" s="2">
        <f t="shared" si="18"/>
        <v>75824.100000000006</v>
      </c>
      <c r="Q185" s="2">
        <f t="shared" si="13"/>
        <v>80295.3</v>
      </c>
      <c r="R185" s="2">
        <f t="shared" si="14"/>
        <v>67906.350000000006</v>
      </c>
      <c r="S185" s="2">
        <f t="shared" si="15"/>
        <v>74426.850000000006</v>
      </c>
      <c r="T185" s="2">
        <f t="shared" si="16"/>
        <v>80388.450000000012</v>
      </c>
      <c r="U185" s="2">
        <f t="shared" si="17"/>
        <v>80481.600000000006</v>
      </c>
    </row>
    <row r="186" spans="1:21">
      <c r="A186" s="20">
        <v>183</v>
      </c>
      <c r="B186" s="20" t="s">
        <v>521</v>
      </c>
      <c r="C186" s="20" t="s">
        <v>312</v>
      </c>
      <c r="D186" s="20" t="s">
        <v>720</v>
      </c>
      <c r="E186" s="9" t="s">
        <v>859</v>
      </c>
      <c r="F186" s="20" t="s">
        <v>888</v>
      </c>
      <c r="G186" s="20">
        <v>913114004</v>
      </c>
      <c r="H186" s="102" t="s">
        <v>889</v>
      </c>
      <c r="I186" s="103">
        <v>93.15</v>
      </c>
      <c r="J186" s="112">
        <v>814</v>
      </c>
      <c r="K186" s="94">
        <v>862</v>
      </c>
      <c r="L186" s="94">
        <v>729</v>
      </c>
      <c r="M186" s="115">
        <v>799</v>
      </c>
      <c r="N186" s="4">
        <v>863</v>
      </c>
      <c r="O186" s="4">
        <v>864</v>
      </c>
      <c r="P186" s="2">
        <f t="shared" si="18"/>
        <v>75824.100000000006</v>
      </c>
      <c r="Q186" s="2">
        <f t="shared" si="13"/>
        <v>80295.3</v>
      </c>
      <c r="R186" s="2">
        <f t="shared" si="14"/>
        <v>67906.350000000006</v>
      </c>
      <c r="S186" s="2">
        <f t="shared" si="15"/>
        <v>74426.850000000006</v>
      </c>
      <c r="T186" s="2">
        <f t="shared" si="16"/>
        <v>80388.450000000012</v>
      </c>
      <c r="U186" s="2">
        <f t="shared" si="17"/>
        <v>80481.600000000006</v>
      </c>
    </row>
    <row r="187" spans="1:21">
      <c r="A187" s="58">
        <v>184</v>
      </c>
      <c r="B187" s="20" t="s">
        <v>521</v>
      </c>
      <c r="C187" s="20" t="s">
        <v>312</v>
      </c>
      <c r="D187" s="20" t="s">
        <v>720</v>
      </c>
      <c r="E187" s="9" t="s">
        <v>859</v>
      </c>
      <c r="F187" s="20" t="s">
        <v>890</v>
      </c>
      <c r="G187" s="20">
        <v>913110003</v>
      </c>
      <c r="H187" s="102" t="s">
        <v>891</v>
      </c>
      <c r="I187" s="103">
        <v>124.86</v>
      </c>
      <c r="J187" s="112">
        <v>814</v>
      </c>
      <c r="K187" s="94">
        <v>862</v>
      </c>
      <c r="L187" s="94">
        <v>729</v>
      </c>
      <c r="M187" s="115">
        <v>799</v>
      </c>
      <c r="N187" s="4">
        <v>863</v>
      </c>
      <c r="O187" s="4">
        <v>864</v>
      </c>
      <c r="P187" s="2">
        <f t="shared" si="18"/>
        <v>101636.04</v>
      </c>
      <c r="Q187" s="2">
        <f t="shared" si="13"/>
        <v>107629.31999999999</v>
      </c>
      <c r="R187" s="2">
        <f t="shared" si="14"/>
        <v>91022.94</v>
      </c>
      <c r="S187" s="2">
        <f t="shared" si="15"/>
        <v>99763.14</v>
      </c>
      <c r="T187" s="2">
        <f t="shared" si="16"/>
        <v>107754.18</v>
      </c>
      <c r="U187" s="2">
        <f t="shared" si="17"/>
        <v>107879.03999999999</v>
      </c>
    </row>
    <row r="188" spans="1:21">
      <c r="A188" s="20">
        <v>185</v>
      </c>
      <c r="B188" s="20" t="s">
        <v>521</v>
      </c>
      <c r="C188" s="20" t="s">
        <v>312</v>
      </c>
      <c r="D188" s="20" t="s">
        <v>720</v>
      </c>
      <c r="E188" s="9" t="s">
        <v>892</v>
      </c>
      <c r="F188" s="20" t="s">
        <v>893</v>
      </c>
      <c r="G188" s="20">
        <v>913402001</v>
      </c>
      <c r="H188" s="102" t="s">
        <v>894</v>
      </c>
      <c r="I188" s="103">
        <v>125.91</v>
      </c>
      <c r="J188" s="112">
        <v>60</v>
      </c>
      <c r="K188" s="94">
        <v>68</v>
      </c>
      <c r="L188" s="94">
        <v>70</v>
      </c>
      <c r="M188" s="115">
        <v>61</v>
      </c>
      <c r="N188" s="4">
        <v>64</v>
      </c>
      <c r="O188" s="4">
        <v>60</v>
      </c>
      <c r="P188" s="2">
        <f t="shared" si="18"/>
        <v>7554.5999999999995</v>
      </c>
      <c r="Q188" s="2">
        <f t="shared" si="13"/>
        <v>8561.8799999999992</v>
      </c>
      <c r="R188" s="2">
        <f t="shared" si="14"/>
        <v>8813.6999999999989</v>
      </c>
      <c r="S188" s="2">
        <f t="shared" si="15"/>
        <v>7680.51</v>
      </c>
      <c r="T188" s="2">
        <f t="shared" si="16"/>
        <v>8058.24</v>
      </c>
      <c r="U188" s="2">
        <f t="shared" si="17"/>
        <v>7554.5999999999995</v>
      </c>
    </row>
    <row r="189" spans="1:21">
      <c r="A189" s="20">
        <v>186</v>
      </c>
      <c r="B189" s="20" t="s">
        <v>521</v>
      </c>
      <c r="C189" s="20" t="s">
        <v>312</v>
      </c>
      <c r="D189" s="20" t="s">
        <v>720</v>
      </c>
      <c r="E189" s="9" t="s">
        <v>892</v>
      </c>
      <c r="F189" s="20" t="s">
        <v>895</v>
      </c>
      <c r="G189" s="20">
        <v>913403003</v>
      </c>
      <c r="H189" s="102" t="s">
        <v>748</v>
      </c>
      <c r="I189" s="103">
        <v>15.75</v>
      </c>
      <c r="J189" s="112">
        <v>60</v>
      </c>
      <c r="K189" s="94">
        <v>68</v>
      </c>
      <c r="L189" s="94">
        <v>70</v>
      </c>
      <c r="M189" s="115">
        <v>61</v>
      </c>
      <c r="N189" s="4">
        <v>64</v>
      </c>
      <c r="O189" s="4">
        <v>60</v>
      </c>
      <c r="P189" s="2">
        <f t="shared" si="18"/>
        <v>945</v>
      </c>
      <c r="Q189" s="2">
        <f t="shared" si="13"/>
        <v>1071</v>
      </c>
      <c r="R189" s="2">
        <f t="shared" si="14"/>
        <v>1102.5</v>
      </c>
      <c r="S189" s="2">
        <f t="shared" si="15"/>
        <v>960.75</v>
      </c>
      <c r="T189" s="2">
        <f t="shared" si="16"/>
        <v>1008</v>
      </c>
      <c r="U189" s="2">
        <f t="shared" si="17"/>
        <v>945</v>
      </c>
    </row>
    <row r="190" spans="1:21">
      <c r="A190" s="58">
        <v>187</v>
      </c>
      <c r="B190" s="20" t="s">
        <v>521</v>
      </c>
      <c r="C190" s="20" t="s">
        <v>312</v>
      </c>
      <c r="D190" s="20" t="s">
        <v>720</v>
      </c>
      <c r="E190" s="9" t="s">
        <v>892</v>
      </c>
      <c r="F190" s="20" t="s">
        <v>1240</v>
      </c>
      <c r="G190" s="20">
        <v>913403004</v>
      </c>
      <c r="H190" s="102" t="s">
        <v>741</v>
      </c>
      <c r="I190" s="103">
        <v>6.63</v>
      </c>
      <c r="J190" s="112">
        <v>60</v>
      </c>
      <c r="K190" s="94">
        <v>68</v>
      </c>
      <c r="L190" s="94">
        <v>70</v>
      </c>
      <c r="M190" s="115">
        <v>61</v>
      </c>
      <c r="N190" s="4">
        <v>64</v>
      </c>
      <c r="O190" s="4">
        <v>60</v>
      </c>
      <c r="P190" s="2">
        <f t="shared" si="18"/>
        <v>397.8</v>
      </c>
      <c r="Q190" s="2">
        <f t="shared" si="13"/>
        <v>450.84</v>
      </c>
      <c r="R190" s="2">
        <f t="shared" si="14"/>
        <v>464.09999999999997</v>
      </c>
      <c r="S190" s="2">
        <f t="shared" si="15"/>
        <v>404.43</v>
      </c>
      <c r="T190" s="2">
        <f t="shared" si="16"/>
        <v>424.32</v>
      </c>
      <c r="U190" s="2">
        <f t="shared" si="17"/>
        <v>397.8</v>
      </c>
    </row>
    <row r="191" spans="1:21">
      <c r="A191" s="20">
        <v>188</v>
      </c>
      <c r="B191" s="20" t="s">
        <v>521</v>
      </c>
      <c r="C191" s="20" t="s">
        <v>312</v>
      </c>
      <c r="D191" s="20" t="s">
        <v>720</v>
      </c>
      <c r="E191" s="9" t="s">
        <v>892</v>
      </c>
      <c r="F191" s="20" t="s">
        <v>896</v>
      </c>
      <c r="G191" s="20">
        <v>913404001</v>
      </c>
      <c r="H191" s="102" t="s">
        <v>897</v>
      </c>
      <c r="I191" s="103">
        <v>91.52</v>
      </c>
      <c r="J191" s="112">
        <v>60</v>
      </c>
      <c r="K191" s="94">
        <v>68</v>
      </c>
      <c r="L191" s="94">
        <v>70</v>
      </c>
      <c r="M191" s="115">
        <v>61</v>
      </c>
      <c r="N191" s="4">
        <v>64</v>
      </c>
      <c r="O191" s="4">
        <v>60</v>
      </c>
      <c r="P191" s="2">
        <f t="shared" si="18"/>
        <v>5491.2</v>
      </c>
      <c r="Q191" s="2">
        <f t="shared" si="13"/>
        <v>6223.36</v>
      </c>
      <c r="R191" s="2">
        <f t="shared" si="14"/>
        <v>6406.4</v>
      </c>
      <c r="S191" s="2">
        <f t="shared" si="15"/>
        <v>5582.7199999999993</v>
      </c>
      <c r="T191" s="2">
        <f t="shared" si="16"/>
        <v>5857.28</v>
      </c>
      <c r="U191" s="2">
        <f t="shared" si="17"/>
        <v>5491.2</v>
      </c>
    </row>
    <row r="192" spans="1:21">
      <c r="A192" s="20">
        <v>189</v>
      </c>
      <c r="B192" s="20" t="s">
        <v>521</v>
      </c>
      <c r="C192" s="20" t="s">
        <v>312</v>
      </c>
      <c r="D192" s="20" t="s">
        <v>720</v>
      </c>
      <c r="E192" s="9" t="s">
        <v>892</v>
      </c>
      <c r="F192" s="20" t="s">
        <v>898</v>
      </c>
      <c r="G192" s="20">
        <v>913404002</v>
      </c>
      <c r="H192" s="102" t="s">
        <v>899</v>
      </c>
      <c r="I192" s="103">
        <v>91.52</v>
      </c>
      <c r="J192" s="112">
        <v>60</v>
      </c>
      <c r="K192" s="94">
        <v>68</v>
      </c>
      <c r="L192" s="94">
        <v>70</v>
      </c>
      <c r="M192" s="115">
        <v>61</v>
      </c>
      <c r="N192" s="4">
        <v>64</v>
      </c>
      <c r="O192" s="4">
        <v>60</v>
      </c>
      <c r="P192" s="2">
        <f t="shared" si="18"/>
        <v>5491.2</v>
      </c>
      <c r="Q192" s="2">
        <f t="shared" si="13"/>
        <v>6223.36</v>
      </c>
      <c r="R192" s="2">
        <f t="shared" si="14"/>
        <v>6406.4</v>
      </c>
      <c r="S192" s="2">
        <f t="shared" si="15"/>
        <v>5582.7199999999993</v>
      </c>
      <c r="T192" s="2">
        <f t="shared" si="16"/>
        <v>5857.28</v>
      </c>
      <c r="U192" s="2">
        <f t="shared" si="17"/>
        <v>5491.2</v>
      </c>
    </row>
    <row r="193" spans="1:21">
      <c r="A193" s="58">
        <v>190</v>
      </c>
      <c r="B193" s="20" t="s">
        <v>521</v>
      </c>
      <c r="C193" s="20" t="s">
        <v>312</v>
      </c>
      <c r="D193" s="20" t="s">
        <v>720</v>
      </c>
      <c r="E193" s="9" t="s">
        <v>892</v>
      </c>
      <c r="F193" s="20" t="s">
        <v>900</v>
      </c>
      <c r="G193" s="20">
        <v>913404004</v>
      </c>
      <c r="H193" s="102" t="s">
        <v>901</v>
      </c>
      <c r="I193" s="103">
        <v>79.849999999999994</v>
      </c>
      <c r="J193" s="112">
        <v>60</v>
      </c>
      <c r="K193" s="94">
        <v>68</v>
      </c>
      <c r="L193" s="94">
        <v>70</v>
      </c>
      <c r="M193" s="115">
        <v>61</v>
      </c>
      <c r="N193" s="4">
        <v>64</v>
      </c>
      <c r="O193" s="4">
        <v>60</v>
      </c>
      <c r="P193" s="2">
        <f t="shared" si="18"/>
        <v>4791</v>
      </c>
      <c r="Q193" s="2">
        <f t="shared" si="13"/>
        <v>5429.7999999999993</v>
      </c>
      <c r="R193" s="2">
        <f t="shared" si="14"/>
        <v>5589.5</v>
      </c>
      <c r="S193" s="2">
        <f t="shared" si="15"/>
        <v>4870.8499999999995</v>
      </c>
      <c r="T193" s="2">
        <f t="shared" si="16"/>
        <v>5110.3999999999996</v>
      </c>
      <c r="U193" s="2">
        <f t="shared" si="17"/>
        <v>4791</v>
      </c>
    </row>
    <row r="194" spans="1:21">
      <c r="A194" s="20">
        <v>191</v>
      </c>
      <c r="B194" s="20" t="s">
        <v>521</v>
      </c>
      <c r="C194" s="20" t="s">
        <v>312</v>
      </c>
      <c r="D194" s="20" t="s">
        <v>720</v>
      </c>
      <c r="E194" s="9" t="s">
        <v>892</v>
      </c>
      <c r="F194" s="20" t="s">
        <v>902</v>
      </c>
      <c r="G194" s="20">
        <v>913404005</v>
      </c>
      <c r="H194" s="102" t="s">
        <v>903</v>
      </c>
      <c r="I194" s="103">
        <v>10.19</v>
      </c>
      <c r="J194" s="112">
        <v>60</v>
      </c>
      <c r="K194" s="94">
        <v>68</v>
      </c>
      <c r="L194" s="94">
        <v>70</v>
      </c>
      <c r="M194" s="115">
        <v>61</v>
      </c>
      <c r="N194" s="4">
        <v>64</v>
      </c>
      <c r="O194" s="4">
        <v>60</v>
      </c>
      <c r="P194" s="2">
        <f t="shared" si="18"/>
        <v>611.4</v>
      </c>
      <c r="Q194" s="2">
        <f t="shared" si="13"/>
        <v>692.92</v>
      </c>
      <c r="R194" s="2">
        <f t="shared" si="14"/>
        <v>713.3</v>
      </c>
      <c r="S194" s="2">
        <f t="shared" si="15"/>
        <v>621.58999999999992</v>
      </c>
      <c r="T194" s="2">
        <f t="shared" si="16"/>
        <v>652.16</v>
      </c>
      <c r="U194" s="2">
        <f t="shared" si="17"/>
        <v>611.4</v>
      </c>
    </row>
    <row r="195" spans="1:21">
      <c r="A195" s="20">
        <v>192</v>
      </c>
      <c r="B195" s="20" t="s">
        <v>521</v>
      </c>
      <c r="C195" s="20" t="s">
        <v>312</v>
      </c>
      <c r="D195" s="20" t="s">
        <v>720</v>
      </c>
      <c r="E195" s="9" t="s">
        <v>892</v>
      </c>
      <c r="F195" s="20" t="s">
        <v>904</v>
      </c>
      <c r="G195" s="20">
        <v>913404003</v>
      </c>
      <c r="H195" s="102" t="s">
        <v>905</v>
      </c>
      <c r="I195" s="103">
        <v>79.900000000000006</v>
      </c>
      <c r="J195" s="112">
        <v>60</v>
      </c>
      <c r="K195" s="94">
        <v>68</v>
      </c>
      <c r="L195" s="94">
        <v>70</v>
      </c>
      <c r="M195" s="115">
        <v>61</v>
      </c>
      <c r="N195" s="4">
        <v>64</v>
      </c>
      <c r="O195" s="4">
        <v>60</v>
      </c>
      <c r="P195" s="2">
        <f t="shared" si="18"/>
        <v>4794</v>
      </c>
      <c r="Q195" s="2">
        <f t="shared" si="13"/>
        <v>5433.2000000000007</v>
      </c>
      <c r="R195" s="2">
        <f t="shared" si="14"/>
        <v>5593</v>
      </c>
      <c r="S195" s="2">
        <f t="shared" si="15"/>
        <v>4873.9000000000005</v>
      </c>
      <c r="T195" s="2">
        <f t="shared" si="16"/>
        <v>5113.6000000000004</v>
      </c>
      <c r="U195" s="2">
        <f t="shared" si="17"/>
        <v>4794</v>
      </c>
    </row>
    <row r="196" spans="1:21">
      <c r="A196" s="58">
        <v>193</v>
      </c>
      <c r="B196" s="20" t="s">
        <v>521</v>
      </c>
      <c r="C196" s="20" t="s">
        <v>312</v>
      </c>
      <c r="D196" s="20" t="s">
        <v>720</v>
      </c>
      <c r="E196" s="9" t="s">
        <v>906</v>
      </c>
      <c r="F196" s="20" t="s">
        <v>907</v>
      </c>
      <c r="G196" s="20">
        <v>913918001</v>
      </c>
      <c r="H196" s="102" t="s">
        <v>908</v>
      </c>
      <c r="I196" s="103">
        <v>129.32</v>
      </c>
      <c r="J196" s="112">
        <v>89</v>
      </c>
      <c r="K196" s="94">
        <v>94</v>
      </c>
      <c r="L196" s="94">
        <v>88</v>
      </c>
      <c r="M196" s="115">
        <v>87</v>
      </c>
      <c r="N196" s="4">
        <v>99</v>
      </c>
      <c r="O196" s="4">
        <v>97</v>
      </c>
      <c r="P196" s="2">
        <f t="shared" si="18"/>
        <v>11509.48</v>
      </c>
      <c r="Q196" s="2">
        <f t="shared" ref="Q196:Q238" si="19">K196*I196</f>
        <v>12156.08</v>
      </c>
      <c r="R196" s="2">
        <f t="shared" ref="R196:R238" si="20">L196*I196</f>
        <v>11380.16</v>
      </c>
      <c r="S196" s="2">
        <f t="shared" ref="S196:S238" si="21">M196*I196</f>
        <v>11250.84</v>
      </c>
      <c r="T196" s="2">
        <f t="shared" ref="T196:T238" si="22">N196*I196</f>
        <v>12802.679999999998</v>
      </c>
      <c r="U196" s="2">
        <f t="shared" ref="U196:U238" si="23">O196*I196</f>
        <v>12544.039999999999</v>
      </c>
    </row>
    <row r="197" spans="1:21">
      <c r="A197" s="20">
        <v>194</v>
      </c>
      <c r="B197" s="20" t="s">
        <v>521</v>
      </c>
      <c r="C197" s="20" t="s">
        <v>312</v>
      </c>
      <c r="D197" s="20" t="s">
        <v>720</v>
      </c>
      <c r="E197" s="9" t="s">
        <v>906</v>
      </c>
      <c r="F197" s="20" t="s">
        <v>909</v>
      </c>
      <c r="G197" s="20">
        <v>913901001</v>
      </c>
      <c r="H197" s="102" t="s">
        <v>829</v>
      </c>
      <c r="I197" s="103">
        <v>85.83</v>
      </c>
      <c r="J197" s="112">
        <v>89</v>
      </c>
      <c r="K197" s="94">
        <v>94</v>
      </c>
      <c r="L197" s="94">
        <v>88</v>
      </c>
      <c r="M197" s="115">
        <v>87</v>
      </c>
      <c r="N197" s="4">
        <v>99</v>
      </c>
      <c r="O197" s="4">
        <v>97</v>
      </c>
      <c r="P197" s="2">
        <f t="shared" si="18"/>
        <v>7638.87</v>
      </c>
      <c r="Q197" s="2">
        <f t="shared" si="19"/>
        <v>8068.0199999999995</v>
      </c>
      <c r="R197" s="2">
        <f t="shared" si="20"/>
        <v>7553.04</v>
      </c>
      <c r="S197" s="2">
        <f t="shared" si="21"/>
        <v>7467.21</v>
      </c>
      <c r="T197" s="2">
        <f t="shared" si="22"/>
        <v>8497.17</v>
      </c>
      <c r="U197" s="2">
        <f t="shared" si="23"/>
        <v>8325.51</v>
      </c>
    </row>
    <row r="198" spans="1:21">
      <c r="A198" s="20">
        <v>195</v>
      </c>
      <c r="B198" s="20" t="s">
        <v>521</v>
      </c>
      <c r="C198" s="20" t="s">
        <v>312</v>
      </c>
      <c r="D198" s="20" t="s">
        <v>720</v>
      </c>
      <c r="E198" s="9" t="s">
        <v>906</v>
      </c>
      <c r="F198" s="20" t="s">
        <v>910</v>
      </c>
      <c r="G198" s="20">
        <v>913901003</v>
      </c>
      <c r="H198" s="102" t="s">
        <v>831</v>
      </c>
      <c r="I198" s="103">
        <v>83.18</v>
      </c>
      <c r="J198" s="112">
        <v>89</v>
      </c>
      <c r="K198" s="94">
        <v>94</v>
      </c>
      <c r="L198" s="94">
        <v>88</v>
      </c>
      <c r="M198" s="115">
        <v>87</v>
      </c>
      <c r="N198" s="4">
        <v>99</v>
      </c>
      <c r="O198" s="4">
        <v>97</v>
      </c>
      <c r="P198" s="2">
        <f t="shared" si="18"/>
        <v>7403.02</v>
      </c>
      <c r="Q198" s="2">
        <f t="shared" si="19"/>
        <v>7818.920000000001</v>
      </c>
      <c r="R198" s="2">
        <f t="shared" si="20"/>
        <v>7319.84</v>
      </c>
      <c r="S198" s="2">
        <f t="shared" si="21"/>
        <v>7236.6600000000008</v>
      </c>
      <c r="T198" s="2">
        <f t="shared" si="22"/>
        <v>8234.8200000000015</v>
      </c>
      <c r="U198" s="2">
        <f t="shared" si="23"/>
        <v>8068.4600000000009</v>
      </c>
    </row>
    <row r="199" spans="1:21">
      <c r="A199" s="58">
        <v>196</v>
      </c>
      <c r="B199" s="20" t="s">
        <v>521</v>
      </c>
      <c r="C199" s="20" t="s">
        <v>312</v>
      </c>
      <c r="D199" s="20" t="s">
        <v>720</v>
      </c>
      <c r="E199" s="9" t="s">
        <v>906</v>
      </c>
      <c r="F199" s="20" t="s">
        <v>911</v>
      </c>
      <c r="G199" s="20">
        <v>913901010</v>
      </c>
      <c r="H199" s="102" t="s">
        <v>819</v>
      </c>
      <c r="I199" s="103">
        <v>143.79</v>
      </c>
      <c r="J199" s="112">
        <v>89</v>
      </c>
      <c r="K199" s="94">
        <v>94</v>
      </c>
      <c r="L199" s="94">
        <v>88</v>
      </c>
      <c r="M199" s="115">
        <v>87</v>
      </c>
      <c r="N199" s="4">
        <v>99</v>
      </c>
      <c r="O199" s="4">
        <v>97</v>
      </c>
      <c r="P199" s="2">
        <f t="shared" ref="P199:P238" si="24">J199*I199</f>
        <v>12797.31</v>
      </c>
      <c r="Q199" s="2">
        <f t="shared" si="19"/>
        <v>13516.259999999998</v>
      </c>
      <c r="R199" s="2">
        <f t="shared" si="20"/>
        <v>12653.519999999999</v>
      </c>
      <c r="S199" s="2">
        <f t="shared" si="21"/>
        <v>12509.73</v>
      </c>
      <c r="T199" s="2">
        <f t="shared" si="22"/>
        <v>14235.21</v>
      </c>
      <c r="U199" s="2">
        <f t="shared" si="23"/>
        <v>13947.63</v>
      </c>
    </row>
    <row r="200" spans="1:21">
      <c r="A200" s="20">
        <v>197</v>
      </c>
      <c r="B200" s="20" t="s">
        <v>521</v>
      </c>
      <c r="C200" s="20" t="s">
        <v>312</v>
      </c>
      <c r="D200" s="20" t="s">
        <v>720</v>
      </c>
      <c r="E200" s="9" t="s">
        <v>906</v>
      </c>
      <c r="F200" s="20" t="s">
        <v>912</v>
      </c>
      <c r="G200" s="20">
        <v>913901009</v>
      </c>
      <c r="H200" s="102" t="s">
        <v>817</v>
      </c>
      <c r="I200" s="103">
        <v>143.81</v>
      </c>
      <c r="J200" s="112">
        <v>89</v>
      </c>
      <c r="K200" s="94">
        <v>94</v>
      </c>
      <c r="L200" s="94">
        <v>88</v>
      </c>
      <c r="M200" s="115">
        <v>87</v>
      </c>
      <c r="N200" s="4">
        <v>99</v>
      </c>
      <c r="O200" s="4">
        <v>97</v>
      </c>
      <c r="P200" s="2">
        <f t="shared" si="24"/>
        <v>12799.09</v>
      </c>
      <c r="Q200" s="2">
        <f t="shared" si="19"/>
        <v>13518.14</v>
      </c>
      <c r="R200" s="2">
        <f t="shared" si="20"/>
        <v>12655.28</v>
      </c>
      <c r="S200" s="2">
        <f t="shared" si="21"/>
        <v>12511.47</v>
      </c>
      <c r="T200" s="2">
        <f t="shared" si="22"/>
        <v>14237.19</v>
      </c>
      <c r="U200" s="2">
        <f t="shared" si="23"/>
        <v>13949.57</v>
      </c>
    </row>
    <row r="201" spans="1:21">
      <c r="A201" s="20">
        <v>198</v>
      </c>
      <c r="B201" s="20" t="s">
        <v>521</v>
      </c>
      <c r="C201" s="20" t="s">
        <v>312</v>
      </c>
      <c r="D201" s="20" t="s">
        <v>720</v>
      </c>
      <c r="E201" s="9" t="s">
        <v>906</v>
      </c>
      <c r="F201" s="20" t="s">
        <v>913</v>
      </c>
      <c r="G201" s="20">
        <v>913901011</v>
      </c>
      <c r="H201" s="102" t="s">
        <v>914</v>
      </c>
      <c r="I201" s="103">
        <v>132.35</v>
      </c>
      <c r="J201" s="112">
        <v>89</v>
      </c>
      <c r="K201" s="94">
        <v>94</v>
      </c>
      <c r="L201" s="94">
        <v>88</v>
      </c>
      <c r="M201" s="115">
        <v>87</v>
      </c>
      <c r="N201" s="4">
        <v>99</v>
      </c>
      <c r="O201" s="4">
        <v>97</v>
      </c>
      <c r="P201" s="2">
        <f t="shared" si="24"/>
        <v>11779.15</v>
      </c>
      <c r="Q201" s="2">
        <f t="shared" si="19"/>
        <v>12440.9</v>
      </c>
      <c r="R201" s="2">
        <f t="shared" si="20"/>
        <v>11646.8</v>
      </c>
      <c r="S201" s="2">
        <f t="shared" si="21"/>
        <v>11514.449999999999</v>
      </c>
      <c r="T201" s="2">
        <f t="shared" si="22"/>
        <v>13102.65</v>
      </c>
      <c r="U201" s="2">
        <f t="shared" si="23"/>
        <v>12837.949999999999</v>
      </c>
    </row>
    <row r="202" spans="1:21">
      <c r="A202" s="58">
        <v>199</v>
      </c>
      <c r="B202" s="20" t="s">
        <v>521</v>
      </c>
      <c r="C202" s="20" t="s">
        <v>312</v>
      </c>
      <c r="D202" s="20" t="s">
        <v>720</v>
      </c>
      <c r="E202" s="9" t="s">
        <v>906</v>
      </c>
      <c r="F202" s="20" t="s">
        <v>915</v>
      </c>
      <c r="G202" s="20">
        <v>913901012</v>
      </c>
      <c r="H202" s="102" t="s">
        <v>916</v>
      </c>
      <c r="I202" s="103">
        <v>132.35</v>
      </c>
      <c r="J202" s="112">
        <v>89</v>
      </c>
      <c r="K202" s="94">
        <v>94</v>
      </c>
      <c r="L202" s="94">
        <v>88</v>
      </c>
      <c r="M202" s="115">
        <v>87</v>
      </c>
      <c r="N202" s="4">
        <v>99</v>
      </c>
      <c r="O202" s="4">
        <v>97</v>
      </c>
      <c r="P202" s="2">
        <f t="shared" si="24"/>
        <v>11779.15</v>
      </c>
      <c r="Q202" s="2">
        <f t="shared" si="19"/>
        <v>12440.9</v>
      </c>
      <c r="R202" s="2">
        <f t="shared" si="20"/>
        <v>11646.8</v>
      </c>
      <c r="S202" s="2">
        <f t="shared" si="21"/>
        <v>11514.449999999999</v>
      </c>
      <c r="T202" s="2">
        <f t="shared" si="22"/>
        <v>13102.65</v>
      </c>
      <c r="U202" s="2">
        <f t="shared" si="23"/>
        <v>12837.949999999999</v>
      </c>
    </row>
    <row r="203" spans="1:21">
      <c r="A203" s="20">
        <v>200</v>
      </c>
      <c r="B203" s="20" t="s">
        <v>521</v>
      </c>
      <c r="C203" s="20" t="s">
        <v>312</v>
      </c>
      <c r="D203" s="20" t="s">
        <v>720</v>
      </c>
      <c r="E203" s="9" t="s">
        <v>917</v>
      </c>
      <c r="F203" s="20" t="s">
        <v>918</v>
      </c>
      <c r="G203" s="20">
        <v>910101005</v>
      </c>
      <c r="H203" s="102" t="s">
        <v>919</v>
      </c>
      <c r="I203" s="103">
        <v>122.19</v>
      </c>
      <c r="J203" s="112">
        <v>1140</v>
      </c>
      <c r="K203" s="94">
        <v>1065</v>
      </c>
      <c r="L203" s="94">
        <v>955</v>
      </c>
      <c r="M203" s="115">
        <v>997</v>
      </c>
      <c r="N203" s="4">
        <v>1088</v>
      </c>
      <c r="O203" s="4">
        <v>944</v>
      </c>
      <c r="P203" s="2">
        <f t="shared" si="24"/>
        <v>139296.6</v>
      </c>
      <c r="Q203" s="2">
        <f t="shared" si="19"/>
        <v>130132.34999999999</v>
      </c>
      <c r="R203" s="2">
        <f t="shared" si="20"/>
        <v>116691.45</v>
      </c>
      <c r="S203" s="2">
        <f t="shared" si="21"/>
        <v>121823.43</v>
      </c>
      <c r="T203" s="2">
        <f t="shared" si="22"/>
        <v>132942.72</v>
      </c>
      <c r="U203" s="2">
        <f t="shared" si="23"/>
        <v>115347.36</v>
      </c>
    </row>
    <row r="204" spans="1:21">
      <c r="A204" s="20">
        <v>201</v>
      </c>
      <c r="B204" s="20" t="s">
        <v>521</v>
      </c>
      <c r="C204" s="20" t="s">
        <v>312</v>
      </c>
      <c r="D204" s="20" t="s">
        <v>720</v>
      </c>
      <c r="E204" s="9" t="s">
        <v>917</v>
      </c>
      <c r="F204" s="20" t="s">
        <v>920</v>
      </c>
      <c r="G204" s="20">
        <v>910103001</v>
      </c>
      <c r="H204" s="102" t="s">
        <v>921</v>
      </c>
      <c r="I204" s="103">
        <v>13.63</v>
      </c>
      <c r="J204" s="112">
        <v>1140</v>
      </c>
      <c r="K204" s="94">
        <v>1065</v>
      </c>
      <c r="L204" s="94">
        <v>955</v>
      </c>
      <c r="M204" s="115">
        <v>997</v>
      </c>
      <c r="N204" s="4">
        <v>1088</v>
      </c>
      <c r="O204" s="4">
        <v>944</v>
      </c>
      <c r="P204" s="2">
        <f t="shared" si="24"/>
        <v>15538.2</v>
      </c>
      <c r="Q204" s="2">
        <f t="shared" si="19"/>
        <v>14515.95</v>
      </c>
      <c r="R204" s="2">
        <f t="shared" si="20"/>
        <v>13016.650000000001</v>
      </c>
      <c r="S204" s="2">
        <f t="shared" si="21"/>
        <v>13589.11</v>
      </c>
      <c r="T204" s="2">
        <f t="shared" si="22"/>
        <v>14829.44</v>
      </c>
      <c r="U204" s="2">
        <f t="shared" si="23"/>
        <v>12866.720000000001</v>
      </c>
    </row>
    <row r="205" spans="1:21">
      <c r="A205" s="58">
        <v>202</v>
      </c>
      <c r="B205" s="20" t="s">
        <v>521</v>
      </c>
      <c r="C205" s="20" t="s">
        <v>312</v>
      </c>
      <c r="D205" s="20" t="s">
        <v>720</v>
      </c>
      <c r="E205" s="9" t="s">
        <v>917</v>
      </c>
      <c r="F205" s="20" t="s">
        <v>922</v>
      </c>
      <c r="G205" s="20">
        <v>910104002</v>
      </c>
      <c r="H205" s="102" t="s">
        <v>923</v>
      </c>
      <c r="I205" s="103">
        <v>49.3</v>
      </c>
      <c r="J205" s="112">
        <v>1140</v>
      </c>
      <c r="K205" s="94">
        <v>1065</v>
      </c>
      <c r="L205" s="94">
        <v>955</v>
      </c>
      <c r="M205" s="115">
        <v>997</v>
      </c>
      <c r="N205" s="4">
        <v>1088</v>
      </c>
      <c r="O205" s="4">
        <v>944</v>
      </c>
      <c r="P205" s="2">
        <f t="shared" si="24"/>
        <v>56202</v>
      </c>
      <c r="Q205" s="2">
        <f t="shared" si="19"/>
        <v>52504.5</v>
      </c>
      <c r="R205" s="2">
        <f t="shared" si="20"/>
        <v>47081.5</v>
      </c>
      <c r="S205" s="2">
        <f t="shared" si="21"/>
        <v>49152.1</v>
      </c>
      <c r="T205" s="2">
        <f t="shared" si="22"/>
        <v>53638.399999999994</v>
      </c>
      <c r="U205" s="2">
        <f t="shared" si="23"/>
        <v>46539.199999999997</v>
      </c>
    </row>
    <row r="206" spans="1:21">
      <c r="A206" s="20">
        <v>203</v>
      </c>
      <c r="B206" s="20" t="s">
        <v>521</v>
      </c>
      <c r="C206" s="20" t="s">
        <v>312</v>
      </c>
      <c r="D206" s="20" t="s">
        <v>720</v>
      </c>
      <c r="E206" s="9" t="s">
        <v>917</v>
      </c>
      <c r="F206" s="20" t="s">
        <v>924</v>
      </c>
      <c r="G206" s="20">
        <v>910110001</v>
      </c>
      <c r="H206" s="20" t="s">
        <v>925</v>
      </c>
      <c r="I206" s="103">
        <v>104.83</v>
      </c>
      <c r="J206" s="112">
        <v>1140</v>
      </c>
      <c r="K206" s="94">
        <v>1065</v>
      </c>
      <c r="L206" s="94">
        <v>955</v>
      </c>
      <c r="M206" s="115">
        <v>997</v>
      </c>
      <c r="N206" s="4">
        <v>1088</v>
      </c>
      <c r="O206" s="4">
        <v>944</v>
      </c>
      <c r="P206" s="2">
        <f t="shared" si="24"/>
        <v>119506.2</v>
      </c>
      <c r="Q206" s="2">
        <f t="shared" si="19"/>
        <v>111643.95</v>
      </c>
      <c r="R206" s="2">
        <f t="shared" si="20"/>
        <v>100112.65</v>
      </c>
      <c r="S206" s="2">
        <f t="shared" si="21"/>
        <v>104515.51</v>
      </c>
      <c r="T206" s="2">
        <f t="shared" si="22"/>
        <v>114055.03999999999</v>
      </c>
      <c r="U206" s="2">
        <f t="shared" si="23"/>
        <v>98959.52</v>
      </c>
    </row>
    <row r="207" spans="1:21">
      <c r="A207" s="20">
        <v>204</v>
      </c>
      <c r="B207" s="20" t="s">
        <v>521</v>
      </c>
      <c r="C207" s="20" t="s">
        <v>312</v>
      </c>
      <c r="D207" s="20" t="s">
        <v>720</v>
      </c>
      <c r="E207" s="9" t="s">
        <v>917</v>
      </c>
      <c r="F207" s="20" t="s">
        <v>926</v>
      </c>
      <c r="G207" s="20">
        <v>910110002</v>
      </c>
      <c r="H207" s="20" t="s">
        <v>925</v>
      </c>
      <c r="I207" s="103">
        <v>143.58000000000001</v>
      </c>
      <c r="J207" s="112">
        <v>1140</v>
      </c>
      <c r="K207" s="94">
        <v>1065</v>
      </c>
      <c r="L207" s="94">
        <v>955</v>
      </c>
      <c r="M207" s="115">
        <v>997</v>
      </c>
      <c r="N207" s="4">
        <v>1088</v>
      </c>
      <c r="O207" s="4">
        <v>944</v>
      </c>
      <c r="P207" s="2">
        <f t="shared" si="24"/>
        <v>163681.20000000001</v>
      </c>
      <c r="Q207" s="2">
        <f t="shared" si="19"/>
        <v>152912.70000000001</v>
      </c>
      <c r="R207" s="2">
        <f t="shared" si="20"/>
        <v>137118.90000000002</v>
      </c>
      <c r="S207" s="2">
        <f t="shared" si="21"/>
        <v>143149.26</v>
      </c>
      <c r="T207" s="2">
        <f t="shared" si="22"/>
        <v>156215.04000000001</v>
      </c>
      <c r="U207" s="2">
        <f t="shared" si="23"/>
        <v>135539.52000000002</v>
      </c>
    </row>
    <row r="208" spans="1:21">
      <c r="A208" s="58">
        <v>205</v>
      </c>
      <c r="B208" s="20" t="s">
        <v>521</v>
      </c>
      <c r="C208" s="20" t="s">
        <v>312</v>
      </c>
      <c r="D208" s="20" t="s">
        <v>720</v>
      </c>
      <c r="E208" s="9" t="s">
        <v>917</v>
      </c>
      <c r="F208" s="20" t="s">
        <v>927</v>
      </c>
      <c r="G208" s="20">
        <v>910101001</v>
      </c>
      <c r="H208" s="20" t="s">
        <v>928</v>
      </c>
      <c r="I208" s="103">
        <v>84.03</v>
      </c>
      <c r="J208" s="112">
        <v>1140</v>
      </c>
      <c r="K208" s="94">
        <v>1065</v>
      </c>
      <c r="L208" s="94">
        <v>955</v>
      </c>
      <c r="M208" s="115">
        <v>997</v>
      </c>
      <c r="N208" s="4">
        <v>1088</v>
      </c>
      <c r="O208" s="4">
        <v>944</v>
      </c>
      <c r="P208" s="2">
        <f t="shared" si="24"/>
        <v>95794.2</v>
      </c>
      <c r="Q208" s="2">
        <f t="shared" si="19"/>
        <v>89491.95</v>
      </c>
      <c r="R208" s="2">
        <f t="shared" si="20"/>
        <v>80248.649999999994</v>
      </c>
      <c r="S208" s="2">
        <f t="shared" si="21"/>
        <v>83777.91</v>
      </c>
      <c r="T208" s="2">
        <f t="shared" si="22"/>
        <v>91424.639999999999</v>
      </c>
      <c r="U208" s="2">
        <f t="shared" si="23"/>
        <v>79324.320000000007</v>
      </c>
    </row>
    <row r="209" spans="1:21">
      <c r="A209" s="20">
        <v>206</v>
      </c>
      <c r="B209" s="20" t="s">
        <v>521</v>
      </c>
      <c r="C209" s="20" t="s">
        <v>312</v>
      </c>
      <c r="D209" s="20" t="s">
        <v>720</v>
      </c>
      <c r="E209" s="9" t="s">
        <v>917</v>
      </c>
      <c r="F209" s="20" t="s">
        <v>929</v>
      </c>
      <c r="G209" s="20">
        <v>910101002</v>
      </c>
      <c r="H209" s="20" t="s">
        <v>930</v>
      </c>
      <c r="I209" s="103">
        <v>84.02</v>
      </c>
      <c r="J209" s="112">
        <v>1140</v>
      </c>
      <c r="K209" s="94">
        <v>1065</v>
      </c>
      <c r="L209" s="94">
        <v>955</v>
      </c>
      <c r="M209" s="115">
        <v>997</v>
      </c>
      <c r="N209" s="4">
        <v>1088</v>
      </c>
      <c r="O209" s="4">
        <v>944</v>
      </c>
      <c r="P209" s="2">
        <f t="shared" si="24"/>
        <v>95782.799999999988</v>
      </c>
      <c r="Q209" s="2">
        <f t="shared" si="19"/>
        <v>89481.3</v>
      </c>
      <c r="R209" s="2">
        <f t="shared" si="20"/>
        <v>80239.099999999991</v>
      </c>
      <c r="S209" s="2">
        <f t="shared" si="21"/>
        <v>83767.94</v>
      </c>
      <c r="T209" s="2">
        <f t="shared" si="22"/>
        <v>91413.759999999995</v>
      </c>
      <c r="U209" s="2">
        <f t="shared" si="23"/>
        <v>79314.87999999999</v>
      </c>
    </row>
    <row r="210" spans="1:21">
      <c r="A210" s="20">
        <v>207</v>
      </c>
      <c r="B210" s="20" t="s">
        <v>521</v>
      </c>
      <c r="C210" s="20" t="s">
        <v>312</v>
      </c>
      <c r="D210" s="20" t="s">
        <v>720</v>
      </c>
      <c r="E210" s="9" t="s">
        <v>917</v>
      </c>
      <c r="F210" s="20" t="s">
        <v>931</v>
      </c>
      <c r="G210" s="20">
        <v>910101003</v>
      </c>
      <c r="H210" s="20" t="s">
        <v>932</v>
      </c>
      <c r="I210" s="103">
        <v>82.89</v>
      </c>
      <c r="J210" s="112">
        <v>1140</v>
      </c>
      <c r="K210" s="94">
        <v>1065</v>
      </c>
      <c r="L210" s="94">
        <v>955</v>
      </c>
      <c r="M210" s="115">
        <v>997</v>
      </c>
      <c r="N210" s="4">
        <v>1088</v>
      </c>
      <c r="O210" s="4">
        <v>944</v>
      </c>
      <c r="P210" s="2">
        <f t="shared" si="24"/>
        <v>94494.6</v>
      </c>
      <c r="Q210" s="2">
        <f t="shared" si="19"/>
        <v>88277.85</v>
      </c>
      <c r="R210" s="2">
        <f t="shared" si="20"/>
        <v>79159.95</v>
      </c>
      <c r="S210" s="2">
        <f t="shared" si="21"/>
        <v>82641.33</v>
      </c>
      <c r="T210" s="2">
        <f t="shared" si="22"/>
        <v>90184.320000000007</v>
      </c>
      <c r="U210" s="2">
        <f t="shared" si="23"/>
        <v>78248.160000000003</v>
      </c>
    </row>
    <row r="211" spans="1:21">
      <c r="A211" s="58">
        <v>208</v>
      </c>
      <c r="B211" s="20" t="s">
        <v>521</v>
      </c>
      <c r="C211" s="20" t="s">
        <v>312</v>
      </c>
      <c r="D211" s="20" t="s">
        <v>720</v>
      </c>
      <c r="E211" s="9" t="s">
        <v>917</v>
      </c>
      <c r="F211" s="20" t="s">
        <v>933</v>
      </c>
      <c r="G211" s="20">
        <v>910101004</v>
      </c>
      <c r="H211" s="20" t="s">
        <v>934</v>
      </c>
      <c r="I211" s="103">
        <v>82.89</v>
      </c>
      <c r="J211" s="112">
        <v>1140</v>
      </c>
      <c r="K211" s="94">
        <v>1065</v>
      </c>
      <c r="L211" s="94">
        <v>955</v>
      </c>
      <c r="M211" s="115">
        <v>997</v>
      </c>
      <c r="N211" s="4">
        <v>1088</v>
      </c>
      <c r="O211" s="4">
        <v>944</v>
      </c>
      <c r="P211" s="2">
        <f t="shared" si="24"/>
        <v>94494.6</v>
      </c>
      <c r="Q211" s="2">
        <f t="shared" si="19"/>
        <v>88277.85</v>
      </c>
      <c r="R211" s="2">
        <f t="shared" si="20"/>
        <v>79159.95</v>
      </c>
      <c r="S211" s="2">
        <f t="shared" si="21"/>
        <v>82641.33</v>
      </c>
      <c r="T211" s="2">
        <f t="shared" si="22"/>
        <v>90184.320000000007</v>
      </c>
      <c r="U211" s="2">
        <f t="shared" si="23"/>
        <v>78248.160000000003</v>
      </c>
    </row>
    <row r="212" spans="1:21">
      <c r="A212" s="20">
        <v>209</v>
      </c>
      <c r="B212" s="20" t="s">
        <v>521</v>
      </c>
      <c r="C212" s="20" t="s">
        <v>312</v>
      </c>
      <c r="D212" s="20" t="s">
        <v>720</v>
      </c>
      <c r="E212" s="9" t="s">
        <v>917</v>
      </c>
      <c r="F212" s="20" t="s">
        <v>935</v>
      </c>
      <c r="G212" s="20">
        <v>910104001</v>
      </c>
      <c r="H212" s="20" t="s">
        <v>936</v>
      </c>
      <c r="I212" s="103">
        <v>57.46</v>
      </c>
      <c r="J212" s="112">
        <v>1140</v>
      </c>
      <c r="K212" s="94">
        <v>1065</v>
      </c>
      <c r="L212" s="94">
        <v>955</v>
      </c>
      <c r="M212" s="115">
        <v>997</v>
      </c>
      <c r="N212" s="4">
        <v>1088</v>
      </c>
      <c r="O212" s="4">
        <v>944</v>
      </c>
      <c r="P212" s="2">
        <f t="shared" si="24"/>
        <v>65504.4</v>
      </c>
      <c r="Q212" s="2">
        <f t="shared" si="19"/>
        <v>61194.9</v>
      </c>
      <c r="R212" s="2">
        <f t="shared" si="20"/>
        <v>54874.3</v>
      </c>
      <c r="S212" s="2">
        <f t="shared" si="21"/>
        <v>57287.62</v>
      </c>
      <c r="T212" s="2">
        <f t="shared" si="22"/>
        <v>62516.480000000003</v>
      </c>
      <c r="U212" s="2">
        <f t="shared" si="23"/>
        <v>54242.239999999998</v>
      </c>
    </row>
    <row r="213" spans="1:21">
      <c r="A213" s="20">
        <v>210</v>
      </c>
      <c r="B213" s="20" t="s">
        <v>521</v>
      </c>
      <c r="C213" s="20" t="s">
        <v>312</v>
      </c>
      <c r="D213" s="20" t="s">
        <v>720</v>
      </c>
      <c r="E213" s="9" t="s">
        <v>917</v>
      </c>
      <c r="F213" s="20" t="s">
        <v>937</v>
      </c>
      <c r="G213" s="20">
        <v>910109001</v>
      </c>
      <c r="H213" s="20" t="s">
        <v>938</v>
      </c>
      <c r="I213" s="103">
        <v>144.66</v>
      </c>
      <c r="J213" s="112">
        <v>1140</v>
      </c>
      <c r="K213" s="94">
        <v>1065</v>
      </c>
      <c r="L213" s="94">
        <v>955</v>
      </c>
      <c r="M213" s="115">
        <v>997</v>
      </c>
      <c r="N213" s="4">
        <v>1088</v>
      </c>
      <c r="O213" s="4">
        <v>944</v>
      </c>
      <c r="P213" s="2">
        <f t="shared" si="24"/>
        <v>164912.4</v>
      </c>
      <c r="Q213" s="2">
        <f t="shared" si="19"/>
        <v>154062.9</v>
      </c>
      <c r="R213" s="2">
        <f t="shared" si="20"/>
        <v>138150.29999999999</v>
      </c>
      <c r="S213" s="2">
        <f t="shared" si="21"/>
        <v>144226.01999999999</v>
      </c>
      <c r="T213" s="2">
        <f t="shared" si="22"/>
        <v>157390.07999999999</v>
      </c>
      <c r="U213" s="2">
        <f t="shared" si="23"/>
        <v>136559.04000000001</v>
      </c>
    </row>
    <row r="214" spans="1:21">
      <c r="A214" s="58">
        <v>211</v>
      </c>
      <c r="B214" s="20" t="s">
        <v>521</v>
      </c>
      <c r="C214" s="20" t="s">
        <v>312</v>
      </c>
      <c r="D214" s="20" t="s">
        <v>720</v>
      </c>
      <c r="E214" s="9" t="s">
        <v>939</v>
      </c>
      <c r="F214" s="20" t="s">
        <v>940</v>
      </c>
      <c r="G214" s="20">
        <v>910201001</v>
      </c>
      <c r="H214" s="20" t="s">
        <v>941</v>
      </c>
      <c r="I214" s="103">
        <v>86.2</v>
      </c>
      <c r="J214" s="112">
        <v>119</v>
      </c>
      <c r="K214" s="94">
        <v>90</v>
      </c>
      <c r="L214" s="94">
        <v>107</v>
      </c>
      <c r="M214" s="115">
        <v>117</v>
      </c>
      <c r="N214" s="4">
        <v>114</v>
      </c>
      <c r="O214" s="4">
        <v>102</v>
      </c>
      <c r="P214" s="2">
        <f t="shared" si="24"/>
        <v>10257.800000000001</v>
      </c>
      <c r="Q214" s="2">
        <f t="shared" si="19"/>
        <v>7758</v>
      </c>
      <c r="R214" s="2">
        <f t="shared" si="20"/>
        <v>9223.4</v>
      </c>
      <c r="S214" s="2">
        <f t="shared" si="21"/>
        <v>10085.4</v>
      </c>
      <c r="T214" s="2">
        <f t="shared" si="22"/>
        <v>9826.8000000000011</v>
      </c>
      <c r="U214" s="2">
        <f t="shared" si="23"/>
        <v>8792.4</v>
      </c>
    </row>
    <row r="215" spans="1:21">
      <c r="A215" s="20">
        <v>212</v>
      </c>
      <c r="B215" s="20" t="s">
        <v>521</v>
      </c>
      <c r="C215" s="20" t="s">
        <v>312</v>
      </c>
      <c r="D215" s="20" t="s">
        <v>720</v>
      </c>
      <c r="E215" s="9" t="s">
        <v>939</v>
      </c>
      <c r="F215" s="20" t="s">
        <v>942</v>
      </c>
      <c r="G215" s="20">
        <v>910201002</v>
      </c>
      <c r="H215" s="20" t="s">
        <v>941</v>
      </c>
      <c r="I215" s="103">
        <v>86.2</v>
      </c>
      <c r="J215" s="112">
        <v>119</v>
      </c>
      <c r="K215" s="94">
        <v>90</v>
      </c>
      <c r="L215" s="94">
        <v>107</v>
      </c>
      <c r="M215" s="115">
        <v>117</v>
      </c>
      <c r="N215" s="4">
        <v>114</v>
      </c>
      <c r="O215" s="4">
        <v>102</v>
      </c>
      <c r="P215" s="2">
        <f t="shared" si="24"/>
        <v>10257.800000000001</v>
      </c>
      <c r="Q215" s="2">
        <f t="shared" si="19"/>
        <v>7758</v>
      </c>
      <c r="R215" s="2">
        <f t="shared" si="20"/>
        <v>9223.4</v>
      </c>
      <c r="S215" s="2">
        <f t="shared" si="21"/>
        <v>10085.4</v>
      </c>
      <c r="T215" s="2">
        <f t="shared" si="22"/>
        <v>9826.8000000000011</v>
      </c>
      <c r="U215" s="2">
        <f t="shared" si="23"/>
        <v>8792.4</v>
      </c>
    </row>
    <row r="216" spans="1:21">
      <c r="A216" s="20">
        <v>213</v>
      </c>
      <c r="B216" s="20" t="s">
        <v>521</v>
      </c>
      <c r="C216" s="20" t="s">
        <v>312</v>
      </c>
      <c r="D216" s="20" t="s">
        <v>720</v>
      </c>
      <c r="E216" s="9" t="s">
        <v>939</v>
      </c>
      <c r="F216" s="20" t="s">
        <v>943</v>
      </c>
      <c r="G216" s="20">
        <v>910201003</v>
      </c>
      <c r="H216" s="20" t="s">
        <v>807</v>
      </c>
      <c r="I216" s="103">
        <v>81.75</v>
      </c>
      <c r="J216" s="112">
        <v>119</v>
      </c>
      <c r="K216" s="94">
        <v>90</v>
      </c>
      <c r="L216" s="94">
        <v>107</v>
      </c>
      <c r="M216" s="115">
        <v>117</v>
      </c>
      <c r="N216" s="4">
        <v>114</v>
      </c>
      <c r="O216" s="4">
        <v>102</v>
      </c>
      <c r="P216" s="2">
        <f t="shared" si="24"/>
        <v>9728.25</v>
      </c>
      <c r="Q216" s="2">
        <f t="shared" si="19"/>
        <v>7357.5</v>
      </c>
      <c r="R216" s="2">
        <f t="shared" si="20"/>
        <v>8747.25</v>
      </c>
      <c r="S216" s="2">
        <f t="shared" si="21"/>
        <v>9564.75</v>
      </c>
      <c r="T216" s="2">
        <f t="shared" si="22"/>
        <v>9319.5</v>
      </c>
      <c r="U216" s="2">
        <f t="shared" si="23"/>
        <v>8338.5</v>
      </c>
    </row>
    <row r="217" spans="1:21">
      <c r="A217" s="58">
        <v>214</v>
      </c>
      <c r="B217" s="20" t="s">
        <v>521</v>
      </c>
      <c r="C217" s="20" t="s">
        <v>312</v>
      </c>
      <c r="D217" s="20" t="s">
        <v>720</v>
      </c>
      <c r="E217" s="9" t="s">
        <v>939</v>
      </c>
      <c r="F217" s="20" t="s">
        <v>944</v>
      </c>
      <c r="G217" s="20">
        <v>910201004</v>
      </c>
      <c r="H217" s="20" t="s">
        <v>807</v>
      </c>
      <c r="I217" s="103">
        <v>81.75</v>
      </c>
      <c r="J217" s="112">
        <v>119</v>
      </c>
      <c r="K217" s="94">
        <v>90</v>
      </c>
      <c r="L217" s="94">
        <v>107</v>
      </c>
      <c r="M217" s="115">
        <v>117</v>
      </c>
      <c r="N217" s="4">
        <v>114</v>
      </c>
      <c r="O217" s="4">
        <v>102</v>
      </c>
      <c r="P217" s="2">
        <f t="shared" si="24"/>
        <v>9728.25</v>
      </c>
      <c r="Q217" s="2">
        <f t="shared" si="19"/>
        <v>7357.5</v>
      </c>
      <c r="R217" s="2">
        <f t="shared" si="20"/>
        <v>8747.25</v>
      </c>
      <c r="S217" s="2">
        <f t="shared" si="21"/>
        <v>9564.75</v>
      </c>
      <c r="T217" s="2">
        <f t="shared" si="22"/>
        <v>9319.5</v>
      </c>
      <c r="U217" s="2">
        <f t="shared" si="23"/>
        <v>8338.5</v>
      </c>
    </row>
    <row r="218" spans="1:21">
      <c r="A218" s="20">
        <v>215</v>
      </c>
      <c r="B218" s="20" t="s">
        <v>521</v>
      </c>
      <c r="C218" s="20" t="s">
        <v>312</v>
      </c>
      <c r="D218" s="20" t="s">
        <v>720</v>
      </c>
      <c r="E218" s="9" t="s">
        <v>939</v>
      </c>
      <c r="F218" s="20" t="s">
        <v>945</v>
      </c>
      <c r="G218" s="20">
        <v>910210001</v>
      </c>
      <c r="H218" s="20" t="s">
        <v>946</v>
      </c>
      <c r="I218" s="103">
        <v>118.42</v>
      </c>
      <c r="J218" s="112">
        <v>119</v>
      </c>
      <c r="K218" s="94">
        <v>90</v>
      </c>
      <c r="L218" s="94">
        <v>107</v>
      </c>
      <c r="M218" s="115">
        <v>117</v>
      </c>
      <c r="N218" s="4">
        <v>114</v>
      </c>
      <c r="O218" s="4">
        <v>102</v>
      </c>
      <c r="P218" s="2">
        <f t="shared" si="24"/>
        <v>14091.98</v>
      </c>
      <c r="Q218" s="2">
        <f t="shared" si="19"/>
        <v>10657.8</v>
      </c>
      <c r="R218" s="2">
        <f t="shared" si="20"/>
        <v>12670.94</v>
      </c>
      <c r="S218" s="2">
        <f t="shared" si="21"/>
        <v>13855.14</v>
      </c>
      <c r="T218" s="2">
        <f t="shared" si="22"/>
        <v>13499.880000000001</v>
      </c>
      <c r="U218" s="2">
        <f t="shared" si="23"/>
        <v>12078.84</v>
      </c>
    </row>
    <row r="219" spans="1:21">
      <c r="A219" s="20">
        <v>216</v>
      </c>
      <c r="B219" s="20" t="s">
        <v>521</v>
      </c>
      <c r="C219" s="20" t="s">
        <v>312</v>
      </c>
      <c r="D219" s="20" t="s">
        <v>720</v>
      </c>
      <c r="E219" s="9" t="s">
        <v>939</v>
      </c>
      <c r="F219" s="20" t="s">
        <v>947</v>
      </c>
      <c r="G219" s="20">
        <v>910217001</v>
      </c>
      <c r="H219" s="20" t="s">
        <v>948</v>
      </c>
      <c r="I219" s="103">
        <v>12.49</v>
      </c>
      <c r="J219" s="112">
        <v>119</v>
      </c>
      <c r="K219" s="94">
        <v>90</v>
      </c>
      <c r="L219" s="94">
        <v>107</v>
      </c>
      <c r="M219" s="115">
        <v>117</v>
      </c>
      <c r="N219" s="4">
        <v>114</v>
      </c>
      <c r="O219" s="4">
        <v>102</v>
      </c>
      <c r="P219" s="2">
        <f t="shared" si="24"/>
        <v>1486.31</v>
      </c>
      <c r="Q219" s="2">
        <f t="shared" si="19"/>
        <v>1124.0999999999999</v>
      </c>
      <c r="R219" s="2">
        <f t="shared" si="20"/>
        <v>1336.43</v>
      </c>
      <c r="S219" s="2">
        <f t="shared" si="21"/>
        <v>1461.33</v>
      </c>
      <c r="T219" s="2">
        <f t="shared" si="22"/>
        <v>1423.8600000000001</v>
      </c>
      <c r="U219" s="2">
        <f t="shared" si="23"/>
        <v>1273.98</v>
      </c>
    </row>
    <row r="220" spans="1:21">
      <c r="A220" s="58">
        <v>217</v>
      </c>
      <c r="B220" s="20" t="s">
        <v>521</v>
      </c>
      <c r="C220" s="20" t="s">
        <v>312</v>
      </c>
      <c r="D220" s="20" t="s">
        <v>720</v>
      </c>
      <c r="E220" s="9" t="s">
        <v>939</v>
      </c>
      <c r="F220" s="20" t="s">
        <v>949</v>
      </c>
      <c r="G220" s="20">
        <v>910301001</v>
      </c>
      <c r="H220" s="20" t="s">
        <v>941</v>
      </c>
      <c r="I220" s="103">
        <v>100.15</v>
      </c>
      <c r="J220" s="112">
        <v>119</v>
      </c>
      <c r="K220" s="94">
        <v>90</v>
      </c>
      <c r="L220" s="94">
        <v>107</v>
      </c>
      <c r="M220" s="115">
        <v>117</v>
      </c>
      <c r="N220" s="4">
        <v>114</v>
      </c>
      <c r="O220" s="4">
        <v>102</v>
      </c>
      <c r="P220" s="2">
        <f t="shared" si="24"/>
        <v>11917.85</v>
      </c>
      <c r="Q220" s="2">
        <f t="shared" si="19"/>
        <v>9013.5</v>
      </c>
      <c r="R220" s="2">
        <f t="shared" si="20"/>
        <v>10716.050000000001</v>
      </c>
      <c r="S220" s="2">
        <f t="shared" si="21"/>
        <v>11717.550000000001</v>
      </c>
      <c r="T220" s="2">
        <f t="shared" si="22"/>
        <v>11417.1</v>
      </c>
      <c r="U220" s="2">
        <f t="shared" si="23"/>
        <v>10215.300000000001</v>
      </c>
    </row>
    <row r="221" spans="1:21">
      <c r="A221" s="20">
        <v>218</v>
      </c>
      <c r="B221" s="20" t="s">
        <v>521</v>
      </c>
      <c r="C221" s="20" t="s">
        <v>312</v>
      </c>
      <c r="D221" s="20" t="s">
        <v>720</v>
      </c>
      <c r="E221" s="9" t="s">
        <v>939</v>
      </c>
      <c r="F221" s="20" t="s">
        <v>950</v>
      </c>
      <c r="G221" s="20">
        <v>910301002</v>
      </c>
      <c r="H221" s="20" t="s">
        <v>941</v>
      </c>
      <c r="I221" s="103">
        <v>100.15</v>
      </c>
      <c r="J221" s="112">
        <v>119</v>
      </c>
      <c r="K221" s="94">
        <v>90</v>
      </c>
      <c r="L221" s="94">
        <v>107</v>
      </c>
      <c r="M221" s="115">
        <v>117</v>
      </c>
      <c r="N221" s="4">
        <v>114</v>
      </c>
      <c r="O221" s="4">
        <v>102</v>
      </c>
      <c r="P221" s="2">
        <f t="shared" si="24"/>
        <v>11917.85</v>
      </c>
      <c r="Q221" s="2">
        <f t="shared" si="19"/>
        <v>9013.5</v>
      </c>
      <c r="R221" s="2">
        <f t="shared" si="20"/>
        <v>10716.050000000001</v>
      </c>
      <c r="S221" s="2">
        <f t="shared" si="21"/>
        <v>11717.550000000001</v>
      </c>
      <c r="T221" s="2">
        <f t="shared" si="22"/>
        <v>11417.1</v>
      </c>
      <c r="U221" s="2">
        <f t="shared" si="23"/>
        <v>10215.300000000001</v>
      </c>
    </row>
    <row r="222" spans="1:21">
      <c r="A222" s="20">
        <v>219</v>
      </c>
      <c r="B222" s="20" t="s">
        <v>521</v>
      </c>
      <c r="C222" s="20" t="s">
        <v>312</v>
      </c>
      <c r="D222" s="20" t="s">
        <v>720</v>
      </c>
      <c r="E222" s="9" t="s">
        <v>939</v>
      </c>
      <c r="F222" s="20" t="s">
        <v>951</v>
      </c>
      <c r="G222" s="20">
        <v>910202001</v>
      </c>
      <c r="H222" s="20" t="s">
        <v>952</v>
      </c>
      <c r="I222" s="103">
        <v>124.14</v>
      </c>
      <c r="J222" s="112">
        <v>119</v>
      </c>
      <c r="K222" s="94">
        <v>90</v>
      </c>
      <c r="L222" s="94">
        <v>107</v>
      </c>
      <c r="M222" s="115">
        <v>117</v>
      </c>
      <c r="N222" s="4">
        <v>114</v>
      </c>
      <c r="O222" s="4">
        <v>102</v>
      </c>
      <c r="P222" s="2">
        <f t="shared" si="24"/>
        <v>14772.66</v>
      </c>
      <c r="Q222" s="2">
        <f t="shared" si="19"/>
        <v>11172.6</v>
      </c>
      <c r="R222" s="2">
        <f t="shared" si="20"/>
        <v>13282.98</v>
      </c>
      <c r="S222" s="2">
        <f t="shared" si="21"/>
        <v>14524.38</v>
      </c>
      <c r="T222" s="2">
        <f t="shared" si="22"/>
        <v>14151.960000000001</v>
      </c>
      <c r="U222" s="2">
        <f t="shared" si="23"/>
        <v>12662.28</v>
      </c>
    </row>
    <row r="223" spans="1:21">
      <c r="A223" s="58">
        <v>220</v>
      </c>
      <c r="B223" s="20" t="s">
        <v>521</v>
      </c>
      <c r="C223" s="20" t="s">
        <v>312</v>
      </c>
      <c r="D223" s="20" t="s">
        <v>953</v>
      </c>
      <c r="E223" s="9" t="s">
        <v>954</v>
      </c>
      <c r="F223" s="20" t="s">
        <v>955</v>
      </c>
      <c r="G223" s="20">
        <v>913903002</v>
      </c>
      <c r="H223" s="20" t="s">
        <v>748</v>
      </c>
      <c r="I223" s="103">
        <v>36.75</v>
      </c>
      <c r="J223" s="112">
        <v>25290</v>
      </c>
      <c r="K223" s="94">
        <v>21768</v>
      </c>
      <c r="L223" s="94">
        <v>21965</v>
      </c>
      <c r="M223" s="115">
        <v>21063</v>
      </c>
      <c r="N223" s="4">
        <v>25274</v>
      </c>
      <c r="O223" s="4">
        <v>22710</v>
      </c>
      <c r="P223" s="2">
        <f t="shared" si="24"/>
        <v>929407.5</v>
      </c>
      <c r="Q223" s="2">
        <f t="shared" si="19"/>
        <v>799974</v>
      </c>
      <c r="R223" s="2">
        <f t="shared" si="20"/>
        <v>807213.75</v>
      </c>
      <c r="S223" s="2">
        <f t="shared" si="21"/>
        <v>774065.25</v>
      </c>
      <c r="T223" s="2">
        <f t="shared" si="22"/>
        <v>928819.5</v>
      </c>
      <c r="U223" s="2">
        <f t="shared" si="23"/>
        <v>834592.5</v>
      </c>
    </row>
    <row r="224" spans="1:21" hidden="1">
      <c r="A224" s="20">
        <v>221</v>
      </c>
      <c r="B224" s="20" t="s">
        <v>521</v>
      </c>
      <c r="C224" s="20" t="s">
        <v>956</v>
      </c>
      <c r="D224" s="20" t="s">
        <v>957</v>
      </c>
      <c r="E224" s="9" t="s">
        <v>958</v>
      </c>
      <c r="F224" s="20" t="s">
        <v>959</v>
      </c>
      <c r="G224" s="20">
        <v>913502002</v>
      </c>
      <c r="H224" s="20" t="s">
        <v>960</v>
      </c>
      <c r="I224" s="103">
        <v>232.81</v>
      </c>
      <c r="J224" s="2">
        <v>200</v>
      </c>
      <c r="K224" s="50">
        <v>200</v>
      </c>
      <c r="L224" s="50">
        <v>200</v>
      </c>
      <c r="M224" s="50">
        <v>200</v>
      </c>
      <c r="N224" s="50">
        <v>200</v>
      </c>
      <c r="O224" s="50"/>
      <c r="P224" s="2">
        <f t="shared" si="24"/>
        <v>46562</v>
      </c>
      <c r="Q224" s="2">
        <f t="shared" si="19"/>
        <v>46562</v>
      </c>
      <c r="R224" s="2">
        <f t="shared" si="20"/>
        <v>46562</v>
      </c>
      <c r="S224" s="2">
        <f t="shared" si="21"/>
        <v>46562</v>
      </c>
      <c r="T224" s="2">
        <f t="shared" si="22"/>
        <v>46562</v>
      </c>
      <c r="U224" s="2">
        <f t="shared" si="23"/>
        <v>0</v>
      </c>
    </row>
    <row r="225" spans="1:21" hidden="1">
      <c r="A225" s="20">
        <v>222</v>
      </c>
      <c r="B225" s="20" t="s">
        <v>521</v>
      </c>
      <c r="C225" s="20" t="s">
        <v>956</v>
      </c>
      <c r="D225" s="20" t="s">
        <v>957</v>
      </c>
      <c r="E225" s="9" t="s">
        <v>958</v>
      </c>
      <c r="F225" s="20" t="s">
        <v>961</v>
      </c>
      <c r="G225" s="20">
        <v>913503004</v>
      </c>
      <c r="H225" s="20" t="s">
        <v>962</v>
      </c>
      <c r="I225" s="103">
        <v>26.75</v>
      </c>
      <c r="J225" s="2">
        <v>50</v>
      </c>
      <c r="K225" s="50">
        <v>50</v>
      </c>
      <c r="L225" s="50">
        <v>50</v>
      </c>
      <c r="M225" s="50">
        <v>50</v>
      </c>
      <c r="N225" s="50">
        <v>50</v>
      </c>
      <c r="O225" s="50"/>
      <c r="P225" s="2">
        <f t="shared" si="24"/>
        <v>1337.5</v>
      </c>
      <c r="Q225" s="2">
        <f t="shared" si="19"/>
        <v>1337.5</v>
      </c>
      <c r="R225" s="2">
        <f t="shared" si="20"/>
        <v>1337.5</v>
      </c>
      <c r="S225" s="2">
        <f t="shared" si="21"/>
        <v>1337.5</v>
      </c>
      <c r="T225" s="2">
        <f t="shared" si="22"/>
        <v>1337.5</v>
      </c>
      <c r="U225" s="2">
        <f t="shared" si="23"/>
        <v>0</v>
      </c>
    </row>
    <row r="226" spans="1:21" hidden="1">
      <c r="A226" s="58">
        <v>223</v>
      </c>
      <c r="B226" s="20" t="s">
        <v>521</v>
      </c>
      <c r="C226" s="20" t="s">
        <v>956</v>
      </c>
      <c r="D226" s="20" t="s">
        <v>957</v>
      </c>
      <c r="E226" s="9" t="s">
        <v>958</v>
      </c>
      <c r="F226" s="20" t="s">
        <v>963</v>
      </c>
      <c r="G226" s="20">
        <v>913503005</v>
      </c>
      <c r="H226" s="20" t="s">
        <v>964</v>
      </c>
      <c r="I226" s="103">
        <v>33.33</v>
      </c>
      <c r="J226" s="2">
        <v>50</v>
      </c>
      <c r="K226" s="50">
        <v>50</v>
      </c>
      <c r="L226" s="50">
        <v>50</v>
      </c>
      <c r="M226" s="50">
        <v>50</v>
      </c>
      <c r="N226" s="50">
        <v>50</v>
      </c>
      <c r="O226" s="50"/>
      <c r="P226" s="2">
        <f t="shared" si="24"/>
        <v>1666.5</v>
      </c>
      <c r="Q226" s="2">
        <f t="shared" si="19"/>
        <v>1666.5</v>
      </c>
      <c r="R226" s="2">
        <f t="shared" si="20"/>
        <v>1666.5</v>
      </c>
      <c r="S226" s="2">
        <f t="shared" si="21"/>
        <v>1666.5</v>
      </c>
      <c r="T226" s="2">
        <f t="shared" si="22"/>
        <v>1666.5</v>
      </c>
      <c r="U226" s="2">
        <f t="shared" si="23"/>
        <v>0</v>
      </c>
    </row>
    <row r="227" spans="1:21" hidden="1">
      <c r="A227" s="20">
        <v>224</v>
      </c>
      <c r="B227" s="20" t="s">
        <v>521</v>
      </c>
      <c r="C227" s="20" t="s">
        <v>956</v>
      </c>
      <c r="D227" s="20" t="s">
        <v>957</v>
      </c>
      <c r="E227" s="9" t="s">
        <v>958</v>
      </c>
      <c r="F227" s="20" t="s">
        <v>965</v>
      </c>
      <c r="G227" s="20">
        <v>913504001</v>
      </c>
      <c r="H227" s="20" t="s">
        <v>966</v>
      </c>
      <c r="I227" s="103">
        <v>219.73</v>
      </c>
      <c r="J227" s="2">
        <v>100</v>
      </c>
      <c r="K227" s="50">
        <v>100</v>
      </c>
      <c r="L227" s="50">
        <v>100</v>
      </c>
      <c r="M227" s="50">
        <v>100</v>
      </c>
      <c r="N227" s="50">
        <v>100</v>
      </c>
      <c r="O227" s="50"/>
      <c r="P227" s="2">
        <f t="shared" si="24"/>
        <v>21973</v>
      </c>
      <c r="Q227" s="2">
        <f t="shared" si="19"/>
        <v>21973</v>
      </c>
      <c r="R227" s="2">
        <f t="shared" si="20"/>
        <v>21973</v>
      </c>
      <c r="S227" s="2">
        <f t="shared" si="21"/>
        <v>21973</v>
      </c>
      <c r="T227" s="2">
        <f t="shared" si="22"/>
        <v>21973</v>
      </c>
      <c r="U227" s="2">
        <f t="shared" si="23"/>
        <v>0</v>
      </c>
    </row>
    <row r="228" spans="1:21" hidden="1">
      <c r="A228" s="20">
        <v>225</v>
      </c>
      <c r="B228" s="20" t="s">
        <v>521</v>
      </c>
      <c r="C228" s="20" t="s">
        <v>956</v>
      </c>
      <c r="D228" s="20" t="s">
        <v>957</v>
      </c>
      <c r="E228" s="9" t="s">
        <v>958</v>
      </c>
      <c r="F228" s="20" t="s">
        <v>967</v>
      </c>
      <c r="G228" s="20">
        <v>913504003</v>
      </c>
      <c r="H228" s="20" t="s">
        <v>960</v>
      </c>
      <c r="I228" s="103">
        <v>238.29</v>
      </c>
      <c r="J228" s="2">
        <v>50</v>
      </c>
      <c r="K228" s="50">
        <v>50</v>
      </c>
      <c r="L228" s="50">
        <v>50</v>
      </c>
      <c r="M228" s="50">
        <v>50</v>
      </c>
      <c r="N228" s="50">
        <v>50</v>
      </c>
      <c r="O228" s="50"/>
      <c r="P228" s="2">
        <f t="shared" si="24"/>
        <v>11914.5</v>
      </c>
      <c r="Q228" s="2">
        <f t="shared" si="19"/>
        <v>11914.5</v>
      </c>
      <c r="R228" s="2">
        <f t="shared" si="20"/>
        <v>11914.5</v>
      </c>
      <c r="S228" s="2">
        <f t="shared" si="21"/>
        <v>11914.5</v>
      </c>
      <c r="T228" s="2">
        <f t="shared" si="22"/>
        <v>11914.5</v>
      </c>
      <c r="U228" s="2">
        <f t="shared" si="23"/>
        <v>0</v>
      </c>
    </row>
    <row r="229" spans="1:21" hidden="1">
      <c r="A229" s="58">
        <v>226</v>
      </c>
      <c r="B229" s="20" t="s">
        <v>521</v>
      </c>
      <c r="C229" s="20" t="s">
        <v>956</v>
      </c>
      <c r="D229" s="20" t="s">
        <v>957</v>
      </c>
      <c r="E229" s="9" t="s">
        <v>958</v>
      </c>
      <c r="F229" s="20" t="s">
        <v>968</v>
      </c>
      <c r="G229" s="20">
        <v>913502003</v>
      </c>
      <c r="H229" s="20" t="s">
        <v>969</v>
      </c>
      <c r="I229" s="103">
        <v>201.05</v>
      </c>
      <c r="J229" s="2">
        <v>300</v>
      </c>
      <c r="K229" s="50">
        <v>300</v>
      </c>
      <c r="L229" s="50">
        <v>300</v>
      </c>
      <c r="M229" s="50">
        <v>300</v>
      </c>
      <c r="N229" s="50">
        <v>300</v>
      </c>
      <c r="O229" s="50"/>
      <c r="P229" s="2">
        <f t="shared" si="24"/>
        <v>60315</v>
      </c>
      <c r="Q229" s="2">
        <f t="shared" si="19"/>
        <v>60315</v>
      </c>
      <c r="R229" s="2">
        <f t="shared" si="20"/>
        <v>60315</v>
      </c>
      <c r="S229" s="2">
        <f t="shared" si="21"/>
        <v>60315</v>
      </c>
      <c r="T229" s="2">
        <f t="shared" si="22"/>
        <v>60315</v>
      </c>
      <c r="U229" s="2">
        <f t="shared" si="23"/>
        <v>0</v>
      </c>
    </row>
    <row r="230" spans="1:21" hidden="1">
      <c r="A230" s="20">
        <v>227</v>
      </c>
      <c r="B230" s="20" t="s">
        <v>521</v>
      </c>
      <c r="C230" s="20" t="s">
        <v>956</v>
      </c>
      <c r="D230" s="20" t="s">
        <v>957</v>
      </c>
      <c r="E230" s="9" t="s">
        <v>958</v>
      </c>
      <c r="F230" s="20" t="s">
        <v>970</v>
      </c>
      <c r="G230" s="20">
        <v>914104001</v>
      </c>
      <c r="H230" s="20" t="s">
        <v>964</v>
      </c>
      <c r="I230" s="103">
        <v>219.73</v>
      </c>
      <c r="J230" s="2">
        <v>60</v>
      </c>
      <c r="K230" s="50">
        <v>60</v>
      </c>
      <c r="L230" s="50">
        <v>60</v>
      </c>
      <c r="M230" s="50">
        <v>60</v>
      </c>
      <c r="N230" s="50">
        <v>60</v>
      </c>
      <c r="O230" s="50"/>
      <c r="P230" s="2">
        <f t="shared" si="24"/>
        <v>13183.8</v>
      </c>
      <c r="Q230" s="2">
        <f t="shared" si="19"/>
        <v>13183.8</v>
      </c>
      <c r="R230" s="2">
        <f t="shared" si="20"/>
        <v>13183.8</v>
      </c>
      <c r="S230" s="2">
        <f t="shared" si="21"/>
        <v>13183.8</v>
      </c>
      <c r="T230" s="2">
        <f t="shared" si="22"/>
        <v>13183.8</v>
      </c>
      <c r="U230" s="2">
        <f t="shared" si="23"/>
        <v>0</v>
      </c>
    </row>
    <row r="231" spans="1:21" hidden="1">
      <c r="A231" s="20">
        <v>228</v>
      </c>
      <c r="B231" s="20" t="s">
        <v>521</v>
      </c>
      <c r="C231" s="20" t="s">
        <v>956</v>
      </c>
      <c r="D231" s="20" t="s">
        <v>957</v>
      </c>
      <c r="E231" s="9" t="s">
        <v>958</v>
      </c>
      <c r="F231" s="20" t="s">
        <v>971</v>
      </c>
      <c r="G231" s="20">
        <v>914104002</v>
      </c>
      <c r="H231" s="20" t="s">
        <v>966</v>
      </c>
      <c r="I231" s="103">
        <v>219.73</v>
      </c>
      <c r="J231" s="2">
        <v>60</v>
      </c>
      <c r="K231" s="50">
        <v>60</v>
      </c>
      <c r="L231" s="50">
        <v>60</v>
      </c>
      <c r="M231" s="50">
        <v>60</v>
      </c>
      <c r="N231" s="50">
        <v>60</v>
      </c>
      <c r="O231" s="50"/>
      <c r="P231" s="2">
        <f t="shared" si="24"/>
        <v>13183.8</v>
      </c>
      <c r="Q231" s="2">
        <f t="shared" si="19"/>
        <v>13183.8</v>
      </c>
      <c r="R231" s="2">
        <f t="shared" si="20"/>
        <v>13183.8</v>
      </c>
      <c r="S231" s="2">
        <f t="shared" si="21"/>
        <v>13183.8</v>
      </c>
      <c r="T231" s="2">
        <f t="shared" si="22"/>
        <v>13183.8</v>
      </c>
      <c r="U231" s="2">
        <f t="shared" si="23"/>
        <v>0</v>
      </c>
    </row>
    <row r="232" spans="1:21" hidden="1">
      <c r="A232" s="58">
        <v>229</v>
      </c>
      <c r="B232" s="20" t="s">
        <v>521</v>
      </c>
      <c r="C232" s="20" t="s">
        <v>956</v>
      </c>
      <c r="D232" s="20" t="s">
        <v>957</v>
      </c>
      <c r="E232" s="9" t="s">
        <v>958</v>
      </c>
      <c r="F232" s="20" t="s">
        <v>972</v>
      </c>
      <c r="G232" s="20">
        <v>914104003</v>
      </c>
      <c r="H232" s="20" t="s">
        <v>966</v>
      </c>
      <c r="I232" s="103">
        <v>191.84</v>
      </c>
      <c r="J232" s="2">
        <v>60</v>
      </c>
      <c r="K232" s="50">
        <v>60</v>
      </c>
      <c r="L232" s="50">
        <v>60</v>
      </c>
      <c r="M232" s="50">
        <v>60</v>
      </c>
      <c r="N232" s="50">
        <v>60</v>
      </c>
      <c r="O232" s="50"/>
      <c r="P232" s="2">
        <f t="shared" si="24"/>
        <v>11510.4</v>
      </c>
      <c r="Q232" s="2">
        <f t="shared" si="19"/>
        <v>11510.4</v>
      </c>
      <c r="R232" s="2">
        <f t="shared" si="20"/>
        <v>11510.4</v>
      </c>
      <c r="S232" s="2">
        <f t="shared" si="21"/>
        <v>11510.4</v>
      </c>
      <c r="T232" s="2">
        <f t="shared" si="22"/>
        <v>11510.4</v>
      </c>
      <c r="U232" s="2">
        <f t="shared" si="23"/>
        <v>0</v>
      </c>
    </row>
    <row r="233" spans="1:21" hidden="1">
      <c r="A233" s="20">
        <v>230</v>
      </c>
      <c r="B233" s="20" t="s">
        <v>521</v>
      </c>
      <c r="C233" s="20" t="s">
        <v>956</v>
      </c>
      <c r="D233" s="20" t="s">
        <v>957</v>
      </c>
      <c r="E233" s="9" t="s">
        <v>973</v>
      </c>
      <c r="F233" s="20" t="s">
        <v>974</v>
      </c>
      <c r="G233" s="20">
        <v>914104004</v>
      </c>
      <c r="H233" s="20" t="s">
        <v>966</v>
      </c>
      <c r="I233" s="103">
        <v>191.84</v>
      </c>
      <c r="J233" s="2">
        <v>60</v>
      </c>
      <c r="K233" s="50">
        <v>60</v>
      </c>
      <c r="L233" s="50">
        <v>60</v>
      </c>
      <c r="M233" s="50">
        <v>60</v>
      </c>
      <c r="N233" s="50">
        <v>60</v>
      </c>
      <c r="O233" s="50"/>
      <c r="P233" s="2">
        <f t="shared" si="24"/>
        <v>11510.4</v>
      </c>
      <c r="Q233" s="2">
        <f t="shared" si="19"/>
        <v>11510.4</v>
      </c>
      <c r="R233" s="2">
        <f t="shared" si="20"/>
        <v>11510.4</v>
      </c>
      <c r="S233" s="2">
        <f t="shared" si="21"/>
        <v>11510.4</v>
      </c>
      <c r="T233" s="2">
        <f t="shared" si="22"/>
        <v>11510.4</v>
      </c>
      <c r="U233" s="2">
        <f t="shared" si="23"/>
        <v>0</v>
      </c>
    </row>
    <row r="234" spans="1:21" hidden="1">
      <c r="A234" s="20">
        <v>231</v>
      </c>
      <c r="B234" s="20" t="s">
        <v>521</v>
      </c>
      <c r="C234" s="20" t="s">
        <v>956</v>
      </c>
      <c r="D234" s="20" t="s">
        <v>957</v>
      </c>
      <c r="E234" s="9" t="s">
        <v>973</v>
      </c>
      <c r="F234" s="20" t="s">
        <v>975</v>
      </c>
      <c r="G234" s="20">
        <v>914101001</v>
      </c>
      <c r="H234" s="20" t="s">
        <v>976</v>
      </c>
      <c r="I234" s="103">
        <v>165.82</v>
      </c>
      <c r="J234" s="2">
        <v>500</v>
      </c>
      <c r="K234" s="50">
        <v>500</v>
      </c>
      <c r="L234" s="50">
        <v>500</v>
      </c>
      <c r="M234" s="50">
        <v>500</v>
      </c>
      <c r="N234" s="50">
        <v>500</v>
      </c>
      <c r="O234" s="50"/>
      <c r="P234" s="2">
        <f t="shared" si="24"/>
        <v>82910</v>
      </c>
      <c r="Q234" s="2">
        <f t="shared" si="19"/>
        <v>82910</v>
      </c>
      <c r="R234" s="2">
        <f t="shared" si="20"/>
        <v>82910</v>
      </c>
      <c r="S234" s="2">
        <f t="shared" si="21"/>
        <v>82910</v>
      </c>
      <c r="T234" s="2">
        <f t="shared" si="22"/>
        <v>82910</v>
      </c>
      <c r="U234" s="2">
        <f t="shared" si="23"/>
        <v>0</v>
      </c>
    </row>
    <row r="235" spans="1:21" hidden="1">
      <c r="A235" s="58">
        <v>232</v>
      </c>
      <c r="B235" s="20" t="s">
        <v>521</v>
      </c>
      <c r="C235" s="20" t="s">
        <v>956</v>
      </c>
      <c r="D235" s="20" t="s">
        <v>957</v>
      </c>
      <c r="E235" s="9" t="s">
        <v>973</v>
      </c>
      <c r="F235" s="20" t="s">
        <v>977</v>
      </c>
      <c r="G235" s="20">
        <v>914101002</v>
      </c>
      <c r="H235" s="20" t="s">
        <v>978</v>
      </c>
      <c r="I235" s="103">
        <v>165.82</v>
      </c>
      <c r="J235" s="2">
        <v>500</v>
      </c>
      <c r="K235" s="50">
        <v>500</v>
      </c>
      <c r="L235" s="50">
        <v>500</v>
      </c>
      <c r="M235" s="50">
        <v>500</v>
      </c>
      <c r="N235" s="50">
        <v>500</v>
      </c>
      <c r="O235" s="50"/>
      <c r="P235" s="2">
        <f t="shared" si="24"/>
        <v>82910</v>
      </c>
      <c r="Q235" s="2">
        <f t="shared" si="19"/>
        <v>82910</v>
      </c>
      <c r="R235" s="2">
        <f t="shared" si="20"/>
        <v>82910</v>
      </c>
      <c r="S235" s="2">
        <f t="shared" si="21"/>
        <v>82910</v>
      </c>
      <c r="T235" s="2">
        <f t="shared" si="22"/>
        <v>82910</v>
      </c>
      <c r="U235" s="2">
        <f t="shared" si="23"/>
        <v>0</v>
      </c>
    </row>
    <row r="236" spans="1:21" hidden="1">
      <c r="A236" s="20">
        <v>233</v>
      </c>
      <c r="B236" s="20" t="s">
        <v>521</v>
      </c>
      <c r="C236" s="20" t="s">
        <v>956</v>
      </c>
      <c r="D236" s="20" t="s">
        <v>957</v>
      </c>
      <c r="E236" s="9" t="s">
        <v>973</v>
      </c>
      <c r="F236" s="20" t="s">
        <v>979</v>
      </c>
      <c r="G236" s="20">
        <v>914101003</v>
      </c>
      <c r="H236" s="20" t="s">
        <v>980</v>
      </c>
      <c r="I236" s="103">
        <v>161.44</v>
      </c>
      <c r="J236" s="2">
        <v>500</v>
      </c>
      <c r="K236" s="50">
        <v>500</v>
      </c>
      <c r="L236" s="50">
        <v>500</v>
      </c>
      <c r="M236" s="50">
        <v>500</v>
      </c>
      <c r="N236" s="50">
        <v>500</v>
      </c>
      <c r="O236" s="50"/>
      <c r="P236" s="2">
        <f t="shared" si="24"/>
        <v>80720</v>
      </c>
      <c r="Q236" s="2">
        <f t="shared" si="19"/>
        <v>80720</v>
      </c>
      <c r="R236" s="2">
        <f t="shared" si="20"/>
        <v>80720</v>
      </c>
      <c r="S236" s="2">
        <f t="shared" si="21"/>
        <v>80720</v>
      </c>
      <c r="T236" s="2">
        <f t="shared" si="22"/>
        <v>80720</v>
      </c>
      <c r="U236" s="2">
        <f t="shared" si="23"/>
        <v>0</v>
      </c>
    </row>
    <row r="237" spans="1:21" hidden="1">
      <c r="A237" s="20">
        <v>234</v>
      </c>
      <c r="B237" s="20" t="s">
        <v>521</v>
      </c>
      <c r="C237" s="20" t="s">
        <v>956</v>
      </c>
      <c r="D237" s="20" t="s">
        <v>957</v>
      </c>
      <c r="E237" s="9" t="s">
        <v>973</v>
      </c>
      <c r="F237" s="20" t="s">
        <v>981</v>
      </c>
      <c r="G237" s="20">
        <v>914101004</v>
      </c>
      <c r="H237" s="20" t="s">
        <v>982</v>
      </c>
      <c r="I237" s="103">
        <v>161.44</v>
      </c>
      <c r="J237" s="2">
        <v>500</v>
      </c>
      <c r="K237" s="50">
        <v>500</v>
      </c>
      <c r="L237" s="50">
        <v>500</v>
      </c>
      <c r="M237" s="50">
        <v>500</v>
      </c>
      <c r="N237" s="50">
        <v>500</v>
      </c>
      <c r="O237" s="50"/>
      <c r="P237" s="2">
        <f t="shared" si="24"/>
        <v>80720</v>
      </c>
      <c r="Q237" s="2">
        <f t="shared" si="19"/>
        <v>80720</v>
      </c>
      <c r="R237" s="2">
        <f t="shared" si="20"/>
        <v>80720</v>
      </c>
      <c r="S237" s="2">
        <f t="shared" si="21"/>
        <v>80720</v>
      </c>
      <c r="T237" s="2">
        <f t="shared" si="22"/>
        <v>80720</v>
      </c>
      <c r="U237" s="2">
        <f t="shared" si="23"/>
        <v>0</v>
      </c>
    </row>
    <row r="238" spans="1:21" hidden="1">
      <c r="A238" s="58">
        <v>235</v>
      </c>
      <c r="B238" s="20" t="s">
        <v>521</v>
      </c>
      <c r="C238" s="20" t="s">
        <v>956</v>
      </c>
      <c r="D238" s="20" t="s">
        <v>957</v>
      </c>
      <c r="E238" s="9" t="s">
        <v>973</v>
      </c>
      <c r="F238" s="20" t="s">
        <v>983</v>
      </c>
      <c r="G238" s="20">
        <v>914103002</v>
      </c>
      <c r="H238" s="20" t="s">
        <v>984</v>
      </c>
      <c r="I238" s="103">
        <v>30.3</v>
      </c>
      <c r="J238" s="2">
        <v>100</v>
      </c>
      <c r="K238" s="50">
        <v>100</v>
      </c>
      <c r="L238" s="50">
        <v>100</v>
      </c>
      <c r="M238" s="50">
        <v>100</v>
      </c>
      <c r="N238" s="50">
        <v>100</v>
      </c>
      <c r="O238" s="50"/>
      <c r="P238" s="2">
        <f t="shared" si="24"/>
        <v>3030</v>
      </c>
      <c r="Q238" s="2">
        <f t="shared" si="19"/>
        <v>3030</v>
      </c>
      <c r="R238" s="2">
        <f t="shared" si="20"/>
        <v>3030</v>
      </c>
      <c r="S238" s="2">
        <f t="shared" si="21"/>
        <v>3030</v>
      </c>
      <c r="T238" s="2">
        <f t="shared" si="22"/>
        <v>3030</v>
      </c>
      <c r="U238" s="2">
        <f t="shared" si="23"/>
        <v>0</v>
      </c>
    </row>
  </sheetData>
  <autoFilter ref="A3:U238" xr:uid="{ACD3029B-6037-4FC3-B842-73CF7F2169B9}">
    <filterColumn colId="2">
      <filters>
        <filter val="MSIL"/>
      </filters>
    </filterColumn>
  </autoFilter>
  <mergeCells count="2">
    <mergeCell ref="J2:O2"/>
    <mergeCell ref="P2:U2"/>
  </mergeCells>
  <conditionalFormatting sqref="G4:G238">
    <cfRule type="duplicateValues" dxfId="1" priority="1"/>
  </conditionalFormatting>
  <pageMargins left="0.2" right="0.2" top="0.2" bottom="0.2" header="0.2" footer="0.2"/>
  <pageSetup paperSize="9" scale="60" fitToHeight="0" orientation="landscape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0BE2-ABB7-438F-BC38-F60BE473BE9A}">
  <sheetPr filterMode="1">
    <pageSetUpPr fitToPage="1"/>
  </sheetPr>
  <dimension ref="A2:AV237"/>
  <sheetViews>
    <sheetView zoomScaleNormal="100" workbookViewId="0">
      <selection activeCell="M160" sqref="M160:M171"/>
    </sheetView>
  </sheetViews>
  <sheetFormatPr defaultColWidth="9.1796875" defaultRowHeight="14.5"/>
  <cols>
    <col min="4" max="4" width="17.54296875" bestFit="1" customWidth="1"/>
    <col min="5" max="5" width="15.54296875" style="3" customWidth="1"/>
    <col min="6" max="6" width="17.54296875" customWidth="1"/>
    <col min="7" max="7" width="16.54296875" customWidth="1"/>
    <col min="8" max="8" width="36.54296875" customWidth="1"/>
    <col min="9" max="10" width="10.453125" customWidth="1"/>
    <col min="11" max="11" width="15" customWidth="1"/>
    <col min="12" max="12" width="12.453125" customWidth="1"/>
    <col min="13" max="17" width="11.54296875" customWidth="1"/>
    <col min="18" max="18" width="16.1796875" bestFit="1" customWidth="1"/>
    <col min="19" max="19" width="8" customWidth="1"/>
    <col min="20" max="20" width="9.54296875" bestFit="1" customWidth="1"/>
    <col min="21" max="22" width="7.54296875" customWidth="1"/>
    <col min="23" max="23" width="8.1796875" customWidth="1"/>
    <col min="24" max="25" width="8" customWidth="1"/>
    <col min="26" max="26" width="7.453125" customWidth="1"/>
    <col min="27" max="27" width="7.81640625" customWidth="1"/>
    <col min="28" max="28" width="8.1796875" customWidth="1"/>
    <col min="29" max="29" width="10.54296875" bestFit="1" customWidth="1"/>
    <col min="30" max="30" width="9.453125" customWidth="1"/>
    <col min="31" max="31" width="8.453125" customWidth="1"/>
    <col min="32" max="32" width="8.54296875" customWidth="1"/>
    <col min="33" max="35" width="8.453125" customWidth="1"/>
    <col min="36" max="37" width="7.54296875" customWidth="1"/>
    <col min="38" max="38" width="7.453125" customWidth="1"/>
    <col min="39" max="39" width="8.453125" customWidth="1"/>
    <col min="40" max="40" width="8.1796875" customWidth="1"/>
    <col min="41" max="42" width="8.453125" customWidth="1"/>
    <col min="43" max="43" width="9.1796875" style="26" customWidth="1"/>
    <col min="44" max="44" width="10.453125" style="45" customWidth="1"/>
    <col min="45" max="48" width="11.1796875" bestFit="1" customWidth="1"/>
  </cols>
  <sheetData>
    <row r="2" spans="1:48" ht="29">
      <c r="A2" s="52" t="s">
        <v>301</v>
      </c>
      <c r="B2" s="52" t="s">
        <v>302</v>
      </c>
      <c r="C2" s="52" t="s">
        <v>303</v>
      </c>
      <c r="D2" s="52" t="s">
        <v>304</v>
      </c>
      <c r="E2" s="52" t="s">
        <v>293</v>
      </c>
      <c r="F2" s="53" t="s">
        <v>241</v>
      </c>
      <c r="G2" s="53" t="s">
        <v>242</v>
      </c>
      <c r="H2" s="53" t="s">
        <v>243</v>
      </c>
      <c r="I2" s="53" t="s">
        <v>1212</v>
      </c>
      <c r="J2" s="53" t="s">
        <v>1314</v>
      </c>
      <c r="K2" s="53" t="s">
        <v>1283</v>
      </c>
      <c r="L2" s="54" t="s">
        <v>317</v>
      </c>
      <c r="M2" s="243" t="s">
        <v>319</v>
      </c>
      <c r="N2" s="54" t="s">
        <v>1211</v>
      </c>
      <c r="O2" s="54" t="s">
        <v>1213</v>
      </c>
      <c r="P2" s="53" t="s">
        <v>1283</v>
      </c>
      <c r="Q2" s="54" t="s">
        <v>317</v>
      </c>
      <c r="R2" s="54" t="s">
        <v>319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</row>
    <row r="3" spans="1:48" hidden="1">
      <c r="A3" s="55">
        <v>1</v>
      </c>
      <c r="B3" s="55" t="s">
        <v>305</v>
      </c>
      <c r="C3" s="55" t="s">
        <v>306</v>
      </c>
      <c r="D3" s="55" t="s">
        <v>307</v>
      </c>
      <c r="E3" s="204" t="s">
        <v>158</v>
      </c>
      <c r="F3" s="205">
        <v>289473306301</v>
      </c>
      <c r="G3" s="206">
        <v>911104004</v>
      </c>
      <c r="H3" s="207" t="s">
        <v>244</v>
      </c>
      <c r="I3" s="56">
        <v>173.87</v>
      </c>
      <c r="J3" s="56"/>
      <c r="K3" s="208">
        <v>560</v>
      </c>
      <c r="L3" s="4">
        <v>560</v>
      </c>
      <c r="M3" s="4">
        <v>280</v>
      </c>
      <c r="N3" s="4"/>
      <c r="O3" s="4"/>
      <c r="P3" s="209">
        <f t="shared" ref="P3:P66" si="0">K3*I3</f>
        <v>97367.2</v>
      </c>
      <c r="Q3" s="209">
        <f t="shared" ref="Q3:Q66" si="1">L3*K3</f>
        <v>313600</v>
      </c>
      <c r="R3" s="209">
        <f t="shared" ref="R3:R66" si="2">M3*L3</f>
        <v>156800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"/>
      <c r="AR3" s="2"/>
      <c r="AS3" s="2"/>
      <c r="AT3" s="2"/>
      <c r="AU3" s="2"/>
      <c r="AV3" s="2"/>
    </row>
    <row r="4" spans="1:48" hidden="1">
      <c r="A4" s="55">
        <v>2</v>
      </c>
      <c r="B4" s="55" t="s">
        <v>305</v>
      </c>
      <c r="C4" s="55" t="s">
        <v>306</v>
      </c>
      <c r="D4" s="55" t="s">
        <v>307</v>
      </c>
      <c r="E4" s="204" t="s">
        <v>158</v>
      </c>
      <c r="F4" s="205">
        <v>289473306302</v>
      </c>
      <c r="G4" s="206">
        <v>911104003</v>
      </c>
      <c r="H4" s="207" t="s">
        <v>3</v>
      </c>
      <c r="I4" s="56">
        <v>173.87</v>
      </c>
      <c r="J4" s="56"/>
      <c r="K4" s="208">
        <v>560</v>
      </c>
      <c r="L4" s="4">
        <v>560</v>
      </c>
      <c r="M4" s="4">
        <v>280</v>
      </c>
      <c r="N4" s="4"/>
      <c r="O4" s="4"/>
      <c r="P4" s="209">
        <f t="shared" si="0"/>
        <v>97367.2</v>
      </c>
      <c r="Q4" s="209">
        <f t="shared" si="1"/>
        <v>313600</v>
      </c>
      <c r="R4" s="209">
        <f t="shared" si="2"/>
        <v>156800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"/>
      <c r="AR4" s="2"/>
      <c r="AS4" s="2"/>
      <c r="AT4" s="2"/>
      <c r="AU4" s="2"/>
      <c r="AV4" s="2"/>
    </row>
    <row r="5" spans="1:48" hidden="1">
      <c r="A5" s="55">
        <v>3</v>
      </c>
      <c r="B5" s="55" t="s">
        <v>305</v>
      </c>
      <c r="C5" s="55" t="s">
        <v>306</v>
      </c>
      <c r="D5" s="55" t="s">
        <v>307</v>
      </c>
      <c r="E5" s="204" t="s">
        <v>158</v>
      </c>
      <c r="F5" s="205">
        <v>289473306311</v>
      </c>
      <c r="G5" s="206">
        <v>911104005</v>
      </c>
      <c r="H5" s="207" t="s">
        <v>4</v>
      </c>
      <c r="I5" s="56">
        <v>13.56</v>
      </c>
      <c r="J5" s="56"/>
      <c r="K5" s="208">
        <v>1000</v>
      </c>
      <c r="L5" s="4">
        <v>1500</v>
      </c>
      <c r="M5" s="4">
        <v>1000</v>
      </c>
      <c r="N5" s="4"/>
      <c r="O5" s="4"/>
      <c r="P5" s="209">
        <f t="shared" si="0"/>
        <v>13560</v>
      </c>
      <c r="Q5" s="209">
        <f t="shared" si="1"/>
        <v>1500000</v>
      </c>
      <c r="R5" s="209">
        <f t="shared" si="2"/>
        <v>1500000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"/>
      <c r="AR5" s="2"/>
      <c r="AS5" s="2"/>
      <c r="AT5" s="2"/>
      <c r="AU5" s="2"/>
      <c r="AV5" s="2"/>
    </row>
    <row r="6" spans="1:48" hidden="1">
      <c r="A6" s="55">
        <v>4</v>
      </c>
      <c r="B6" s="55" t="s">
        <v>305</v>
      </c>
      <c r="C6" s="55" t="s">
        <v>306</v>
      </c>
      <c r="D6" s="55" t="s">
        <v>307</v>
      </c>
      <c r="E6" s="204" t="s">
        <v>158</v>
      </c>
      <c r="F6" s="205">
        <v>289473306313</v>
      </c>
      <c r="G6" s="206">
        <v>911104006</v>
      </c>
      <c r="H6" s="210" t="s">
        <v>5</v>
      </c>
      <c r="I6" s="56">
        <v>15.11</v>
      </c>
      <c r="J6" s="56"/>
      <c r="K6" s="208">
        <v>1000</v>
      </c>
      <c r="L6" s="4">
        <v>1500</v>
      </c>
      <c r="M6" s="4">
        <v>1000</v>
      </c>
      <c r="N6" s="4"/>
      <c r="O6" s="4"/>
      <c r="P6" s="209">
        <f t="shared" si="0"/>
        <v>15110</v>
      </c>
      <c r="Q6" s="209">
        <f t="shared" si="1"/>
        <v>1500000</v>
      </c>
      <c r="R6" s="209">
        <f t="shared" si="2"/>
        <v>1500000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"/>
      <c r="AR6" s="2"/>
      <c r="AS6" s="2"/>
      <c r="AT6" s="2"/>
      <c r="AU6" s="2"/>
      <c r="AV6" s="2"/>
    </row>
    <row r="7" spans="1:48" hidden="1">
      <c r="A7" s="55">
        <v>5</v>
      </c>
      <c r="B7" s="55" t="s">
        <v>305</v>
      </c>
      <c r="C7" s="55" t="s">
        <v>306</v>
      </c>
      <c r="D7" s="55" t="s">
        <v>307</v>
      </c>
      <c r="E7" s="204" t="s">
        <v>158</v>
      </c>
      <c r="F7" s="205">
        <v>289472306309</v>
      </c>
      <c r="G7" s="206">
        <v>911104002</v>
      </c>
      <c r="H7" s="210" t="s">
        <v>6</v>
      </c>
      <c r="I7" s="56">
        <v>194.84</v>
      </c>
      <c r="J7" s="56"/>
      <c r="K7" s="208">
        <v>2600</v>
      </c>
      <c r="L7" s="4">
        <v>2520</v>
      </c>
      <c r="M7" s="4">
        <v>1880</v>
      </c>
      <c r="N7" s="4"/>
      <c r="O7" s="4"/>
      <c r="P7" s="209">
        <f t="shared" si="0"/>
        <v>506584</v>
      </c>
      <c r="Q7" s="209">
        <f t="shared" si="1"/>
        <v>6552000</v>
      </c>
      <c r="R7" s="209">
        <f t="shared" si="2"/>
        <v>4737600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"/>
      <c r="AR7" s="2"/>
      <c r="AS7" s="2"/>
      <c r="AT7" s="2"/>
      <c r="AU7" s="2"/>
      <c r="AV7" s="2"/>
    </row>
    <row r="8" spans="1:48" hidden="1">
      <c r="A8" s="55">
        <v>6</v>
      </c>
      <c r="B8" s="55" t="s">
        <v>305</v>
      </c>
      <c r="C8" s="55" t="s">
        <v>306</v>
      </c>
      <c r="D8" s="55" t="s">
        <v>307</v>
      </c>
      <c r="E8" s="204" t="s">
        <v>158</v>
      </c>
      <c r="F8" s="205">
        <v>289472306310</v>
      </c>
      <c r="G8" s="206">
        <v>911104001</v>
      </c>
      <c r="H8" s="210" t="s">
        <v>7</v>
      </c>
      <c r="I8" s="56">
        <v>194.84</v>
      </c>
      <c r="J8" s="56"/>
      <c r="K8" s="208">
        <v>2600</v>
      </c>
      <c r="L8" s="4">
        <v>2520</v>
      </c>
      <c r="M8" s="4">
        <v>1880</v>
      </c>
      <c r="N8" s="4"/>
      <c r="O8" s="4"/>
      <c r="P8" s="209">
        <f t="shared" si="0"/>
        <v>506584</v>
      </c>
      <c r="Q8" s="209">
        <f t="shared" si="1"/>
        <v>6552000</v>
      </c>
      <c r="R8" s="209">
        <f t="shared" si="2"/>
        <v>4737600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2"/>
      <c r="AR8" s="2"/>
      <c r="AS8" s="2"/>
      <c r="AT8" s="2"/>
      <c r="AU8" s="2"/>
      <c r="AV8" s="2"/>
    </row>
    <row r="9" spans="1:48" hidden="1">
      <c r="A9" s="55">
        <v>7</v>
      </c>
      <c r="B9" s="55" t="s">
        <v>305</v>
      </c>
      <c r="C9" s="55" t="s">
        <v>306</v>
      </c>
      <c r="D9" s="55" t="s">
        <v>307</v>
      </c>
      <c r="E9" s="204" t="s">
        <v>158</v>
      </c>
      <c r="F9" s="205">
        <v>289472306303</v>
      </c>
      <c r="G9" s="206">
        <v>911101003</v>
      </c>
      <c r="H9" s="210" t="s">
        <v>8</v>
      </c>
      <c r="I9" s="56">
        <v>279.93</v>
      </c>
      <c r="J9" s="56"/>
      <c r="K9" s="208">
        <v>2580</v>
      </c>
      <c r="L9" s="4">
        <v>2520</v>
      </c>
      <c r="M9" s="4">
        <v>1860</v>
      </c>
      <c r="N9" s="4"/>
      <c r="O9" s="4"/>
      <c r="P9" s="209">
        <f t="shared" si="0"/>
        <v>722219.4</v>
      </c>
      <c r="Q9" s="209">
        <f t="shared" si="1"/>
        <v>6501600</v>
      </c>
      <c r="R9" s="209">
        <f t="shared" si="2"/>
        <v>4687200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"/>
      <c r="AR9" s="2"/>
      <c r="AS9" s="2"/>
      <c r="AT9" s="2"/>
      <c r="AU9" s="2"/>
      <c r="AV9" s="2"/>
    </row>
    <row r="10" spans="1:48" hidden="1">
      <c r="A10" s="55">
        <v>8</v>
      </c>
      <c r="B10" s="55" t="s">
        <v>305</v>
      </c>
      <c r="C10" s="55" t="s">
        <v>306</v>
      </c>
      <c r="D10" s="55" t="s">
        <v>307</v>
      </c>
      <c r="E10" s="204" t="s">
        <v>158</v>
      </c>
      <c r="F10" s="205">
        <v>289472306304</v>
      </c>
      <c r="G10" s="206">
        <v>911101004</v>
      </c>
      <c r="H10" s="211" t="s">
        <v>9</v>
      </c>
      <c r="I10" s="56">
        <v>279.93</v>
      </c>
      <c r="J10" s="56"/>
      <c r="K10" s="208">
        <v>2580</v>
      </c>
      <c r="L10" s="4">
        <v>2520</v>
      </c>
      <c r="M10" s="4">
        <v>1860</v>
      </c>
      <c r="N10" s="4"/>
      <c r="O10" s="4"/>
      <c r="P10" s="209">
        <f t="shared" si="0"/>
        <v>722219.4</v>
      </c>
      <c r="Q10" s="209">
        <f t="shared" si="1"/>
        <v>6501600</v>
      </c>
      <c r="R10" s="209">
        <f t="shared" si="2"/>
        <v>4687200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"/>
      <c r="AR10" s="2"/>
      <c r="AS10" s="2"/>
      <c r="AT10" s="2"/>
      <c r="AU10" s="2"/>
      <c r="AV10" s="2"/>
    </row>
    <row r="11" spans="1:48" hidden="1">
      <c r="A11" s="55">
        <v>9</v>
      </c>
      <c r="B11" s="55" t="s">
        <v>305</v>
      </c>
      <c r="C11" s="55" t="s">
        <v>306</v>
      </c>
      <c r="D11" s="55" t="s">
        <v>307</v>
      </c>
      <c r="E11" s="204" t="s">
        <v>158</v>
      </c>
      <c r="F11" s="205">
        <v>289473306303</v>
      </c>
      <c r="G11" s="206">
        <v>911101005</v>
      </c>
      <c r="H11" s="207" t="s">
        <v>10</v>
      </c>
      <c r="I11" s="56">
        <v>268.7</v>
      </c>
      <c r="J11" s="56"/>
      <c r="K11" s="208">
        <v>540</v>
      </c>
      <c r="L11" s="4">
        <v>540</v>
      </c>
      <c r="M11" s="4">
        <v>270</v>
      </c>
      <c r="N11" s="4"/>
      <c r="O11" s="4"/>
      <c r="P11" s="209">
        <f t="shared" si="0"/>
        <v>145098</v>
      </c>
      <c r="Q11" s="209">
        <f t="shared" si="1"/>
        <v>291600</v>
      </c>
      <c r="R11" s="209">
        <f t="shared" si="2"/>
        <v>145800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2"/>
      <c r="AR11" s="2"/>
      <c r="AS11" s="2"/>
      <c r="AT11" s="2"/>
      <c r="AU11" s="2"/>
      <c r="AV11" s="2"/>
    </row>
    <row r="12" spans="1:48" hidden="1">
      <c r="A12" s="55">
        <v>10</v>
      </c>
      <c r="B12" s="55" t="s">
        <v>305</v>
      </c>
      <c r="C12" s="55" t="s">
        <v>306</v>
      </c>
      <c r="D12" s="55" t="s">
        <v>307</v>
      </c>
      <c r="E12" s="204" t="s">
        <v>158</v>
      </c>
      <c r="F12" s="205">
        <v>289473306304</v>
      </c>
      <c r="G12" s="206">
        <v>911101006</v>
      </c>
      <c r="H12" s="207" t="s">
        <v>11</v>
      </c>
      <c r="I12" s="56">
        <v>268.7</v>
      </c>
      <c r="J12" s="56"/>
      <c r="K12" s="208">
        <v>540</v>
      </c>
      <c r="L12" s="4">
        <v>540</v>
      </c>
      <c r="M12" s="4">
        <v>270</v>
      </c>
      <c r="N12" s="4"/>
      <c r="O12" s="4"/>
      <c r="P12" s="209">
        <f t="shared" si="0"/>
        <v>145098</v>
      </c>
      <c r="Q12" s="209">
        <f t="shared" si="1"/>
        <v>291600</v>
      </c>
      <c r="R12" s="209">
        <f t="shared" si="2"/>
        <v>145800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"/>
      <c r="AR12" s="2"/>
      <c r="AS12" s="2"/>
      <c r="AT12" s="2"/>
      <c r="AU12" s="2"/>
      <c r="AV12" s="2"/>
    </row>
    <row r="13" spans="1:48" hidden="1">
      <c r="A13" s="55">
        <v>11</v>
      </c>
      <c r="B13" s="55" t="s">
        <v>305</v>
      </c>
      <c r="C13" s="55" t="s">
        <v>306</v>
      </c>
      <c r="D13" s="55" t="s">
        <v>307</v>
      </c>
      <c r="E13" s="204" t="s">
        <v>158</v>
      </c>
      <c r="F13" s="205">
        <v>289472306301</v>
      </c>
      <c r="G13" s="206">
        <v>911101007</v>
      </c>
      <c r="H13" s="207" t="s">
        <v>12</v>
      </c>
      <c r="I13" s="56">
        <v>184.65</v>
      </c>
      <c r="J13" s="56"/>
      <c r="K13" s="208">
        <v>2600</v>
      </c>
      <c r="L13" s="4">
        <v>2500</v>
      </c>
      <c r="M13" s="4">
        <v>1900</v>
      </c>
      <c r="N13" s="4"/>
      <c r="O13" s="4"/>
      <c r="P13" s="209">
        <f t="shared" si="0"/>
        <v>480090</v>
      </c>
      <c r="Q13" s="209">
        <f t="shared" si="1"/>
        <v>6500000</v>
      </c>
      <c r="R13" s="209">
        <f t="shared" si="2"/>
        <v>4750000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"/>
      <c r="AR13" s="2"/>
      <c r="AS13" s="2"/>
      <c r="AT13" s="2"/>
      <c r="AU13" s="2"/>
      <c r="AV13" s="2"/>
    </row>
    <row r="14" spans="1:48" hidden="1">
      <c r="A14" s="55">
        <v>12</v>
      </c>
      <c r="B14" s="55" t="s">
        <v>305</v>
      </c>
      <c r="C14" s="55" t="s">
        <v>306</v>
      </c>
      <c r="D14" s="55" t="s">
        <v>307</v>
      </c>
      <c r="E14" s="204" t="s">
        <v>158</v>
      </c>
      <c r="F14" s="205">
        <v>289472306302</v>
      </c>
      <c r="G14" s="206">
        <v>911101008</v>
      </c>
      <c r="H14" s="207" t="s">
        <v>13</v>
      </c>
      <c r="I14" s="56">
        <v>184.65</v>
      </c>
      <c r="J14" s="56"/>
      <c r="K14" s="208">
        <v>2600</v>
      </c>
      <c r="L14" s="4">
        <v>2500</v>
      </c>
      <c r="M14" s="4">
        <v>1900</v>
      </c>
      <c r="N14" s="4"/>
      <c r="O14" s="4"/>
      <c r="P14" s="209">
        <f t="shared" si="0"/>
        <v>480090</v>
      </c>
      <c r="Q14" s="209">
        <f t="shared" si="1"/>
        <v>6500000</v>
      </c>
      <c r="R14" s="209">
        <f t="shared" si="2"/>
        <v>4750000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2"/>
      <c r="AR14" s="2"/>
      <c r="AS14" s="2"/>
      <c r="AT14" s="2"/>
      <c r="AU14" s="2"/>
      <c r="AV14" s="2"/>
    </row>
    <row r="15" spans="1:48" hidden="1">
      <c r="A15" s="55">
        <v>13</v>
      </c>
      <c r="B15" s="55" t="s">
        <v>305</v>
      </c>
      <c r="C15" s="55" t="s">
        <v>306</v>
      </c>
      <c r="D15" s="55" t="s">
        <v>307</v>
      </c>
      <c r="E15" s="204" t="s">
        <v>158</v>
      </c>
      <c r="F15" s="205">
        <v>289473306305</v>
      </c>
      <c r="G15" s="206">
        <v>911101009</v>
      </c>
      <c r="H15" s="207" t="s">
        <v>14</v>
      </c>
      <c r="I15" s="56">
        <v>172.86</v>
      </c>
      <c r="J15" s="56"/>
      <c r="K15" s="208">
        <v>550</v>
      </c>
      <c r="L15" s="4">
        <v>550</v>
      </c>
      <c r="M15" s="4">
        <v>300</v>
      </c>
      <c r="N15" s="4"/>
      <c r="O15" s="4"/>
      <c r="P15" s="209">
        <f t="shared" si="0"/>
        <v>95073.000000000015</v>
      </c>
      <c r="Q15" s="209">
        <f t="shared" si="1"/>
        <v>302500</v>
      </c>
      <c r="R15" s="209">
        <f t="shared" si="2"/>
        <v>165000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2"/>
      <c r="AV15" s="2"/>
    </row>
    <row r="16" spans="1:48" hidden="1">
      <c r="A16" s="55">
        <v>14</v>
      </c>
      <c r="B16" s="55" t="s">
        <v>305</v>
      </c>
      <c r="C16" s="55" t="s">
        <v>306</v>
      </c>
      <c r="D16" s="55" t="s">
        <v>307</v>
      </c>
      <c r="E16" s="204" t="s">
        <v>158</v>
      </c>
      <c r="F16" s="205">
        <v>289473306306</v>
      </c>
      <c r="G16" s="206">
        <v>911101010</v>
      </c>
      <c r="H16" s="207" t="s">
        <v>15</v>
      </c>
      <c r="I16" s="56">
        <v>172.86</v>
      </c>
      <c r="J16" s="56"/>
      <c r="K16" s="208">
        <v>550</v>
      </c>
      <c r="L16" s="4">
        <v>550</v>
      </c>
      <c r="M16" s="4">
        <v>300</v>
      </c>
      <c r="N16" s="4"/>
      <c r="O16" s="4"/>
      <c r="P16" s="209">
        <f t="shared" si="0"/>
        <v>95073.000000000015</v>
      </c>
      <c r="Q16" s="209">
        <f t="shared" si="1"/>
        <v>302500</v>
      </c>
      <c r="R16" s="209">
        <f t="shared" si="2"/>
        <v>165000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2"/>
      <c r="AR16" s="2"/>
      <c r="AS16" s="2"/>
      <c r="AT16" s="2"/>
      <c r="AU16" s="2"/>
      <c r="AV16" s="2"/>
    </row>
    <row r="17" spans="1:48" hidden="1">
      <c r="A17" s="55">
        <v>15</v>
      </c>
      <c r="B17" s="55" t="s">
        <v>305</v>
      </c>
      <c r="C17" s="55" t="s">
        <v>306</v>
      </c>
      <c r="D17" s="55" t="s">
        <v>307</v>
      </c>
      <c r="E17" s="204" t="s">
        <v>158</v>
      </c>
      <c r="F17" s="205">
        <v>289472306305</v>
      </c>
      <c r="G17" s="206">
        <v>911105001</v>
      </c>
      <c r="H17" s="207" t="s">
        <v>16</v>
      </c>
      <c r="I17" s="56">
        <v>82.92</v>
      </c>
      <c r="J17" s="56"/>
      <c r="K17" s="208">
        <v>2600</v>
      </c>
      <c r="L17" s="4">
        <v>2600</v>
      </c>
      <c r="M17" s="4">
        <v>2000</v>
      </c>
      <c r="N17" s="4"/>
      <c r="O17" s="4"/>
      <c r="P17" s="209">
        <f t="shared" si="0"/>
        <v>215592</v>
      </c>
      <c r="Q17" s="209">
        <f t="shared" si="1"/>
        <v>6760000</v>
      </c>
      <c r="R17" s="209">
        <f t="shared" si="2"/>
        <v>5200000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2"/>
      <c r="AR17" s="2"/>
      <c r="AS17" s="2"/>
      <c r="AT17" s="2"/>
      <c r="AU17" s="2"/>
      <c r="AV17" s="2"/>
    </row>
    <row r="18" spans="1:48" hidden="1">
      <c r="A18" s="55">
        <v>16</v>
      </c>
      <c r="B18" s="55" t="s">
        <v>305</v>
      </c>
      <c r="C18" s="55" t="s">
        <v>306</v>
      </c>
      <c r="D18" s="55" t="s">
        <v>307</v>
      </c>
      <c r="E18" s="204" t="s">
        <v>158</v>
      </c>
      <c r="F18" s="205">
        <v>289472306306</v>
      </c>
      <c r="G18" s="206">
        <v>911105002</v>
      </c>
      <c r="H18" s="207" t="s">
        <v>17</v>
      </c>
      <c r="I18" s="56">
        <v>82.92</v>
      </c>
      <c r="J18" s="56"/>
      <c r="K18" s="208">
        <v>2600</v>
      </c>
      <c r="L18" s="4">
        <v>2600</v>
      </c>
      <c r="M18" s="4">
        <v>2000</v>
      </c>
      <c r="N18" s="4"/>
      <c r="O18" s="4"/>
      <c r="P18" s="209">
        <f t="shared" si="0"/>
        <v>215592</v>
      </c>
      <c r="Q18" s="209">
        <f t="shared" si="1"/>
        <v>6760000</v>
      </c>
      <c r="R18" s="209">
        <f t="shared" si="2"/>
        <v>5200000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2"/>
      <c r="AR18" s="2"/>
      <c r="AS18" s="2"/>
      <c r="AT18" s="2"/>
      <c r="AU18" s="2"/>
      <c r="AV18" s="2"/>
    </row>
    <row r="19" spans="1:48" hidden="1">
      <c r="A19" s="55">
        <v>17</v>
      </c>
      <c r="B19" s="55" t="s">
        <v>305</v>
      </c>
      <c r="C19" s="55" t="s">
        <v>306</v>
      </c>
      <c r="D19" s="55" t="s">
        <v>307</v>
      </c>
      <c r="E19" s="204" t="s">
        <v>158</v>
      </c>
      <c r="F19" s="205">
        <v>289473306309</v>
      </c>
      <c r="G19" s="206">
        <v>911105003</v>
      </c>
      <c r="H19" s="207" t="s">
        <v>18</v>
      </c>
      <c r="I19" s="56">
        <v>77.459999999999994</v>
      </c>
      <c r="J19" s="56"/>
      <c r="K19" s="208">
        <v>600</v>
      </c>
      <c r="L19" s="4">
        <v>600</v>
      </c>
      <c r="M19" s="4">
        <v>400</v>
      </c>
      <c r="N19" s="4"/>
      <c r="O19" s="4"/>
      <c r="P19" s="209">
        <f t="shared" si="0"/>
        <v>46475.999999999993</v>
      </c>
      <c r="Q19" s="209">
        <f t="shared" si="1"/>
        <v>360000</v>
      </c>
      <c r="R19" s="209">
        <f t="shared" si="2"/>
        <v>240000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2"/>
      <c r="AR19" s="2"/>
      <c r="AS19" s="2"/>
      <c r="AT19" s="2"/>
      <c r="AU19" s="2"/>
      <c r="AV19" s="2"/>
    </row>
    <row r="20" spans="1:48" hidden="1">
      <c r="A20" s="55">
        <v>18</v>
      </c>
      <c r="B20" s="55" t="s">
        <v>305</v>
      </c>
      <c r="C20" s="55" t="s">
        <v>306</v>
      </c>
      <c r="D20" s="55" t="s">
        <v>307</v>
      </c>
      <c r="E20" s="204" t="s">
        <v>158</v>
      </c>
      <c r="F20" s="205">
        <v>289473306310</v>
      </c>
      <c r="G20" s="206">
        <v>911105004</v>
      </c>
      <c r="H20" s="207" t="s">
        <v>19</v>
      </c>
      <c r="I20" s="56">
        <v>77.459999999999994</v>
      </c>
      <c r="J20" s="56"/>
      <c r="K20" s="208">
        <v>600</v>
      </c>
      <c r="L20" s="4">
        <v>600</v>
      </c>
      <c r="M20" s="4">
        <v>400</v>
      </c>
      <c r="N20" s="4"/>
      <c r="O20" s="4"/>
      <c r="P20" s="209">
        <f t="shared" si="0"/>
        <v>46475.999999999993</v>
      </c>
      <c r="Q20" s="209">
        <f t="shared" si="1"/>
        <v>360000</v>
      </c>
      <c r="R20" s="209">
        <f t="shared" si="2"/>
        <v>240000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2"/>
      <c r="AR20" s="2"/>
      <c r="AS20" s="2"/>
      <c r="AT20" s="2"/>
      <c r="AU20" s="2"/>
      <c r="AV20" s="2"/>
    </row>
    <row r="21" spans="1:48" hidden="1">
      <c r="A21" s="55">
        <v>19</v>
      </c>
      <c r="B21" s="55" t="s">
        <v>305</v>
      </c>
      <c r="C21" s="55" t="s">
        <v>306</v>
      </c>
      <c r="D21" s="55" t="s">
        <v>307</v>
      </c>
      <c r="E21" s="204" t="s">
        <v>158</v>
      </c>
      <c r="F21" s="205">
        <v>289488706304</v>
      </c>
      <c r="G21" s="206">
        <v>911103002</v>
      </c>
      <c r="H21" s="210" t="s">
        <v>20</v>
      </c>
      <c r="I21" s="56">
        <v>97.68</v>
      </c>
      <c r="J21" s="56"/>
      <c r="K21" s="208">
        <v>2600</v>
      </c>
      <c r="L21" s="4">
        <v>2500</v>
      </c>
      <c r="M21" s="4">
        <v>1900</v>
      </c>
      <c r="N21" s="4"/>
      <c r="O21" s="4"/>
      <c r="P21" s="209">
        <f t="shared" si="0"/>
        <v>253968.00000000003</v>
      </c>
      <c r="Q21" s="209">
        <f t="shared" si="1"/>
        <v>6500000</v>
      </c>
      <c r="R21" s="209">
        <f t="shared" si="2"/>
        <v>4750000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"/>
      <c r="AR21" s="2"/>
      <c r="AS21" s="2"/>
      <c r="AT21" s="2"/>
      <c r="AU21" s="2"/>
      <c r="AV21" s="2"/>
    </row>
    <row r="22" spans="1:48" hidden="1">
      <c r="A22" s="55">
        <v>20</v>
      </c>
      <c r="B22" s="55" t="s">
        <v>305</v>
      </c>
      <c r="C22" s="55" t="s">
        <v>306</v>
      </c>
      <c r="D22" s="55" t="s">
        <v>307</v>
      </c>
      <c r="E22" s="204" t="s">
        <v>158</v>
      </c>
      <c r="F22" s="205">
        <v>289488706303</v>
      </c>
      <c r="G22" s="206">
        <v>911103001</v>
      </c>
      <c r="H22" s="210" t="s">
        <v>21</v>
      </c>
      <c r="I22" s="56">
        <v>97.68</v>
      </c>
      <c r="J22" s="56"/>
      <c r="K22" s="208">
        <v>400</v>
      </c>
      <c r="L22" s="4">
        <v>400</v>
      </c>
      <c r="M22" s="4">
        <v>0</v>
      </c>
      <c r="N22" s="4"/>
      <c r="O22" s="4"/>
      <c r="P22" s="209">
        <f t="shared" si="0"/>
        <v>39072</v>
      </c>
      <c r="Q22" s="209">
        <f t="shared" si="1"/>
        <v>160000</v>
      </c>
      <c r="R22" s="209">
        <f t="shared" si="2"/>
        <v>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"/>
      <c r="AR22" s="2"/>
      <c r="AS22" s="2"/>
      <c r="AT22" s="2"/>
      <c r="AU22" s="2"/>
      <c r="AV22" s="2"/>
    </row>
    <row r="23" spans="1:48" hidden="1">
      <c r="A23" s="55">
        <v>21</v>
      </c>
      <c r="B23" s="55" t="s">
        <v>305</v>
      </c>
      <c r="C23" s="55" t="s">
        <v>306</v>
      </c>
      <c r="D23" s="55" t="s">
        <v>307</v>
      </c>
      <c r="E23" s="204" t="s">
        <v>158</v>
      </c>
      <c r="F23" s="205">
        <v>289472306307</v>
      </c>
      <c r="G23" s="206">
        <v>911105005</v>
      </c>
      <c r="H23" s="210" t="s">
        <v>22</v>
      </c>
      <c r="I23" s="56">
        <v>90.34</v>
      </c>
      <c r="J23" s="56"/>
      <c r="K23" s="208">
        <v>2600</v>
      </c>
      <c r="L23" s="4">
        <v>2600</v>
      </c>
      <c r="M23" s="4">
        <v>2000</v>
      </c>
      <c r="N23" s="4"/>
      <c r="O23" s="4"/>
      <c r="P23" s="209">
        <f t="shared" si="0"/>
        <v>234884</v>
      </c>
      <c r="Q23" s="209">
        <f t="shared" si="1"/>
        <v>6760000</v>
      </c>
      <c r="R23" s="209">
        <f t="shared" si="2"/>
        <v>5200000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2"/>
      <c r="AR23" s="2"/>
      <c r="AS23" s="2"/>
      <c r="AT23" s="2"/>
      <c r="AU23" s="2"/>
      <c r="AV23" s="2"/>
    </row>
    <row r="24" spans="1:48" hidden="1">
      <c r="A24" s="55">
        <v>22</v>
      </c>
      <c r="B24" s="55" t="s">
        <v>305</v>
      </c>
      <c r="C24" s="55" t="s">
        <v>306</v>
      </c>
      <c r="D24" s="55" t="s">
        <v>307</v>
      </c>
      <c r="E24" s="204" t="s">
        <v>158</v>
      </c>
      <c r="F24" s="205">
        <v>289472306308</v>
      </c>
      <c r="G24" s="206">
        <v>911105006</v>
      </c>
      <c r="H24" s="210" t="s">
        <v>23</v>
      </c>
      <c r="I24" s="56">
        <v>100.16</v>
      </c>
      <c r="J24" s="56"/>
      <c r="K24" s="208">
        <v>2600</v>
      </c>
      <c r="L24" s="4">
        <v>2600</v>
      </c>
      <c r="M24" s="4">
        <v>2000</v>
      </c>
      <c r="N24" s="4"/>
      <c r="O24" s="4"/>
      <c r="P24" s="209">
        <f t="shared" si="0"/>
        <v>260416</v>
      </c>
      <c r="Q24" s="209">
        <f t="shared" si="1"/>
        <v>6760000</v>
      </c>
      <c r="R24" s="209">
        <f t="shared" si="2"/>
        <v>5200000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2"/>
      <c r="AR24" s="2"/>
      <c r="AS24" s="2"/>
      <c r="AT24" s="2"/>
      <c r="AU24" s="2"/>
      <c r="AV24" s="2"/>
    </row>
    <row r="25" spans="1:48" hidden="1">
      <c r="A25" s="55">
        <v>23</v>
      </c>
      <c r="B25" s="55" t="s">
        <v>305</v>
      </c>
      <c r="C25" s="55" t="s">
        <v>306</v>
      </c>
      <c r="D25" s="55" t="s">
        <v>307</v>
      </c>
      <c r="E25" s="204" t="s">
        <v>158</v>
      </c>
      <c r="F25" s="205">
        <v>289473306307</v>
      </c>
      <c r="G25" s="206">
        <v>911105007</v>
      </c>
      <c r="H25" s="207" t="s">
        <v>24</v>
      </c>
      <c r="I25" s="56">
        <v>79.89</v>
      </c>
      <c r="J25" s="56"/>
      <c r="K25" s="208">
        <v>600</v>
      </c>
      <c r="L25" s="4">
        <v>600</v>
      </c>
      <c r="M25" s="4">
        <v>400</v>
      </c>
      <c r="N25" s="4"/>
      <c r="O25" s="4"/>
      <c r="P25" s="209">
        <f t="shared" si="0"/>
        <v>47934</v>
      </c>
      <c r="Q25" s="209">
        <f t="shared" si="1"/>
        <v>360000</v>
      </c>
      <c r="R25" s="209">
        <f t="shared" si="2"/>
        <v>240000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2"/>
      <c r="AR25" s="2"/>
      <c r="AS25" s="2"/>
      <c r="AT25" s="2"/>
      <c r="AU25" s="2"/>
      <c r="AV25" s="2"/>
    </row>
    <row r="26" spans="1:48" hidden="1">
      <c r="A26" s="55">
        <v>24</v>
      </c>
      <c r="B26" s="55" t="s">
        <v>305</v>
      </c>
      <c r="C26" s="55" t="s">
        <v>306</v>
      </c>
      <c r="D26" s="55" t="s">
        <v>307</v>
      </c>
      <c r="E26" s="204" t="s">
        <v>158</v>
      </c>
      <c r="F26" s="205">
        <v>289473306308</v>
      </c>
      <c r="G26" s="206">
        <v>911105008</v>
      </c>
      <c r="H26" s="207" t="s">
        <v>25</v>
      </c>
      <c r="I26" s="56">
        <v>79.89</v>
      </c>
      <c r="J26" s="56"/>
      <c r="K26" s="208">
        <v>600</v>
      </c>
      <c r="L26" s="4">
        <v>600</v>
      </c>
      <c r="M26" s="4">
        <v>400</v>
      </c>
      <c r="N26" s="4"/>
      <c r="O26" s="4"/>
      <c r="P26" s="209">
        <f t="shared" si="0"/>
        <v>47934</v>
      </c>
      <c r="Q26" s="209">
        <f t="shared" si="1"/>
        <v>360000</v>
      </c>
      <c r="R26" s="209">
        <f t="shared" si="2"/>
        <v>240000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2"/>
      <c r="AR26" s="2"/>
      <c r="AS26" s="2"/>
      <c r="AT26" s="2"/>
      <c r="AU26" s="2"/>
      <c r="AV26" s="2"/>
    </row>
    <row r="27" spans="1:48" hidden="1">
      <c r="A27" s="55">
        <v>25</v>
      </c>
      <c r="B27" s="55" t="s">
        <v>305</v>
      </c>
      <c r="C27" s="55" t="s">
        <v>306</v>
      </c>
      <c r="D27" s="55" t="s">
        <v>307</v>
      </c>
      <c r="E27" s="204" t="s">
        <v>158</v>
      </c>
      <c r="F27" s="205">
        <v>289467106301</v>
      </c>
      <c r="G27" s="206">
        <v>911109001</v>
      </c>
      <c r="H27" s="207" t="s">
        <v>26</v>
      </c>
      <c r="I27" s="56">
        <v>186.27</v>
      </c>
      <c r="J27" s="56"/>
      <c r="K27" s="208">
        <v>2600</v>
      </c>
      <c r="L27" s="4">
        <v>2500</v>
      </c>
      <c r="M27" s="4">
        <v>1900</v>
      </c>
      <c r="N27" s="4"/>
      <c r="O27" s="4"/>
      <c r="P27" s="209">
        <f t="shared" si="0"/>
        <v>484302</v>
      </c>
      <c r="Q27" s="209">
        <f t="shared" si="1"/>
        <v>6500000</v>
      </c>
      <c r="R27" s="209">
        <f t="shared" si="2"/>
        <v>4750000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2"/>
      <c r="AR27" s="2"/>
      <c r="AS27" s="2"/>
      <c r="AT27" s="2"/>
      <c r="AU27" s="2"/>
      <c r="AV27" s="2"/>
    </row>
    <row r="28" spans="1:48" hidden="1">
      <c r="A28" s="55">
        <v>26</v>
      </c>
      <c r="B28" s="55" t="s">
        <v>305</v>
      </c>
      <c r="C28" s="55" t="s">
        <v>306</v>
      </c>
      <c r="D28" s="55" t="s">
        <v>307</v>
      </c>
      <c r="E28" s="204" t="s">
        <v>158</v>
      </c>
      <c r="F28" s="205">
        <v>289481106307</v>
      </c>
      <c r="G28" s="206">
        <v>911119002</v>
      </c>
      <c r="H28" s="207" t="s">
        <v>27</v>
      </c>
      <c r="I28" s="56">
        <v>166.86</v>
      </c>
      <c r="J28" s="56"/>
      <c r="K28" s="208">
        <v>540</v>
      </c>
      <c r="L28" s="4">
        <v>540</v>
      </c>
      <c r="M28" s="4">
        <v>300</v>
      </c>
      <c r="N28" s="4"/>
      <c r="O28" s="4"/>
      <c r="P28" s="209">
        <f t="shared" si="0"/>
        <v>90104.400000000009</v>
      </c>
      <c r="Q28" s="209">
        <f t="shared" si="1"/>
        <v>291600</v>
      </c>
      <c r="R28" s="209">
        <f t="shared" si="2"/>
        <v>162000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2"/>
      <c r="AR28" s="2"/>
      <c r="AS28" s="2"/>
      <c r="AT28" s="2"/>
      <c r="AU28" s="2"/>
      <c r="AV28" s="2"/>
    </row>
    <row r="29" spans="1:48" hidden="1">
      <c r="A29" s="55">
        <v>27</v>
      </c>
      <c r="B29" s="55" t="s">
        <v>305</v>
      </c>
      <c r="C29" s="55" t="s">
        <v>306</v>
      </c>
      <c r="D29" s="55" t="s">
        <v>307</v>
      </c>
      <c r="E29" s="204" t="s">
        <v>158</v>
      </c>
      <c r="F29" s="205">
        <v>289481106308</v>
      </c>
      <c r="G29" s="206">
        <v>911119001</v>
      </c>
      <c r="H29" s="207" t="s">
        <v>28</v>
      </c>
      <c r="I29" s="56">
        <v>166.86</v>
      </c>
      <c r="J29" s="56"/>
      <c r="K29" s="208">
        <v>540</v>
      </c>
      <c r="L29" s="4">
        <v>540</v>
      </c>
      <c r="M29" s="4">
        <v>300</v>
      </c>
      <c r="N29" s="4"/>
      <c r="O29" s="4"/>
      <c r="P29" s="209">
        <f t="shared" si="0"/>
        <v>90104.400000000009</v>
      </c>
      <c r="Q29" s="209">
        <f t="shared" si="1"/>
        <v>291600</v>
      </c>
      <c r="R29" s="209">
        <f t="shared" si="2"/>
        <v>162000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2"/>
      <c r="AR29" s="2"/>
      <c r="AS29" s="2"/>
      <c r="AT29" s="2"/>
      <c r="AU29" s="2"/>
      <c r="AV29" s="2"/>
    </row>
    <row r="30" spans="1:48" hidden="1">
      <c r="A30" s="55">
        <v>28</v>
      </c>
      <c r="B30" s="55" t="s">
        <v>305</v>
      </c>
      <c r="C30" s="55" t="s">
        <v>306</v>
      </c>
      <c r="D30" s="55" t="s">
        <v>307</v>
      </c>
      <c r="E30" s="204" t="s">
        <v>158</v>
      </c>
      <c r="F30" s="205">
        <v>289481106317</v>
      </c>
      <c r="G30" s="206">
        <v>911111001</v>
      </c>
      <c r="H30" s="207" t="s">
        <v>29</v>
      </c>
      <c r="I30" s="56">
        <v>60.2</v>
      </c>
      <c r="J30" s="56"/>
      <c r="K30" s="208">
        <v>2600</v>
      </c>
      <c r="L30" s="4">
        <v>2500</v>
      </c>
      <c r="M30" s="4">
        <v>1900</v>
      </c>
      <c r="N30" s="4"/>
      <c r="O30" s="4"/>
      <c r="P30" s="209">
        <f t="shared" si="0"/>
        <v>156520</v>
      </c>
      <c r="Q30" s="209">
        <f t="shared" si="1"/>
        <v>6500000</v>
      </c>
      <c r="R30" s="209">
        <f t="shared" si="2"/>
        <v>4750000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2"/>
      <c r="AR30" s="2"/>
      <c r="AS30" s="2"/>
      <c r="AT30" s="2"/>
      <c r="AU30" s="2"/>
      <c r="AV30" s="2"/>
    </row>
    <row r="31" spans="1:48" hidden="1">
      <c r="A31" s="55">
        <v>29</v>
      </c>
      <c r="B31" s="55" t="s">
        <v>305</v>
      </c>
      <c r="C31" s="55" t="s">
        <v>306</v>
      </c>
      <c r="D31" s="55" t="s">
        <v>307</v>
      </c>
      <c r="E31" s="204" t="s">
        <v>158</v>
      </c>
      <c r="F31" s="205">
        <v>289467106302</v>
      </c>
      <c r="G31" s="206">
        <v>911117001</v>
      </c>
      <c r="H31" s="207" t="s">
        <v>30</v>
      </c>
      <c r="I31" s="56">
        <v>1.82</v>
      </c>
      <c r="J31" s="56"/>
      <c r="K31" s="208">
        <v>8000</v>
      </c>
      <c r="L31" s="4">
        <v>8000</v>
      </c>
      <c r="M31" s="4">
        <v>6000</v>
      </c>
      <c r="N31" s="4"/>
      <c r="O31" s="4"/>
      <c r="P31" s="209">
        <f t="shared" si="0"/>
        <v>14560</v>
      </c>
      <c r="Q31" s="209">
        <f t="shared" si="1"/>
        <v>64000000</v>
      </c>
      <c r="R31" s="209">
        <f t="shared" si="2"/>
        <v>48000000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2"/>
      <c r="AR31" s="2"/>
      <c r="AS31" s="2"/>
      <c r="AT31" s="2"/>
      <c r="AU31" s="2"/>
      <c r="AV31" s="2"/>
    </row>
    <row r="32" spans="1:48" hidden="1">
      <c r="A32" s="55">
        <v>30</v>
      </c>
      <c r="B32" s="55" t="s">
        <v>305</v>
      </c>
      <c r="C32" s="55" t="s">
        <v>306</v>
      </c>
      <c r="D32" s="55" t="s">
        <v>307</v>
      </c>
      <c r="E32" s="204" t="s">
        <v>158</v>
      </c>
      <c r="F32" s="205">
        <v>289681100120</v>
      </c>
      <c r="G32" s="206">
        <v>911104007</v>
      </c>
      <c r="H32" s="207" t="s">
        <v>31</v>
      </c>
      <c r="I32" s="56">
        <v>120.83</v>
      </c>
      <c r="J32" s="56"/>
      <c r="K32" s="208">
        <v>60</v>
      </c>
      <c r="L32" s="4">
        <v>60</v>
      </c>
      <c r="M32" s="4">
        <v>0</v>
      </c>
      <c r="N32" s="4"/>
      <c r="O32" s="4"/>
      <c r="P32" s="209">
        <f t="shared" si="0"/>
        <v>7249.8</v>
      </c>
      <c r="Q32" s="209">
        <f t="shared" si="1"/>
        <v>3600</v>
      </c>
      <c r="R32" s="209">
        <f t="shared" si="2"/>
        <v>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2"/>
      <c r="AR32" s="2"/>
      <c r="AS32" s="2"/>
      <c r="AT32" s="2"/>
      <c r="AU32" s="2"/>
      <c r="AV32" s="2"/>
    </row>
    <row r="33" spans="1:48" hidden="1">
      <c r="A33" s="55">
        <v>31</v>
      </c>
      <c r="B33" s="55" t="s">
        <v>305</v>
      </c>
      <c r="C33" s="55" t="s">
        <v>306</v>
      </c>
      <c r="D33" s="55" t="s">
        <v>307</v>
      </c>
      <c r="E33" s="204" t="s">
        <v>158</v>
      </c>
      <c r="F33" s="205">
        <v>289681100121</v>
      </c>
      <c r="G33" s="212">
        <v>911104008</v>
      </c>
      <c r="H33" s="207" t="s">
        <v>32</v>
      </c>
      <c r="I33" s="56">
        <v>120.83</v>
      </c>
      <c r="J33" s="56"/>
      <c r="K33" s="208">
        <v>60</v>
      </c>
      <c r="L33" s="4">
        <v>60</v>
      </c>
      <c r="M33" s="4">
        <v>0</v>
      </c>
      <c r="N33" s="4"/>
      <c r="O33" s="4"/>
      <c r="P33" s="209">
        <f t="shared" si="0"/>
        <v>7249.8</v>
      </c>
      <c r="Q33" s="209">
        <f t="shared" si="1"/>
        <v>3600</v>
      </c>
      <c r="R33" s="209">
        <f t="shared" si="2"/>
        <v>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2"/>
      <c r="AR33" s="2"/>
      <c r="AS33" s="2"/>
      <c r="AT33" s="2"/>
      <c r="AU33" s="2"/>
      <c r="AV33" s="2"/>
    </row>
    <row r="34" spans="1:48" hidden="1">
      <c r="A34" s="55">
        <v>32</v>
      </c>
      <c r="B34" s="55" t="s">
        <v>305</v>
      </c>
      <c r="C34" s="55" t="s">
        <v>306</v>
      </c>
      <c r="D34" s="55" t="s">
        <v>307</v>
      </c>
      <c r="E34" s="204" t="s">
        <v>158</v>
      </c>
      <c r="F34" s="205">
        <v>289881100109</v>
      </c>
      <c r="G34" s="206">
        <v>911104009</v>
      </c>
      <c r="H34" s="207" t="s">
        <v>156</v>
      </c>
      <c r="I34" s="56">
        <v>83.58</v>
      </c>
      <c r="J34" s="56"/>
      <c r="K34" s="208">
        <v>2040</v>
      </c>
      <c r="L34" s="4">
        <v>1980</v>
      </c>
      <c r="M34" s="4">
        <v>1620</v>
      </c>
      <c r="N34" s="4"/>
      <c r="O34" s="4"/>
      <c r="P34" s="209">
        <f t="shared" si="0"/>
        <v>170503.19999999998</v>
      </c>
      <c r="Q34" s="209">
        <f t="shared" si="1"/>
        <v>4039200</v>
      </c>
      <c r="R34" s="209">
        <f t="shared" si="2"/>
        <v>3207600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2"/>
      <c r="AR34" s="2"/>
      <c r="AS34" s="2"/>
      <c r="AT34" s="2"/>
      <c r="AU34" s="2"/>
      <c r="AV34" s="2"/>
    </row>
    <row r="35" spans="1:48" hidden="1">
      <c r="A35" s="55">
        <v>33</v>
      </c>
      <c r="B35" s="55" t="s">
        <v>305</v>
      </c>
      <c r="C35" s="55" t="s">
        <v>306</v>
      </c>
      <c r="D35" s="55" t="s">
        <v>307</v>
      </c>
      <c r="E35" s="204" t="s">
        <v>158</v>
      </c>
      <c r="F35" s="205">
        <v>289881100110</v>
      </c>
      <c r="G35" s="212">
        <v>911104010</v>
      </c>
      <c r="H35" s="207" t="s">
        <v>157</v>
      </c>
      <c r="I35" s="56">
        <v>83.58</v>
      </c>
      <c r="J35" s="56"/>
      <c r="K35" s="208">
        <v>2040</v>
      </c>
      <c r="L35" s="4">
        <v>1980</v>
      </c>
      <c r="M35" s="4">
        <v>1620</v>
      </c>
      <c r="N35" s="4"/>
      <c r="O35" s="4"/>
      <c r="P35" s="209">
        <f t="shared" si="0"/>
        <v>170503.19999999998</v>
      </c>
      <c r="Q35" s="209">
        <f t="shared" si="1"/>
        <v>4039200</v>
      </c>
      <c r="R35" s="209">
        <f t="shared" si="2"/>
        <v>3207600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2"/>
      <c r="AR35" s="2"/>
      <c r="AS35" s="2"/>
      <c r="AT35" s="2"/>
      <c r="AU35" s="2"/>
      <c r="AV35" s="2"/>
    </row>
    <row r="36" spans="1:48" hidden="1">
      <c r="A36" s="55">
        <v>34</v>
      </c>
      <c r="B36" s="55" t="s">
        <v>305</v>
      </c>
      <c r="C36" s="55" t="s">
        <v>306</v>
      </c>
      <c r="D36" s="55" t="s">
        <v>307</v>
      </c>
      <c r="E36" s="204" t="s">
        <v>300</v>
      </c>
      <c r="F36" s="205">
        <v>265188706310</v>
      </c>
      <c r="G36" s="55">
        <v>911103003</v>
      </c>
      <c r="H36" s="207" t="s">
        <v>172</v>
      </c>
      <c r="I36" s="56">
        <v>108.44</v>
      </c>
      <c r="J36" s="56"/>
      <c r="K36" s="208">
        <v>1062</v>
      </c>
      <c r="L36" s="4">
        <v>906</v>
      </c>
      <c r="M36" s="4">
        <v>882</v>
      </c>
      <c r="N36" s="4"/>
      <c r="O36" s="4"/>
      <c r="P36" s="209">
        <f t="shared" si="0"/>
        <v>115163.28</v>
      </c>
      <c r="Q36" s="209">
        <f t="shared" si="1"/>
        <v>962172</v>
      </c>
      <c r="R36" s="209">
        <f t="shared" si="2"/>
        <v>799092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2"/>
      <c r="AR36" s="2"/>
      <c r="AS36" s="2"/>
      <c r="AT36" s="2"/>
      <c r="AU36" s="2"/>
      <c r="AV36" s="2"/>
    </row>
    <row r="37" spans="1:48" hidden="1">
      <c r="A37" s="55">
        <v>35</v>
      </c>
      <c r="B37" s="55" t="s">
        <v>305</v>
      </c>
      <c r="C37" s="55" t="s">
        <v>306</v>
      </c>
      <c r="D37" s="55" t="s">
        <v>307</v>
      </c>
      <c r="E37" s="204" t="s">
        <v>159</v>
      </c>
      <c r="F37" s="212">
        <v>544272547701</v>
      </c>
      <c r="G37" s="55">
        <v>919401001</v>
      </c>
      <c r="H37" s="55" t="s">
        <v>33</v>
      </c>
      <c r="I37" s="56">
        <v>293.48</v>
      </c>
      <c r="J37" s="56"/>
      <c r="K37" s="111">
        <v>7000</v>
      </c>
      <c r="L37" s="4">
        <v>7000</v>
      </c>
      <c r="M37" s="4">
        <v>7000</v>
      </c>
      <c r="N37" s="4">
        <v>7000</v>
      </c>
      <c r="O37" s="4">
        <v>7000</v>
      </c>
      <c r="P37" s="209">
        <f t="shared" si="0"/>
        <v>2054360.0000000002</v>
      </c>
      <c r="Q37" s="209">
        <f t="shared" si="1"/>
        <v>49000000</v>
      </c>
      <c r="R37" s="209">
        <f t="shared" si="2"/>
        <v>49000000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2"/>
      <c r="AR37" s="2"/>
      <c r="AS37" s="2"/>
      <c r="AT37" s="2"/>
      <c r="AU37" s="2"/>
      <c r="AV37" s="2"/>
    </row>
    <row r="38" spans="1:48" hidden="1">
      <c r="A38" s="55">
        <v>36</v>
      </c>
      <c r="B38" s="55" t="s">
        <v>305</v>
      </c>
      <c r="C38" s="55" t="s">
        <v>306</v>
      </c>
      <c r="D38" s="55" t="s">
        <v>307</v>
      </c>
      <c r="E38" s="204" t="s">
        <v>159</v>
      </c>
      <c r="F38" s="212">
        <v>544272547702</v>
      </c>
      <c r="G38" s="55">
        <v>919401002</v>
      </c>
      <c r="H38" s="55" t="s">
        <v>33</v>
      </c>
      <c r="I38" s="56">
        <v>293.48</v>
      </c>
      <c r="J38" s="56"/>
      <c r="K38" s="111">
        <v>7000</v>
      </c>
      <c r="L38" s="4">
        <v>7000</v>
      </c>
      <c r="M38" s="4">
        <v>7000</v>
      </c>
      <c r="N38" s="4">
        <v>7000</v>
      </c>
      <c r="O38" s="4">
        <v>7000</v>
      </c>
      <c r="P38" s="209">
        <f t="shared" si="0"/>
        <v>2054360.0000000002</v>
      </c>
      <c r="Q38" s="209">
        <f t="shared" si="1"/>
        <v>49000000</v>
      </c>
      <c r="R38" s="209">
        <f t="shared" si="2"/>
        <v>49000000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2"/>
      <c r="AR38" s="2"/>
      <c r="AS38" s="2"/>
      <c r="AT38" s="2"/>
      <c r="AU38" s="2"/>
      <c r="AV38" s="2"/>
    </row>
    <row r="39" spans="1:48" hidden="1">
      <c r="A39" s="55">
        <v>37</v>
      </c>
      <c r="B39" s="55" t="s">
        <v>305</v>
      </c>
      <c r="C39" s="55" t="s">
        <v>306</v>
      </c>
      <c r="D39" s="55" t="s">
        <v>307</v>
      </c>
      <c r="E39" s="204" t="s">
        <v>159</v>
      </c>
      <c r="F39" s="212">
        <v>544273537701</v>
      </c>
      <c r="G39" s="55">
        <v>919401003</v>
      </c>
      <c r="H39" s="55" t="s">
        <v>34</v>
      </c>
      <c r="I39" s="56">
        <v>281.72000000000003</v>
      </c>
      <c r="J39" s="56"/>
      <c r="K39" s="111">
        <v>7000</v>
      </c>
      <c r="L39" s="4">
        <v>7000</v>
      </c>
      <c r="M39" s="4">
        <v>7000</v>
      </c>
      <c r="N39" s="4">
        <v>7000</v>
      </c>
      <c r="O39" s="4">
        <v>7000</v>
      </c>
      <c r="P39" s="209">
        <f t="shared" si="0"/>
        <v>1972040.0000000002</v>
      </c>
      <c r="Q39" s="209">
        <f t="shared" si="1"/>
        <v>49000000</v>
      </c>
      <c r="R39" s="209">
        <f t="shared" si="2"/>
        <v>49000000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2"/>
      <c r="AR39" s="2"/>
      <c r="AS39" s="2"/>
      <c r="AT39" s="2"/>
      <c r="AU39" s="2"/>
      <c r="AV39" s="2"/>
    </row>
    <row r="40" spans="1:48" hidden="1">
      <c r="A40" s="55">
        <v>38</v>
      </c>
      <c r="B40" s="55" t="s">
        <v>305</v>
      </c>
      <c r="C40" s="55" t="s">
        <v>306</v>
      </c>
      <c r="D40" s="55" t="s">
        <v>307</v>
      </c>
      <c r="E40" s="204" t="s">
        <v>159</v>
      </c>
      <c r="F40" s="212">
        <v>544273537702</v>
      </c>
      <c r="G40" s="55">
        <v>919401004</v>
      </c>
      <c r="H40" s="55" t="s">
        <v>34</v>
      </c>
      <c r="I40" s="56">
        <v>281.72000000000003</v>
      </c>
      <c r="J40" s="56"/>
      <c r="K40" s="111">
        <v>7000</v>
      </c>
      <c r="L40" s="4">
        <v>7000</v>
      </c>
      <c r="M40" s="4">
        <v>7000</v>
      </c>
      <c r="N40" s="4">
        <v>7000</v>
      </c>
      <c r="O40" s="4">
        <v>7000</v>
      </c>
      <c r="P40" s="209">
        <f t="shared" si="0"/>
        <v>1972040.0000000002</v>
      </c>
      <c r="Q40" s="209">
        <f t="shared" si="1"/>
        <v>49000000</v>
      </c>
      <c r="R40" s="209">
        <f t="shared" si="2"/>
        <v>49000000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2"/>
      <c r="AR40" s="2"/>
      <c r="AS40" s="2"/>
      <c r="AT40" s="2"/>
      <c r="AU40" s="2"/>
      <c r="AV40" s="2"/>
    </row>
    <row r="41" spans="1:48" hidden="1">
      <c r="A41" s="55">
        <v>39</v>
      </c>
      <c r="B41" s="55" t="s">
        <v>305</v>
      </c>
      <c r="C41" s="55" t="s">
        <v>306</v>
      </c>
      <c r="D41" s="55" t="s">
        <v>307</v>
      </c>
      <c r="E41" s="204" t="s">
        <v>159</v>
      </c>
      <c r="F41" s="212">
        <v>544272567701</v>
      </c>
      <c r="G41" s="55">
        <v>919404001</v>
      </c>
      <c r="H41" s="55" t="s">
        <v>35</v>
      </c>
      <c r="I41" s="56">
        <v>697.85</v>
      </c>
      <c r="J41" s="56"/>
      <c r="K41" s="111">
        <v>7000</v>
      </c>
      <c r="L41" s="4">
        <v>7000</v>
      </c>
      <c r="M41" s="4">
        <v>7000</v>
      </c>
      <c r="N41" s="4">
        <v>7000</v>
      </c>
      <c r="O41" s="4">
        <v>7000</v>
      </c>
      <c r="P41" s="209">
        <f t="shared" si="0"/>
        <v>4884950</v>
      </c>
      <c r="Q41" s="209">
        <f t="shared" si="1"/>
        <v>49000000</v>
      </c>
      <c r="R41" s="209">
        <f t="shared" si="2"/>
        <v>49000000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2"/>
      <c r="AR41" s="2"/>
      <c r="AS41" s="2"/>
      <c r="AT41" s="2"/>
      <c r="AU41" s="2"/>
      <c r="AV41" s="2"/>
    </row>
    <row r="42" spans="1:48" hidden="1">
      <c r="A42" s="55">
        <v>40</v>
      </c>
      <c r="B42" s="55" t="s">
        <v>305</v>
      </c>
      <c r="C42" s="55" t="s">
        <v>306</v>
      </c>
      <c r="D42" s="55" t="s">
        <v>307</v>
      </c>
      <c r="E42" s="204" t="s">
        <v>159</v>
      </c>
      <c r="F42" s="212">
        <v>544272567702</v>
      </c>
      <c r="G42" s="55">
        <v>919404002</v>
      </c>
      <c r="H42" s="55" t="s">
        <v>7</v>
      </c>
      <c r="I42" s="56">
        <v>697.85</v>
      </c>
      <c r="J42" s="56"/>
      <c r="K42" s="111">
        <v>7000</v>
      </c>
      <c r="L42" s="4">
        <v>7000</v>
      </c>
      <c r="M42" s="4">
        <v>7000</v>
      </c>
      <c r="N42" s="4">
        <v>7000</v>
      </c>
      <c r="O42" s="4">
        <v>7000</v>
      </c>
      <c r="P42" s="209">
        <f t="shared" si="0"/>
        <v>4884950</v>
      </c>
      <c r="Q42" s="209">
        <f t="shared" si="1"/>
        <v>49000000</v>
      </c>
      <c r="R42" s="209">
        <f t="shared" si="2"/>
        <v>49000000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2"/>
      <c r="AR42" s="2"/>
      <c r="AS42" s="2"/>
      <c r="AT42" s="2"/>
      <c r="AU42" s="2"/>
      <c r="AV42" s="2"/>
    </row>
    <row r="43" spans="1:48" hidden="1">
      <c r="A43" s="55">
        <v>41</v>
      </c>
      <c r="B43" s="55" t="s">
        <v>305</v>
      </c>
      <c r="C43" s="55" t="s">
        <v>306</v>
      </c>
      <c r="D43" s="55" t="s">
        <v>307</v>
      </c>
      <c r="E43" s="204" t="s">
        <v>159</v>
      </c>
      <c r="F43" s="212">
        <v>544273557701</v>
      </c>
      <c r="G43" s="55">
        <v>919404003</v>
      </c>
      <c r="H43" s="55" t="s">
        <v>2</v>
      </c>
      <c r="I43" s="56">
        <v>586</v>
      </c>
      <c r="J43" s="56"/>
      <c r="K43" s="111">
        <v>7000</v>
      </c>
      <c r="L43" s="4">
        <v>7000</v>
      </c>
      <c r="M43" s="4">
        <v>7000</v>
      </c>
      <c r="N43" s="4">
        <v>7000</v>
      </c>
      <c r="O43" s="4">
        <v>7000</v>
      </c>
      <c r="P43" s="209">
        <f t="shared" si="0"/>
        <v>4102000</v>
      </c>
      <c r="Q43" s="209">
        <f t="shared" si="1"/>
        <v>49000000</v>
      </c>
      <c r="R43" s="209">
        <f t="shared" si="2"/>
        <v>49000000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2"/>
      <c r="AR43" s="2"/>
      <c r="AS43" s="2"/>
      <c r="AT43" s="2"/>
      <c r="AU43" s="2"/>
      <c r="AV43" s="2"/>
    </row>
    <row r="44" spans="1:48" hidden="1">
      <c r="A44" s="55">
        <v>42</v>
      </c>
      <c r="B44" s="55" t="s">
        <v>305</v>
      </c>
      <c r="C44" s="55" t="s">
        <v>306</v>
      </c>
      <c r="D44" s="55" t="s">
        <v>307</v>
      </c>
      <c r="E44" s="204" t="s">
        <v>159</v>
      </c>
      <c r="F44" s="212">
        <v>544273557702</v>
      </c>
      <c r="G44" s="55">
        <v>919404004</v>
      </c>
      <c r="H44" s="55" t="s">
        <v>3</v>
      </c>
      <c r="I44" s="56">
        <v>586</v>
      </c>
      <c r="J44" s="56"/>
      <c r="K44" s="111">
        <v>7000</v>
      </c>
      <c r="L44" s="4">
        <v>7000</v>
      </c>
      <c r="M44" s="4">
        <v>7000</v>
      </c>
      <c r="N44" s="4">
        <v>7000</v>
      </c>
      <c r="O44" s="4">
        <v>7000</v>
      </c>
      <c r="P44" s="209">
        <f t="shared" si="0"/>
        <v>4102000</v>
      </c>
      <c r="Q44" s="209">
        <f t="shared" si="1"/>
        <v>49000000</v>
      </c>
      <c r="R44" s="209">
        <f t="shared" si="2"/>
        <v>49000000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2"/>
      <c r="AR44" s="2"/>
      <c r="AS44" s="2"/>
      <c r="AT44" s="2"/>
      <c r="AU44" s="2"/>
      <c r="AV44" s="2"/>
    </row>
    <row r="45" spans="1:48" hidden="1">
      <c r="A45" s="55">
        <v>43</v>
      </c>
      <c r="B45" s="55" t="s">
        <v>305</v>
      </c>
      <c r="C45" s="55" t="s">
        <v>306</v>
      </c>
      <c r="D45" s="55" t="s">
        <v>307</v>
      </c>
      <c r="E45" s="204" t="s">
        <v>159</v>
      </c>
      <c r="F45" s="212">
        <v>544272547705</v>
      </c>
      <c r="G45" s="55">
        <v>919411001</v>
      </c>
      <c r="H45" s="55" t="s">
        <v>36</v>
      </c>
      <c r="I45" s="56">
        <v>107.44</v>
      </c>
      <c r="J45" s="56"/>
      <c r="K45" s="111">
        <v>7000</v>
      </c>
      <c r="L45" s="4">
        <v>7000</v>
      </c>
      <c r="M45" s="4">
        <v>7000</v>
      </c>
      <c r="N45" s="4">
        <v>7000</v>
      </c>
      <c r="O45" s="4">
        <v>7000</v>
      </c>
      <c r="P45" s="209">
        <f t="shared" si="0"/>
        <v>752080</v>
      </c>
      <c r="Q45" s="209">
        <f t="shared" si="1"/>
        <v>49000000</v>
      </c>
      <c r="R45" s="209">
        <f t="shared" si="2"/>
        <v>49000000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"/>
      <c r="AR45" s="2"/>
      <c r="AS45" s="2"/>
      <c r="AT45" s="2"/>
      <c r="AU45" s="2"/>
      <c r="AV45" s="2"/>
    </row>
    <row r="46" spans="1:48" hidden="1">
      <c r="A46" s="55">
        <v>44</v>
      </c>
      <c r="B46" s="55" t="s">
        <v>305</v>
      </c>
      <c r="C46" s="55" t="s">
        <v>306</v>
      </c>
      <c r="D46" s="55" t="s">
        <v>307</v>
      </c>
      <c r="E46" s="204" t="s">
        <v>159</v>
      </c>
      <c r="F46" s="212">
        <v>544272547706</v>
      </c>
      <c r="G46" s="55">
        <v>919411002</v>
      </c>
      <c r="H46" s="55" t="s">
        <v>37</v>
      </c>
      <c r="I46" s="56">
        <v>107.44</v>
      </c>
      <c r="J46" s="56"/>
      <c r="K46" s="111">
        <v>7000</v>
      </c>
      <c r="L46" s="4">
        <v>7000</v>
      </c>
      <c r="M46" s="4">
        <v>7000</v>
      </c>
      <c r="N46" s="4">
        <v>7000</v>
      </c>
      <c r="O46" s="4">
        <v>7000</v>
      </c>
      <c r="P46" s="209">
        <f t="shared" si="0"/>
        <v>752080</v>
      </c>
      <c r="Q46" s="209">
        <f t="shared" si="1"/>
        <v>49000000</v>
      </c>
      <c r="R46" s="209">
        <f t="shared" si="2"/>
        <v>49000000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2"/>
      <c r="AR46" s="2"/>
      <c r="AS46" s="2"/>
      <c r="AT46" s="2"/>
      <c r="AU46" s="2"/>
      <c r="AV46" s="2"/>
    </row>
    <row r="47" spans="1:48" hidden="1">
      <c r="A47" s="55">
        <v>45</v>
      </c>
      <c r="B47" s="55" t="s">
        <v>305</v>
      </c>
      <c r="C47" s="55" t="s">
        <v>306</v>
      </c>
      <c r="D47" s="55" t="s">
        <v>307</v>
      </c>
      <c r="E47" s="204" t="s">
        <v>159</v>
      </c>
      <c r="F47" s="212">
        <v>544273537705</v>
      </c>
      <c r="G47" s="55">
        <v>919411003</v>
      </c>
      <c r="H47" s="55" t="s">
        <v>38</v>
      </c>
      <c r="I47" s="56">
        <v>61.03</v>
      </c>
      <c r="J47" s="56"/>
      <c r="K47" s="111">
        <v>7000</v>
      </c>
      <c r="L47" s="4">
        <v>7000</v>
      </c>
      <c r="M47" s="4">
        <v>7000</v>
      </c>
      <c r="N47" s="4">
        <v>7000</v>
      </c>
      <c r="O47" s="4">
        <v>7000</v>
      </c>
      <c r="P47" s="209">
        <f t="shared" si="0"/>
        <v>427210</v>
      </c>
      <c r="Q47" s="209">
        <f t="shared" si="1"/>
        <v>49000000</v>
      </c>
      <c r="R47" s="209">
        <f t="shared" si="2"/>
        <v>49000000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2"/>
      <c r="AR47" s="2"/>
      <c r="AS47" s="2"/>
      <c r="AT47" s="2"/>
      <c r="AU47" s="2"/>
      <c r="AV47" s="2"/>
    </row>
    <row r="48" spans="1:48" hidden="1">
      <c r="A48" s="55">
        <v>46</v>
      </c>
      <c r="B48" s="55" t="s">
        <v>305</v>
      </c>
      <c r="C48" s="55" t="s">
        <v>306</v>
      </c>
      <c r="D48" s="55" t="s">
        <v>307</v>
      </c>
      <c r="E48" s="204" t="s">
        <v>159</v>
      </c>
      <c r="F48" s="212">
        <v>544273537706</v>
      </c>
      <c r="G48" s="55">
        <v>919411004</v>
      </c>
      <c r="H48" s="55" t="s">
        <v>39</v>
      </c>
      <c r="I48" s="56">
        <v>61.03</v>
      </c>
      <c r="J48" s="56"/>
      <c r="K48" s="111">
        <v>7000</v>
      </c>
      <c r="L48" s="4">
        <v>7000</v>
      </c>
      <c r="M48" s="4">
        <v>7000</v>
      </c>
      <c r="N48" s="4">
        <v>7000</v>
      </c>
      <c r="O48" s="4">
        <v>7000</v>
      </c>
      <c r="P48" s="209">
        <f t="shared" si="0"/>
        <v>427210</v>
      </c>
      <c r="Q48" s="209">
        <f t="shared" si="1"/>
        <v>49000000</v>
      </c>
      <c r="R48" s="209">
        <f t="shared" si="2"/>
        <v>49000000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2"/>
      <c r="AR48" s="2"/>
      <c r="AS48" s="2"/>
      <c r="AT48" s="2"/>
      <c r="AU48" s="2"/>
      <c r="AV48" s="2"/>
    </row>
    <row r="49" spans="1:48" hidden="1">
      <c r="A49" s="55">
        <v>47</v>
      </c>
      <c r="B49" s="55" t="s">
        <v>305</v>
      </c>
      <c r="C49" s="55" t="s">
        <v>306</v>
      </c>
      <c r="D49" s="55" t="s">
        <v>307</v>
      </c>
      <c r="E49" s="204" t="s">
        <v>159</v>
      </c>
      <c r="F49" s="213">
        <v>286881106312</v>
      </c>
      <c r="G49" s="214">
        <v>911306002</v>
      </c>
      <c r="H49" s="215" t="s">
        <v>40</v>
      </c>
      <c r="I49" s="56">
        <v>0.64</v>
      </c>
      <c r="J49" s="56"/>
      <c r="K49" s="111">
        <v>40000</v>
      </c>
      <c r="L49" s="4">
        <v>40000</v>
      </c>
      <c r="M49" s="4">
        <v>40000</v>
      </c>
      <c r="N49" s="4">
        <v>40000</v>
      </c>
      <c r="O49" s="4">
        <v>40000</v>
      </c>
      <c r="P49" s="209">
        <f t="shared" si="0"/>
        <v>25600</v>
      </c>
      <c r="Q49" s="209">
        <f t="shared" si="1"/>
        <v>1600000000</v>
      </c>
      <c r="R49" s="209">
        <f t="shared" si="2"/>
        <v>1600000000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"/>
      <c r="AR49" s="2"/>
      <c r="AS49" s="2"/>
      <c r="AT49" s="2"/>
      <c r="AU49" s="2"/>
      <c r="AV49" s="2"/>
    </row>
    <row r="50" spans="1:48" hidden="1">
      <c r="A50" s="55">
        <v>48</v>
      </c>
      <c r="B50" s="55" t="s">
        <v>305</v>
      </c>
      <c r="C50" s="55" t="s">
        <v>306</v>
      </c>
      <c r="D50" s="55" t="s">
        <v>307</v>
      </c>
      <c r="E50" s="75" t="s">
        <v>160</v>
      </c>
      <c r="F50" s="216">
        <v>541272547701</v>
      </c>
      <c r="G50" s="212">
        <v>919001005</v>
      </c>
      <c r="H50" s="55" t="s">
        <v>41</v>
      </c>
      <c r="I50" s="56">
        <v>443.16</v>
      </c>
      <c r="J50" s="56">
        <v>1</v>
      </c>
      <c r="K50" s="111">
        <v>6000</v>
      </c>
      <c r="L50" s="4">
        <v>6500</v>
      </c>
      <c r="M50" s="4">
        <v>6500</v>
      </c>
      <c r="N50" s="4">
        <v>6500</v>
      </c>
      <c r="O50" s="4">
        <v>6500</v>
      </c>
      <c r="P50" s="209">
        <f t="shared" si="0"/>
        <v>2658960</v>
      </c>
      <c r="Q50" s="209">
        <f t="shared" si="1"/>
        <v>39000000</v>
      </c>
      <c r="R50" s="209">
        <f t="shared" si="2"/>
        <v>42250000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2"/>
      <c r="AR50" s="2"/>
      <c r="AS50" s="2"/>
      <c r="AT50" s="2"/>
      <c r="AU50" s="2"/>
      <c r="AV50" s="2"/>
    </row>
    <row r="51" spans="1:48" hidden="1">
      <c r="A51" s="55">
        <v>49</v>
      </c>
      <c r="B51" s="55" t="s">
        <v>305</v>
      </c>
      <c r="C51" s="55" t="s">
        <v>306</v>
      </c>
      <c r="D51" s="55" t="s">
        <v>307</v>
      </c>
      <c r="E51" s="75" t="s">
        <v>160</v>
      </c>
      <c r="F51" s="216">
        <v>541272547702</v>
      </c>
      <c r="G51" s="212">
        <v>919001006</v>
      </c>
      <c r="H51" s="55" t="s">
        <v>42</v>
      </c>
      <c r="I51" s="56">
        <v>432.06</v>
      </c>
      <c r="J51" s="56">
        <v>1</v>
      </c>
      <c r="K51" s="111">
        <v>6000</v>
      </c>
      <c r="L51" s="4">
        <v>6500</v>
      </c>
      <c r="M51" s="4">
        <v>6500</v>
      </c>
      <c r="N51" s="4">
        <v>6500</v>
      </c>
      <c r="O51" s="4">
        <v>6500</v>
      </c>
      <c r="P51" s="209">
        <f t="shared" si="0"/>
        <v>2592360</v>
      </c>
      <c r="Q51" s="209">
        <f t="shared" si="1"/>
        <v>39000000</v>
      </c>
      <c r="R51" s="209">
        <f t="shared" si="2"/>
        <v>42250000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2"/>
      <c r="AR51" s="2"/>
      <c r="AS51" s="2"/>
      <c r="AT51" s="2"/>
      <c r="AU51" s="2"/>
      <c r="AV51" s="2"/>
    </row>
    <row r="52" spans="1:48" hidden="1">
      <c r="A52" s="55">
        <v>50</v>
      </c>
      <c r="B52" s="55" t="s">
        <v>305</v>
      </c>
      <c r="C52" s="55" t="s">
        <v>306</v>
      </c>
      <c r="D52" s="55" t="s">
        <v>307</v>
      </c>
      <c r="E52" s="75" t="s">
        <v>160</v>
      </c>
      <c r="F52" s="216">
        <v>541273537701</v>
      </c>
      <c r="G52" s="212">
        <v>919001007</v>
      </c>
      <c r="H52" s="55" t="s">
        <v>43</v>
      </c>
      <c r="I52" s="56">
        <v>420.17</v>
      </c>
      <c r="J52" s="56">
        <v>1</v>
      </c>
      <c r="K52" s="111">
        <v>6000</v>
      </c>
      <c r="L52" s="4">
        <v>6500</v>
      </c>
      <c r="M52" s="4">
        <v>6500</v>
      </c>
      <c r="N52" s="4">
        <v>6500</v>
      </c>
      <c r="O52" s="4">
        <v>6500</v>
      </c>
      <c r="P52" s="209">
        <f t="shared" si="0"/>
        <v>2521020</v>
      </c>
      <c r="Q52" s="209">
        <f t="shared" si="1"/>
        <v>39000000</v>
      </c>
      <c r="R52" s="209">
        <f t="shared" si="2"/>
        <v>42250000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2"/>
      <c r="AR52" s="2"/>
      <c r="AS52" s="2"/>
      <c r="AT52" s="2"/>
      <c r="AU52" s="2"/>
      <c r="AV52" s="2"/>
    </row>
    <row r="53" spans="1:48" hidden="1">
      <c r="A53" s="55">
        <v>51</v>
      </c>
      <c r="B53" s="55" t="s">
        <v>305</v>
      </c>
      <c r="C53" s="55" t="s">
        <v>306</v>
      </c>
      <c r="D53" s="55" t="s">
        <v>307</v>
      </c>
      <c r="E53" s="75" t="s">
        <v>160</v>
      </c>
      <c r="F53" s="216">
        <v>541273537702</v>
      </c>
      <c r="G53" s="212">
        <v>919001008</v>
      </c>
      <c r="H53" s="55" t="s">
        <v>44</v>
      </c>
      <c r="I53" s="56">
        <v>409.38</v>
      </c>
      <c r="J53" s="56">
        <v>1</v>
      </c>
      <c r="K53" s="111">
        <v>6000</v>
      </c>
      <c r="L53" s="4">
        <v>6500</v>
      </c>
      <c r="M53" s="4">
        <v>6500</v>
      </c>
      <c r="N53" s="4">
        <v>6500</v>
      </c>
      <c r="O53" s="4">
        <v>6500</v>
      </c>
      <c r="P53" s="209">
        <f t="shared" si="0"/>
        <v>2456280</v>
      </c>
      <c r="Q53" s="209">
        <f t="shared" si="1"/>
        <v>39000000</v>
      </c>
      <c r="R53" s="209">
        <f t="shared" si="2"/>
        <v>42250000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2"/>
      <c r="AR53" s="2"/>
      <c r="AS53" s="2"/>
      <c r="AT53" s="2"/>
      <c r="AU53" s="2"/>
      <c r="AV53" s="2"/>
    </row>
    <row r="54" spans="1:48" hidden="1">
      <c r="A54" s="55">
        <v>52</v>
      </c>
      <c r="B54" s="55" t="s">
        <v>305</v>
      </c>
      <c r="C54" s="55" t="s">
        <v>306</v>
      </c>
      <c r="D54" s="55" t="s">
        <v>307</v>
      </c>
      <c r="E54" s="75" t="s">
        <v>160</v>
      </c>
      <c r="F54" s="216">
        <v>541272557701</v>
      </c>
      <c r="G54" s="212">
        <v>919001001</v>
      </c>
      <c r="H54" s="55" t="s">
        <v>45</v>
      </c>
      <c r="I54" s="56">
        <v>228.77</v>
      </c>
      <c r="J54" s="56">
        <v>1</v>
      </c>
      <c r="K54" s="111">
        <v>6000</v>
      </c>
      <c r="L54" s="4">
        <v>6500</v>
      </c>
      <c r="M54" s="4">
        <v>6500</v>
      </c>
      <c r="N54" s="4">
        <v>6500</v>
      </c>
      <c r="O54" s="4">
        <v>6500</v>
      </c>
      <c r="P54" s="209">
        <f t="shared" si="0"/>
        <v>1372620</v>
      </c>
      <c r="Q54" s="209">
        <f t="shared" si="1"/>
        <v>39000000</v>
      </c>
      <c r="R54" s="209">
        <f t="shared" si="2"/>
        <v>42250000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2"/>
      <c r="AR54" s="2"/>
      <c r="AS54" s="2"/>
      <c r="AT54" s="2"/>
      <c r="AU54" s="2"/>
      <c r="AV54" s="2"/>
    </row>
    <row r="55" spans="1:48" hidden="1">
      <c r="A55" s="55">
        <v>53</v>
      </c>
      <c r="B55" s="55" t="s">
        <v>305</v>
      </c>
      <c r="C55" s="55" t="s">
        <v>306</v>
      </c>
      <c r="D55" s="55" t="s">
        <v>307</v>
      </c>
      <c r="E55" s="75" t="s">
        <v>160</v>
      </c>
      <c r="F55" s="216">
        <v>541272557702</v>
      </c>
      <c r="G55" s="212">
        <v>919001002</v>
      </c>
      <c r="H55" s="55" t="s">
        <v>46</v>
      </c>
      <c r="I55" s="56">
        <v>214.65</v>
      </c>
      <c r="J55" s="56">
        <v>1</v>
      </c>
      <c r="K55" s="111">
        <v>6000</v>
      </c>
      <c r="L55" s="4">
        <v>6500</v>
      </c>
      <c r="M55" s="4">
        <v>6500</v>
      </c>
      <c r="N55" s="4">
        <v>6500</v>
      </c>
      <c r="O55" s="4">
        <v>6500</v>
      </c>
      <c r="P55" s="209">
        <f t="shared" si="0"/>
        <v>1287900</v>
      </c>
      <c r="Q55" s="209">
        <f t="shared" si="1"/>
        <v>39000000</v>
      </c>
      <c r="R55" s="209">
        <f t="shared" si="2"/>
        <v>42250000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2"/>
      <c r="AR55" s="2"/>
      <c r="AS55" s="2"/>
      <c r="AT55" s="2"/>
      <c r="AU55" s="2"/>
      <c r="AV55" s="2"/>
    </row>
    <row r="56" spans="1:48" hidden="1">
      <c r="A56" s="55">
        <v>54</v>
      </c>
      <c r="B56" s="55" t="s">
        <v>305</v>
      </c>
      <c r="C56" s="55" t="s">
        <v>306</v>
      </c>
      <c r="D56" s="55" t="s">
        <v>307</v>
      </c>
      <c r="E56" s="75" t="s">
        <v>160</v>
      </c>
      <c r="F56" s="216">
        <v>541273547701</v>
      </c>
      <c r="G56" s="212">
        <v>919001003</v>
      </c>
      <c r="H56" s="55" t="s">
        <v>47</v>
      </c>
      <c r="I56" s="56">
        <v>221.16</v>
      </c>
      <c r="J56" s="56">
        <v>1</v>
      </c>
      <c r="K56" s="111">
        <v>6000</v>
      </c>
      <c r="L56" s="4">
        <v>6500</v>
      </c>
      <c r="M56" s="4">
        <v>6500</v>
      </c>
      <c r="N56" s="4">
        <v>6500</v>
      </c>
      <c r="O56" s="4">
        <v>6500</v>
      </c>
      <c r="P56" s="209">
        <f t="shared" si="0"/>
        <v>1326960</v>
      </c>
      <c r="Q56" s="209">
        <f t="shared" si="1"/>
        <v>39000000</v>
      </c>
      <c r="R56" s="209">
        <f t="shared" si="2"/>
        <v>42250000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2"/>
      <c r="AR56" s="2"/>
      <c r="AS56" s="2"/>
      <c r="AT56" s="2"/>
      <c r="AU56" s="2"/>
      <c r="AV56" s="2"/>
    </row>
    <row r="57" spans="1:48" hidden="1">
      <c r="A57" s="55">
        <v>55</v>
      </c>
      <c r="B57" s="55" t="s">
        <v>305</v>
      </c>
      <c r="C57" s="55" t="s">
        <v>306</v>
      </c>
      <c r="D57" s="55" t="s">
        <v>307</v>
      </c>
      <c r="E57" s="75" t="s">
        <v>160</v>
      </c>
      <c r="F57" s="216">
        <v>541273547702</v>
      </c>
      <c r="G57" s="212">
        <v>919001004</v>
      </c>
      <c r="H57" s="55" t="s">
        <v>48</v>
      </c>
      <c r="I57" s="56">
        <v>210.58</v>
      </c>
      <c r="J57" s="56">
        <v>1</v>
      </c>
      <c r="K57" s="111">
        <v>6000</v>
      </c>
      <c r="L57" s="4">
        <v>6500</v>
      </c>
      <c r="M57" s="4">
        <v>6500</v>
      </c>
      <c r="N57" s="4">
        <v>6500</v>
      </c>
      <c r="O57" s="4">
        <v>6500</v>
      </c>
      <c r="P57" s="209">
        <f t="shared" si="0"/>
        <v>1263480</v>
      </c>
      <c r="Q57" s="209">
        <f t="shared" si="1"/>
        <v>39000000</v>
      </c>
      <c r="R57" s="209">
        <f t="shared" si="2"/>
        <v>42250000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2"/>
      <c r="AR57" s="2"/>
      <c r="AS57" s="2"/>
      <c r="AT57" s="2"/>
      <c r="AU57" s="2"/>
      <c r="AV57" s="2"/>
    </row>
    <row r="58" spans="1:48" hidden="1">
      <c r="A58" s="55">
        <v>56</v>
      </c>
      <c r="B58" s="55" t="s">
        <v>305</v>
      </c>
      <c r="C58" s="55" t="s">
        <v>306</v>
      </c>
      <c r="D58" s="55" t="s">
        <v>307</v>
      </c>
      <c r="E58" s="75" t="s">
        <v>160</v>
      </c>
      <c r="F58" s="217">
        <v>541272567710</v>
      </c>
      <c r="G58" s="215">
        <v>919004017</v>
      </c>
      <c r="H58" s="215" t="s">
        <v>49</v>
      </c>
      <c r="I58" s="56">
        <v>1008.55</v>
      </c>
      <c r="J58" s="56">
        <v>0.04</v>
      </c>
      <c r="K58" s="111">
        <v>200</v>
      </c>
      <c r="L58" s="4">
        <v>200</v>
      </c>
      <c r="M58" s="4">
        <v>200</v>
      </c>
      <c r="N58" s="4">
        <v>200</v>
      </c>
      <c r="O58" s="4">
        <v>200</v>
      </c>
      <c r="P58" s="209">
        <f t="shared" si="0"/>
        <v>201710</v>
      </c>
      <c r="Q58" s="209">
        <f t="shared" si="1"/>
        <v>40000</v>
      </c>
      <c r="R58" s="209">
        <f t="shared" si="2"/>
        <v>40000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2"/>
      <c r="AR58" s="2"/>
      <c r="AS58" s="2"/>
      <c r="AT58" s="2"/>
      <c r="AU58" s="2"/>
      <c r="AV58" s="2"/>
    </row>
    <row r="59" spans="1:48" hidden="1">
      <c r="A59" s="55">
        <v>57</v>
      </c>
      <c r="B59" s="55" t="s">
        <v>305</v>
      </c>
      <c r="C59" s="55" t="s">
        <v>306</v>
      </c>
      <c r="D59" s="55" t="s">
        <v>307</v>
      </c>
      <c r="E59" s="75" t="s">
        <v>160</v>
      </c>
      <c r="F59" s="217">
        <v>541272567711</v>
      </c>
      <c r="G59" s="215">
        <v>919004018</v>
      </c>
      <c r="H59" s="215" t="s">
        <v>50</v>
      </c>
      <c r="I59" s="56">
        <v>1008.55</v>
      </c>
      <c r="J59" s="56">
        <v>0.04</v>
      </c>
      <c r="K59" s="111">
        <v>200</v>
      </c>
      <c r="L59" s="4">
        <v>200</v>
      </c>
      <c r="M59" s="4">
        <v>200</v>
      </c>
      <c r="N59" s="4">
        <v>200</v>
      </c>
      <c r="O59" s="4">
        <v>200</v>
      </c>
      <c r="P59" s="209">
        <f t="shared" si="0"/>
        <v>201710</v>
      </c>
      <c r="Q59" s="209">
        <f t="shared" si="1"/>
        <v>40000</v>
      </c>
      <c r="R59" s="209">
        <f t="shared" si="2"/>
        <v>40000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2"/>
      <c r="AR59" s="2"/>
      <c r="AS59" s="2"/>
      <c r="AT59" s="2"/>
      <c r="AU59" s="2"/>
      <c r="AV59" s="2"/>
    </row>
    <row r="60" spans="1:48" hidden="1">
      <c r="A60" s="55">
        <v>58</v>
      </c>
      <c r="B60" s="55" t="s">
        <v>305</v>
      </c>
      <c r="C60" s="55" t="s">
        <v>306</v>
      </c>
      <c r="D60" s="55" t="s">
        <v>307</v>
      </c>
      <c r="E60" s="75" t="s">
        <v>160</v>
      </c>
      <c r="F60" s="217">
        <v>541273557719</v>
      </c>
      <c r="G60" s="215">
        <v>919004019</v>
      </c>
      <c r="H60" s="215" t="s">
        <v>51</v>
      </c>
      <c r="I60" s="56">
        <v>922.25</v>
      </c>
      <c r="J60" s="56">
        <v>0.04</v>
      </c>
      <c r="K60" s="111">
        <v>200</v>
      </c>
      <c r="L60" s="4">
        <v>200</v>
      </c>
      <c r="M60" s="4">
        <v>200</v>
      </c>
      <c r="N60" s="4">
        <v>200</v>
      </c>
      <c r="O60" s="4">
        <v>200</v>
      </c>
      <c r="P60" s="209">
        <f t="shared" si="0"/>
        <v>184450</v>
      </c>
      <c r="Q60" s="209">
        <f t="shared" si="1"/>
        <v>40000</v>
      </c>
      <c r="R60" s="209">
        <f t="shared" si="2"/>
        <v>40000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2"/>
      <c r="AR60" s="2"/>
      <c r="AS60" s="2"/>
      <c r="AT60" s="2"/>
      <c r="AU60" s="2"/>
      <c r="AV60" s="2"/>
    </row>
    <row r="61" spans="1:48" hidden="1">
      <c r="A61" s="55">
        <v>59</v>
      </c>
      <c r="B61" s="55" t="s">
        <v>305</v>
      </c>
      <c r="C61" s="55" t="s">
        <v>306</v>
      </c>
      <c r="D61" s="55" t="s">
        <v>307</v>
      </c>
      <c r="E61" s="75" t="s">
        <v>160</v>
      </c>
      <c r="F61" s="217">
        <v>541273557720</v>
      </c>
      <c r="G61" s="215">
        <v>919004020</v>
      </c>
      <c r="H61" s="215" t="s">
        <v>52</v>
      </c>
      <c r="I61" s="56">
        <v>905.69</v>
      </c>
      <c r="J61" s="56">
        <v>0.04</v>
      </c>
      <c r="K61" s="111">
        <v>200</v>
      </c>
      <c r="L61" s="4">
        <v>200</v>
      </c>
      <c r="M61" s="4">
        <v>200</v>
      </c>
      <c r="N61" s="4">
        <v>200</v>
      </c>
      <c r="O61" s="4">
        <v>200</v>
      </c>
      <c r="P61" s="209">
        <f t="shared" si="0"/>
        <v>181138</v>
      </c>
      <c r="Q61" s="209">
        <f t="shared" si="1"/>
        <v>40000</v>
      </c>
      <c r="R61" s="209">
        <f t="shared" si="2"/>
        <v>40000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2"/>
      <c r="AR61" s="2"/>
      <c r="AS61" s="2"/>
      <c r="AT61" s="2"/>
      <c r="AU61" s="2"/>
      <c r="AV61" s="2"/>
    </row>
    <row r="62" spans="1:48" hidden="1">
      <c r="A62" s="55">
        <v>60</v>
      </c>
      <c r="B62" s="55" t="s">
        <v>305</v>
      </c>
      <c r="C62" s="55" t="s">
        <v>306</v>
      </c>
      <c r="D62" s="55" t="s">
        <v>307</v>
      </c>
      <c r="E62" s="75" t="s">
        <v>160</v>
      </c>
      <c r="F62" s="218">
        <v>541272567703</v>
      </c>
      <c r="G62" s="219">
        <v>919004005</v>
      </c>
      <c r="H62" s="219" t="s">
        <v>53</v>
      </c>
      <c r="I62" s="56">
        <v>1037.8399999999999</v>
      </c>
      <c r="J62" s="56">
        <v>0.3</v>
      </c>
      <c r="K62" s="111">
        <v>2000</v>
      </c>
      <c r="L62" s="4">
        <v>2000</v>
      </c>
      <c r="M62" s="4">
        <v>2000</v>
      </c>
      <c r="N62" s="4">
        <v>2000</v>
      </c>
      <c r="O62" s="4">
        <v>2000</v>
      </c>
      <c r="P62" s="209">
        <f t="shared" si="0"/>
        <v>2075679.9999999998</v>
      </c>
      <c r="Q62" s="209">
        <f t="shared" si="1"/>
        <v>4000000</v>
      </c>
      <c r="R62" s="209">
        <f t="shared" si="2"/>
        <v>4000000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2"/>
      <c r="AR62" s="2"/>
      <c r="AS62" s="2"/>
      <c r="AT62" s="2"/>
      <c r="AU62" s="2"/>
      <c r="AV62" s="2"/>
    </row>
    <row r="63" spans="1:48" hidden="1">
      <c r="A63" s="55">
        <v>61</v>
      </c>
      <c r="B63" s="55" t="s">
        <v>305</v>
      </c>
      <c r="C63" s="55" t="s">
        <v>306</v>
      </c>
      <c r="D63" s="55" t="s">
        <v>307</v>
      </c>
      <c r="E63" s="75" t="s">
        <v>160</v>
      </c>
      <c r="F63" s="218">
        <v>541272567704</v>
      </c>
      <c r="G63" s="219">
        <v>919004006</v>
      </c>
      <c r="H63" s="219" t="s">
        <v>54</v>
      </c>
      <c r="I63" s="56">
        <v>1037.8399999999999</v>
      </c>
      <c r="J63" s="56">
        <v>0.3</v>
      </c>
      <c r="K63" s="111">
        <v>2000</v>
      </c>
      <c r="L63" s="4">
        <v>2000</v>
      </c>
      <c r="M63" s="4">
        <v>2000</v>
      </c>
      <c r="N63" s="4">
        <v>2000</v>
      </c>
      <c r="O63" s="4">
        <v>2000</v>
      </c>
      <c r="P63" s="209">
        <f t="shared" si="0"/>
        <v>2075679.9999999998</v>
      </c>
      <c r="Q63" s="209">
        <f t="shared" si="1"/>
        <v>4000000</v>
      </c>
      <c r="R63" s="209">
        <f t="shared" si="2"/>
        <v>4000000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2"/>
      <c r="AR63" s="2"/>
      <c r="AS63" s="2"/>
      <c r="AT63" s="2"/>
      <c r="AU63" s="2"/>
      <c r="AV63" s="2"/>
    </row>
    <row r="64" spans="1:48" hidden="1">
      <c r="A64" s="55">
        <v>62</v>
      </c>
      <c r="B64" s="55" t="s">
        <v>305</v>
      </c>
      <c r="C64" s="55" t="s">
        <v>306</v>
      </c>
      <c r="D64" s="55" t="s">
        <v>307</v>
      </c>
      <c r="E64" s="75" t="s">
        <v>160</v>
      </c>
      <c r="F64" s="218">
        <v>541273557703</v>
      </c>
      <c r="G64" s="219">
        <v>919004007</v>
      </c>
      <c r="H64" s="219" t="s">
        <v>55</v>
      </c>
      <c r="I64" s="56">
        <v>1112.29</v>
      </c>
      <c r="J64" s="56">
        <v>0.3</v>
      </c>
      <c r="K64" s="111">
        <v>2000</v>
      </c>
      <c r="L64" s="4">
        <v>2000</v>
      </c>
      <c r="M64" s="4">
        <v>2000</v>
      </c>
      <c r="N64" s="4">
        <v>2000</v>
      </c>
      <c r="O64" s="4">
        <v>2000</v>
      </c>
      <c r="P64" s="209">
        <f t="shared" si="0"/>
        <v>2224580</v>
      </c>
      <c r="Q64" s="209">
        <f t="shared" si="1"/>
        <v>4000000</v>
      </c>
      <c r="R64" s="209">
        <f t="shared" si="2"/>
        <v>4000000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2"/>
      <c r="AR64" s="2"/>
      <c r="AS64" s="2"/>
      <c r="AT64" s="2"/>
      <c r="AU64" s="2"/>
      <c r="AV64" s="2"/>
    </row>
    <row r="65" spans="1:48" hidden="1">
      <c r="A65" s="55">
        <v>63</v>
      </c>
      <c r="B65" s="55" t="s">
        <v>305</v>
      </c>
      <c r="C65" s="55" t="s">
        <v>306</v>
      </c>
      <c r="D65" s="55" t="s">
        <v>307</v>
      </c>
      <c r="E65" s="75" t="s">
        <v>160</v>
      </c>
      <c r="F65" s="218">
        <v>541273557704</v>
      </c>
      <c r="G65" s="219">
        <v>919004008</v>
      </c>
      <c r="H65" s="219" t="s">
        <v>56</v>
      </c>
      <c r="I65" s="56">
        <v>1112.29</v>
      </c>
      <c r="J65" s="56">
        <v>0.3</v>
      </c>
      <c r="K65" s="111">
        <v>2000</v>
      </c>
      <c r="L65" s="4">
        <v>2000</v>
      </c>
      <c r="M65" s="4">
        <v>2000</v>
      </c>
      <c r="N65" s="4">
        <v>2000</v>
      </c>
      <c r="O65" s="4">
        <v>2000</v>
      </c>
      <c r="P65" s="209">
        <f t="shared" si="0"/>
        <v>2224580</v>
      </c>
      <c r="Q65" s="209">
        <f t="shared" si="1"/>
        <v>4000000</v>
      </c>
      <c r="R65" s="209">
        <f t="shared" si="2"/>
        <v>4000000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2"/>
      <c r="AR65" s="2"/>
      <c r="AS65" s="2"/>
      <c r="AT65" s="2"/>
      <c r="AU65" s="2"/>
      <c r="AV65" s="2"/>
    </row>
    <row r="66" spans="1:48" hidden="1">
      <c r="A66" s="55">
        <v>64</v>
      </c>
      <c r="B66" s="55" t="s">
        <v>305</v>
      </c>
      <c r="C66" s="55" t="s">
        <v>306</v>
      </c>
      <c r="D66" s="55" t="s">
        <v>307</v>
      </c>
      <c r="E66" s="75" t="s">
        <v>160</v>
      </c>
      <c r="F66" s="220">
        <v>541272567708</v>
      </c>
      <c r="G66" s="221">
        <v>919004013</v>
      </c>
      <c r="H66" s="222" t="s">
        <v>57</v>
      </c>
      <c r="I66" s="56">
        <v>1483.68</v>
      </c>
      <c r="J66" s="56">
        <v>0.66</v>
      </c>
      <c r="K66" s="111">
        <v>4000</v>
      </c>
      <c r="L66" s="4">
        <v>4500</v>
      </c>
      <c r="M66" s="4">
        <v>4500</v>
      </c>
      <c r="N66" s="4">
        <v>4500</v>
      </c>
      <c r="O66" s="4">
        <v>4500</v>
      </c>
      <c r="P66" s="209">
        <f t="shared" si="0"/>
        <v>5934720</v>
      </c>
      <c r="Q66" s="209">
        <f t="shared" si="1"/>
        <v>18000000</v>
      </c>
      <c r="R66" s="209">
        <f t="shared" si="2"/>
        <v>20250000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2"/>
      <c r="AR66" s="2"/>
      <c r="AS66" s="2"/>
      <c r="AT66" s="2"/>
      <c r="AU66" s="2"/>
      <c r="AV66" s="2"/>
    </row>
    <row r="67" spans="1:48" hidden="1">
      <c r="A67" s="55">
        <v>65</v>
      </c>
      <c r="B67" s="55" t="s">
        <v>305</v>
      </c>
      <c r="C67" s="55" t="s">
        <v>306</v>
      </c>
      <c r="D67" s="55" t="s">
        <v>307</v>
      </c>
      <c r="E67" s="75" t="s">
        <v>160</v>
      </c>
      <c r="F67" s="220">
        <v>541272567709</v>
      </c>
      <c r="G67" s="221">
        <v>919004014</v>
      </c>
      <c r="H67" s="222" t="s">
        <v>58</v>
      </c>
      <c r="I67" s="56">
        <v>1483.68</v>
      </c>
      <c r="J67" s="56">
        <v>0.66</v>
      </c>
      <c r="K67" s="111">
        <v>4000</v>
      </c>
      <c r="L67" s="4">
        <v>4500</v>
      </c>
      <c r="M67" s="4">
        <v>4500</v>
      </c>
      <c r="N67" s="4">
        <v>4500</v>
      </c>
      <c r="O67" s="4">
        <v>4500</v>
      </c>
      <c r="P67" s="209">
        <f t="shared" ref="P67:P130" si="3">K67*I67</f>
        <v>5934720</v>
      </c>
      <c r="Q67" s="209">
        <f t="shared" ref="Q67:Q130" si="4">L67*K67</f>
        <v>18000000</v>
      </c>
      <c r="R67" s="209">
        <f t="shared" ref="R67:R130" si="5">M67*L67</f>
        <v>20250000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2"/>
      <c r="AR67" s="2"/>
      <c r="AS67" s="2"/>
      <c r="AT67" s="2"/>
      <c r="AU67" s="2"/>
      <c r="AV67" s="2"/>
    </row>
    <row r="68" spans="1:48" hidden="1">
      <c r="A68" s="55">
        <v>66</v>
      </c>
      <c r="B68" s="55" t="s">
        <v>305</v>
      </c>
      <c r="C68" s="55" t="s">
        <v>306</v>
      </c>
      <c r="D68" s="55" t="s">
        <v>307</v>
      </c>
      <c r="E68" s="75" t="s">
        <v>160</v>
      </c>
      <c r="F68" s="220">
        <v>541273557715</v>
      </c>
      <c r="G68" s="221">
        <v>919004015</v>
      </c>
      <c r="H68" s="222" t="s">
        <v>59</v>
      </c>
      <c r="I68" s="56">
        <v>1326.42</v>
      </c>
      <c r="J68" s="56">
        <v>0.66</v>
      </c>
      <c r="K68" s="111">
        <v>4000</v>
      </c>
      <c r="L68" s="4">
        <v>4500</v>
      </c>
      <c r="M68" s="4">
        <v>4500</v>
      </c>
      <c r="N68" s="4">
        <v>4500</v>
      </c>
      <c r="O68" s="4">
        <v>4500</v>
      </c>
      <c r="P68" s="209">
        <f t="shared" si="3"/>
        <v>5305680</v>
      </c>
      <c r="Q68" s="209">
        <f t="shared" si="4"/>
        <v>18000000</v>
      </c>
      <c r="R68" s="209">
        <f t="shared" si="5"/>
        <v>20250000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2"/>
      <c r="AR68" s="2"/>
      <c r="AS68" s="2"/>
      <c r="AT68" s="2"/>
      <c r="AU68" s="2"/>
      <c r="AV68" s="2"/>
    </row>
    <row r="69" spans="1:48" hidden="1">
      <c r="A69" s="55">
        <v>67</v>
      </c>
      <c r="B69" s="55" t="s">
        <v>305</v>
      </c>
      <c r="C69" s="55" t="s">
        <v>306</v>
      </c>
      <c r="D69" s="55" t="s">
        <v>307</v>
      </c>
      <c r="E69" s="75" t="s">
        <v>160</v>
      </c>
      <c r="F69" s="220">
        <v>541273557716</v>
      </c>
      <c r="G69" s="221">
        <v>919004016</v>
      </c>
      <c r="H69" s="222" t="s">
        <v>60</v>
      </c>
      <c r="I69" s="56">
        <v>1326.42</v>
      </c>
      <c r="J69" s="56">
        <v>0.66</v>
      </c>
      <c r="K69" s="111">
        <v>4000</v>
      </c>
      <c r="L69" s="4">
        <v>4500</v>
      </c>
      <c r="M69" s="4">
        <v>4500</v>
      </c>
      <c r="N69" s="4">
        <v>4500</v>
      </c>
      <c r="O69" s="4">
        <v>4500</v>
      </c>
      <c r="P69" s="209">
        <f t="shared" si="3"/>
        <v>5305680</v>
      </c>
      <c r="Q69" s="209">
        <f t="shared" si="4"/>
        <v>18000000</v>
      </c>
      <c r="R69" s="209">
        <f t="shared" si="5"/>
        <v>20250000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2"/>
      <c r="AR69" s="2"/>
      <c r="AS69" s="2"/>
      <c r="AT69" s="2"/>
      <c r="AU69" s="2"/>
      <c r="AV69" s="2"/>
    </row>
    <row r="70" spans="1:48" hidden="1">
      <c r="A70" s="55">
        <v>68</v>
      </c>
      <c r="B70" s="55" t="s">
        <v>305</v>
      </c>
      <c r="C70" s="55" t="s">
        <v>306</v>
      </c>
      <c r="D70" s="55" t="s">
        <v>307</v>
      </c>
      <c r="E70" s="75" t="s">
        <v>160</v>
      </c>
      <c r="F70" s="223">
        <v>541272557721</v>
      </c>
      <c r="G70" s="212">
        <v>919011009</v>
      </c>
      <c r="H70" s="224" t="s">
        <v>61</v>
      </c>
      <c r="I70" s="56">
        <v>119.64</v>
      </c>
      <c r="J70" s="56">
        <v>1</v>
      </c>
      <c r="K70" s="111">
        <v>6000</v>
      </c>
      <c r="L70" s="4">
        <v>6500</v>
      </c>
      <c r="M70" s="4">
        <v>6500</v>
      </c>
      <c r="N70" s="4">
        <v>6500</v>
      </c>
      <c r="O70" s="4">
        <v>6500</v>
      </c>
      <c r="P70" s="209">
        <f t="shared" si="3"/>
        <v>717840</v>
      </c>
      <c r="Q70" s="209">
        <f t="shared" si="4"/>
        <v>39000000</v>
      </c>
      <c r="R70" s="209">
        <f t="shared" si="5"/>
        <v>42250000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2"/>
      <c r="AR70" s="2"/>
      <c r="AS70" s="2"/>
      <c r="AT70" s="2"/>
      <c r="AU70" s="2"/>
      <c r="AV70" s="2"/>
    </row>
    <row r="71" spans="1:48" hidden="1">
      <c r="A71" s="55">
        <v>69</v>
      </c>
      <c r="B71" s="55" t="s">
        <v>305</v>
      </c>
      <c r="C71" s="55" t="s">
        <v>306</v>
      </c>
      <c r="D71" s="55" t="s">
        <v>307</v>
      </c>
      <c r="E71" s="75" t="s">
        <v>160</v>
      </c>
      <c r="F71" s="223">
        <v>541272557722</v>
      </c>
      <c r="G71" s="212">
        <v>919011010</v>
      </c>
      <c r="H71" s="224" t="s">
        <v>62</v>
      </c>
      <c r="I71" s="56">
        <v>108.97</v>
      </c>
      <c r="J71" s="56">
        <v>1</v>
      </c>
      <c r="K71" s="111">
        <v>6000</v>
      </c>
      <c r="L71" s="4">
        <v>6500</v>
      </c>
      <c r="M71" s="4">
        <v>6500</v>
      </c>
      <c r="N71" s="4">
        <v>6500</v>
      </c>
      <c r="O71" s="4">
        <v>6500</v>
      </c>
      <c r="P71" s="209">
        <f t="shared" si="3"/>
        <v>653820</v>
      </c>
      <c r="Q71" s="209">
        <f t="shared" si="4"/>
        <v>39000000</v>
      </c>
      <c r="R71" s="209">
        <f t="shared" si="5"/>
        <v>42250000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2"/>
      <c r="AR71" s="2"/>
      <c r="AS71" s="2"/>
      <c r="AT71" s="2"/>
      <c r="AU71" s="2"/>
      <c r="AV71" s="2"/>
    </row>
    <row r="72" spans="1:48" hidden="1">
      <c r="A72" s="55">
        <v>70</v>
      </c>
      <c r="B72" s="55" t="s">
        <v>305</v>
      </c>
      <c r="C72" s="55" t="s">
        <v>306</v>
      </c>
      <c r="D72" s="55" t="s">
        <v>307</v>
      </c>
      <c r="E72" s="75" t="s">
        <v>161</v>
      </c>
      <c r="F72" s="225" t="s">
        <v>63</v>
      </c>
      <c r="G72" s="38">
        <v>917124005</v>
      </c>
      <c r="H72" s="226" t="s">
        <v>64</v>
      </c>
      <c r="I72" s="56">
        <v>276.23</v>
      </c>
      <c r="J72" s="56"/>
      <c r="K72" s="111">
        <v>16891</v>
      </c>
      <c r="L72" s="94">
        <v>16528</v>
      </c>
      <c r="M72" s="94">
        <v>16528</v>
      </c>
      <c r="N72" s="94">
        <v>16528</v>
      </c>
      <c r="O72" s="94">
        <v>16078</v>
      </c>
      <c r="P72" s="209">
        <f t="shared" si="3"/>
        <v>4665800.9300000006</v>
      </c>
      <c r="Q72" s="209">
        <f t="shared" si="4"/>
        <v>279174448</v>
      </c>
      <c r="R72" s="209">
        <f t="shared" si="5"/>
        <v>273174784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2"/>
      <c r="AR72" s="2"/>
      <c r="AS72" s="2"/>
      <c r="AT72" s="2"/>
      <c r="AU72" s="2"/>
      <c r="AV72" s="2"/>
    </row>
    <row r="73" spans="1:48" hidden="1">
      <c r="A73" s="55">
        <v>71</v>
      </c>
      <c r="B73" s="55" t="s">
        <v>305</v>
      </c>
      <c r="C73" s="55" t="s">
        <v>306</v>
      </c>
      <c r="D73" s="55" t="s">
        <v>307</v>
      </c>
      <c r="E73" s="75" t="s">
        <v>161</v>
      </c>
      <c r="F73" s="225" t="s">
        <v>65</v>
      </c>
      <c r="G73" s="38">
        <v>917124006</v>
      </c>
      <c r="H73" s="226" t="s">
        <v>66</v>
      </c>
      <c r="I73" s="56">
        <v>276.23</v>
      </c>
      <c r="J73" s="56"/>
      <c r="K73" s="111">
        <v>16399</v>
      </c>
      <c r="L73" s="94">
        <v>16528</v>
      </c>
      <c r="M73" s="94">
        <v>16528</v>
      </c>
      <c r="N73" s="94">
        <v>16528</v>
      </c>
      <c r="O73" s="94">
        <v>16078</v>
      </c>
      <c r="P73" s="209">
        <f t="shared" si="3"/>
        <v>4529895.7700000005</v>
      </c>
      <c r="Q73" s="209">
        <f t="shared" si="4"/>
        <v>271042672</v>
      </c>
      <c r="R73" s="209">
        <f t="shared" si="5"/>
        <v>273174784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2"/>
      <c r="AR73" s="2"/>
      <c r="AS73" s="2"/>
      <c r="AT73" s="2"/>
      <c r="AU73" s="2"/>
      <c r="AV73" s="2"/>
    </row>
    <row r="74" spans="1:48" hidden="1">
      <c r="A74" s="55">
        <v>72</v>
      </c>
      <c r="B74" s="55" t="s">
        <v>305</v>
      </c>
      <c r="C74" s="55" t="s">
        <v>306</v>
      </c>
      <c r="D74" s="55" t="s">
        <v>307</v>
      </c>
      <c r="E74" s="75" t="s">
        <v>161</v>
      </c>
      <c r="F74" s="225" t="s">
        <v>67</v>
      </c>
      <c r="G74" s="38">
        <v>917124007</v>
      </c>
      <c r="H74" s="215" t="s">
        <v>68</v>
      </c>
      <c r="I74" s="56">
        <v>256.85000000000002</v>
      </c>
      <c r="J74" s="56"/>
      <c r="K74" s="111">
        <v>17515</v>
      </c>
      <c r="L74" s="94">
        <v>16528</v>
      </c>
      <c r="M74" s="94">
        <v>16528</v>
      </c>
      <c r="N74" s="94">
        <v>16528</v>
      </c>
      <c r="O74" s="94">
        <v>16078</v>
      </c>
      <c r="P74" s="209">
        <f t="shared" si="3"/>
        <v>4498727.75</v>
      </c>
      <c r="Q74" s="209">
        <f t="shared" si="4"/>
        <v>289487920</v>
      </c>
      <c r="R74" s="209">
        <f t="shared" si="5"/>
        <v>273174784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2"/>
      <c r="AR74" s="2"/>
      <c r="AS74" s="2"/>
      <c r="AT74" s="2"/>
      <c r="AU74" s="2"/>
      <c r="AV74" s="2"/>
    </row>
    <row r="75" spans="1:48" hidden="1">
      <c r="A75" s="55">
        <v>73</v>
      </c>
      <c r="B75" s="55" t="s">
        <v>305</v>
      </c>
      <c r="C75" s="55" t="s">
        <v>306</v>
      </c>
      <c r="D75" s="55" t="s">
        <v>307</v>
      </c>
      <c r="E75" s="75" t="s">
        <v>161</v>
      </c>
      <c r="F75" s="225" t="s">
        <v>69</v>
      </c>
      <c r="G75" s="38">
        <v>917124008</v>
      </c>
      <c r="H75" s="215" t="s">
        <v>70</v>
      </c>
      <c r="I75" s="56">
        <v>256.85000000000002</v>
      </c>
      <c r="J75" s="56"/>
      <c r="K75" s="111">
        <v>17852</v>
      </c>
      <c r="L75" s="94">
        <v>16528</v>
      </c>
      <c r="M75" s="94">
        <v>16528</v>
      </c>
      <c r="N75" s="94">
        <v>16528</v>
      </c>
      <c r="O75" s="94">
        <v>16078</v>
      </c>
      <c r="P75" s="209">
        <f t="shared" si="3"/>
        <v>4585286.2</v>
      </c>
      <c r="Q75" s="209">
        <f t="shared" si="4"/>
        <v>295057856</v>
      </c>
      <c r="R75" s="209">
        <f t="shared" si="5"/>
        <v>273174784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2"/>
      <c r="AR75" s="2"/>
      <c r="AS75" s="2"/>
      <c r="AT75" s="2"/>
      <c r="AU75" s="2"/>
      <c r="AV75" s="2"/>
    </row>
    <row r="76" spans="1:48" ht="20.149999999999999" hidden="1" customHeight="1">
      <c r="A76" s="55">
        <v>74</v>
      </c>
      <c r="B76" s="55" t="s">
        <v>305</v>
      </c>
      <c r="C76" s="55" t="s">
        <v>306</v>
      </c>
      <c r="D76" s="55" t="s">
        <v>307</v>
      </c>
      <c r="E76" s="75" t="s">
        <v>161</v>
      </c>
      <c r="F76" s="225" t="s">
        <v>71</v>
      </c>
      <c r="G76" s="38">
        <v>917104008</v>
      </c>
      <c r="H76" s="227" t="s">
        <v>49</v>
      </c>
      <c r="I76" s="56">
        <v>201.8</v>
      </c>
      <c r="J76" s="56"/>
      <c r="K76" s="111">
        <v>17245</v>
      </c>
      <c r="L76" s="94">
        <v>16528</v>
      </c>
      <c r="M76" s="94">
        <v>16528</v>
      </c>
      <c r="N76" s="94">
        <v>16528</v>
      </c>
      <c r="O76" s="94">
        <v>16078</v>
      </c>
      <c r="P76" s="209">
        <f t="shared" si="3"/>
        <v>3480041</v>
      </c>
      <c r="Q76" s="209">
        <f t="shared" si="4"/>
        <v>285025360</v>
      </c>
      <c r="R76" s="209">
        <f t="shared" si="5"/>
        <v>273174784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2"/>
      <c r="AR76" s="2"/>
      <c r="AS76" s="2"/>
      <c r="AT76" s="2"/>
      <c r="AU76" s="2"/>
      <c r="AV76" s="2"/>
    </row>
    <row r="77" spans="1:48" ht="20.149999999999999" hidden="1" customHeight="1">
      <c r="A77" s="55">
        <v>75</v>
      </c>
      <c r="B77" s="55" t="s">
        <v>305</v>
      </c>
      <c r="C77" s="55" t="s">
        <v>306</v>
      </c>
      <c r="D77" s="55" t="s">
        <v>307</v>
      </c>
      <c r="E77" s="75" t="s">
        <v>161</v>
      </c>
      <c r="F77" s="225" t="s">
        <v>72</v>
      </c>
      <c r="G77" s="38">
        <v>917104007</v>
      </c>
      <c r="H77" s="227" t="s">
        <v>50</v>
      </c>
      <c r="I77" s="56">
        <v>201.8</v>
      </c>
      <c r="J77" s="56"/>
      <c r="K77" s="111">
        <v>15742</v>
      </c>
      <c r="L77" s="94">
        <v>16528</v>
      </c>
      <c r="M77" s="94">
        <v>16528</v>
      </c>
      <c r="N77" s="94">
        <v>16528</v>
      </c>
      <c r="O77" s="94">
        <v>16078</v>
      </c>
      <c r="P77" s="209">
        <f t="shared" si="3"/>
        <v>3176735.6</v>
      </c>
      <c r="Q77" s="209">
        <f t="shared" si="4"/>
        <v>260183776</v>
      </c>
      <c r="R77" s="209">
        <f t="shared" si="5"/>
        <v>273174784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2"/>
      <c r="AR77" s="2"/>
      <c r="AS77" s="2"/>
      <c r="AT77" s="2"/>
      <c r="AU77" s="2"/>
      <c r="AV77" s="2"/>
    </row>
    <row r="78" spans="1:48" ht="20.149999999999999" hidden="1" customHeight="1">
      <c r="A78" s="55">
        <v>76</v>
      </c>
      <c r="B78" s="55" t="s">
        <v>305</v>
      </c>
      <c r="C78" s="55" t="s">
        <v>306</v>
      </c>
      <c r="D78" s="55" t="s">
        <v>307</v>
      </c>
      <c r="E78" s="75" t="s">
        <v>161</v>
      </c>
      <c r="F78" s="225" t="s">
        <v>73</v>
      </c>
      <c r="G78" s="38">
        <v>917104006</v>
      </c>
      <c r="H78" s="227" t="s">
        <v>51</v>
      </c>
      <c r="I78" s="56">
        <v>168.13</v>
      </c>
      <c r="J78" s="56"/>
      <c r="K78" s="111">
        <v>16086</v>
      </c>
      <c r="L78" s="94">
        <v>16528</v>
      </c>
      <c r="M78" s="94">
        <v>16528</v>
      </c>
      <c r="N78" s="94">
        <v>16528</v>
      </c>
      <c r="O78" s="94">
        <v>16078</v>
      </c>
      <c r="P78" s="209">
        <f t="shared" si="3"/>
        <v>2704539.1799999997</v>
      </c>
      <c r="Q78" s="209">
        <f t="shared" si="4"/>
        <v>265869408</v>
      </c>
      <c r="R78" s="209">
        <f t="shared" si="5"/>
        <v>273174784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2"/>
      <c r="AR78" s="2"/>
      <c r="AS78" s="2"/>
      <c r="AT78" s="2"/>
      <c r="AU78" s="2"/>
      <c r="AV78" s="2"/>
    </row>
    <row r="79" spans="1:48" ht="20.149999999999999" hidden="1" customHeight="1">
      <c r="A79" s="55">
        <v>77</v>
      </c>
      <c r="B79" s="55" t="s">
        <v>305</v>
      </c>
      <c r="C79" s="55" t="s">
        <v>306</v>
      </c>
      <c r="D79" s="55" t="s">
        <v>307</v>
      </c>
      <c r="E79" s="75" t="s">
        <v>161</v>
      </c>
      <c r="F79" s="225" t="s">
        <v>74</v>
      </c>
      <c r="G79" s="38">
        <v>917104005</v>
      </c>
      <c r="H79" s="227" t="s">
        <v>52</v>
      </c>
      <c r="I79" s="56">
        <v>168.13</v>
      </c>
      <c r="J79" s="56"/>
      <c r="K79" s="111">
        <v>16815</v>
      </c>
      <c r="L79" s="94">
        <v>16528</v>
      </c>
      <c r="M79" s="94">
        <v>16528</v>
      </c>
      <c r="N79" s="94">
        <v>16528</v>
      </c>
      <c r="O79" s="94">
        <v>16078</v>
      </c>
      <c r="P79" s="209">
        <f t="shared" si="3"/>
        <v>2827105.9499999997</v>
      </c>
      <c r="Q79" s="209">
        <f t="shared" si="4"/>
        <v>277918320</v>
      </c>
      <c r="R79" s="209">
        <f t="shared" si="5"/>
        <v>273174784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2"/>
      <c r="AR79" s="2"/>
      <c r="AS79" s="2"/>
      <c r="AT79" s="2"/>
      <c r="AU79" s="2"/>
      <c r="AV79" s="2"/>
    </row>
    <row r="80" spans="1:48" hidden="1">
      <c r="A80" s="55">
        <v>78</v>
      </c>
      <c r="B80" s="55" t="s">
        <v>305</v>
      </c>
      <c r="C80" s="55" t="s">
        <v>306</v>
      </c>
      <c r="D80" s="55" t="s">
        <v>307</v>
      </c>
      <c r="E80" s="75" t="s">
        <v>161</v>
      </c>
      <c r="F80" s="225" t="s">
        <v>75</v>
      </c>
      <c r="G80" s="38">
        <v>917110002</v>
      </c>
      <c r="H80" s="228" t="s">
        <v>76</v>
      </c>
      <c r="I80" s="56">
        <v>270.89</v>
      </c>
      <c r="J80" s="56"/>
      <c r="K80" s="111">
        <v>16124</v>
      </c>
      <c r="L80" s="94">
        <v>16528</v>
      </c>
      <c r="M80" s="94">
        <v>16528</v>
      </c>
      <c r="N80" s="94">
        <v>16528</v>
      </c>
      <c r="O80" s="94">
        <v>16078</v>
      </c>
      <c r="P80" s="209">
        <f t="shared" si="3"/>
        <v>4367830.3599999994</v>
      </c>
      <c r="Q80" s="209">
        <f t="shared" si="4"/>
        <v>266497472</v>
      </c>
      <c r="R80" s="209">
        <f t="shared" si="5"/>
        <v>273174784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2"/>
      <c r="AR80" s="2"/>
      <c r="AS80" s="2"/>
      <c r="AT80" s="2"/>
      <c r="AU80" s="2"/>
      <c r="AV80" s="2"/>
    </row>
    <row r="81" spans="1:48" hidden="1">
      <c r="A81" s="55">
        <v>79</v>
      </c>
      <c r="B81" s="55" t="s">
        <v>305</v>
      </c>
      <c r="C81" s="55" t="s">
        <v>306</v>
      </c>
      <c r="D81" s="55" t="s">
        <v>307</v>
      </c>
      <c r="E81" s="75" t="s">
        <v>162</v>
      </c>
      <c r="F81" s="217">
        <v>585872506318</v>
      </c>
      <c r="G81" s="229">
        <v>913304009</v>
      </c>
      <c r="H81" s="215" t="s">
        <v>77</v>
      </c>
      <c r="I81" s="56">
        <v>302.76</v>
      </c>
      <c r="J81" s="56"/>
      <c r="K81" s="111">
        <v>1483</v>
      </c>
      <c r="L81" s="4">
        <v>1202</v>
      </c>
      <c r="M81" s="4">
        <v>1051</v>
      </c>
      <c r="N81" s="4"/>
      <c r="O81" s="4"/>
      <c r="P81" s="209">
        <f t="shared" si="3"/>
        <v>448993.07999999996</v>
      </c>
      <c r="Q81" s="209">
        <f t="shared" si="4"/>
        <v>1782566</v>
      </c>
      <c r="R81" s="209">
        <f t="shared" si="5"/>
        <v>1263302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2"/>
      <c r="AR81" s="2"/>
      <c r="AS81" s="2"/>
      <c r="AT81" s="2"/>
      <c r="AU81" s="2"/>
      <c r="AV81" s="2"/>
    </row>
    <row r="82" spans="1:48" hidden="1">
      <c r="A82" s="55">
        <v>80</v>
      </c>
      <c r="B82" s="55" t="s">
        <v>305</v>
      </c>
      <c r="C82" s="55" t="s">
        <v>306</v>
      </c>
      <c r="D82" s="55" t="s">
        <v>307</v>
      </c>
      <c r="E82" s="75" t="s">
        <v>162</v>
      </c>
      <c r="F82" s="217">
        <v>585872506319</v>
      </c>
      <c r="G82" s="229">
        <v>913304010</v>
      </c>
      <c r="H82" s="215" t="s">
        <v>78</v>
      </c>
      <c r="I82" s="56">
        <v>302.76</v>
      </c>
      <c r="J82" s="56"/>
      <c r="K82" s="111">
        <v>1051</v>
      </c>
      <c r="L82" s="4">
        <v>1082</v>
      </c>
      <c r="M82" s="4">
        <v>1051</v>
      </c>
      <c r="N82" s="4"/>
      <c r="O82" s="4"/>
      <c r="P82" s="209">
        <f t="shared" si="3"/>
        <v>318200.76</v>
      </c>
      <c r="Q82" s="209">
        <f t="shared" si="4"/>
        <v>1137182</v>
      </c>
      <c r="R82" s="209">
        <f t="shared" si="5"/>
        <v>1137182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2"/>
      <c r="AR82" s="2"/>
      <c r="AS82" s="2"/>
      <c r="AT82" s="2"/>
      <c r="AU82" s="2"/>
      <c r="AV82" s="2"/>
    </row>
    <row r="83" spans="1:48" hidden="1">
      <c r="A83" s="55">
        <v>81</v>
      </c>
      <c r="B83" s="55" t="s">
        <v>305</v>
      </c>
      <c r="C83" s="55" t="s">
        <v>306</v>
      </c>
      <c r="D83" s="55" t="s">
        <v>307</v>
      </c>
      <c r="E83" s="75" t="s">
        <v>162</v>
      </c>
      <c r="F83" s="217">
        <v>585872506324</v>
      </c>
      <c r="G83" s="229">
        <v>913305007</v>
      </c>
      <c r="H83" s="215" t="s">
        <v>79</v>
      </c>
      <c r="I83" s="56">
        <v>107.16</v>
      </c>
      <c r="J83" s="56"/>
      <c r="K83" s="111">
        <v>1051</v>
      </c>
      <c r="L83" s="4">
        <v>1226</v>
      </c>
      <c r="M83" s="4">
        <v>1051</v>
      </c>
      <c r="N83" s="4"/>
      <c r="O83" s="4"/>
      <c r="P83" s="209">
        <f t="shared" si="3"/>
        <v>112625.16</v>
      </c>
      <c r="Q83" s="209">
        <f t="shared" si="4"/>
        <v>1288526</v>
      </c>
      <c r="R83" s="209">
        <f t="shared" si="5"/>
        <v>1288526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2"/>
      <c r="AR83" s="2"/>
      <c r="AS83" s="2"/>
      <c r="AT83" s="2"/>
      <c r="AU83" s="2"/>
      <c r="AV83" s="2"/>
    </row>
    <row r="84" spans="1:48" hidden="1">
      <c r="A84" s="55">
        <v>82</v>
      </c>
      <c r="B84" s="55" t="s">
        <v>305</v>
      </c>
      <c r="C84" s="55" t="s">
        <v>306</v>
      </c>
      <c r="D84" s="55" t="s">
        <v>307</v>
      </c>
      <c r="E84" s="75" t="s">
        <v>162</v>
      </c>
      <c r="F84" s="217">
        <v>585872506325</v>
      </c>
      <c r="G84" s="229">
        <v>913305008</v>
      </c>
      <c r="H84" s="215" t="s">
        <v>80</v>
      </c>
      <c r="I84" s="56">
        <v>107.16</v>
      </c>
      <c r="J84" s="56"/>
      <c r="K84" s="111">
        <v>1147</v>
      </c>
      <c r="L84" s="4">
        <v>1226</v>
      </c>
      <c r="M84" s="4">
        <v>1051</v>
      </c>
      <c r="N84" s="4"/>
      <c r="O84" s="4"/>
      <c r="P84" s="209">
        <f t="shared" si="3"/>
        <v>122912.51999999999</v>
      </c>
      <c r="Q84" s="209">
        <f t="shared" si="4"/>
        <v>1406222</v>
      </c>
      <c r="R84" s="209">
        <f t="shared" si="5"/>
        <v>1288526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2"/>
      <c r="AR84" s="2"/>
      <c r="AS84" s="2"/>
      <c r="AT84" s="2"/>
      <c r="AU84" s="2"/>
      <c r="AV84" s="2"/>
    </row>
    <row r="85" spans="1:48" hidden="1">
      <c r="A85" s="55">
        <v>83</v>
      </c>
      <c r="B85" s="55" t="s">
        <v>305</v>
      </c>
      <c r="C85" s="55" t="s">
        <v>306</v>
      </c>
      <c r="D85" s="55" t="s">
        <v>307</v>
      </c>
      <c r="E85" s="75" t="s">
        <v>162</v>
      </c>
      <c r="F85" s="217">
        <v>585872506320</v>
      </c>
      <c r="G85" s="229">
        <v>913305009</v>
      </c>
      <c r="H85" s="215" t="s">
        <v>81</v>
      </c>
      <c r="I85" s="56">
        <v>75.63</v>
      </c>
      <c r="J85" s="56"/>
      <c r="K85" s="111">
        <v>1291</v>
      </c>
      <c r="L85" s="4">
        <v>1202</v>
      </c>
      <c r="M85" s="4">
        <v>1051</v>
      </c>
      <c r="N85" s="4"/>
      <c r="O85" s="4"/>
      <c r="P85" s="209">
        <f t="shared" si="3"/>
        <v>97638.329999999987</v>
      </c>
      <c r="Q85" s="209">
        <f t="shared" si="4"/>
        <v>1551782</v>
      </c>
      <c r="R85" s="209">
        <f t="shared" si="5"/>
        <v>1263302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2"/>
      <c r="AR85" s="2"/>
      <c r="AS85" s="2"/>
      <c r="AT85" s="2"/>
      <c r="AU85" s="2"/>
      <c r="AV85" s="2"/>
    </row>
    <row r="86" spans="1:48" hidden="1">
      <c r="A86" s="55">
        <v>84</v>
      </c>
      <c r="B86" s="55" t="s">
        <v>305</v>
      </c>
      <c r="C86" s="55" t="s">
        <v>306</v>
      </c>
      <c r="D86" s="55" t="s">
        <v>307</v>
      </c>
      <c r="E86" s="75" t="s">
        <v>162</v>
      </c>
      <c r="F86" s="217">
        <v>585872506321</v>
      </c>
      <c r="G86" s="229">
        <v>913305010</v>
      </c>
      <c r="H86" s="215" t="s">
        <v>82</v>
      </c>
      <c r="I86" s="56">
        <v>75.63</v>
      </c>
      <c r="J86" s="56"/>
      <c r="K86" s="111">
        <v>1291</v>
      </c>
      <c r="L86" s="4">
        <v>1202</v>
      </c>
      <c r="M86" s="4">
        <v>1051</v>
      </c>
      <c r="N86" s="4"/>
      <c r="O86" s="4"/>
      <c r="P86" s="209">
        <f t="shared" si="3"/>
        <v>97638.329999999987</v>
      </c>
      <c r="Q86" s="209">
        <f t="shared" si="4"/>
        <v>1551782</v>
      </c>
      <c r="R86" s="209">
        <f t="shared" si="5"/>
        <v>1263302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2"/>
      <c r="AR86" s="2"/>
      <c r="AS86" s="2"/>
      <c r="AT86" s="2"/>
      <c r="AU86" s="2"/>
      <c r="AV86" s="2"/>
    </row>
    <row r="87" spans="1:48" hidden="1">
      <c r="A87" s="55">
        <v>85</v>
      </c>
      <c r="B87" s="55" t="s">
        <v>305</v>
      </c>
      <c r="C87" s="55" t="s">
        <v>306</v>
      </c>
      <c r="D87" s="55" t="s">
        <v>307</v>
      </c>
      <c r="E87" s="75" t="s">
        <v>162</v>
      </c>
      <c r="F87" s="217">
        <v>585867806303</v>
      </c>
      <c r="G87" s="229">
        <v>913309004</v>
      </c>
      <c r="H87" s="215" t="s">
        <v>83</v>
      </c>
      <c r="I87" s="56">
        <v>262.49</v>
      </c>
      <c r="J87" s="56"/>
      <c r="K87" s="111">
        <v>976</v>
      </c>
      <c r="L87" s="4">
        <v>1054</v>
      </c>
      <c r="M87" s="4">
        <v>856</v>
      </c>
      <c r="N87" s="4"/>
      <c r="O87" s="4"/>
      <c r="P87" s="209">
        <f t="shared" si="3"/>
        <v>256190.24000000002</v>
      </c>
      <c r="Q87" s="209">
        <f t="shared" si="4"/>
        <v>1028704</v>
      </c>
      <c r="R87" s="209">
        <f t="shared" si="5"/>
        <v>902224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2"/>
      <c r="AR87" s="2"/>
      <c r="AS87" s="2"/>
      <c r="AT87" s="2"/>
      <c r="AU87" s="2"/>
      <c r="AV87" s="2"/>
    </row>
    <row r="88" spans="1:48" hidden="1">
      <c r="A88" s="55">
        <v>86</v>
      </c>
      <c r="B88" s="55" t="s">
        <v>305</v>
      </c>
      <c r="C88" s="55" t="s">
        <v>306</v>
      </c>
      <c r="D88" s="55" t="s">
        <v>307</v>
      </c>
      <c r="E88" s="75" t="s">
        <v>162</v>
      </c>
      <c r="F88" s="217">
        <v>585872506314</v>
      </c>
      <c r="G88" s="229">
        <v>913301010</v>
      </c>
      <c r="H88" s="215" t="s">
        <v>84</v>
      </c>
      <c r="I88" s="56">
        <v>385.49</v>
      </c>
      <c r="J88" s="56"/>
      <c r="K88" s="111">
        <v>1291</v>
      </c>
      <c r="L88" s="4">
        <v>1202</v>
      </c>
      <c r="M88" s="4">
        <v>1051</v>
      </c>
      <c r="N88" s="4"/>
      <c r="O88" s="4"/>
      <c r="P88" s="209">
        <f t="shared" si="3"/>
        <v>497667.59</v>
      </c>
      <c r="Q88" s="209">
        <f t="shared" si="4"/>
        <v>1551782</v>
      </c>
      <c r="R88" s="209">
        <f t="shared" si="5"/>
        <v>1263302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2"/>
      <c r="AR88" s="2"/>
      <c r="AS88" s="2"/>
      <c r="AT88" s="2"/>
      <c r="AU88" s="2"/>
      <c r="AV88" s="2"/>
    </row>
    <row r="89" spans="1:48" hidden="1">
      <c r="A89" s="55">
        <v>87</v>
      </c>
      <c r="B89" s="55" t="s">
        <v>305</v>
      </c>
      <c r="C89" s="55" t="s">
        <v>306</v>
      </c>
      <c r="D89" s="55" t="s">
        <v>307</v>
      </c>
      <c r="E89" s="75" t="s">
        <v>162</v>
      </c>
      <c r="F89" s="217">
        <v>585872506315</v>
      </c>
      <c r="G89" s="229">
        <v>913301009</v>
      </c>
      <c r="H89" s="215" t="s">
        <v>85</v>
      </c>
      <c r="I89" s="56">
        <v>385.49</v>
      </c>
      <c r="J89" s="56"/>
      <c r="K89" s="111">
        <v>1099</v>
      </c>
      <c r="L89" s="4">
        <v>1226</v>
      </c>
      <c r="M89" s="4">
        <v>1051</v>
      </c>
      <c r="N89" s="4"/>
      <c r="O89" s="4"/>
      <c r="P89" s="209">
        <f t="shared" si="3"/>
        <v>423653.51</v>
      </c>
      <c r="Q89" s="209">
        <f t="shared" si="4"/>
        <v>1347374</v>
      </c>
      <c r="R89" s="209">
        <f t="shared" si="5"/>
        <v>1288526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2"/>
      <c r="AR89" s="2"/>
      <c r="AS89" s="2"/>
      <c r="AT89" s="2"/>
      <c r="AU89" s="2"/>
      <c r="AV89" s="2"/>
    </row>
    <row r="90" spans="1:48" hidden="1">
      <c r="A90" s="55">
        <v>88</v>
      </c>
      <c r="B90" s="55" t="s">
        <v>305</v>
      </c>
      <c r="C90" s="55" t="s">
        <v>306</v>
      </c>
      <c r="D90" s="55" t="s">
        <v>307</v>
      </c>
      <c r="E90" s="75" t="s">
        <v>162</v>
      </c>
      <c r="F90" s="217">
        <v>585872506316</v>
      </c>
      <c r="G90" s="229">
        <v>913301012</v>
      </c>
      <c r="H90" s="215" t="s">
        <v>86</v>
      </c>
      <c r="I90" s="56">
        <v>210.74</v>
      </c>
      <c r="J90" s="56"/>
      <c r="K90" s="111">
        <v>1339</v>
      </c>
      <c r="L90" s="4">
        <v>1226</v>
      </c>
      <c r="M90" s="4">
        <v>1051</v>
      </c>
      <c r="N90" s="4"/>
      <c r="O90" s="4"/>
      <c r="P90" s="209">
        <f t="shared" si="3"/>
        <v>282180.86</v>
      </c>
      <c r="Q90" s="209">
        <f t="shared" si="4"/>
        <v>1641614</v>
      </c>
      <c r="R90" s="209">
        <f t="shared" si="5"/>
        <v>1288526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2"/>
      <c r="AR90" s="2"/>
      <c r="AS90" s="2"/>
      <c r="AT90" s="2"/>
      <c r="AU90" s="2"/>
      <c r="AV90" s="2"/>
    </row>
    <row r="91" spans="1:48" hidden="1">
      <c r="A91" s="55">
        <v>89</v>
      </c>
      <c r="B91" s="55" t="s">
        <v>305</v>
      </c>
      <c r="C91" s="55" t="s">
        <v>306</v>
      </c>
      <c r="D91" s="55" t="s">
        <v>307</v>
      </c>
      <c r="E91" s="75" t="s">
        <v>162</v>
      </c>
      <c r="F91" s="217">
        <v>585872506317</v>
      </c>
      <c r="G91" s="229">
        <v>913301011</v>
      </c>
      <c r="H91" s="215" t="s">
        <v>87</v>
      </c>
      <c r="I91" s="56">
        <v>210.74</v>
      </c>
      <c r="J91" s="56"/>
      <c r="K91" s="111">
        <v>1051</v>
      </c>
      <c r="L91" s="4">
        <v>1202</v>
      </c>
      <c r="M91" s="4">
        <v>1051</v>
      </c>
      <c r="N91" s="4"/>
      <c r="O91" s="4"/>
      <c r="P91" s="209">
        <f t="shared" si="3"/>
        <v>221487.74000000002</v>
      </c>
      <c r="Q91" s="209">
        <f t="shared" si="4"/>
        <v>1263302</v>
      </c>
      <c r="R91" s="209">
        <f t="shared" si="5"/>
        <v>1263302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2"/>
      <c r="AR91" s="2"/>
      <c r="AS91" s="2"/>
      <c r="AT91" s="2"/>
      <c r="AU91" s="2"/>
      <c r="AV91" s="2"/>
    </row>
    <row r="92" spans="1:48" hidden="1">
      <c r="A92" s="55">
        <v>90</v>
      </c>
      <c r="B92" s="55" t="s">
        <v>305</v>
      </c>
      <c r="C92" s="55" t="s">
        <v>306</v>
      </c>
      <c r="D92" s="55" t="s">
        <v>307</v>
      </c>
      <c r="E92" s="75" t="s">
        <v>162</v>
      </c>
      <c r="F92" s="217">
        <v>585867106316</v>
      </c>
      <c r="G92" s="229">
        <v>913309003</v>
      </c>
      <c r="H92" s="215" t="s">
        <v>88</v>
      </c>
      <c r="I92" s="56">
        <v>128.26</v>
      </c>
      <c r="J92" s="56"/>
      <c r="K92" s="111">
        <v>1384</v>
      </c>
      <c r="L92" s="4">
        <v>1054</v>
      </c>
      <c r="M92" s="4">
        <v>856</v>
      </c>
      <c r="N92" s="4"/>
      <c r="O92" s="4"/>
      <c r="P92" s="209">
        <f t="shared" si="3"/>
        <v>177511.84</v>
      </c>
      <c r="Q92" s="209">
        <f t="shared" si="4"/>
        <v>1458736</v>
      </c>
      <c r="R92" s="209">
        <f t="shared" si="5"/>
        <v>902224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2"/>
      <c r="AR92" s="2"/>
      <c r="AS92" s="2"/>
      <c r="AT92" s="2"/>
      <c r="AU92" s="2"/>
      <c r="AV92" s="2"/>
    </row>
    <row r="93" spans="1:48" hidden="1">
      <c r="A93" s="55">
        <v>91</v>
      </c>
      <c r="B93" s="55" t="s">
        <v>305</v>
      </c>
      <c r="C93" s="55" t="s">
        <v>306</v>
      </c>
      <c r="D93" s="55" t="s">
        <v>307</v>
      </c>
      <c r="E93" s="75" t="s">
        <v>162</v>
      </c>
      <c r="F93" s="217">
        <v>585888406304</v>
      </c>
      <c r="G93" s="229">
        <v>913317010</v>
      </c>
      <c r="H93" s="215" t="s">
        <v>89</v>
      </c>
      <c r="I93" s="56">
        <v>32.450000000000003</v>
      </c>
      <c r="J93" s="56"/>
      <c r="K93" s="111">
        <v>1666</v>
      </c>
      <c r="L93" s="4">
        <v>1584</v>
      </c>
      <c r="M93" s="4">
        <v>1666</v>
      </c>
      <c r="N93" s="4"/>
      <c r="O93" s="4"/>
      <c r="P93" s="209">
        <f t="shared" si="3"/>
        <v>54061.700000000004</v>
      </c>
      <c r="Q93" s="209">
        <f t="shared" si="4"/>
        <v>2638944</v>
      </c>
      <c r="R93" s="209">
        <f t="shared" si="5"/>
        <v>2638944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2"/>
      <c r="AR93" s="2"/>
      <c r="AS93" s="2"/>
      <c r="AT93" s="2"/>
      <c r="AU93" s="2"/>
      <c r="AV93" s="2"/>
    </row>
    <row r="94" spans="1:48" hidden="1">
      <c r="A94" s="55">
        <v>92</v>
      </c>
      <c r="B94" s="55" t="s">
        <v>305</v>
      </c>
      <c r="C94" s="55" t="s">
        <v>306</v>
      </c>
      <c r="D94" s="55" t="s">
        <v>307</v>
      </c>
      <c r="E94" s="75" t="s">
        <v>162</v>
      </c>
      <c r="F94" s="217">
        <v>585888406305</v>
      </c>
      <c r="G94" s="229">
        <v>913317011</v>
      </c>
      <c r="H94" s="215" t="s">
        <v>90</v>
      </c>
      <c r="I94" s="56">
        <v>32.450000000000003</v>
      </c>
      <c r="J94" s="56"/>
      <c r="K94" s="111">
        <v>1666</v>
      </c>
      <c r="L94" s="4">
        <v>1584</v>
      </c>
      <c r="M94" s="4">
        <v>1666</v>
      </c>
      <c r="N94" s="4"/>
      <c r="O94" s="4"/>
      <c r="P94" s="209">
        <f t="shared" si="3"/>
        <v>54061.700000000004</v>
      </c>
      <c r="Q94" s="209">
        <f t="shared" si="4"/>
        <v>2638944</v>
      </c>
      <c r="R94" s="209">
        <f t="shared" si="5"/>
        <v>2638944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2"/>
      <c r="AR94" s="2"/>
      <c r="AS94" s="2"/>
      <c r="AT94" s="2"/>
      <c r="AU94" s="2"/>
      <c r="AV94" s="2"/>
    </row>
    <row r="95" spans="1:48" hidden="1">
      <c r="A95" s="55">
        <v>93</v>
      </c>
      <c r="B95" s="55" t="s">
        <v>305</v>
      </c>
      <c r="C95" s="55" t="s">
        <v>306</v>
      </c>
      <c r="D95" s="55" t="s">
        <v>307</v>
      </c>
      <c r="E95" s="75" t="s">
        <v>162</v>
      </c>
      <c r="F95" s="217">
        <v>585867106318</v>
      </c>
      <c r="G95" s="229">
        <v>913309005</v>
      </c>
      <c r="H95" s="215" t="s">
        <v>91</v>
      </c>
      <c r="I95" s="56">
        <v>132.46</v>
      </c>
      <c r="J95" s="56"/>
      <c r="K95" s="111">
        <v>195</v>
      </c>
      <c r="L95" s="4">
        <v>172</v>
      </c>
      <c r="M95" s="4">
        <v>195</v>
      </c>
      <c r="N95" s="4"/>
      <c r="O95" s="4"/>
      <c r="P95" s="209">
        <f t="shared" si="3"/>
        <v>25829.7</v>
      </c>
      <c r="Q95" s="209">
        <f t="shared" si="4"/>
        <v>33540</v>
      </c>
      <c r="R95" s="209">
        <f t="shared" si="5"/>
        <v>33540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2"/>
      <c r="AR95" s="2"/>
      <c r="AS95" s="2"/>
      <c r="AT95" s="2"/>
      <c r="AU95" s="2"/>
      <c r="AV95" s="2"/>
    </row>
    <row r="96" spans="1:48" hidden="1">
      <c r="A96" s="55">
        <v>94</v>
      </c>
      <c r="B96" s="55" t="s">
        <v>305</v>
      </c>
      <c r="C96" s="55" t="s">
        <v>306</v>
      </c>
      <c r="D96" s="55" t="s">
        <v>307</v>
      </c>
      <c r="E96" s="75" t="s">
        <v>162</v>
      </c>
      <c r="F96" s="217">
        <v>585867806304</v>
      </c>
      <c r="G96" s="229">
        <v>913309006</v>
      </c>
      <c r="H96" s="215" t="s">
        <v>92</v>
      </c>
      <c r="I96" s="56">
        <v>272.58</v>
      </c>
      <c r="J96" s="56"/>
      <c r="K96" s="111">
        <v>195</v>
      </c>
      <c r="L96" s="4">
        <v>172</v>
      </c>
      <c r="M96" s="4">
        <v>195</v>
      </c>
      <c r="N96" s="4"/>
      <c r="O96" s="4"/>
      <c r="P96" s="209">
        <f t="shared" si="3"/>
        <v>53153.1</v>
      </c>
      <c r="Q96" s="209">
        <f t="shared" si="4"/>
        <v>33540</v>
      </c>
      <c r="R96" s="209">
        <f t="shared" si="5"/>
        <v>33540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2"/>
      <c r="AR96" s="2"/>
      <c r="AS96" s="2"/>
      <c r="AT96" s="2"/>
      <c r="AU96" s="2"/>
      <c r="AV96" s="2"/>
    </row>
    <row r="97" spans="1:48" ht="20.149999999999999" hidden="1" customHeight="1">
      <c r="A97" s="55">
        <v>95</v>
      </c>
      <c r="B97" s="55" t="s">
        <v>305</v>
      </c>
      <c r="C97" s="55" t="s">
        <v>306</v>
      </c>
      <c r="D97" s="55" t="s">
        <v>307</v>
      </c>
      <c r="E97" s="75" t="s">
        <v>162</v>
      </c>
      <c r="F97" s="217">
        <v>585872506322</v>
      </c>
      <c r="G97" s="229">
        <v>913317014</v>
      </c>
      <c r="H97" s="230" t="s">
        <v>93</v>
      </c>
      <c r="I97" s="56">
        <v>60.36</v>
      </c>
      <c r="J97" s="56"/>
      <c r="K97" s="111">
        <v>0</v>
      </c>
      <c r="L97" s="4">
        <v>0</v>
      </c>
      <c r="M97" s="4">
        <v>0</v>
      </c>
      <c r="N97" s="4"/>
      <c r="O97" s="4"/>
      <c r="P97" s="209">
        <f t="shared" si="3"/>
        <v>0</v>
      </c>
      <c r="Q97" s="209">
        <f t="shared" si="4"/>
        <v>0</v>
      </c>
      <c r="R97" s="209">
        <f t="shared" si="5"/>
        <v>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2"/>
      <c r="AR97" s="2"/>
      <c r="AS97" s="2"/>
      <c r="AT97" s="2"/>
      <c r="AU97" s="2"/>
      <c r="AV97" s="2"/>
    </row>
    <row r="98" spans="1:48" ht="20.149999999999999" hidden="1" customHeight="1">
      <c r="A98" s="55">
        <v>96</v>
      </c>
      <c r="B98" s="55" t="s">
        <v>305</v>
      </c>
      <c r="C98" s="55" t="s">
        <v>306</v>
      </c>
      <c r="D98" s="55" t="s">
        <v>307</v>
      </c>
      <c r="E98" s="75" t="s">
        <v>162</v>
      </c>
      <c r="F98" s="217">
        <v>585872506323</v>
      </c>
      <c r="G98" s="229">
        <v>913317015</v>
      </c>
      <c r="H98" s="230" t="s">
        <v>94</v>
      </c>
      <c r="I98" s="56">
        <v>60.35</v>
      </c>
      <c r="J98" s="56"/>
      <c r="K98" s="111">
        <v>0</v>
      </c>
      <c r="L98" s="4">
        <v>0</v>
      </c>
      <c r="M98" s="4">
        <v>0</v>
      </c>
      <c r="N98" s="4"/>
      <c r="O98" s="4"/>
      <c r="P98" s="209">
        <f t="shared" si="3"/>
        <v>0</v>
      </c>
      <c r="Q98" s="209">
        <f t="shared" si="4"/>
        <v>0</v>
      </c>
      <c r="R98" s="209">
        <f t="shared" si="5"/>
        <v>0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2"/>
      <c r="AR98" s="2"/>
      <c r="AS98" s="2"/>
      <c r="AT98" s="2"/>
      <c r="AU98" s="2"/>
      <c r="AV98" s="2"/>
    </row>
    <row r="99" spans="1:48" hidden="1">
      <c r="A99" s="55">
        <v>97</v>
      </c>
      <c r="B99" s="55" t="s">
        <v>305</v>
      </c>
      <c r="C99" s="55" t="s">
        <v>306</v>
      </c>
      <c r="D99" s="55" t="s">
        <v>308</v>
      </c>
      <c r="E99" s="75" t="s">
        <v>294</v>
      </c>
      <c r="F99" s="216">
        <v>281681106315</v>
      </c>
      <c r="G99" s="55">
        <v>913301008</v>
      </c>
      <c r="H99" s="231" t="s">
        <v>95</v>
      </c>
      <c r="I99" s="56">
        <v>140.03</v>
      </c>
      <c r="J99" s="56"/>
      <c r="K99" s="111">
        <v>600</v>
      </c>
      <c r="L99" s="4">
        <v>500</v>
      </c>
      <c r="M99" s="4">
        <v>500</v>
      </c>
      <c r="N99" s="4"/>
      <c r="O99" s="4"/>
      <c r="P99" s="209">
        <f t="shared" si="3"/>
        <v>84018</v>
      </c>
      <c r="Q99" s="209">
        <f t="shared" si="4"/>
        <v>300000</v>
      </c>
      <c r="R99" s="209">
        <f t="shared" si="5"/>
        <v>250000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2"/>
      <c r="AR99" s="2"/>
      <c r="AS99" s="2"/>
      <c r="AT99" s="2"/>
      <c r="AU99" s="2"/>
      <c r="AV99" s="2"/>
    </row>
    <row r="100" spans="1:48" hidden="1">
      <c r="A100" s="55">
        <v>98</v>
      </c>
      <c r="B100" s="55" t="s">
        <v>305</v>
      </c>
      <c r="C100" s="55" t="s">
        <v>306</v>
      </c>
      <c r="D100" s="55" t="s">
        <v>308</v>
      </c>
      <c r="E100" s="75" t="s">
        <v>294</v>
      </c>
      <c r="F100" s="216">
        <v>281681106316</v>
      </c>
      <c r="G100" s="55">
        <v>913301007</v>
      </c>
      <c r="H100" s="231" t="s">
        <v>96</v>
      </c>
      <c r="I100" s="56">
        <v>140.03</v>
      </c>
      <c r="J100" s="56"/>
      <c r="K100" s="111">
        <v>600</v>
      </c>
      <c r="L100" s="4">
        <v>500</v>
      </c>
      <c r="M100" s="4">
        <v>500</v>
      </c>
      <c r="N100" s="4"/>
      <c r="O100" s="4"/>
      <c r="P100" s="209">
        <f t="shared" si="3"/>
        <v>84018</v>
      </c>
      <c r="Q100" s="209">
        <f t="shared" si="4"/>
        <v>300000</v>
      </c>
      <c r="R100" s="209">
        <f t="shared" si="5"/>
        <v>250000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2"/>
      <c r="AR100" s="2"/>
      <c r="AS100" s="2"/>
      <c r="AT100" s="2"/>
      <c r="AU100" s="2"/>
      <c r="AV100" s="2"/>
    </row>
    <row r="101" spans="1:48" hidden="1">
      <c r="A101" s="55">
        <v>99</v>
      </c>
      <c r="B101" s="55" t="s">
        <v>305</v>
      </c>
      <c r="C101" s="55" t="s">
        <v>306</v>
      </c>
      <c r="D101" s="55" t="s">
        <v>308</v>
      </c>
      <c r="E101" s="75" t="s">
        <v>294</v>
      </c>
      <c r="F101" s="216">
        <v>281667106301</v>
      </c>
      <c r="G101" s="55">
        <v>913309001</v>
      </c>
      <c r="H101" s="231" t="s">
        <v>97</v>
      </c>
      <c r="I101" s="56">
        <v>335.42</v>
      </c>
      <c r="J101" s="56"/>
      <c r="K101" s="111">
        <v>800</v>
      </c>
      <c r="L101" s="4">
        <v>500</v>
      </c>
      <c r="M101" s="4">
        <v>500</v>
      </c>
      <c r="N101" s="4"/>
      <c r="O101" s="4"/>
      <c r="P101" s="209">
        <f t="shared" si="3"/>
        <v>268336</v>
      </c>
      <c r="Q101" s="209">
        <f t="shared" si="4"/>
        <v>400000</v>
      </c>
      <c r="R101" s="209">
        <f t="shared" si="5"/>
        <v>250000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2"/>
      <c r="AR101" s="2"/>
      <c r="AS101" s="2"/>
      <c r="AT101" s="2"/>
      <c r="AU101" s="2"/>
      <c r="AV101" s="2"/>
    </row>
    <row r="102" spans="1:48" hidden="1">
      <c r="A102" s="55">
        <v>100</v>
      </c>
      <c r="B102" s="55" t="s">
        <v>305</v>
      </c>
      <c r="C102" s="55" t="s">
        <v>306</v>
      </c>
      <c r="D102" s="55" t="s">
        <v>308</v>
      </c>
      <c r="E102" s="75" t="s">
        <v>294</v>
      </c>
      <c r="F102" s="216">
        <v>281672500105</v>
      </c>
      <c r="G102" s="55">
        <v>913305002</v>
      </c>
      <c r="H102" s="231" t="s">
        <v>98</v>
      </c>
      <c r="I102" s="120">
        <v>101.66</v>
      </c>
      <c r="J102" s="120"/>
      <c r="K102" s="111">
        <v>0</v>
      </c>
      <c r="L102" s="4">
        <v>0</v>
      </c>
      <c r="M102" s="4">
        <v>0</v>
      </c>
      <c r="N102" s="4"/>
      <c r="O102" s="4"/>
      <c r="P102" s="209">
        <f t="shared" si="3"/>
        <v>0</v>
      </c>
      <c r="Q102" s="209">
        <f t="shared" si="4"/>
        <v>0</v>
      </c>
      <c r="R102" s="209">
        <f t="shared" si="5"/>
        <v>0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2"/>
      <c r="AR102" s="2"/>
      <c r="AS102" s="2"/>
      <c r="AT102" s="2"/>
      <c r="AU102" s="2"/>
      <c r="AV102" s="2"/>
    </row>
    <row r="103" spans="1:48" hidden="1">
      <c r="A103" s="55">
        <v>101</v>
      </c>
      <c r="B103" s="55" t="s">
        <v>305</v>
      </c>
      <c r="C103" s="55" t="s">
        <v>306</v>
      </c>
      <c r="D103" s="55" t="s">
        <v>308</v>
      </c>
      <c r="E103" s="75" t="s">
        <v>294</v>
      </c>
      <c r="F103" s="216">
        <v>281672500106</v>
      </c>
      <c r="G103" s="55">
        <v>913305001</v>
      </c>
      <c r="H103" s="231" t="s">
        <v>99</v>
      </c>
      <c r="I103" s="120">
        <v>101.66</v>
      </c>
      <c r="J103" s="120"/>
      <c r="K103" s="111">
        <v>0</v>
      </c>
      <c r="L103" s="4">
        <v>0</v>
      </c>
      <c r="M103" s="4">
        <v>0</v>
      </c>
      <c r="N103" s="4"/>
      <c r="O103" s="4"/>
      <c r="P103" s="209">
        <f t="shared" si="3"/>
        <v>0</v>
      </c>
      <c r="Q103" s="209">
        <f t="shared" si="4"/>
        <v>0</v>
      </c>
      <c r="R103" s="209">
        <f t="shared" si="5"/>
        <v>0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2"/>
      <c r="AR103" s="2"/>
      <c r="AS103" s="2"/>
      <c r="AT103" s="2"/>
      <c r="AU103" s="2"/>
      <c r="AV103" s="2"/>
    </row>
    <row r="104" spans="1:48" hidden="1">
      <c r="A104" s="55">
        <v>102</v>
      </c>
      <c r="B104" s="55" t="s">
        <v>305</v>
      </c>
      <c r="C104" s="55" t="s">
        <v>306</v>
      </c>
      <c r="D104" s="55" t="s">
        <v>308</v>
      </c>
      <c r="E104" s="75" t="s">
        <v>294</v>
      </c>
      <c r="F104" s="216">
        <v>281667806301</v>
      </c>
      <c r="G104" s="55">
        <v>913310001</v>
      </c>
      <c r="H104" s="231" t="s">
        <v>100</v>
      </c>
      <c r="I104" s="56">
        <v>519.69000000000005</v>
      </c>
      <c r="J104" s="56"/>
      <c r="K104" s="111">
        <v>700</v>
      </c>
      <c r="L104" s="4">
        <v>500</v>
      </c>
      <c r="M104" s="4">
        <v>500</v>
      </c>
      <c r="N104" s="4"/>
      <c r="O104" s="4"/>
      <c r="P104" s="209">
        <f t="shared" si="3"/>
        <v>363783.00000000006</v>
      </c>
      <c r="Q104" s="209">
        <f t="shared" si="4"/>
        <v>350000</v>
      </c>
      <c r="R104" s="209">
        <f t="shared" si="5"/>
        <v>250000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2"/>
      <c r="AR104" s="2"/>
      <c r="AS104" s="2"/>
      <c r="AT104" s="2"/>
      <c r="AU104" s="2"/>
      <c r="AV104" s="2"/>
    </row>
    <row r="105" spans="1:48" hidden="1">
      <c r="A105" s="55">
        <v>103</v>
      </c>
      <c r="B105" s="55" t="s">
        <v>305</v>
      </c>
      <c r="C105" s="55" t="s">
        <v>306</v>
      </c>
      <c r="D105" s="55" t="s">
        <v>308</v>
      </c>
      <c r="E105" s="75" t="s">
        <v>294</v>
      </c>
      <c r="F105" s="216">
        <v>281667806302</v>
      </c>
      <c r="G105" s="55">
        <v>913310002</v>
      </c>
      <c r="H105" s="231" t="s">
        <v>101</v>
      </c>
      <c r="I105" s="56">
        <v>969.64</v>
      </c>
      <c r="J105" s="56"/>
      <c r="K105" s="111">
        <v>100</v>
      </c>
      <c r="L105" s="4">
        <v>50</v>
      </c>
      <c r="M105" s="4">
        <v>100</v>
      </c>
      <c r="N105" s="4"/>
      <c r="O105" s="4"/>
      <c r="P105" s="209">
        <f t="shared" si="3"/>
        <v>96964</v>
      </c>
      <c r="Q105" s="209">
        <f t="shared" si="4"/>
        <v>5000</v>
      </c>
      <c r="R105" s="209">
        <f t="shared" si="5"/>
        <v>5000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2"/>
      <c r="AR105" s="2"/>
      <c r="AS105" s="2"/>
      <c r="AT105" s="2"/>
      <c r="AU105" s="2"/>
      <c r="AV105" s="2"/>
    </row>
    <row r="106" spans="1:48" hidden="1">
      <c r="A106" s="55">
        <v>104</v>
      </c>
      <c r="B106" s="55" t="s">
        <v>305</v>
      </c>
      <c r="C106" s="55" t="s">
        <v>306</v>
      </c>
      <c r="D106" s="55" t="s">
        <v>308</v>
      </c>
      <c r="E106" s="75" t="s">
        <v>294</v>
      </c>
      <c r="F106" s="216">
        <v>281667306301</v>
      </c>
      <c r="G106" s="55">
        <v>913313002</v>
      </c>
      <c r="H106" s="231" t="s">
        <v>102</v>
      </c>
      <c r="I106" s="56">
        <v>312.99</v>
      </c>
      <c r="J106" s="56"/>
      <c r="K106" s="111">
        <v>100</v>
      </c>
      <c r="L106" s="4">
        <v>50</v>
      </c>
      <c r="M106" s="4">
        <v>50</v>
      </c>
      <c r="N106" s="4"/>
      <c r="O106" s="4"/>
      <c r="P106" s="209">
        <f t="shared" si="3"/>
        <v>31299</v>
      </c>
      <c r="Q106" s="209">
        <f t="shared" si="4"/>
        <v>5000</v>
      </c>
      <c r="R106" s="209">
        <f t="shared" si="5"/>
        <v>2500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2"/>
      <c r="AR106" s="2"/>
      <c r="AS106" s="2"/>
      <c r="AT106" s="2"/>
      <c r="AU106" s="2"/>
      <c r="AV106" s="2"/>
    </row>
    <row r="107" spans="1:48" hidden="1">
      <c r="A107" s="55">
        <v>105</v>
      </c>
      <c r="B107" s="55" t="s">
        <v>305</v>
      </c>
      <c r="C107" s="55" t="s">
        <v>306</v>
      </c>
      <c r="D107" s="55" t="s">
        <v>308</v>
      </c>
      <c r="E107" s="75" t="s">
        <v>294</v>
      </c>
      <c r="F107" s="216">
        <v>281667306302</v>
      </c>
      <c r="G107" s="55">
        <v>913313001</v>
      </c>
      <c r="H107" s="231" t="s">
        <v>103</v>
      </c>
      <c r="I107" s="56">
        <v>312.99</v>
      </c>
      <c r="J107" s="56"/>
      <c r="K107" s="111">
        <v>100</v>
      </c>
      <c r="L107" s="4">
        <v>50</v>
      </c>
      <c r="M107" s="4">
        <v>50</v>
      </c>
      <c r="N107" s="4"/>
      <c r="O107" s="4"/>
      <c r="P107" s="209">
        <f t="shared" si="3"/>
        <v>31299</v>
      </c>
      <c r="Q107" s="209">
        <f t="shared" si="4"/>
        <v>5000</v>
      </c>
      <c r="R107" s="209">
        <f t="shared" si="5"/>
        <v>2500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2"/>
      <c r="AR107" s="2"/>
      <c r="AS107" s="2"/>
      <c r="AT107" s="2"/>
      <c r="AU107" s="2"/>
      <c r="AV107" s="2"/>
    </row>
    <row r="108" spans="1:48" hidden="1">
      <c r="A108" s="55">
        <v>106</v>
      </c>
      <c r="B108" s="55" t="s">
        <v>305</v>
      </c>
      <c r="C108" s="55" t="s">
        <v>306</v>
      </c>
      <c r="D108" s="55" t="s">
        <v>308</v>
      </c>
      <c r="E108" s="75" t="s">
        <v>294</v>
      </c>
      <c r="F108" s="216">
        <v>281681106313</v>
      </c>
      <c r="G108" s="55">
        <v>913301006</v>
      </c>
      <c r="H108" s="231" t="s">
        <v>104</v>
      </c>
      <c r="I108" s="56">
        <v>409.77</v>
      </c>
      <c r="J108" s="56"/>
      <c r="K108" s="111">
        <v>600</v>
      </c>
      <c r="L108" s="4">
        <v>500</v>
      </c>
      <c r="M108" s="4">
        <v>500</v>
      </c>
      <c r="N108" s="4"/>
      <c r="O108" s="4"/>
      <c r="P108" s="209">
        <f t="shared" si="3"/>
        <v>245862</v>
      </c>
      <c r="Q108" s="209">
        <f t="shared" si="4"/>
        <v>300000</v>
      </c>
      <c r="R108" s="209">
        <f t="shared" si="5"/>
        <v>250000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2"/>
      <c r="AR108" s="2"/>
      <c r="AS108" s="2"/>
      <c r="AT108" s="2"/>
      <c r="AU108" s="2"/>
      <c r="AV108" s="2"/>
    </row>
    <row r="109" spans="1:48" hidden="1">
      <c r="A109" s="55">
        <v>107</v>
      </c>
      <c r="B109" s="55" t="s">
        <v>305</v>
      </c>
      <c r="C109" s="55" t="s">
        <v>306</v>
      </c>
      <c r="D109" s="55" t="s">
        <v>308</v>
      </c>
      <c r="E109" s="75" t="s">
        <v>294</v>
      </c>
      <c r="F109" s="216">
        <v>281681106314</v>
      </c>
      <c r="G109" s="55">
        <v>913301005</v>
      </c>
      <c r="H109" s="231" t="s">
        <v>105</v>
      </c>
      <c r="I109" s="56">
        <v>409.77</v>
      </c>
      <c r="J109" s="56"/>
      <c r="K109" s="111">
        <v>600</v>
      </c>
      <c r="L109" s="4">
        <v>500</v>
      </c>
      <c r="M109" s="4">
        <v>500</v>
      </c>
      <c r="N109" s="4"/>
      <c r="O109" s="4"/>
      <c r="P109" s="209">
        <f t="shared" si="3"/>
        <v>245862</v>
      </c>
      <c r="Q109" s="209">
        <f t="shared" si="4"/>
        <v>300000</v>
      </c>
      <c r="R109" s="209">
        <f t="shared" si="5"/>
        <v>250000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2"/>
      <c r="AR109" s="2"/>
      <c r="AS109" s="2"/>
      <c r="AT109" s="2"/>
      <c r="AU109" s="2"/>
      <c r="AV109" s="2"/>
    </row>
    <row r="110" spans="1:48" hidden="1">
      <c r="A110" s="55">
        <v>108</v>
      </c>
      <c r="B110" s="55" t="s">
        <v>305</v>
      </c>
      <c r="C110" s="55" t="s">
        <v>306</v>
      </c>
      <c r="D110" s="55" t="s">
        <v>308</v>
      </c>
      <c r="E110" s="75" t="s">
        <v>294</v>
      </c>
      <c r="F110" s="216">
        <v>281681106309</v>
      </c>
      <c r="G110" s="55">
        <v>913306007</v>
      </c>
      <c r="H110" s="231" t="s">
        <v>106</v>
      </c>
      <c r="I110" s="56">
        <v>170.53</v>
      </c>
      <c r="J110" s="56"/>
      <c r="K110" s="111">
        <v>100</v>
      </c>
      <c r="L110" s="4">
        <v>100</v>
      </c>
      <c r="M110" s="4">
        <v>100</v>
      </c>
      <c r="N110" s="4"/>
      <c r="O110" s="4"/>
      <c r="P110" s="209">
        <f t="shared" si="3"/>
        <v>17053</v>
      </c>
      <c r="Q110" s="209">
        <f t="shared" si="4"/>
        <v>10000</v>
      </c>
      <c r="R110" s="209">
        <f t="shared" si="5"/>
        <v>10000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2"/>
      <c r="AR110" s="2"/>
      <c r="AS110" s="2"/>
      <c r="AT110" s="2"/>
      <c r="AU110" s="2"/>
      <c r="AV110" s="2"/>
    </row>
    <row r="111" spans="1:48" hidden="1">
      <c r="A111" s="55">
        <v>109</v>
      </c>
      <c r="B111" s="55" t="s">
        <v>305</v>
      </c>
      <c r="C111" s="55" t="s">
        <v>306</v>
      </c>
      <c r="D111" s="55" t="s">
        <v>308</v>
      </c>
      <c r="E111" s="75" t="s">
        <v>294</v>
      </c>
      <c r="F111" s="216">
        <v>281675506302</v>
      </c>
      <c r="G111" s="55">
        <v>913317002</v>
      </c>
      <c r="H111" s="231" t="s">
        <v>107</v>
      </c>
      <c r="I111" s="56">
        <v>112.82</v>
      </c>
      <c r="J111" s="56"/>
      <c r="K111" s="111">
        <v>100</v>
      </c>
      <c r="L111" s="4">
        <v>100</v>
      </c>
      <c r="M111" s="4">
        <v>100</v>
      </c>
      <c r="N111" s="4"/>
      <c r="O111" s="4"/>
      <c r="P111" s="209">
        <f t="shared" si="3"/>
        <v>11282</v>
      </c>
      <c r="Q111" s="209">
        <f t="shared" si="4"/>
        <v>10000</v>
      </c>
      <c r="R111" s="209">
        <f t="shared" si="5"/>
        <v>10000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2"/>
      <c r="AR111" s="2"/>
      <c r="AS111" s="2"/>
      <c r="AT111" s="2"/>
      <c r="AU111" s="2"/>
      <c r="AV111" s="2"/>
    </row>
    <row r="112" spans="1:48" hidden="1">
      <c r="A112" s="55">
        <v>110</v>
      </c>
      <c r="B112" s="55" t="s">
        <v>305</v>
      </c>
      <c r="C112" s="55" t="s">
        <v>306</v>
      </c>
      <c r="D112" s="55" t="s">
        <v>308</v>
      </c>
      <c r="E112" s="75" t="s">
        <v>294</v>
      </c>
      <c r="F112" s="216">
        <v>281675506303</v>
      </c>
      <c r="G112" s="55">
        <v>913317001</v>
      </c>
      <c r="H112" s="231" t="s">
        <v>108</v>
      </c>
      <c r="I112" s="56">
        <v>112.82</v>
      </c>
      <c r="J112" s="56"/>
      <c r="K112" s="111">
        <v>100</v>
      </c>
      <c r="L112" s="4">
        <v>100</v>
      </c>
      <c r="M112" s="4">
        <v>100</v>
      </c>
      <c r="N112" s="4"/>
      <c r="O112" s="4"/>
      <c r="P112" s="209">
        <f t="shared" si="3"/>
        <v>11282</v>
      </c>
      <c r="Q112" s="209">
        <f t="shared" si="4"/>
        <v>10000</v>
      </c>
      <c r="R112" s="209">
        <f t="shared" si="5"/>
        <v>10000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2"/>
      <c r="AR112" s="2"/>
      <c r="AS112" s="2"/>
      <c r="AT112" s="2"/>
      <c r="AU112" s="2"/>
      <c r="AV112" s="2"/>
    </row>
    <row r="113" spans="1:48" hidden="1">
      <c r="A113" s="55">
        <v>111</v>
      </c>
      <c r="B113" s="55" t="s">
        <v>305</v>
      </c>
      <c r="C113" s="55" t="s">
        <v>306</v>
      </c>
      <c r="D113" s="55" t="s">
        <v>308</v>
      </c>
      <c r="E113" s="75" t="s">
        <v>294</v>
      </c>
      <c r="F113" s="216">
        <v>281672506306</v>
      </c>
      <c r="G113" s="55">
        <v>913304006</v>
      </c>
      <c r="H113" s="231" t="s">
        <v>109</v>
      </c>
      <c r="I113" s="120">
        <v>105.65</v>
      </c>
      <c r="J113" s="120"/>
      <c r="K113" s="111">
        <v>0</v>
      </c>
      <c r="L113" s="4">
        <v>0</v>
      </c>
      <c r="M113" s="4">
        <v>0</v>
      </c>
      <c r="N113" s="4"/>
      <c r="O113" s="4"/>
      <c r="P113" s="209">
        <f t="shared" si="3"/>
        <v>0</v>
      </c>
      <c r="Q113" s="209">
        <f t="shared" si="4"/>
        <v>0</v>
      </c>
      <c r="R113" s="209">
        <f t="shared" si="5"/>
        <v>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2"/>
      <c r="AR113" s="2"/>
      <c r="AS113" s="2"/>
      <c r="AT113" s="2"/>
      <c r="AU113" s="2"/>
      <c r="AV113" s="2"/>
    </row>
    <row r="114" spans="1:48" hidden="1">
      <c r="A114" s="55">
        <v>112</v>
      </c>
      <c r="B114" s="55" t="s">
        <v>305</v>
      </c>
      <c r="C114" s="55" t="s">
        <v>306</v>
      </c>
      <c r="D114" s="55" t="s">
        <v>308</v>
      </c>
      <c r="E114" s="75" t="s">
        <v>294</v>
      </c>
      <c r="F114" s="216">
        <v>281672506307</v>
      </c>
      <c r="G114" s="55">
        <v>913304005</v>
      </c>
      <c r="H114" s="231" t="s">
        <v>110</v>
      </c>
      <c r="I114" s="120">
        <v>105.33</v>
      </c>
      <c r="J114" s="120"/>
      <c r="K114" s="111">
        <v>0</v>
      </c>
      <c r="L114" s="4">
        <v>0</v>
      </c>
      <c r="M114" s="4">
        <v>0</v>
      </c>
      <c r="N114" s="4"/>
      <c r="O114" s="4"/>
      <c r="P114" s="209">
        <f t="shared" si="3"/>
        <v>0</v>
      </c>
      <c r="Q114" s="209">
        <f t="shared" si="4"/>
        <v>0</v>
      </c>
      <c r="R114" s="209">
        <f t="shared" si="5"/>
        <v>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2"/>
      <c r="AR114" s="2"/>
      <c r="AS114" s="2"/>
      <c r="AT114" s="2"/>
      <c r="AU114" s="2"/>
      <c r="AV114" s="2"/>
    </row>
    <row r="115" spans="1:48" hidden="1">
      <c r="A115" s="55">
        <v>113</v>
      </c>
      <c r="B115" s="55" t="s">
        <v>305</v>
      </c>
      <c r="C115" s="55" t="s">
        <v>306</v>
      </c>
      <c r="D115" s="55" t="s">
        <v>308</v>
      </c>
      <c r="E115" s="75" t="s">
        <v>294</v>
      </c>
      <c r="F115" s="216">
        <v>281672506313</v>
      </c>
      <c r="G115" s="55">
        <v>913304013</v>
      </c>
      <c r="H115" s="231" t="s">
        <v>111</v>
      </c>
      <c r="I115" s="56">
        <v>167.92</v>
      </c>
      <c r="J115" s="56"/>
      <c r="K115" s="111">
        <v>500</v>
      </c>
      <c r="L115" s="4">
        <v>500</v>
      </c>
      <c r="M115" s="4">
        <v>500</v>
      </c>
      <c r="N115" s="4"/>
      <c r="O115" s="4"/>
      <c r="P115" s="209">
        <f t="shared" si="3"/>
        <v>83960</v>
      </c>
      <c r="Q115" s="209">
        <f t="shared" si="4"/>
        <v>250000</v>
      </c>
      <c r="R115" s="209">
        <f t="shared" si="5"/>
        <v>250000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2"/>
      <c r="AR115" s="2"/>
      <c r="AS115" s="2"/>
      <c r="AT115" s="2"/>
      <c r="AU115" s="2"/>
      <c r="AV115" s="2"/>
    </row>
    <row r="116" spans="1:48" hidden="1">
      <c r="A116" s="55">
        <v>114</v>
      </c>
      <c r="B116" s="55" t="s">
        <v>305</v>
      </c>
      <c r="C116" s="55" t="s">
        <v>306</v>
      </c>
      <c r="D116" s="55" t="s">
        <v>308</v>
      </c>
      <c r="E116" s="75" t="s">
        <v>294</v>
      </c>
      <c r="F116" s="216">
        <v>281672506314</v>
      </c>
      <c r="G116" s="55">
        <v>913304014</v>
      </c>
      <c r="H116" s="231" t="s">
        <v>112</v>
      </c>
      <c r="I116" s="56">
        <v>167.92</v>
      </c>
      <c r="J116" s="56"/>
      <c r="K116" s="111">
        <v>500</v>
      </c>
      <c r="L116" s="4">
        <v>500</v>
      </c>
      <c r="M116" s="4">
        <v>500</v>
      </c>
      <c r="N116" s="4"/>
      <c r="O116" s="4"/>
      <c r="P116" s="209">
        <f t="shared" si="3"/>
        <v>83960</v>
      </c>
      <c r="Q116" s="209">
        <f t="shared" si="4"/>
        <v>250000</v>
      </c>
      <c r="R116" s="209">
        <f t="shared" si="5"/>
        <v>250000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2"/>
      <c r="AR116" s="2"/>
      <c r="AS116" s="2"/>
      <c r="AT116" s="2"/>
      <c r="AU116" s="2"/>
      <c r="AV116" s="2"/>
    </row>
    <row r="117" spans="1:48" hidden="1">
      <c r="A117" s="55">
        <v>115</v>
      </c>
      <c r="B117" s="55" t="s">
        <v>305</v>
      </c>
      <c r="C117" s="55" t="s">
        <v>306</v>
      </c>
      <c r="D117" s="55" t="s">
        <v>308</v>
      </c>
      <c r="E117" s="75" t="s">
        <v>294</v>
      </c>
      <c r="F117" s="216">
        <v>281672500107</v>
      </c>
      <c r="G117" s="55">
        <v>913305004</v>
      </c>
      <c r="H117" s="231" t="s">
        <v>113</v>
      </c>
      <c r="I117" s="56">
        <v>101.12</v>
      </c>
      <c r="J117" s="56"/>
      <c r="K117" s="111">
        <v>500</v>
      </c>
      <c r="L117" s="4">
        <v>500</v>
      </c>
      <c r="M117" s="4">
        <v>500</v>
      </c>
      <c r="N117" s="4"/>
      <c r="O117" s="4"/>
      <c r="P117" s="209">
        <f t="shared" si="3"/>
        <v>50560</v>
      </c>
      <c r="Q117" s="209">
        <f t="shared" si="4"/>
        <v>250000</v>
      </c>
      <c r="R117" s="209">
        <f t="shared" si="5"/>
        <v>250000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2"/>
      <c r="AR117" s="2"/>
      <c r="AS117" s="2"/>
      <c r="AT117" s="2"/>
      <c r="AU117" s="2"/>
      <c r="AV117" s="2"/>
    </row>
    <row r="118" spans="1:48" hidden="1">
      <c r="A118" s="55">
        <v>116</v>
      </c>
      <c r="B118" s="55" t="s">
        <v>305</v>
      </c>
      <c r="C118" s="55" t="s">
        <v>306</v>
      </c>
      <c r="D118" s="55" t="s">
        <v>308</v>
      </c>
      <c r="E118" s="75" t="s">
        <v>294</v>
      </c>
      <c r="F118" s="216">
        <v>281672500108</v>
      </c>
      <c r="G118" s="55">
        <v>913305003</v>
      </c>
      <c r="H118" s="231" t="s">
        <v>114</v>
      </c>
      <c r="I118" s="56">
        <v>101.12</v>
      </c>
      <c r="J118" s="56"/>
      <c r="K118" s="111">
        <v>500</v>
      </c>
      <c r="L118" s="4">
        <v>500</v>
      </c>
      <c r="M118" s="4">
        <v>500</v>
      </c>
      <c r="N118" s="4"/>
      <c r="O118" s="4"/>
      <c r="P118" s="209">
        <f t="shared" si="3"/>
        <v>50560</v>
      </c>
      <c r="Q118" s="209">
        <f t="shared" si="4"/>
        <v>250000</v>
      </c>
      <c r="R118" s="209">
        <f t="shared" si="5"/>
        <v>250000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2"/>
      <c r="AR118" s="2"/>
      <c r="AS118" s="2"/>
      <c r="AT118" s="2"/>
      <c r="AU118" s="2"/>
      <c r="AV118" s="2"/>
    </row>
    <row r="119" spans="1:48" hidden="1">
      <c r="A119" s="55">
        <v>117</v>
      </c>
      <c r="B119" s="55" t="s">
        <v>305</v>
      </c>
      <c r="C119" s="55" t="s">
        <v>306</v>
      </c>
      <c r="D119" s="55" t="s">
        <v>308</v>
      </c>
      <c r="E119" s="75" t="s">
        <v>294</v>
      </c>
      <c r="F119" s="216">
        <v>281681100101</v>
      </c>
      <c r="G119" s="55">
        <v>913317005</v>
      </c>
      <c r="H119" s="231" t="s">
        <v>115</v>
      </c>
      <c r="I119" s="56">
        <v>41.59</v>
      </c>
      <c r="J119" s="56"/>
      <c r="K119" s="111">
        <v>800</v>
      </c>
      <c r="L119" s="4">
        <v>500</v>
      </c>
      <c r="M119" s="4">
        <v>500</v>
      </c>
      <c r="N119" s="4"/>
      <c r="O119" s="4"/>
      <c r="P119" s="209">
        <f t="shared" si="3"/>
        <v>33272</v>
      </c>
      <c r="Q119" s="209">
        <f t="shared" si="4"/>
        <v>400000</v>
      </c>
      <c r="R119" s="209">
        <f t="shared" si="5"/>
        <v>250000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2"/>
      <c r="AR119" s="2"/>
      <c r="AS119" s="2"/>
      <c r="AT119" s="2"/>
      <c r="AU119" s="2"/>
      <c r="AV119" s="2"/>
    </row>
    <row r="120" spans="1:48" hidden="1">
      <c r="A120" s="55">
        <v>118</v>
      </c>
      <c r="B120" s="55" t="s">
        <v>305</v>
      </c>
      <c r="C120" s="55" t="s">
        <v>306</v>
      </c>
      <c r="D120" s="55" t="s">
        <v>308</v>
      </c>
      <c r="E120" s="75" t="s">
        <v>294</v>
      </c>
      <c r="F120" s="216">
        <v>281681100102</v>
      </c>
      <c r="G120" s="55">
        <v>913317004</v>
      </c>
      <c r="H120" s="231" t="s">
        <v>116</v>
      </c>
      <c r="I120" s="56">
        <v>41.59</v>
      </c>
      <c r="J120" s="56"/>
      <c r="K120" s="111">
        <v>800</v>
      </c>
      <c r="L120" s="4">
        <v>500</v>
      </c>
      <c r="M120" s="4">
        <v>500</v>
      </c>
      <c r="N120" s="4"/>
      <c r="O120" s="4"/>
      <c r="P120" s="209">
        <f t="shared" si="3"/>
        <v>33272</v>
      </c>
      <c r="Q120" s="209">
        <f t="shared" si="4"/>
        <v>400000</v>
      </c>
      <c r="R120" s="209">
        <f t="shared" si="5"/>
        <v>250000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2"/>
      <c r="AR120" s="2"/>
      <c r="AS120" s="2"/>
      <c r="AT120" s="2"/>
      <c r="AU120" s="2"/>
      <c r="AV120" s="2"/>
    </row>
    <row r="121" spans="1:48" hidden="1">
      <c r="A121" s="55">
        <v>119</v>
      </c>
      <c r="B121" s="55" t="s">
        <v>305</v>
      </c>
      <c r="C121" s="55" t="s">
        <v>306</v>
      </c>
      <c r="D121" s="55" t="s">
        <v>308</v>
      </c>
      <c r="E121" s="75" t="s">
        <v>294</v>
      </c>
      <c r="F121" s="216">
        <v>281672506308</v>
      </c>
      <c r="G121" s="55" t="s">
        <v>117</v>
      </c>
      <c r="H121" s="231" t="s">
        <v>118</v>
      </c>
      <c r="I121" s="120">
        <v>36.92</v>
      </c>
      <c r="J121" s="120"/>
      <c r="K121" s="111">
        <v>0</v>
      </c>
      <c r="L121" s="4">
        <v>0</v>
      </c>
      <c r="M121" s="4">
        <v>0</v>
      </c>
      <c r="N121" s="4"/>
      <c r="O121" s="4"/>
      <c r="P121" s="209">
        <f t="shared" si="3"/>
        <v>0</v>
      </c>
      <c r="Q121" s="209">
        <f t="shared" si="4"/>
        <v>0</v>
      </c>
      <c r="R121" s="209">
        <f t="shared" si="5"/>
        <v>0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2"/>
      <c r="AR121" s="2"/>
      <c r="AS121" s="2"/>
      <c r="AT121" s="2"/>
      <c r="AU121" s="2"/>
      <c r="AV121" s="2"/>
    </row>
    <row r="122" spans="1:48" hidden="1">
      <c r="A122" s="55">
        <v>120</v>
      </c>
      <c r="B122" s="55" t="s">
        <v>305</v>
      </c>
      <c r="C122" s="55" t="s">
        <v>306</v>
      </c>
      <c r="D122" s="55" t="s">
        <v>308</v>
      </c>
      <c r="E122" s="75" t="s">
        <v>294</v>
      </c>
      <c r="F122" s="216">
        <v>281681106310</v>
      </c>
      <c r="G122" s="55">
        <v>913306008</v>
      </c>
      <c r="H122" s="231" t="s">
        <v>119</v>
      </c>
      <c r="I122" s="56">
        <v>151.6</v>
      </c>
      <c r="J122" s="56"/>
      <c r="K122" s="111">
        <v>100</v>
      </c>
      <c r="L122" s="4">
        <v>100</v>
      </c>
      <c r="M122" s="4">
        <v>100</v>
      </c>
      <c r="N122" s="4"/>
      <c r="O122" s="4"/>
      <c r="P122" s="209">
        <f t="shared" si="3"/>
        <v>15160</v>
      </c>
      <c r="Q122" s="209">
        <f t="shared" si="4"/>
        <v>10000</v>
      </c>
      <c r="R122" s="209">
        <f t="shared" si="5"/>
        <v>10000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2"/>
      <c r="AR122" s="2"/>
      <c r="AS122" s="2"/>
      <c r="AT122" s="2"/>
      <c r="AU122" s="2"/>
      <c r="AV122" s="2"/>
    </row>
    <row r="123" spans="1:48" hidden="1">
      <c r="A123" s="55">
        <v>121</v>
      </c>
      <c r="B123" s="55" t="s">
        <v>305</v>
      </c>
      <c r="C123" s="55" t="s">
        <v>306</v>
      </c>
      <c r="D123" s="55" t="s">
        <v>308</v>
      </c>
      <c r="E123" s="75" t="s">
        <v>294</v>
      </c>
      <c r="F123" s="216">
        <v>281672506315</v>
      </c>
      <c r="G123" s="55">
        <v>913304015</v>
      </c>
      <c r="H123" s="232" t="s">
        <v>120</v>
      </c>
      <c r="I123" s="56">
        <v>57.61</v>
      </c>
      <c r="J123" s="56"/>
      <c r="K123" s="111">
        <v>1600</v>
      </c>
      <c r="L123" s="4">
        <v>2000</v>
      </c>
      <c r="M123" s="4">
        <v>2000</v>
      </c>
      <c r="N123" s="4"/>
      <c r="O123" s="4"/>
      <c r="P123" s="209">
        <f t="shared" si="3"/>
        <v>92176</v>
      </c>
      <c r="Q123" s="209">
        <f t="shared" si="4"/>
        <v>3200000</v>
      </c>
      <c r="R123" s="209">
        <f t="shared" si="5"/>
        <v>4000000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2"/>
      <c r="AR123" s="2"/>
      <c r="AS123" s="2"/>
      <c r="AT123" s="2"/>
      <c r="AU123" s="2"/>
      <c r="AV123" s="2"/>
    </row>
    <row r="124" spans="1:48" hidden="1">
      <c r="A124" s="55">
        <v>122</v>
      </c>
      <c r="B124" s="55" t="s">
        <v>305</v>
      </c>
      <c r="C124" s="55" t="s">
        <v>306</v>
      </c>
      <c r="D124" s="55" t="s">
        <v>308</v>
      </c>
      <c r="E124" s="75" t="s">
        <v>294</v>
      </c>
      <c r="F124" s="216">
        <v>281667106303</v>
      </c>
      <c r="G124" s="55">
        <v>913317003</v>
      </c>
      <c r="H124" s="232" t="s">
        <v>121</v>
      </c>
      <c r="I124" s="56">
        <v>10.11</v>
      </c>
      <c r="J124" s="56"/>
      <c r="K124" s="111">
        <v>1600</v>
      </c>
      <c r="L124" s="4">
        <v>1600</v>
      </c>
      <c r="M124" s="4">
        <v>1600</v>
      </c>
      <c r="N124" s="4"/>
      <c r="O124" s="4"/>
      <c r="P124" s="209">
        <f t="shared" si="3"/>
        <v>16176</v>
      </c>
      <c r="Q124" s="209">
        <f t="shared" si="4"/>
        <v>2560000</v>
      </c>
      <c r="R124" s="209">
        <f t="shared" si="5"/>
        <v>2560000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2"/>
      <c r="AR124" s="2"/>
      <c r="AS124" s="2"/>
      <c r="AT124" s="2"/>
      <c r="AU124" s="2"/>
      <c r="AV124" s="2"/>
    </row>
    <row r="125" spans="1:48" hidden="1">
      <c r="A125" s="55">
        <v>123</v>
      </c>
      <c r="B125" s="55" t="s">
        <v>305</v>
      </c>
      <c r="C125" s="55" t="s">
        <v>306</v>
      </c>
      <c r="D125" s="55" t="s">
        <v>308</v>
      </c>
      <c r="E125" s="75" t="s">
        <v>294</v>
      </c>
      <c r="F125" s="216">
        <v>281681106325</v>
      </c>
      <c r="G125" s="55">
        <v>913317006</v>
      </c>
      <c r="H125" s="232" t="s">
        <v>122</v>
      </c>
      <c r="I125" s="56">
        <v>18.63</v>
      </c>
      <c r="J125" s="56"/>
      <c r="K125" s="111">
        <v>200</v>
      </c>
      <c r="L125" s="4">
        <v>300</v>
      </c>
      <c r="M125" s="4">
        <v>300</v>
      </c>
      <c r="N125" s="4"/>
      <c r="O125" s="4"/>
      <c r="P125" s="209">
        <f t="shared" si="3"/>
        <v>3726</v>
      </c>
      <c r="Q125" s="209">
        <f t="shared" si="4"/>
        <v>60000</v>
      </c>
      <c r="R125" s="209">
        <f t="shared" si="5"/>
        <v>90000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2"/>
      <c r="AR125" s="2"/>
      <c r="AS125" s="2"/>
      <c r="AT125" s="2"/>
      <c r="AU125" s="2"/>
      <c r="AV125" s="2"/>
    </row>
    <row r="126" spans="1:48" hidden="1">
      <c r="A126" s="55">
        <v>124</v>
      </c>
      <c r="B126" s="55" t="s">
        <v>305</v>
      </c>
      <c r="C126" s="55" t="s">
        <v>306</v>
      </c>
      <c r="D126" s="55" t="s">
        <v>308</v>
      </c>
      <c r="E126" s="75" t="s">
        <v>294</v>
      </c>
      <c r="F126" s="216">
        <v>281681106326</v>
      </c>
      <c r="G126" s="55">
        <v>913317007</v>
      </c>
      <c r="H126" s="232" t="s">
        <v>123</v>
      </c>
      <c r="I126" s="56">
        <v>35.880000000000003</v>
      </c>
      <c r="J126" s="56"/>
      <c r="K126" s="111">
        <v>200</v>
      </c>
      <c r="L126" s="4">
        <v>300</v>
      </c>
      <c r="M126" s="4">
        <v>300</v>
      </c>
      <c r="N126" s="4"/>
      <c r="O126" s="4"/>
      <c r="P126" s="209">
        <f t="shared" si="3"/>
        <v>7176.0000000000009</v>
      </c>
      <c r="Q126" s="209">
        <f t="shared" si="4"/>
        <v>60000</v>
      </c>
      <c r="R126" s="209">
        <f t="shared" si="5"/>
        <v>90000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2"/>
      <c r="AR126" s="2"/>
      <c r="AS126" s="2"/>
      <c r="AT126" s="2"/>
      <c r="AU126" s="2"/>
      <c r="AV126" s="2"/>
    </row>
    <row r="127" spans="1:48" hidden="1">
      <c r="A127" s="55">
        <v>125</v>
      </c>
      <c r="B127" s="55" t="s">
        <v>305</v>
      </c>
      <c r="C127" s="55" t="s">
        <v>306</v>
      </c>
      <c r="D127" s="55" t="s">
        <v>308</v>
      </c>
      <c r="E127" s="75" t="s">
        <v>294</v>
      </c>
      <c r="F127" s="216">
        <v>281681106312</v>
      </c>
      <c r="G127" s="55">
        <v>913306004</v>
      </c>
      <c r="H127" s="232" t="s">
        <v>124</v>
      </c>
      <c r="I127" s="56">
        <v>110.57</v>
      </c>
      <c r="J127" s="56"/>
      <c r="K127" s="111">
        <v>1200</v>
      </c>
      <c r="L127" s="4">
        <v>1000</v>
      </c>
      <c r="M127" s="4">
        <v>1000</v>
      </c>
      <c r="N127" s="4"/>
      <c r="O127" s="4"/>
      <c r="P127" s="209">
        <f t="shared" si="3"/>
        <v>132684</v>
      </c>
      <c r="Q127" s="209">
        <f t="shared" si="4"/>
        <v>1200000</v>
      </c>
      <c r="R127" s="209">
        <f t="shared" si="5"/>
        <v>1000000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2"/>
      <c r="AR127" s="2"/>
      <c r="AS127" s="2"/>
      <c r="AT127" s="2"/>
      <c r="AU127" s="2"/>
      <c r="AV127" s="2"/>
    </row>
    <row r="128" spans="1:48" hidden="1">
      <c r="A128" s="55">
        <v>126</v>
      </c>
      <c r="B128" s="55" t="s">
        <v>305</v>
      </c>
      <c r="C128" s="55" t="s">
        <v>306</v>
      </c>
      <c r="D128" s="55" t="s">
        <v>307</v>
      </c>
      <c r="E128" s="75" t="s">
        <v>171</v>
      </c>
      <c r="F128" s="216">
        <v>544572557701</v>
      </c>
      <c r="G128" s="55">
        <v>919804001</v>
      </c>
      <c r="H128" s="55" t="s">
        <v>152</v>
      </c>
      <c r="I128" s="56">
        <v>858.26</v>
      </c>
      <c r="J128" s="56"/>
      <c r="K128" s="111">
        <v>12000</v>
      </c>
      <c r="L128" s="4">
        <v>12000</v>
      </c>
      <c r="M128" s="4">
        <v>12000</v>
      </c>
      <c r="N128" s="4">
        <v>12000</v>
      </c>
      <c r="O128" s="4">
        <v>12000</v>
      </c>
      <c r="P128" s="209">
        <f t="shared" si="3"/>
        <v>10299120</v>
      </c>
      <c r="Q128" s="209">
        <f t="shared" si="4"/>
        <v>144000000</v>
      </c>
      <c r="R128" s="209">
        <f t="shared" si="5"/>
        <v>144000000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2"/>
      <c r="AR128" s="2"/>
      <c r="AS128" s="2"/>
      <c r="AT128" s="2"/>
      <c r="AU128" s="2"/>
      <c r="AV128" s="2"/>
    </row>
    <row r="129" spans="1:48" hidden="1">
      <c r="A129" s="55">
        <v>127</v>
      </c>
      <c r="B129" s="55" t="s">
        <v>305</v>
      </c>
      <c r="C129" s="55" t="s">
        <v>306</v>
      </c>
      <c r="D129" s="55" t="s">
        <v>307</v>
      </c>
      <c r="E129" s="75" t="s">
        <v>171</v>
      </c>
      <c r="F129" s="216">
        <v>544572557702</v>
      </c>
      <c r="G129" s="55">
        <v>919804002</v>
      </c>
      <c r="H129" s="55" t="s">
        <v>152</v>
      </c>
      <c r="I129" s="56">
        <v>848.21</v>
      </c>
      <c r="J129" s="56"/>
      <c r="K129" s="111">
        <v>12000</v>
      </c>
      <c r="L129" s="4">
        <v>12000</v>
      </c>
      <c r="M129" s="4">
        <v>12000</v>
      </c>
      <c r="N129" s="4">
        <v>12000</v>
      </c>
      <c r="O129" s="4">
        <v>12000</v>
      </c>
      <c r="P129" s="209">
        <f t="shared" si="3"/>
        <v>10178520</v>
      </c>
      <c r="Q129" s="209">
        <f t="shared" si="4"/>
        <v>144000000</v>
      </c>
      <c r="R129" s="209">
        <f t="shared" si="5"/>
        <v>144000000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2"/>
      <c r="AR129" s="2"/>
      <c r="AS129" s="2"/>
      <c r="AT129" s="2"/>
      <c r="AU129" s="2"/>
      <c r="AV129" s="2"/>
    </row>
    <row r="130" spans="1:48" hidden="1">
      <c r="A130" s="55">
        <v>128</v>
      </c>
      <c r="B130" s="55" t="s">
        <v>305</v>
      </c>
      <c r="C130" s="55" t="s">
        <v>306</v>
      </c>
      <c r="D130" s="55" t="s">
        <v>307</v>
      </c>
      <c r="E130" s="75" t="s">
        <v>171</v>
      </c>
      <c r="F130" s="216">
        <v>544573557701</v>
      </c>
      <c r="G130" s="55">
        <v>919804003</v>
      </c>
      <c r="H130" s="55" t="s">
        <v>153</v>
      </c>
      <c r="I130" s="56">
        <v>712.16</v>
      </c>
      <c r="J130" s="56"/>
      <c r="K130" s="111">
        <v>12000</v>
      </c>
      <c r="L130" s="4">
        <v>12000</v>
      </c>
      <c r="M130" s="4">
        <v>12000</v>
      </c>
      <c r="N130" s="4">
        <v>12000</v>
      </c>
      <c r="O130" s="4">
        <v>12000</v>
      </c>
      <c r="P130" s="209">
        <f t="shared" si="3"/>
        <v>8545920</v>
      </c>
      <c r="Q130" s="209">
        <f t="shared" si="4"/>
        <v>144000000</v>
      </c>
      <c r="R130" s="209">
        <f t="shared" si="5"/>
        <v>144000000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2"/>
      <c r="AR130" s="2"/>
      <c r="AS130" s="2"/>
      <c r="AT130" s="2"/>
      <c r="AU130" s="2"/>
      <c r="AV130" s="2"/>
    </row>
    <row r="131" spans="1:48" hidden="1">
      <c r="A131" s="55">
        <v>129</v>
      </c>
      <c r="B131" s="55" t="s">
        <v>305</v>
      </c>
      <c r="C131" s="55" t="s">
        <v>306</v>
      </c>
      <c r="D131" s="55" t="s">
        <v>307</v>
      </c>
      <c r="E131" s="75" t="s">
        <v>171</v>
      </c>
      <c r="F131" s="216">
        <v>544573557702</v>
      </c>
      <c r="G131" s="55">
        <v>919804004</v>
      </c>
      <c r="H131" s="55" t="s">
        <v>153</v>
      </c>
      <c r="I131" s="56">
        <v>712.16</v>
      </c>
      <c r="J131" s="56"/>
      <c r="K131" s="111">
        <v>12000</v>
      </c>
      <c r="L131" s="4">
        <v>12000</v>
      </c>
      <c r="M131" s="4">
        <v>12000</v>
      </c>
      <c r="N131" s="4">
        <v>12000</v>
      </c>
      <c r="O131" s="4">
        <v>12000</v>
      </c>
      <c r="P131" s="209">
        <f t="shared" ref="P131:P194" si="6">K131*I131</f>
        <v>8545920</v>
      </c>
      <c r="Q131" s="209">
        <f t="shared" ref="Q131:Q194" si="7">L131*K131</f>
        <v>144000000</v>
      </c>
      <c r="R131" s="209">
        <f t="shared" ref="R131:R194" si="8">M131*L131</f>
        <v>144000000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2"/>
      <c r="AR131" s="2"/>
      <c r="AS131" s="2"/>
      <c r="AT131" s="2"/>
      <c r="AU131" s="2"/>
      <c r="AV131" s="2"/>
    </row>
    <row r="132" spans="1:48" hidden="1">
      <c r="A132" s="55">
        <v>130</v>
      </c>
      <c r="B132" s="55" t="s">
        <v>305</v>
      </c>
      <c r="C132" s="55" t="s">
        <v>306</v>
      </c>
      <c r="D132" s="55" t="s">
        <v>307</v>
      </c>
      <c r="E132" s="75" t="s">
        <v>171</v>
      </c>
      <c r="F132" s="216">
        <v>544572537701</v>
      </c>
      <c r="G132" s="55">
        <v>919801001</v>
      </c>
      <c r="H132" s="55" t="s">
        <v>154</v>
      </c>
      <c r="I132" s="56">
        <v>420.26</v>
      </c>
      <c r="J132" s="56"/>
      <c r="K132" s="111">
        <v>12000</v>
      </c>
      <c r="L132" s="4">
        <v>12000</v>
      </c>
      <c r="M132" s="4">
        <v>12000</v>
      </c>
      <c r="N132" s="4">
        <v>12000</v>
      </c>
      <c r="O132" s="4">
        <v>12000</v>
      </c>
      <c r="P132" s="209">
        <f t="shared" si="6"/>
        <v>5043120</v>
      </c>
      <c r="Q132" s="209">
        <f t="shared" si="7"/>
        <v>144000000</v>
      </c>
      <c r="R132" s="209">
        <f t="shared" si="8"/>
        <v>144000000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2"/>
      <c r="AR132" s="2"/>
      <c r="AS132" s="2"/>
      <c r="AT132" s="2"/>
      <c r="AU132" s="2"/>
      <c r="AV132" s="2"/>
    </row>
    <row r="133" spans="1:48" hidden="1">
      <c r="A133" s="55">
        <v>131</v>
      </c>
      <c r="B133" s="55" t="s">
        <v>305</v>
      </c>
      <c r="C133" s="55" t="s">
        <v>306</v>
      </c>
      <c r="D133" s="55" t="s">
        <v>307</v>
      </c>
      <c r="E133" s="75" t="s">
        <v>171</v>
      </c>
      <c r="F133" s="216">
        <v>544572537702</v>
      </c>
      <c r="G133" s="55">
        <v>919801002</v>
      </c>
      <c r="H133" s="55" t="s">
        <v>154</v>
      </c>
      <c r="I133" s="56">
        <v>420.26</v>
      </c>
      <c r="J133" s="56"/>
      <c r="K133" s="111">
        <v>12000</v>
      </c>
      <c r="L133" s="4">
        <v>12000</v>
      </c>
      <c r="M133" s="4">
        <v>12000</v>
      </c>
      <c r="N133" s="4">
        <v>12000</v>
      </c>
      <c r="O133" s="4">
        <v>12000</v>
      </c>
      <c r="P133" s="209">
        <f t="shared" si="6"/>
        <v>5043120</v>
      </c>
      <c r="Q133" s="209">
        <f t="shared" si="7"/>
        <v>144000000</v>
      </c>
      <c r="R133" s="209">
        <f t="shared" si="8"/>
        <v>144000000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2"/>
      <c r="AR133" s="2"/>
      <c r="AS133" s="2"/>
      <c r="AT133" s="2"/>
      <c r="AU133" s="2"/>
      <c r="AV133" s="2"/>
    </row>
    <row r="134" spans="1:48" hidden="1">
      <c r="A134" s="55">
        <v>132</v>
      </c>
      <c r="B134" s="55" t="s">
        <v>305</v>
      </c>
      <c r="C134" s="55" t="s">
        <v>306</v>
      </c>
      <c r="D134" s="55" t="s">
        <v>307</v>
      </c>
      <c r="E134" s="75" t="s">
        <v>171</v>
      </c>
      <c r="F134" s="216">
        <v>544573537701</v>
      </c>
      <c r="G134" s="55">
        <v>919801003</v>
      </c>
      <c r="H134" s="55" t="s">
        <v>155</v>
      </c>
      <c r="I134" s="56">
        <v>391.89</v>
      </c>
      <c r="J134" s="56"/>
      <c r="K134" s="111">
        <v>12000</v>
      </c>
      <c r="L134" s="4">
        <v>12000</v>
      </c>
      <c r="M134" s="4">
        <v>12000</v>
      </c>
      <c r="N134" s="4">
        <v>12000</v>
      </c>
      <c r="O134" s="4">
        <v>12000</v>
      </c>
      <c r="P134" s="209">
        <f t="shared" si="6"/>
        <v>4702680</v>
      </c>
      <c r="Q134" s="209">
        <f t="shared" si="7"/>
        <v>144000000</v>
      </c>
      <c r="R134" s="209">
        <f t="shared" si="8"/>
        <v>144000000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2"/>
      <c r="AR134" s="2"/>
      <c r="AS134" s="2"/>
      <c r="AT134" s="2"/>
      <c r="AU134" s="2"/>
      <c r="AV134" s="2"/>
    </row>
    <row r="135" spans="1:48" hidden="1">
      <c r="A135" s="55">
        <v>133</v>
      </c>
      <c r="B135" s="55" t="s">
        <v>305</v>
      </c>
      <c r="C135" s="55" t="s">
        <v>306</v>
      </c>
      <c r="D135" s="55" t="s">
        <v>307</v>
      </c>
      <c r="E135" s="75" t="s">
        <v>171</v>
      </c>
      <c r="F135" s="216">
        <v>544573537702</v>
      </c>
      <c r="G135" s="55">
        <v>919801004</v>
      </c>
      <c r="H135" s="55" t="s">
        <v>155</v>
      </c>
      <c r="I135" s="56">
        <v>391.89</v>
      </c>
      <c r="J135" s="56"/>
      <c r="K135" s="111">
        <v>12000</v>
      </c>
      <c r="L135" s="4">
        <v>12000</v>
      </c>
      <c r="M135" s="4">
        <v>12000</v>
      </c>
      <c r="N135" s="4">
        <v>12000</v>
      </c>
      <c r="O135" s="4">
        <v>12000</v>
      </c>
      <c r="P135" s="209">
        <f t="shared" si="6"/>
        <v>4702680</v>
      </c>
      <c r="Q135" s="209">
        <f t="shared" si="7"/>
        <v>144000000</v>
      </c>
      <c r="R135" s="209">
        <f t="shared" si="8"/>
        <v>144000000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2"/>
      <c r="AR135" s="2"/>
      <c r="AS135" s="2"/>
      <c r="AT135" s="2"/>
      <c r="AU135" s="2"/>
      <c r="AV135" s="2"/>
    </row>
    <row r="136" spans="1:48">
      <c r="A136" s="55">
        <v>134</v>
      </c>
      <c r="B136" s="55" t="s">
        <v>305</v>
      </c>
      <c r="C136" s="55" t="s">
        <v>309</v>
      </c>
      <c r="D136" s="55" t="s">
        <v>307</v>
      </c>
      <c r="E136" s="75" t="s">
        <v>1</v>
      </c>
      <c r="F136" s="233" t="s">
        <v>174</v>
      </c>
      <c r="G136" s="234">
        <v>915104009</v>
      </c>
      <c r="H136" s="234" t="s">
        <v>173</v>
      </c>
      <c r="I136" s="56">
        <v>375.73</v>
      </c>
      <c r="J136" s="56"/>
      <c r="K136" s="111">
        <v>0</v>
      </c>
      <c r="L136" s="4">
        <v>0</v>
      </c>
      <c r="M136" s="4">
        <v>0</v>
      </c>
      <c r="N136" s="4">
        <v>0</v>
      </c>
      <c r="O136" s="4">
        <v>0</v>
      </c>
      <c r="P136" s="209">
        <f t="shared" si="6"/>
        <v>0</v>
      </c>
      <c r="Q136" s="209">
        <f t="shared" si="7"/>
        <v>0</v>
      </c>
      <c r="R136" s="209">
        <f t="shared" si="8"/>
        <v>0</v>
      </c>
      <c r="AC136" s="57"/>
    </row>
    <row r="137" spans="1:48">
      <c r="A137" s="55">
        <v>135</v>
      </c>
      <c r="B137" s="55" t="s">
        <v>305</v>
      </c>
      <c r="C137" s="55" t="s">
        <v>309</v>
      </c>
      <c r="D137" s="55" t="s">
        <v>307</v>
      </c>
      <c r="E137" s="75" t="s">
        <v>1</v>
      </c>
      <c r="F137" s="233" t="s">
        <v>176</v>
      </c>
      <c r="G137" s="234">
        <v>915104010</v>
      </c>
      <c r="H137" s="234" t="s">
        <v>175</v>
      </c>
      <c r="I137" s="56">
        <v>375.73</v>
      </c>
      <c r="J137" s="56"/>
      <c r="K137" s="111">
        <v>0</v>
      </c>
      <c r="L137" s="4">
        <v>0</v>
      </c>
      <c r="M137" s="4">
        <v>0</v>
      </c>
      <c r="N137" s="4">
        <v>0</v>
      </c>
      <c r="O137" s="4">
        <v>0</v>
      </c>
      <c r="P137" s="209">
        <f t="shared" si="6"/>
        <v>0</v>
      </c>
      <c r="Q137" s="209">
        <f t="shared" si="7"/>
        <v>0</v>
      </c>
      <c r="R137" s="209">
        <f t="shared" si="8"/>
        <v>0</v>
      </c>
    </row>
    <row r="138" spans="1:48">
      <c r="A138" s="55">
        <v>136</v>
      </c>
      <c r="B138" s="55" t="s">
        <v>305</v>
      </c>
      <c r="C138" s="55" t="s">
        <v>309</v>
      </c>
      <c r="D138" s="55" t="s">
        <v>307</v>
      </c>
      <c r="E138" s="75" t="s">
        <v>1</v>
      </c>
      <c r="F138" s="233" t="s">
        <v>178</v>
      </c>
      <c r="G138" s="234">
        <v>915104011</v>
      </c>
      <c r="H138" s="234" t="s">
        <v>177</v>
      </c>
      <c r="I138" s="56">
        <v>328.86</v>
      </c>
      <c r="J138" s="56"/>
      <c r="K138" s="111">
        <v>0</v>
      </c>
      <c r="L138" s="4">
        <v>0</v>
      </c>
      <c r="M138" s="4">
        <v>0</v>
      </c>
      <c r="N138" s="4">
        <v>0</v>
      </c>
      <c r="O138" s="4">
        <v>0</v>
      </c>
      <c r="P138" s="209">
        <f t="shared" si="6"/>
        <v>0</v>
      </c>
      <c r="Q138" s="209">
        <f t="shared" si="7"/>
        <v>0</v>
      </c>
      <c r="R138" s="209">
        <f t="shared" si="8"/>
        <v>0</v>
      </c>
    </row>
    <row r="139" spans="1:48">
      <c r="A139" s="55">
        <v>137</v>
      </c>
      <c r="B139" s="55" t="s">
        <v>305</v>
      </c>
      <c r="C139" s="55" t="s">
        <v>309</v>
      </c>
      <c r="D139" s="55" t="s">
        <v>307</v>
      </c>
      <c r="E139" s="75" t="s">
        <v>1</v>
      </c>
      <c r="F139" s="233" t="s">
        <v>180</v>
      </c>
      <c r="G139" s="234">
        <v>915104012</v>
      </c>
      <c r="H139" s="234" t="s">
        <v>179</v>
      </c>
      <c r="I139" s="56">
        <v>328.86</v>
      </c>
      <c r="J139" s="56"/>
      <c r="K139" s="111">
        <v>0</v>
      </c>
      <c r="L139" s="4">
        <v>0</v>
      </c>
      <c r="M139" s="4">
        <v>0</v>
      </c>
      <c r="N139" s="4">
        <v>0</v>
      </c>
      <c r="O139" s="4">
        <v>0</v>
      </c>
      <c r="P139" s="209">
        <f t="shared" si="6"/>
        <v>0</v>
      </c>
      <c r="Q139" s="209">
        <f t="shared" si="7"/>
        <v>0</v>
      </c>
      <c r="R139" s="209">
        <f t="shared" si="8"/>
        <v>0</v>
      </c>
    </row>
    <row r="140" spans="1:48">
      <c r="A140" s="55">
        <v>138</v>
      </c>
      <c r="B140" s="55" t="s">
        <v>305</v>
      </c>
      <c r="C140" s="55" t="s">
        <v>309</v>
      </c>
      <c r="D140" s="55" t="s">
        <v>307</v>
      </c>
      <c r="E140" s="75" t="s">
        <v>1</v>
      </c>
      <c r="F140" s="233" t="s">
        <v>182</v>
      </c>
      <c r="G140" s="234">
        <v>915105001</v>
      </c>
      <c r="H140" s="234" t="s">
        <v>181</v>
      </c>
      <c r="I140" s="56">
        <v>96.19</v>
      </c>
      <c r="J140" s="56"/>
      <c r="K140" s="111">
        <v>0</v>
      </c>
      <c r="L140" s="4">
        <v>0</v>
      </c>
      <c r="M140" s="4">
        <v>0</v>
      </c>
      <c r="N140" s="4">
        <v>0</v>
      </c>
      <c r="O140" s="4">
        <v>0</v>
      </c>
      <c r="P140" s="209">
        <f t="shared" si="6"/>
        <v>0</v>
      </c>
      <c r="Q140" s="209">
        <f t="shared" si="7"/>
        <v>0</v>
      </c>
      <c r="R140" s="209">
        <f t="shared" si="8"/>
        <v>0</v>
      </c>
    </row>
    <row r="141" spans="1:48">
      <c r="A141" s="55">
        <v>139</v>
      </c>
      <c r="B141" s="55" t="s">
        <v>305</v>
      </c>
      <c r="C141" s="55" t="s">
        <v>309</v>
      </c>
      <c r="D141" s="55" t="s">
        <v>307</v>
      </c>
      <c r="E141" s="75" t="s">
        <v>1</v>
      </c>
      <c r="F141" s="233" t="s">
        <v>184</v>
      </c>
      <c r="G141" s="234">
        <v>915105002</v>
      </c>
      <c r="H141" s="234" t="s">
        <v>183</v>
      </c>
      <c r="I141" s="56">
        <v>96.19</v>
      </c>
      <c r="J141" s="56"/>
      <c r="K141" s="111">
        <v>0</v>
      </c>
      <c r="L141" s="4">
        <v>0</v>
      </c>
      <c r="M141" s="4">
        <v>0</v>
      </c>
      <c r="N141" s="4">
        <v>0</v>
      </c>
      <c r="O141" s="4">
        <v>0</v>
      </c>
      <c r="P141" s="209">
        <f t="shared" si="6"/>
        <v>0</v>
      </c>
      <c r="Q141" s="209">
        <f t="shared" si="7"/>
        <v>0</v>
      </c>
      <c r="R141" s="209">
        <f t="shared" si="8"/>
        <v>0</v>
      </c>
    </row>
    <row r="142" spans="1:48">
      <c r="A142" s="55">
        <v>140</v>
      </c>
      <c r="B142" s="55" t="s">
        <v>305</v>
      </c>
      <c r="C142" s="55" t="s">
        <v>309</v>
      </c>
      <c r="D142" s="55" t="s">
        <v>307</v>
      </c>
      <c r="E142" s="75" t="s">
        <v>1</v>
      </c>
      <c r="F142" s="233" t="s">
        <v>186</v>
      </c>
      <c r="G142" s="234">
        <v>915105003</v>
      </c>
      <c r="H142" s="234" t="s">
        <v>185</v>
      </c>
      <c r="I142" s="56">
        <v>93.01</v>
      </c>
      <c r="J142" s="56"/>
      <c r="K142" s="111">
        <v>0</v>
      </c>
      <c r="L142" s="4">
        <v>0</v>
      </c>
      <c r="M142" s="4">
        <v>0</v>
      </c>
      <c r="N142" s="4">
        <v>0</v>
      </c>
      <c r="O142" s="4">
        <v>0</v>
      </c>
      <c r="P142" s="209">
        <f t="shared" si="6"/>
        <v>0</v>
      </c>
      <c r="Q142" s="209">
        <f t="shared" si="7"/>
        <v>0</v>
      </c>
      <c r="R142" s="209">
        <f t="shared" si="8"/>
        <v>0</v>
      </c>
    </row>
    <row r="143" spans="1:48">
      <c r="A143" s="55">
        <v>141</v>
      </c>
      <c r="B143" s="55" t="s">
        <v>305</v>
      </c>
      <c r="C143" s="55" t="s">
        <v>309</v>
      </c>
      <c r="D143" s="55" t="s">
        <v>307</v>
      </c>
      <c r="E143" s="75" t="s">
        <v>1</v>
      </c>
      <c r="F143" s="233" t="s">
        <v>188</v>
      </c>
      <c r="G143" s="234">
        <v>915105004</v>
      </c>
      <c r="H143" s="234" t="s">
        <v>187</v>
      </c>
      <c r="I143" s="56">
        <v>93.01</v>
      </c>
      <c r="J143" s="56"/>
      <c r="K143" s="111">
        <v>0</v>
      </c>
      <c r="L143" s="4">
        <v>0</v>
      </c>
      <c r="M143" s="4">
        <v>0</v>
      </c>
      <c r="N143" s="4">
        <v>0</v>
      </c>
      <c r="O143" s="4">
        <v>0</v>
      </c>
      <c r="P143" s="209">
        <f t="shared" si="6"/>
        <v>0</v>
      </c>
      <c r="Q143" s="209">
        <f t="shared" si="7"/>
        <v>0</v>
      </c>
      <c r="R143" s="209">
        <f t="shared" si="8"/>
        <v>0</v>
      </c>
    </row>
    <row r="144" spans="1:48">
      <c r="A144" s="55">
        <v>142</v>
      </c>
      <c r="B144" s="55" t="s">
        <v>305</v>
      </c>
      <c r="C144" s="55" t="s">
        <v>309</v>
      </c>
      <c r="D144" s="55" t="s">
        <v>307</v>
      </c>
      <c r="E144" s="75" t="s">
        <v>1</v>
      </c>
      <c r="F144" s="233" t="s">
        <v>190</v>
      </c>
      <c r="G144" s="234">
        <v>915105005</v>
      </c>
      <c r="H144" s="234" t="s">
        <v>189</v>
      </c>
      <c r="I144" s="56">
        <v>35.31</v>
      </c>
      <c r="J144" s="56"/>
      <c r="K144" s="111">
        <v>0</v>
      </c>
      <c r="L144" s="4">
        <v>0</v>
      </c>
      <c r="M144" s="4">
        <v>0</v>
      </c>
      <c r="N144" s="4">
        <v>0</v>
      </c>
      <c r="O144" s="4">
        <v>0</v>
      </c>
      <c r="P144" s="209">
        <f t="shared" si="6"/>
        <v>0</v>
      </c>
      <c r="Q144" s="209">
        <f t="shared" si="7"/>
        <v>0</v>
      </c>
      <c r="R144" s="209">
        <f t="shared" si="8"/>
        <v>0</v>
      </c>
    </row>
    <row r="145" spans="1:18">
      <c r="A145" s="55">
        <v>143</v>
      </c>
      <c r="B145" s="55" t="s">
        <v>305</v>
      </c>
      <c r="C145" s="55" t="s">
        <v>309</v>
      </c>
      <c r="D145" s="55" t="s">
        <v>307</v>
      </c>
      <c r="E145" s="75" t="s">
        <v>1</v>
      </c>
      <c r="F145" s="233" t="s">
        <v>192</v>
      </c>
      <c r="G145" s="234">
        <v>915105006</v>
      </c>
      <c r="H145" s="234" t="s">
        <v>191</v>
      </c>
      <c r="I145" s="56">
        <v>35.31</v>
      </c>
      <c r="J145" s="56"/>
      <c r="K145" s="111">
        <v>0</v>
      </c>
      <c r="L145" s="4">
        <v>0</v>
      </c>
      <c r="M145" s="4">
        <v>0</v>
      </c>
      <c r="N145" s="4">
        <v>0</v>
      </c>
      <c r="O145" s="4">
        <v>0</v>
      </c>
      <c r="P145" s="209">
        <f t="shared" si="6"/>
        <v>0</v>
      </c>
      <c r="Q145" s="209">
        <f t="shared" si="7"/>
        <v>0</v>
      </c>
      <c r="R145" s="209">
        <f t="shared" si="8"/>
        <v>0</v>
      </c>
    </row>
    <row r="146" spans="1:18">
      <c r="A146" s="55">
        <v>144</v>
      </c>
      <c r="B146" s="55" t="s">
        <v>305</v>
      </c>
      <c r="C146" s="55" t="s">
        <v>309</v>
      </c>
      <c r="D146" s="55" t="s">
        <v>307</v>
      </c>
      <c r="E146" s="75" t="s">
        <v>1</v>
      </c>
      <c r="F146" s="233" t="s">
        <v>194</v>
      </c>
      <c r="G146" s="234">
        <v>915105007</v>
      </c>
      <c r="H146" s="234" t="s">
        <v>193</v>
      </c>
      <c r="I146" s="56">
        <v>31.67</v>
      </c>
      <c r="J146" s="56"/>
      <c r="K146" s="111">
        <v>0</v>
      </c>
      <c r="L146" s="4">
        <v>0</v>
      </c>
      <c r="M146" s="4">
        <v>0</v>
      </c>
      <c r="N146" s="4">
        <v>0</v>
      </c>
      <c r="O146" s="4">
        <v>0</v>
      </c>
      <c r="P146" s="209">
        <f t="shared" si="6"/>
        <v>0</v>
      </c>
      <c r="Q146" s="209">
        <f t="shared" si="7"/>
        <v>0</v>
      </c>
      <c r="R146" s="209">
        <f t="shared" si="8"/>
        <v>0</v>
      </c>
    </row>
    <row r="147" spans="1:18">
      <c r="A147" s="55">
        <v>145</v>
      </c>
      <c r="B147" s="55" t="s">
        <v>305</v>
      </c>
      <c r="C147" s="55" t="s">
        <v>309</v>
      </c>
      <c r="D147" s="55" t="s">
        <v>307</v>
      </c>
      <c r="E147" s="75" t="s">
        <v>1</v>
      </c>
      <c r="F147" s="233" t="s">
        <v>196</v>
      </c>
      <c r="G147" s="234">
        <v>915105008</v>
      </c>
      <c r="H147" s="234" t="s">
        <v>195</v>
      </c>
      <c r="I147" s="56">
        <v>31.67</v>
      </c>
      <c r="J147" s="56"/>
      <c r="K147" s="111">
        <v>0</v>
      </c>
      <c r="L147" s="4">
        <v>0</v>
      </c>
      <c r="M147" s="4">
        <v>0</v>
      </c>
      <c r="N147" s="4">
        <v>0</v>
      </c>
      <c r="O147" s="4">
        <v>0</v>
      </c>
      <c r="P147" s="209">
        <f t="shared" si="6"/>
        <v>0</v>
      </c>
      <c r="Q147" s="209">
        <f t="shared" si="7"/>
        <v>0</v>
      </c>
      <c r="R147" s="209">
        <f t="shared" si="8"/>
        <v>0</v>
      </c>
    </row>
    <row r="148" spans="1:18">
      <c r="A148" s="55">
        <v>146</v>
      </c>
      <c r="B148" s="55" t="s">
        <v>305</v>
      </c>
      <c r="C148" s="55" t="s">
        <v>309</v>
      </c>
      <c r="D148" s="55" t="s">
        <v>307</v>
      </c>
      <c r="E148" s="75" t="s">
        <v>0</v>
      </c>
      <c r="F148" s="233" t="s">
        <v>198</v>
      </c>
      <c r="G148" s="234">
        <v>915104013</v>
      </c>
      <c r="H148" s="234" t="s">
        <v>197</v>
      </c>
      <c r="I148" s="56">
        <v>365.9</v>
      </c>
      <c r="J148" s="56"/>
      <c r="K148" s="111">
        <v>0</v>
      </c>
      <c r="L148" s="4">
        <v>0</v>
      </c>
      <c r="M148" s="4">
        <v>0</v>
      </c>
      <c r="N148" s="4">
        <v>0</v>
      </c>
      <c r="O148" s="4">
        <v>0</v>
      </c>
      <c r="P148" s="209">
        <f t="shared" si="6"/>
        <v>0</v>
      </c>
      <c r="Q148" s="209">
        <f t="shared" si="7"/>
        <v>0</v>
      </c>
      <c r="R148" s="209">
        <f t="shared" si="8"/>
        <v>0</v>
      </c>
    </row>
    <row r="149" spans="1:18">
      <c r="A149" s="55">
        <v>147</v>
      </c>
      <c r="B149" s="55" t="s">
        <v>305</v>
      </c>
      <c r="C149" s="55" t="s">
        <v>309</v>
      </c>
      <c r="D149" s="55" t="s">
        <v>307</v>
      </c>
      <c r="E149" s="75" t="s">
        <v>0</v>
      </c>
      <c r="F149" s="233" t="s">
        <v>200</v>
      </c>
      <c r="G149" s="234">
        <v>915104014</v>
      </c>
      <c r="H149" s="234" t="s">
        <v>199</v>
      </c>
      <c r="I149" s="56">
        <v>365.9</v>
      </c>
      <c r="J149" s="56"/>
      <c r="K149" s="111">
        <v>0</v>
      </c>
      <c r="L149" s="4">
        <v>0</v>
      </c>
      <c r="M149" s="4">
        <v>0</v>
      </c>
      <c r="N149" s="4">
        <v>0</v>
      </c>
      <c r="O149" s="4">
        <v>0</v>
      </c>
      <c r="P149" s="209">
        <f t="shared" si="6"/>
        <v>0</v>
      </c>
      <c r="Q149" s="209">
        <f t="shared" si="7"/>
        <v>0</v>
      </c>
      <c r="R149" s="209">
        <f t="shared" si="8"/>
        <v>0</v>
      </c>
    </row>
    <row r="150" spans="1:18">
      <c r="A150" s="55">
        <v>148</v>
      </c>
      <c r="B150" s="55" t="s">
        <v>305</v>
      </c>
      <c r="C150" s="55" t="s">
        <v>309</v>
      </c>
      <c r="D150" s="55" t="s">
        <v>307</v>
      </c>
      <c r="E150" s="75" t="s">
        <v>0</v>
      </c>
      <c r="F150" s="233" t="s">
        <v>202</v>
      </c>
      <c r="G150" s="234">
        <v>915104015</v>
      </c>
      <c r="H150" s="234" t="s">
        <v>201</v>
      </c>
      <c r="I150" s="56">
        <v>318.91000000000003</v>
      </c>
      <c r="J150" s="56"/>
      <c r="K150" s="111">
        <v>0</v>
      </c>
      <c r="L150" s="4">
        <v>0</v>
      </c>
      <c r="M150" s="4">
        <v>0</v>
      </c>
      <c r="N150" s="4">
        <v>0</v>
      </c>
      <c r="O150" s="4">
        <v>0</v>
      </c>
      <c r="P150" s="209">
        <f t="shared" si="6"/>
        <v>0</v>
      </c>
      <c r="Q150" s="209">
        <f t="shared" si="7"/>
        <v>0</v>
      </c>
      <c r="R150" s="209">
        <f t="shared" si="8"/>
        <v>0</v>
      </c>
    </row>
    <row r="151" spans="1:18">
      <c r="A151" s="55">
        <v>149</v>
      </c>
      <c r="B151" s="55" t="s">
        <v>305</v>
      </c>
      <c r="C151" s="55" t="s">
        <v>309</v>
      </c>
      <c r="D151" s="55" t="s">
        <v>307</v>
      </c>
      <c r="E151" s="75" t="s">
        <v>0</v>
      </c>
      <c r="F151" s="233" t="s">
        <v>204</v>
      </c>
      <c r="G151" s="234">
        <v>915104016</v>
      </c>
      <c r="H151" s="234" t="s">
        <v>203</v>
      </c>
      <c r="I151" s="56">
        <v>318.91000000000003</v>
      </c>
      <c r="J151" s="56"/>
      <c r="K151" s="111">
        <v>0</v>
      </c>
      <c r="L151" s="4">
        <v>0</v>
      </c>
      <c r="M151" s="4">
        <v>0</v>
      </c>
      <c r="N151" s="4">
        <v>0</v>
      </c>
      <c r="O151" s="4">
        <v>0</v>
      </c>
      <c r="P151" s="209">
        <f t="shared" si="6"/>
        <v>0</v>
      </c>
      <c r="Q151" s="209">
        <f t="shared" si="7"/>
        <v>0</v>
      </c>
      <c r="R151" s="209">
        <f t="shared" si="8"/>
        <v>0</v>
      </c>
    </row>
    <row r="152" spans="1:18">
      <c r="A152" s="55">
        <v>150</v>
      </c>
      <c r="B152" s="55" t="s">
        <v>305</v>
      </c>
      <c r="C152" s="55" t="s">
        <v>309</v>
      </c>
      <c r="D152" s="55" t="s">
        <v>307</v>
      </c>
      <c r="E152" s="75" t="s">
        <v>0</v>
      </c>
      <c r="F152" s="233" t="s">
        <v>206</v>
      </c>
      <c r="G152" s="234">
        <v>915105009</v>
      </c>
      <c r="H152" s="234" t="s">
        <v>205</v>
      </c>
      <c r="I152" s="56">
        <v>94.37</v>
      </c>
      <c r="J152" s="56"/>
      <c r="K152" s="111">
        <v>0</v>
      </c>
      <c r="L152" s="4">
        <v>0</v>
      </c>
      <c r="M152" s="4">
        <v>0</v>
      </c>
      <c r="N152" s="4">
        <v>0</v>
      </c>
      <c r="O152" s="4">
        <v>0</v>
      </c>
      <c r="P152" s="209">
        <f t="shared" si="6"/>
        <v>0</v>
      </c>
      <c r="Q152" s="209">
        <f t="shared" si="7"/>
        <v>0</v>
      </c>
      <c r="R152" s="209">
        <f t="shared" si="8"/>
        <v>0</v>
      </c>
    </row>
    <row r="153" spans="1:18">
      <c r="A153" s="55">
        <v>151</v>
      </c>
      <c r="B153" s="55" t="s">
        <v>305</v>
      </c>
      <c r="C153" s="55" t="s">
        <v>309</v>
      </c>
      <c r="D153" s="55" t="s">
        <v>307</v>
      </c>
      <c r="E153" s="75" t="s">
        <v>0</v>
      </c>
      <c r="F153" s="233" t="s">
        <v>208</v>
      </c>
      <c r="G153" s="234">
        <v>915105010</v>
      </c>
      <c r="H153" s="234" t="s">
        <v>207</v>
      </c>
      <c r="I153" s="56">
        <v>94.37</v>
      </c>
      <c r="J153" s="56"/>
      <c r="K153" s="111">
        <v>0</v>
      </c>
      <c r="L153" s="4">
        <v>0</v>
      </c>
      <c r="M153" s="4">
        <v>0</v>
      </c>
      <c r="N153" s="4">
        <v>0</v>
      </c>
      <c r="O153" s="4">
        <v>0</v>
      </c>
      <c r="P153" s="209">
        <f t="shared" si="6"/>
        <v>0</v>
      </c>
      <c r="Q153" s="209">
        <f t="shared" si="7"/>
        <v>0</v>
      </c>
      <c r="R153" s="209">
        <f t="shared" si="8"/>
        <v>0</v>
      </c>
    </row>
    <row r="154" spans="1:18">
      <c r="A154" s="55">
        <v>152</v>
      </c>
      <c r="B154" s="55" t="s">
        <v>305</v>
      </c>
      <c r="C154" s="55" t="s">
        <v>309</v>
      </c>
      <c r="D154" s="55" t="s">
        <v>307</v>
      </c>
      <c r="E154" s="75" t="s">
        <v>0</v>
      </c>
      <c r="F154" s="233" t="s">
        <v>210</v>
      </c>
      <c r="G154" s="234">
        <v>915105011</v>
      </c>
      <c r="H154" s="234" t="s">
        <v>209</v>
      </c>
      <c r="I154" s="56">
        <v>95.22</v>
      </c>
      <c r="J154" s="56"/>
      <c r="K154" s="111">
        <v>0</v>
      </c>
      <c r="L154" s="4">
        <v>0</v>
      </c>
      <c r="M154" s="4">
        <v>0</v>
      </c>
      <c r="N154" s="4">
        <v>0</v>
      </c>
      <c r="O154" s="4">
        <v>0</v>
      </c>
      <c r="P154" s="209">
        <f t="shared" si="6"/>
        <v>0</v>
      </c>
      <c r="Q154" s="209">
        <f t="shared" si="7"/>
        <v>0</v>
      </c>
      <c r="R154" s="209">
        <f t="shared" si="8"/>
        <v>0</v>
      </c>
    </row>
    <row r="155" spans="1:18">
      <c r="A155" s="55">
        <v>153</v>
      </c>
      <c r="B155" s="55" t="s">
        <v>305</v>
      </c>
      <c r="C155" s="55" t="s">
        <v>309</v>
      </c>
      <c r="D155" s="55" t="s">
        <v>307</v>
      </c>
      <c r="E155" s="75" t="s">
        <v>0</v>
      </c>
      <c r="F155" s="233" t="s">
        <v>212</v>
      </c>
      <c r="G155" s="234">
        <v>915105012</v>
      </c>
      <c r="H155" s="234" t="s">
        <v>211</v>
      </c>
      <c r="I155" s="56">
        <v>95.22</v>
      </c>
      <c r="J155" s="56"/>
      <c r="K155" s="111">
        <v>0</v>
      </c>
      <c r="L155" s="4">
        <v>0</v>
      </c>
      <c r="M155" s="4">
        <v>0</v>
      </c>
      <c r="N155" s="4">
        <v>0</v>
      </c>
      <c r="O155" s="4">
        <v>0</v>
      </c>
      <c r="P155" s="209">
        <f t="shared" si="6"/>
        <v>0</v>
      </c>
      <c r="Q155" s="209">
        <f t="shared" si="7"/>
        <v>0</v>
      </c>
      <c r="R155" s="209">
        <f t="shared" si="8"/>
        <v>0</v>
      </c>
    </row>
    <row r="156" spans="1:18">
      <c r="A156" s="55">
        <v>154</v>
      </c>
      <c r="B156" s="55" t="s">
        <v>305</v>
      </c>
      <c r="C156" s="55" t="s">
        <v>309</v>
      </c>
      <c r="D156" s="55" t="s">
        <v>307</v>
      </c>
      <c r="E156" s="75" t="s">
        <v>0</v>
      </c>
      <c r="F156" s="233" t="s">
        <v>214</v>
      </c>
      <c r="G156" s="234">
        <v>915105013</v>
      </c>
      <c r="H156" s="234" t="s">
        <v>213</v>
      </c>
      <c r="I156" s="56">
        <v>38.22</v>
      </c>
      <c r="J156" s="56"/>
      <c r="K156" s="111">
        <v>0</v>
      </c>
      <c r="L156" s="4">
        <v>0</v>
      </c>
      <c r="M156" s="4">
        <v>0</v>
      </c>
      <c r="N156" s="4">
        <v>0</v>
      </c>
      <c r="O156" s="4">
        <v>0</v>
      </c>
      <c r="P156" s="209">
        <f t="shared" si="6"/>
        <v>0</v>
      </c>
      <c r="Q156" s="209">
        <f t="shared" si="7"/>
        <v>0</v>
      </c>
      <c r="R156" s="209">
        <f t="shared" si="8"/>
        <v>0</v>
      </c>
    </row>
    <row r="157" spans="1:18">
      <c r="A157" s="55">
        <v>155</v>
      </c>
      <c r="B157" s="55" t="s">
        <v>305</v>
      </c>
      <c r="C157" s="55" t="s">
        <v>309</v>
      </c>
      <c r="D157" s="55" t="s">
        <v>307</v>
      </c>
      <c r="E157" s="75" t="s">
        <v>0</v>
      </c>
      <c r="F157" s="233" t="s">
        <v>216</v>
      </c>
      <c r="G157" s="234">
        <v>915105014</v>
      </c>
      <c r="H157" s="234" t="s">
        <v>215</v>
      </c>
      <c r="I157" s="56">
        <v>38.22</v>
      </c>
      <c r="J157" s="56"/>
      <c r="K157" s="111">
        <v>0</v>
      </c>
      <c r="L157" s="4">
        <v>0</v>
      </c>
      <c r="M157" s="4">
        <v>0</v>
      </c>
      <c r="N157" s="4">
        <v>0</v>
      </c>
      <c r="O157" s="4">
        <v>0</v>
      </c>
      <c r="P157" s="209">
        <f t="shared" si="6"/>
        <v>0</v>
      </c>
      <c r="Q157" s="209">
        <f t="shared" si="7"/>
        <v>0</v>
      </c>
      <c r="R157" s="209">
        <f t="shared" si="8"/>
        <v>0</v>
      </c>
    </row>
    <row r="158" spans="1:18">
      <c r="A158" s="55">
        <v>156</v>
      </c>
      <c r="B158" s="55" t="s">
        <v>305</v>
      </c>
      <c r="C158" s="55" t="s">
        <v>309</v>
      </c>
      <c r="D158" s="55" t="s">
        <v>307</v>
      </c>
      <c r="E158" s="75" t="s">
        <v>0</v>
      </c>
      <c r="F158" s="233" t="s">
        <v>218</v>
      </c>
      <c r="G158" s="234">
        <v>915105015</v>
      </c>
      <c r="H158" s="234" t="s">
        <v>217</v>
      </c>
      <c r="I158" s="56">
        <v>36.450000000000003</v>
      </c>
      <c r="J158" s="56"/>
      <c r="K158" s="111">
        <v>0</v>
      </c>
      <c r="L158" s="4">
        <v>0</v>
      </c>
      <c r="M158" s="4">
        <v>0</v>
      </c>
      <c r="N158" s="4">
        <v>0</v>
      </c>
      <c r="O158" s="4">
        <v>0</v>
      </c>
      <c r="P158" s="209">
        <f t="shared" si="6"/>
        <v>0</v>
      </c>
      <c r="Q158" s="209">
        <f t="shared" si="7"/>
        <v>0</v>
      </c>
      <c r="R158" s="209">
        <f t="shared" si="8"/>
        <v>0</v>
      </c>
    </row>
    <row r="159" spans="1:18">
      <c r="A159" s="55">
        <v>157</v>
      </c>
      <c r="B159" s="55" t="s">
        <v>305</v>
      </c>
      <c r="C159" s="55" t="s">
        <v>309</v>
      </c>
      <c r="D159" s="55" t="s">
        <v>307</v>
      </c>
      <c r="E159" s="75" t="s">
        <v>0</v>
      </c>
      <c r="F159" s="233" t="s">
        <v>220</v>
      </c>
      <c r="G159" s="234">
        <v>915105016</v>
      </c>
      <c r="H159" s="234" t="s">
        <v>219</v>
      </c>
      <c r="I159" s="56">
        <v>36.450000000000003</v>
      </c>
      <c r="J159" s="56"/>
      <c r="K159" s="111">
        <v>0</v>
      </c>
      <c r="L159" s="4">
        <v>0</v>
      </c>
      <c r="M159" s="4">
        <v>0</v>
      </c>
      <c r="N159" s="4">
        <v>0</v>
      </c>
      <c r="O159" s="4">
        <v>0</v>
      </c>
      <c r="P159" s="209">
        <f t="shared" si="6"/>
        <v>0</v>
      </c>
      <c r="Q159" s="209">
        <f t="shared" si="7"/>
        <v>0</v>
      </c>
      <c r="R159" s="209">
        <f t="shared" si="8"/>
        <v>0</v>
      </c>
    </row>
    <row r="160" spans="1:18" ht="15.5">
      <c r="A160" s="55">
        <v>158</v>
      </c>
      <c r="B160" s="55" t="s">
        <v>305</v>
      </c>
      <c r="C160" s="55" t="s">
        <v>309</v>
      </c>
      <c r="D160" s="55" t="s">
        <v>307</v>
      </c>
      <c r="E160" s="75" t="s">
        <v>295</v>
      </c>
      <c r="F160" s="235" t="s">
        <v>222</v>
      </c>
      <c r="G160" s="236">
        <v>918004001</v>
      </c>
      <c r="H160" s="236" t="s">
        <v>221</v>
      </c>
      <c r="I160" s="56">
        <v>523.79999999999995</v>
      </c>
      <c r="J160" s="56">
        <v>1</v>
      </c>
      <c r="K160" s="245">
        <v>1680</v>
      </c>
      <c r="L160" s="237">
        <v>12960</v>
      </c>
      <c r="M160" s="237">
        <v>160</v>
      </c>
      <c r="N160" s="237">
        <v>7200</v>
      </c>
      <c r="O160" s="237">
        <v>7600</v>
      </c>
      <c r="P160" s="209">
        <f t="shared" si="6"/>
        <v>879983.99999999988</v>
      </c>
      <c r="Q160" s="209">
        <f t="shared" si="7"/>
        <v>21772800</v>
      </c>
      <c r="R160" s="209">
        <f t="shared" si="8"/>
        <v>2073600</v>
      </c>
    </row>
    <row r="161" spans="1:18" ht="15.5">
      <c r="A161" s="55">
        <v>159</v>
      </c>
      <c r="B161" s="55" t="s">
        <v>305</v>
      </c>
      <c r="C161" s="55" t="s">
        <v>309</v>
      </c>
      <c r="D161" s="55" t="s">
        <v>307</v>
      </c>
      <c r="E161" s="75" t="s">
        <v>295</v>
      </c>
      <c r="F161" s="235" t="s">
        <v>224</v>
      </c>
      <c r="G161" s="236">
        <v>918004002</v>
      </c>
      <c r="H161" s="236" t="s">
        <v>223</v>
      </c>
      <c r="I161" s="56">
        <v>523.79999999999995</v>
      </c>
      <c r="J161" s="56">
        <v>1</v>
      </c>
      <c r="K161" s="245">
        <v>1520</v>
      </c>
      <c r="L161" s="237">
        <v>12960</v>
      </c>
      <c r="M161" s="237">
        <v>160</v>
      </c>
      <c r="N161" s="237">
        <v>7200</v>
      </c>
      <c r="O161" s="237">
        <v>7600</v>
      </c>
      <c r="P161" s="209">
        <f t="shared" si="6"/>
        <v>796175.99999999988</v>
      </c>
      <c r="Q161" s="209">
        <f t="shared" si="7"/>
        <v>19699200</v>
      </c>
      <c r="R161" s="209">
        <f t="shared" si="8"/>
        <v>2073600</v>
      </c>
    </row>
    <row r="162" spans="1:18" ht="15.5">
      <c r="A162" s="55">
        <v>160</v>
      </c>
      <c r="B162" s="55" t="s">
        <v>305</v>
      </c>
      <c r="C162" s="55" t="s">
        <v>309</v>
      </c>
      <c r="D162" s="55" t="s">
        <v>307</v>
      </c>
      <c r="E162" s="75" t="s">
        <v>295</v>
      </c>
      <c r="F162" s="235" t="s">
        <v>226</v>
      </c>
      <c r="G162" s="236">
        <v>918004003</v>
      </c>
      <c r="H162" s="236" t="s">
        <v>225</v>
      </c>
      <c r="I162" s="56">
        <v>572.15</v>
      </c>
      <c r="J162" s="56">
        <v>1</v>
      </c>
      <c r="K162" s="244">
        <v>3260</v>
      </c>
      <c r="L162" s="237">
        <v>13000</v>
      </c>
      <c r="M162" s="237">
        <v>100</v>
      </c>
      <c r="N162" s="237">
        <v>7200</v>
      </c>
      <c r="O162" s="237">
        <v>7600</v>
      </c>
      <c r="P162" s="209">
        <f t="shared" si="6"/>
        <v>1865209</v>
      </c>
      <c r="Q162" s="209">
        <f t="shared" si="7"/>
        <v>42380000</v>
      </c>
      <c r="R162" s="209">
        <f t="shared" si="8"/>
        <v>1300000</v>
      </c>
    </row>
    <row r="163" spans="1:18" ht="15.5">
      <c r="A163" s="55">
        <v>161</v>
      </c>
      <c r="B163" s="55" t="s">
        <v>305</v>
      </c>
      <c r="C163" s="55" t="s">
        <v>309</v>
      </c>
      <c r="D163" s="55" t="s">
        <v>307</v>
      </c>
      <c r="E163" s="75" t="s">
        <v>295</v>
      </c>
      <c r="F163" s="235" t="s">
        <v>228</v>
      </c>
      <c r="G163" s="236">
        <v>918004004</v>
      </c>
      <c r="H163" s="236" t="s">
        <v>227</v>
      </c>
      <c r="I163" s="56">
        <v>572.15</v>
      </c>
      <c r="J163" s="56">
        <v>1</v>
      </c>
      <c r="K163" s="244">
        <v>3340</v>
      </c>
      <c r="L163" s="237">
        <v>12900</v>
      </c>
      <c r="M163" s="237">
        <v>200</v>
      </c>
      <c r="N163" s="237">
        <v>7200</v>
      </c>
      <c r="O163" s="237">
        <v>7500</v>
      </c>
      <c r="P163" s="209">
        <f t="shared" si="6"/>
        <v>1910981</v>
      </c>
      <c r="Q163" s="209">
        <f t="shared" si="7"/>
        <v>43086000</v>
      </c>
      <c r="R163" s="209">
        <f t="shared" si="8"/>
        <v>2580000</v>
      </c>
    </row>
    <row r="164" spans="1:18" ht="15.5">
      <c r="A164" s="55">
        <v>162</v>
      </c>
      <c r="B164" s="55" t="s">
        <v>305</v>
      </c>
      <c r="C164" s="55" t="s">
        <v>309</v>
      </c>
      <c r="D164" s="55" t="s">
        <v>307</v>
      </c>
      <c r="E164" s="75" t="s">
        <v>295</v>
      </c>
      <c r="F164" s="235" t="s">
        <v>230</v>
      </c>
      <c r="G164" s="236">
        <v>918005005</v>
      </c>
      <c r="H164" s="236" t="s">
        <v>229</v>
      </c>
      <c r="I164" s="56">
        <v>133.86000000000001</v>
      </c>
      <c r="J164" s="56">
        <v>0.5</v>
      </c>
      <c r="K164" s="245">
        <v>900</v>
      </c>
      <c r="L164" s="237">
        <v>5100</v>
      </c>
      <c r="M164" s="237">
        <v>300</v>
      </c>
      <c r="N164" s="244">
        <v>2400</v>
      </c>
      <c r="O164" s="237">
        <v>2400</v>
      </c>
      <c r="P164" s="209">
        <f t="shared" si="6"/>
        <v>120474.00000000001</v>
      </c>
      <c r="Q164" s="209">
        <f t="shared" si="7"/>
        <v>4590000</v>
      </c>
      <c r="R164" s="209">
        <f t="shared" si="8"/>
        <v>1530000</v>
      </c>
    </row>
    <row r="165" spans="1:18" ht="15.5">
      <c r="A165" s="55">
        <v>163</v>
      </c>
      <c r="B165" s="55" t="s">
        <v>305</v>
      </c>
      <c r="C165" s="55" t="s">
        <v>309</v>
      </c>
      <c r="D165" s="55" t="s">
        <v>307</v>
      </c>
      <c r="E165" s="75" t="s">
        <v>295</v>
      </c>
      <c r="F165" s="235" t="s">
        <v>231</v>
      </c>
      <c r="G165" s="236">
        <v>918005006</v>
      </c>
      <c r="H165" s="236" t="s">
        <v>229</v>
      </c>
      <c r="I165" s="56">
        <v>133.86000000000001</v>
      </c>
      <c r="J165" s="56">
        <v>0.5</v>
      </c>
      <c r="K165" s="245">
        <v>600</v>
      </c>
      <c r="L165" s="237">
        <v>5100</v>
      </c>
      <c r="M165" s="237">
        <v>300</v>
      </c>
      <c r="N165" s="244">
        <v>2400</v>
      </c>
      <c r="O165" s="237">
        <v>2400</v>
      </c>
      <c r="P165" s="209">
        <f t="shared" si="6"/>
        <v>80316.000000000015</v>
      </c>
      <c r="Q165" s="209">
        <f t="shared" si="7"/>
        <v>3060000</v>
      </c>
      <c r="R165" s="209">
        <f t="shared" si="8"/>
        <v>1530000</v>
      </c>
    </row>
    <row r="166" spans="1:18" ht="15.5">
      <c r="A166" s="55">
        <v>164</v>
      </c>
      <c r="B166" s="55" t="s">
        <v>305</v>
      </c>
      <c r="C166" s="55" t="s">
        <v>309</v>
      </c>
      <c r="D166" s="55" t="s">
        <v>307</v>
      </c>
      <c r="E166" s="75" t="s">
        <v>295</v>
      </c>
      <c r="F166" s="235" t="s">
        <v>232</v>
      </c>
      <c r="G166" s="236">
        <v>918005007</v>
      </c>
      <c r="H166" s="236" t="s">
        <v>229</v>
      </c>
      <c r="I166" s="56">
        <v>158.5</v>
      </c>
      <c r="J166" s="56">
        <v>0.5</v>
      </c>
      <c r="K166" s="245">
        <v>300</v>
      </c>
      <c r="L166" s="237">
        <v>5400</v>
      </c>
      <c r="M166" s="237">
        <v>0</v>
      </c>
      <c r="N166" s="244">
        <v>2700</v>
      </c>
      <c r="O166" s="237">
        <v>2100</v>
      </c>
      <c r="P166" s="209">
        <f t="shared" si="6"/>
        <v>47550</v>
      </c>
      <c r="Q166" s="209">
        <f t="shared" si="7"/>
        <v>1620000</v>
      </c>
      <c r="R166" s="209">
        <f t="shared" si="8"/>
        <v>0</v>
      </c>
    </row>
    <row r="167" spans="1:18" ht="15.5">
      <c r="A167" s="55">
        <v>165</v>
      </c>
      <c r="B167" s="55" t="s">
        <v>305</v>
      </c>
      <c r="C167" s="55" t="s">
        <v>309</v>
      </c>
      <c r="D167" s="55" t="s">
        <v>307</v>
      </c>
      <c r="E167" s="75" t="s">
        <v>295</v>
      </c>
      <c r="F167" s="235" t="s">
        <v>233</v>
      </c>
      <c r="G167" s="236">
        <v>918005008</v>
      </c>
      <c r="H167" s="236" t="s">
        <v>229</v>
      </c>
      <c r="I167" s="56">
        <v>158.5</v>
      </c>
      <c r="J167" s="56">
        <v>0.5</v>
      </c>
      <c r="K167" s="245">
        <v>600</v>
      </c>
      <c r="L167" s="237">
        <v>5400</v>
      </c>
      <c r="M167" s="237">
        <v>0</v>
      </c>
      <c r="N167" s="244">
        <v>2700</v>
      </c>
      <c r="O167" s="237">
        <v>2100</v>
      </c>
      <c r="P167" s="209">
        <f t="shared" si="6"/>
        <v>95100</v>
      </c>
      <c r="Q167" s="209">
        <f t="shared" si="7"/>
        <v>3240000</v>
      </c>
      <c r="R167" s="209">
        <f t="shared" si="8"/>
        <v>0</v>
      </c>
    </row>
    <row r="168" spans="1:18" ht="15.5">
      <c r="A168" s="55">
        <v>166</v>
      </c>
      <c r="B168" s="55" t="s">
        <v>305</v>
      </c>
      <c r="C168" s="55" t="s">
        <v>309</v>
      </c>
      <c r="D168" s="55" t="s">
        <v>307</v>
      </c>
      <c r="E168" s="75" t="s">
        <v>295</v>
      </c>
      <c r="F168" s="235" t="s">
        <v>235</v>
      </c>
      <c r="G168" s="236">
        <v>918005001</v>
      </c>
      <c r="H168" s="236" t="s">
        <v>234</v>
      </c>
      <c r="I168" s="56">
        <v>75.37</v>
      </c>
      <c r="J168" s="56">
        <v>1</v>
      </c>
      <c r="K168" s="244">
        <v>3300</v>
      </c>
      <c r="L168" s="237">
        <v>12900</v>
      </c>
      <c r="M168" s="237">
        <v>300</v>
      </c>
      <c r="N168" s="237">
        <v>7200</v>
      </c>
      <c r="O168" s="237">
        <v>7500</v>
      </c>
      <c r="P168" s="209">
        <f t="shared" si="6"/>
        <v>248721.00000000003</v>
      </c>
      <c r="Q168" s="209">
        <f t="shared" si="7"/>
        <v>42570000</v>
      </c>
      <c r="R168" s="209">
        <f t="shared" si="8"/>
        <v>3870000</v>
      </c>
    </row>
    <row r="169" spans="1:18" ht="15.5">
      <c r="A169" s="55">
        <v>167</v>
      </c>
      <c r="B169" s="55" t="s">
        <v>305</v>
      </c>
      <c r="C169" s="55" t="s">
        <v>309</v>
      </c>
      <c r="D169" s="55" t="s">
        <v>307</v>
      </c>
      <c r="E169" s="75" t="s">
        <v>295</v>
      </c>
      <c r="F169" s="235" t="s">
        <v>236</v>
      </c>
      <c r="G169" s="236">
        <v>918005002</v>
      </c>
      <c r="H169" s="236" t="s">
        <v>234</v>
      </c>
      <c r="I169" s="56">
        <v>75.37</v>
      </c>
      <c r="J169" s="56">
        <v>1</v>
      </c>
      <c r="K169" s="244">
        <v>3600</v>
      </c>
      <c r="L169" s="237">
        <v>12900</v>
      </c>
      <c r="M169" s="237">
        <v>0</v>
      </c>
      <c r="N169" s="237">
        <v>7200</v>
      </c>
      <c r="O169" s="237">
        <v>7800</v>
      </c>
      <c r="P169" s="209">
        <f t="shared" si="6"/>
        <v>271332</v>
      </c>
      <c r="Q169" s="209">
        <f t="shared" si="7"/>
        <v>46440000</v>
      </c>
      <c r="R169" s="209">
        <f t="shared" si="8"/>
        <v>0</v>
      </c>
    </row>
    <row r="170" spans="1:18" ht="15.5">
      <c r="A170" s="55">
        <v>168</v>
      </c>
      <c r="B170" s="55" t="s">
        <v>305</v>
      </c>
      <c r="C170" s="55" t="s">
        <v>309</v>
      </c>
      <c r="D170" s="55" t="s">
        <v>307</v>
      </c>
      <c r="E170" s="75" t="s">
        <v>295</v>
      </c>
      <c r="F170" s="235" t="s">
        <v>238</v>
      </c>
      <c r="G170" s="236">
        <v>918005003</v>
      </c>
      <c r="H170" s="236" t="s">
        <v>237</v>
      </c>
      <c r="I170" s="56">
        <v>66.81</v>
      </c>
      <c r="J170" s="56">
        <v>1</v>
      </c>
      <c r="K170" s="244">
        <v>3900</v>
      </c>
      <c r="L170" s="237">
        <v>12900</v>
      </c>
      <c r="M170" s="237">
        <v>300</v>
      </c>
      <c r="N170" s="237">
        <v>7200</v>
      </c>
      <c r="O170" s="237">
        <v>7500</v>
      </c>
      <c r="P170" s="209">
        <f t="shared" si="6"/>
        <v>260559</v>
      </c>
      <c r="Q170" s="209">
        <f t="shared" si="7"/>
        <v>50310000</v>
      </c>
      <c r="R170" s="209">
        <f t="shared" si="8"/>
        <v>3870000</v>
      </c>
    </row>
    <row r="171" spans="1:18" ht="15.5">
      <c r="A171" s="55">
        <v>169</v>
      </c>
      <c r="B171" s="55" t="s">
        <v>305</v>
      </c>
      <c r="C171" s="55" t="s">
        <v>309</v>
      </c>
      <c r="D171" s="55" t="s">
        <v>307</v>
      </c>
      <c r="E171" s="75" t="s">
        <v>295</v>
      </c>
      <c r="F171" s="235" t="s">
        <v>240</v>
      </c>
      <c r="G171" s="236">
        <v>918005004</v>
      </c>
      <c r="H171" s="236" t="s">
        <v>239</v>
      </c>
      <c r="I171" s="56">
        <v>66.81</v>
      </c>
      <c r="J171" s="56">
        <v>1</v>
      </c>
      <c r="K171" s="244">
        <v>3900</v>
      </c>
      <c r="L171" s="237">
        <v>12900</v>
      </c>
      <c r="M171" s="237">
        <v>300</v>
      </c>
      <c r="N171" s="237">
        <v>7200</v>
      </c>
      <c r="O171" s="237">
        <v>7500</v>
      </c>
      <c r="P171" s="209">
        <f t="shared" si="6"/>
        <v>260559</v>
      </c>
      <c r="Q171" s="209">
        <f t="shared" si="7"/>
        <v>50310000</v>
      </c>
      <c r="R171" s="209">
        <f t="shared" si="8"/>
        <v>3870000</v>
      </c>
    </row>
    <row r="172" spans="1:18" ht="15.5">
      <c r="A172" s="55">
        <v>170</v>
      </c>
      <c r="B172" s="55" t="s">
        <v>305</v>
      </c>
      <c r="C172" s="55" t="s">
        <v>309</v>
      </c>
      <c r="D172" s="55" t="s">
        <v>307</v>
      </c>
      <c r="E172" s="75" t="s">
        <v>296</v>
      </c>
      <c r="F172" s="238" t="s">
        <v>245</v>
      </c>
      <c r="G172" s="236">
        <v>918204001</v>
      </c>
      <c r="H172" s="236" t="s">
        <v>246</v>
      </c>
      <c r="I172" s="56">
        <v>482.65</v>
      </c>
      <c r="J172" s="56">
        <v>1</v>
      </c>
      <c r="K172" s="208">
        <v>6400</v>
      </c>
      <c r="L172" s="208">
        <v>6880</v>
      </c>
      <c r="M172" s="208">
        <v>3066.6666666666665</v>
      </c>
      <c r="N172" s="208">
        <v>7253.3333333333339</v>
      </c>
      <c r="O172" s="237">
        <v>14400</v>
      </c>
      <c r="P172" s="209">
        <f t="shared" si="6"/>
        <v>3088960</v>
      </c>
      <c r="Q172" s="209">
        <f t="shared" si="7"/>
        <v>44032000</v>
      </c>
      <c r="R172" s="209">
        <f t="shared" si="8"/>
        <v>21098666.666666664</v>
      </c>
    </row>
    <row r="173" spans="1:18" ht="15.5">
      <c r="A173" s="55">
        <v>171</v>
      </c>
      <c r="B173" s="55" t="s">
        <v>305</v>
      </c>
      <c r="C173" s="55" t="s">
        <v>309</v>
      </c>
      <c r="D173" s="55" t="s">
        <v>307</v>
      </c>
      <c r="E173" s="75" t="s">
        <v>296</v>
      </c>
      <c r="F173" s="238" t="s">
        <v>247</v>
      </c>
      <c r="G173" s="236">
        <v>918204002</v>
      </c>
      <c r="H173" s="236" t="s">
        <v>248</v>
      </c>
      <c r="I173" s="56">
        <v>482.65</v>
      </c>
      <c r="J173" s="56">
        <v>1</v>
      </c>
      <c r="K173" s="208">
        <v>6080</v>
      </c>
      <c r="L173" s="208">
        <v>6880</v>
      </c>
      <c r="M173" s="208">
        <v>3066.6666666666665</v>
      </c>
      <c r="N173" s="208">
        <v>7253.3333333333339</v>
      </c>
      <c r="O173" s="237">
        <v>14400</v>
      </c>
      <c r="P173" s="209">
        <f t="shared" si="6"/>
        <v>2934512</v>
      </c>
      <c r="Q173" s="209">
        <f t="shared" si="7"/>
        <v>41830400</v>
      </c>
      <c r="R173" s="209">
        <f t="shared" si="8"/>
        <v>21098666.666666664</v>
      </c>
    </row>
    <row r="174" spans="1:18" ht="15.5">
      <c r="A174" s="55">
        <v>172</v>
      </c>
      <c r="B174" s="55" t="s">
        <v>305</v>
      </c>
      <c r="C174" s="55" t="s">
        <v>309</v>
      </c>
      <c r="D174" s="55" t="s">
        <v>307</v>
      </c>
      <c r="E174" s="75" t="s">
        <v>296</v>
      </c>
      <c r="F174" s="238" t="s">
        <v>249</v>
      </c>
      <c r="G174" s="236">
        <v>918204003</v>
      </c>
      <c r="H174" s="236" t="s">
        <v>250</v>
      </c>
      <c r="I174" s="56">
        <v>458.19</v>
      </c>
      <c r="J174" s="56">
        <v>1</v>
      </c>
      <c r="K174" s="208">
        <v>6940</v>
      </c>
      <c r="L174" s="208">
        <v>6900</v>
      </c>
      <c r="M174" s="208">
        <v>3100</v>
      </c>
      <c r="N174" s="208">
        <v>7200</v>
      </c>
      <c r="O174" s="237">
        <v>14400</v>
      </c>
      <c r="P174" s="209">
        <f t="shared" si="6"/>
        <v>3179838.6</v>
      </c>
      <c r="Q174" s="209">
        <f t="shared" si="7"/>
        <v>47886000</v>
      </c>
      <c r="R174" s="209">
        <f t="shared" si="8"/>
        <v>21390000</v>
      </c>
    </row>
    <row r="175" spans="1:18" ht="15.5">
      <c r="A175" s="55">
        <v>173</v>
      </c>
      <c r="B175" s="55" t="s">
        <v>305</v>
      </c>
      <c r="C175" s="55" t="s">
        <v>309</v>
      </c>
      <c r="D175" s="55" t="s">
        <v>307</v>
      </c>
      <c r="E175" s="75" t="s">
        <v>296</v>
      </c>
      <c r="F175" s="238" t="s">
        <v>251</v>
      </c>
      <c r="G175" s="236">
        <v>918204004</v>
      </c>
      <c r="H175" s="236" t="s">
        <v>252</v>
      </c>
      <c r="I175" s="56">
        <v>458.19</v>
      </c>
      <c r="J175" s="56">
        <v>1</v>
      </c>
      <c r="K175" s="208">
        <v>8030</v>
      </c>
      <c r="L175" s="208">
        <v>6900</v>
      </c>
      <c r="M175" s="208">
        <v>3000</v>
      </c>
      <c r="N175" s="208">
        <v>7300</v>
      </c>
      <c r="O175" s="237">
        <v>14400</v>
      </c>
      <c r="P175" s="209">
        <f t="shared" si="6"/>
        <v>3679265.7</v>
      </c>
      <c r="Q175" s="209">
        <f t="shared" si="7"/>
        <v>55407000</v>
      </c>
      <c r="R175" s="209">
        <f t="shared" si="8"/>
        <v>20700000</v>
      </c>
    </row>
    <row r="176" spans="1:18" ht="15.5">
      <c r="A176" s="55">
        <v>174</v>
      </c>
      <c r="B176" s="55" t="s">
        <v>305</v>
      </c>
      <c r="C176" s="55" t="s">
        <v>309</v>
      </c>
      <c r="D176" s="55" t="s">
        <v>307</v>
      </c>
      <c r="E176" s="75" t="s">
        <v>296</v>
      </c>
      <c r="F176" s="238" t="s">
        <v>253</v>
      </c>
      <c r="G176" s="236">
        <v>918205001</v>
      </c>
      <c r="H176" s="236" t="s">
        <v>254</v>
      </c>
      <c r="I176" s="56">
        <v>129.1</v>
      </c>
      <c r="J176" s="56">
        <v>0.5</v>
      </c>
      <c r="K176" s="208">
        <v>3000</v>
      </c>
      <c r="L176" s="208">
        <v>3000</v>
      </c>
      <c r="M176" s="208">
        <v>1100</v>
      </c>
      <c r="N176" s="208">
        <v>3100</v>
      </c>
      <c r="O176" s="237">
        <v>6300</v>
      </c>
      <c r="P176" s="209">
        <f t="shared" si="6"/>
        <v>387300</v>
      </c>
      <c r="Q176" s="209">
        <f t="shared" si="7"/>
        <v>9000000</v>
      </c>
      <c r="R176" s="209">
        <f t="shared" si="8"/>
        <v>3300000</v>
      </c>
    </row>
    <row r="177" spans="1:18" ht="15.5">
      <c r="A177" s="55">
        <v>175</v>
      </c>
      <c r="B177" s="55" t="s">
        <v>305</v>
      </c>
      <c r="C177" s="55" t="s">
        <v>309</v>
      </c>
      <c r="D177" s="55" t="s">
        <v>307</v>
      </c>
      <c r="E177" s="75" t="s">
        <v>296</v>
      </c>
      <c r="F177" s="238" t="s">
        <v>255</v>
      </c>
      <c r="G177" s="236">
        <v>918205002</v>
      </c>
      <c r="H177" s="236" t="s">
        <v>254</v>
      </c>
      <c r="I177" s="56">
        <v>129.1</v>
      </c>
      <c r="J177" s="56">
        <v>0.5</v>
      </c>
      <c r="K177" s="208">
        <v>3000</v>
      </c>
      <c r="L177" s="208">
        <v>3300</v>
      </c>
      <c r="M177" s="208">
        <v>1100</v>
      </c>
      <c r="N177" s="208">
        <v>3100</v>
      </c>
      <c r="O177" s="237">
        <v>6300</v>
      </c>
      <c r="P177" s="209">
        <f t="shared" si="6"/>
        <v>387300</v>
      </c>
      <c r="Q177" s="209">
        <f t="shared" si="7"/>
        <v>9900000</v>
      </c>
      <c r="R177" s="209">
        <f t="shared" si="8"/>
        <v>3630000</v>
      </c>
    </row>
    <row r="178" spans="1:18" ht="15.5">
      <c r="A178" s="55">
        <v>176</v>
      </c>
      <c r="B178" s="55" t="s">
        <v>305</v>
      </c>
      <c r="C178" s="55" t="s">
        <v>309</v>
      </c>
      <c r="D178" s="55" t="s">
        <v>307</v>
      </c>
      <c r="E178" s="75" t="s">
        <v>296</v>
      </c>
      <c r="F178" s="238" t="s">
        <v>256</v>
      </c>
      <c r="G178" s="236">
        <v>918205003</v>
      </c>
      <c r="H178" s="236" t="s">
        <v>254</v>
      </c>
      <c r="I178" s="56">
        <v>125.78</v>
      </c>
      <c r="J178" s="56">
        <v>0.5</v>
      </c>
      <c r="K178" s="208">
        <v>3900</v>
      </c>
      <c r="L178" s="208">
        <v>3300</v>
      </c>
      <c r="M178" s="208">
        <v>1100</v>
      </c>
      <c r="N178" s="208">
        <v>3100</v>
      </c>
      <c r="O178" s="237">
        <v>6300</v>
      </c>
      <c r="P178" s="209">
        <f t="shared" si="6"/>
        <v>490542</v>
      </c>
      <c r="Q178" s="209">
        <f t="shared" si="7"/>
        <v>12870000</v>
      </c>
      <c r="R178" s="209">
        <f t="shared" si="8"/>
        <v>3630000</v>
      </c>
    </row>
    <row r="179" spans="1:18" ht="15.5">
      <c r="A179" s="55">
        <v>177</v>
      </c>
      <c r="B179" s="55" t="s">
        <v>305</v>
      </c>
      <c r="C179" s="55" t="s">
        <v>309</v>
      </c>
      <c r="D179" s="55" t="s">
        <v>307</v>
      </c>
      <c r="E179" s="75" t="s">
        <v>296</v>
      </c>
      <c r="F179" s="238" t="s">
        <v>257</v>
      </c>
      <c r="G179" s="236">
        <v>918205004</v>
      </c>
      <c r="H179" s="236" t="s">
        <v>254</v>
      </c>
      <c r="I179" s="56">
        <v>125.78</v>
      </c>
      <c r="J179" s="56">
        <v>0.5</v>
      </c>
      <c r="K179" s="208">
        <v>3600</v>
      </c>
      <c r="L179" s="208">
        <v>3000</v>
      </c>
      <c r="M179" s="208">
        <v>1100</v>
      </c>
      <c r="N179" s="208">
        <v>3100</v>
      </c>
      <c r="O179" s="237">
        <v>6300</v>
      </c>
      <c r="P179" s="209">
        <f t="shared" si="6"/>
        <v>452808</v>
      </c>
      <c r="Q179" s="209">
        <f t="shared" si="7"/>
        <v>10800000</v>
      </c>
      <c r="R179" s="209">
        <f t="shared" si="8"/>
        <v>3300000</v>
      </c>
    </row>
    <row r="180" spans="1:18" ht="15.5">
      <c r="A180" s="55">
        <v>178</v>
      </c>
      <c r="B180" s="55" t="s">
        <v>305</v>
      </c>
      <c r="C180" s="55" t="s">
        <v>309</v>
      </c>
      <c r="D180" s="55" t="s">
        <v>307</v>
      </c>
      <c r="E180" s="75" t="s">
        <v>296</v>
      </c>
      <c r="F180" s="238" t="s">
        <v>258</v>
      </c>
      <c r="G180" s="236">
        <v>918205005</v>
      </c>
      <c r="H180" s="236" t="s">
        <v>259</v>
      </c>
      <c r="I180" s="56">
        <v>81.180000000000007</v>
      </c>
      <c r="J180" s="56">
        <v>1</v>
      </c>
      <c r="K180" s="208">
        <v>7860</v>
      </c>
      <c r="L180" s="208">
        <v>6600</v>
      </c>
      <c r="M180" s="208">
        <v>3200</v>
      </c>
      <c r="N180" s="208">
        <v>7300</v>
      </c>
      <c r="O180" s="237">
        <v>14400</v>
      </c>
      <c r="P180" s="209">
        <f t="shared" si="6"/>
        <v>638074.80000000005</v>
      </c>
      <c r="Q180" s="209">
        <f t="shared" si="7"/>
        <v>51876000</v>
      </c>
      <c r="R180" s="209">
        <f t="shared" si="8"/>
        <v>21120000</v>
      </c>
    </row>
    <row r="181" spans="1:18" ht="15.5">
      <c r="A181" s="55">
        <v>179</v>
      </c>
      <c r="B181" s="55" t="s">
        <v>305</v>
      </c>
      <c r="C181" s="55" t="s">
        <v>309</v>
      </c>
      <c r="D181" s="55" t="s">
        <v>307</v>
      </c>
      <c r="E181" s="75" t="s">
        <v>296</v>
      </c>
      <c r="F181" s="238" t="s">
        <v>260</v>
      </c>
      <c r="G181" s="236">
        <v>918205006</v>
      </c>
      <c r="H181" s="236" t="s">
        <v>259</v>
      </c>
      <c r="I181" s="56">
        <v>81.180000000000007</v>
      </c>
      <c r="J181" s="56">
        <v>1</v>
      </c>
      <c r="K181" s="208">
        <v>7800</v>
      </c>
      <c r="L181" s="208">
        <v>6900</v>
      </c>
      <c r="M181" s="208">
        <v>2900</v>
      </c>
      <c r="N181" s="208">
        <v>7300</v>
      </c>
      <c r="O181" s="237">
        <v>14400</v>
      </c>
      <c r="P181" s="209">
        <f t="shared" si="6"/>
        <v>633204</v>
      </c>
      <c r="Q181" s="209">
        <f t="shared" si="7"/>
        <v>53820000</v>
      </c>
      <c r="R181" s="209">
        <f t="shared" si="8"/>
        <v>20010000</v>
      </c>
    </row>
    <row r="182" spans="1:18" ht="15.5">
      <c r="A182" s="55">
        <v>180</v>
      </c>
      <c r="B182" s="55" t="s">
        <v>305</v>
      </c>
      <c r="C182" s="55" t="s">
        <v>309</v>
      </c>
      <c r="D182" s="55" t="s">
        <v>307</v>
      </c>
      <c r="E182" s="75" t="s">
        <v>296</v>
      </c>
      <c r="F182" s="238" t="s">
        <v>261</v>
      </c>
      <c r="G182" s="236">
        <v>918205007</v>
      </c>
      <c r="H182" s="236" t="s">
        <v>259</v>
      </c>
      <c r="I182" s="56">
        <v>75.11</v>
      </c>
      <c r="J182" s="56">
        <v>1</v>
      </c>
      <c r="K182" s="208">
        <v>8440</v>
      </c>
      <c r="L182" s="208">
        <v>6900</v>
      </c>
      <c r="M182" s="208">
        <v>2900</v>
      </c>
      <c r="N182" s="208">
        <v>7300</v>
      </c>
      <c r="O182" s="237">
        <v>14400</v>
      </c>
      <c r="P182" s="209">
        <f t="shared" si="6"/>
        <v>633928.4</v>
      </c>
      <c r="Q182" s="209">
        <f t="shared" si="7"/>
        <v>58236000</v>
      </c>
      <c r="R182" s="209">
        <f t="shared" si="8"/>
        <v>20010000</v>
      </c>
    </row>
    <row r="183" spans="1:18" ht="15.5">
      <c r="A183" s="55">
        <v>181</v>
      </c>
      <c r="B183" s="55" t="s">
        <v>305</v>
      </c>
      <c r="C183" s="55" t="s">
        <v>309</v>
      </c>
      <c r="D183" s="55" t="s">
        <v>307</v>
      </c>
      <c r="E183" s="75" t="s">
        <v>296</v>
      </c>
      <c r="F183" s="238" t="s">
        <v>262</v>
      </c>
      <c r="G183" s="236">
        <v>918205008</v>
      </c>
      <c r="H183" s="236" t="s">
        <v>259</v>
      </c>
      <c r="I183" s="56">
        <v>75.11</v>
      </c>
      <c r="J183" s="56">
        <v>1</v>
      </c>
      <c r="K183" s="208">
        <v>8080</v>
      </c>
      <c r="L183" s="208">
        <v>6600</v>
      </c>
      <c r="M183" s="208">
        <v>3200</v>
      </c>
      <c r="N183" s="208">
        <v>7300</v>
      </c>
      <c r="O183" s="237">
        <v>14400</v>
      </c>
      <c r="P183" s="209">
        <f t="shared" si="6"/>
        <v>606888.80000000005</v>
      </c>
      <c r="Q183" s="209">
        <f t="shared" si="7"/>
        <v>53328000</v>
      </c>
      <c r="R183" s="209">
        <f t="shared" si="8"/>
        <v>21120000</v>
      </c>
    </row>
    <row r="184" spans="1:18" hidden="1">
      <c r="A184" s="55">
        <v>182</v>
      </c>
      <c r="B184" s="55" t="s">
        <v>305</v>
      </c>
      <c r="C184" s="55" t="s">
        <v>310</v>
      </c>
      <c r="D184" s="55" t="s">
        <v>311</v>
      </c>
      <c r="E184" s="75" t="s">
        <v>297</v>
      </c>
      <c r="F184" s="55" t="s">
        <v>281</v>
      </c>
      <c r="G184" s="55">
        <v>911604050</v>
      </c>
      <c r="H184" s="239" t="s">
        <v>167</v>
      </c>
      <c r="I184" s="56">
        <v>231.23</v>
      </c>
      <c r="J184" s="56"/>
      <c r="K184" s="111">
        <v>0</v>
      </c>
      <c r="L184" s="4">
        <v>0</v>
      </c>
      <c r="M184" s="4">
        <v>0</v>
      </c>
      <c r="N184" s="4">
        <v>0</v>
      </c>
      <c r="O184" s="4"/>
      <c r="P184" s="209">
        <f t="shared" si="6"/>
        <v>0</v>
      </c>
      <c r="Q184" s="209">
        <f t="shared" si="7"/>
        <v>0</v>
      </c>
      <c r="R184" s="209">
        <f t="shared" si="8"/>
        <v>0</v>
      </c>
    </row>
    <row r="185" spans="1:18" hidden="1">
      <c r="A185" s="55">
        <v>183</v>
      </c>
      <c r="B185" s="55" t="s">
        <v>305</v>
      </c>
      <c r="C185" s="55" t="s">
        <v>310</v>
      </c>
      <c r="D185" s="55" t="s">
        <v>311</v>
      </c>
      <c r="E185" s="75" t="s">
        <v>297</v>
      </c>
      <c r="F185" s="55" t="s">
        <v>282</v>
      </c>
      <c r="G185" s="55">
        <v>911604051</v>
      </c>
      <c r="H185" s="239" t="s">
        <v>168</v>
      </c>
      <c r="I185" s="56">
        <v>231.23</v>
      </c>
      <c r="J185" s="56"/>
      <c r="K185" s="111">
        <v>0</v>
      </c>
      <c r="L185" s="4">
        <v>0</v>
      </c>
      <c r="M185" s="4">
        <v>0</v>
      </c>
      <c r="N185" s="4">
        <v>0</v>
      </c>
      <c r="O185" s="4"/>
      <c r="P185" s="209">
        <f t="shared" si="6"/>
        <v>0</v>
      </c>
      <c r="Q185" s="209">
        <f t="shared" si="7"/>
        <v>0</v>
      </c>
      <c r="R185" s="209">
        <f t="shared" si="8"/>
        <v>0</v>
      </c>
    </row>
    <row r="186" spans="1:18" hidden="1">
      <c r="A186" s="55">
        <v>184</v>
      </c>
      <c r="B186" s="55" t="s">
        <v>305</v>
      </c>
      <c r="C186" s="55" t="s">
        <v>310</v>
      </c>
      <c r="D186" s="55" t="s">
        <v>311</v>
      </c>
      <c r="E186" s="75" t="s">
        <v>297</v>
      </c>
      <c r="F186" s="55" t="s">
        <v>283</v>
      </c>
      <c r="G186" s="55">
        <v>911724025</v>
      </c>
      <c r="H186" s="239" t="s">
        <v>169</v>
      </c>
      <c r="I186" s="56">
        <v>216.42</v>
      </c>
      <c r="J186" s="56"/>
      <c r="K186" s="111">
        <v>0</v>
      </c>
      <c r="L186" s="4">
        <v>0</v>
      </c>
      <c r="M186" s="4">
        <v>0</v>
      </c>
      <c r="N186" s="4">
        <v>0</v>
      </c>
      <c r="O186" s="4"/>
      <c r="P186" s="209">
        <f t="shared" si="6"/>
        <v>0</v>
      </c>
      <c r="Q186" s="209">
        <f t="shared" si="7"/>
        <v>0</v>
      </c>
      <c r="R186" s="209">
        <f t="shared" si="8"/>
        <v>0</v>
      </c>
    </row>
    <row r="187" spans="1:18" hidden="1">
      <c r="A187" s="55">
        <v>185</v>
      </c>
      <c r="B187" s="55" t="s">
        <v>305</v>
      </c>
      <c r="C187" s="55" t="s">
        <v>310</v>
      </c>
      <c r="D187" s="55" t="s">
        <v>311</v>
      </c>
      <c r="E187" s="75" t="s">
        <v>297</v>
      </c>
      <c r="F187" s="55" t="s">
        <v>284</v>
      </c>
      <c r="G187" s="55">
        <v>911724026</v>
      </c>
      <c r="H187" s="239" t="s">
        <v>170</v>
      </c>
      <c r="I187" s="56">
        <v>21642</v>
      </c>
      <c r="J187" s="56"/>
      <c r="K187" s="111">
        <v>0</v>
      </c>
      <c r="L187" s="4">
        <v>0</v>
      </c>
      <c r="M187" s="4">
        <v>0</v>
      </c>
      <c r="N187" s="4">
        <v>0</v>
      </c>
      <c r="O187" s="4"/>
      <c r="P187" s="209">
        <f t="shared" si="6"/>
        <v>0</v>
      </c>
      <c r="Q187" s="209">
        <f t="shared" si="7"/>
        <v>0</v>
      </c>
      <c r="R187" s="209">
        <f t="shared" si="8"/>
        <v>0</v>
      </c>
    </row>
    <row r="188" spans="1:18" hidden="1">
      <c r="A188" s="55">
        <v>186</v>
      </c>
      <c r="B188" s="55" t="s">
        <v>305</v>
      </c>
      <c r="C188" s="55" t="s">
        <v>310</v>
      </c>
      <c r="D188" s="55" t="s">
        <v>311</v>
      </c>
      <c r="E188" s="75" t="s">
        <v>297</v>
      </c>
      <c r="F188" s="55" t="s">
        <v>285</v>
      </c>
      <c r="G188" s="55">
        <v>911605053</v>
      </c>
      <c r="H188" s="239" t="s">
        <v>164</v>
      </c>
      <c r="I188" s="56">
        <v>110.15</v>
      </c>
      <c r="J188" s="56"/>
      <c r="K188" s="111">
        <v>0</v>
      </c>
      <c r="L188" s="4">
        <v>0</v>
      </c>
      <c r="M188" s="4">
        <v>0</v>
      </c>
      <c r="N188" s="4">
        <v>0</v>
      </c>
      <c r="O188" s="4"/>
      <c r="P188" s="209">
        <f t="shared" si="6"/>
        <v>0</v>
      </c>
      <c r="Q188" s="209">
        <f t="shared" si="7"/>
        <v>0</v>
      </c>
      <c r="R188" s="209">
        <f t="shared" si="8"/>
        <v>0</v>
      </c>
    </row>
    <row r="189" spans="1:18" hidden="1">
      <c r="A189" s="55">
        <v>187</v>
      </c>
      <c r="B189" s="55" t="s">
        <v>305</v>
      </c>
      <c r="C189" s="55" t="s">
        <v>310</v>
      </c>
      <c r="D189" s="55" t="s">
        <v>311</v>
      </c>
      <c r="E189" s="75" t="s">
        <v>297</v>
      </c>
      <c r="F189" s="55" t="s">
        <v>286</v>
      </c>
      <c r="G189" s="55">
        <v>911605052</v>
      </c>
      <c r="H189" s="239" t="s">
        <v>164</v>
      </c>
      <c r="I189" s="56">
        <v>110.15</v>
      </c>
      <c r="J189" s="56"/>
      <c r="K189" s="111">
        <v>0</v>
      </c>
      <c r="L189" s="4">
        <v>0</v>
      </c>
      <c r="M189" s="4">
        <v>0</v>
      </c>
      <c r="N189" s="4">
        <v>0</v>
      </c>
      <c r="O189" s="4"/>
      <c r="P189" s="209">
        <f t="shared" si="6"/>
        <v>0</v>
      </c>
      <c r="Q189" s="209">
        <f t="shared" si="7"/>
        <v>0</v>
      </c>
      <c r="R189" s="209">
        <f t="shared" si="8"/>
        <v>0</v>
      </c>
    </row>
    <row r="190" spans="1:18" hidden="1">
      <c r="A190" s="55">
        <v>188</v>
      </c>
      <c r="B190" s="55" t="s">
        <v>305</v>
      </c>
      <c r="C190" s="55" t="s">
        <v>310</v>
      </c>
      <c r="D190" s="55" t="s">
        <v>311</v>
      </c>
      <c r="E190" s="75" t="s">
        <v>297</v>
      </c>
      <c r="F190" s="55" t="s">
        <v>267</v>
      </c>
      <c r="G190" s="55">
        <v>911605048</v>
      </c>
      <c r="H190" s="239" t="s">
        <v>165</v>
      </c>
      <c r="I190" s="56">
        <v>89.32</v>
      </c>
      <c r="J190" s="56"/>
      <c r="K190" s="111">
        <v>0</v>
      </c>
      <c r="L190" s="4">
        <v>0</v>
      </c>
      <c r="M190" s="4">
        <v>0</v>
      </c>
      <c r="N190" s="4">
        <v>0</v>
      </c>
      <c r="O190" s="4"/>
      <c r="P190" s="209">
        <f t="shared" si="6"/>
        <v>0</v>
      </c>
      <c r="Q190" s="209">
        <f t="shared" si="7"/>
        <v>0</v>
      </c>
      <c r="R190" s="209">
        <f t="shared" si="8"/>
        <v>0</v>
      </c>
    </row>
    <row r="191" spans="1:18" hidden="1">
      <c r="A191" s="55">
        <v>189</v>
      </c>
      <c r="B191" s="55" t="s">
        <v>305</v>
      </c>
      <c r="C191" s="55" t="s">
        <v>310</v>
      </c>
      <c r="D191" s="55" t="s">
        <v>311</v>
      </c>
      <c r="E191" s="75" t="s">
        <v>297</v>
      </c>
      <c r="F191" s="55" t="s">
        <v>268</v>
      </c>
      <c r="G191" s="55">
        <v>911605049</v>
      </c>
      <c r="H191" s="239" t="s">
        <v>165</v>
      </c>
      <c r="I191" s="56">
        <v>89.32</v>
      </c>
      <c r="J191" s="56"/>
      <c r="K191" s="111">
        <v>0</v>
      </c>
      <c r="L191" s="4">
        <v>0</v>
      </c>
      <c r="M191" s="4">
        <v>0</v>
      </c>
      <c r="N191" s="4">
        <v>0</v>
      </c>
      <c r="O191" s="4"/>
      <c r="P191" s="209">
        <f t="shared" si="6"/>
        <v>0</v>
      </c>
      <c r="Q191" s="209">
        <f t="shared" si="7"/>
        <v>0</v>
      </c>
      <c r="R191" s="209">
        <f t="shared" si="8"/>
        <v>0</v>
      </c>
    </row>
    <row r="192" spans="1:18" hidden="1">
      <c r="A192" s="55">
        <v>190</v>
      </c>
      <c r="B192" s="55" t="s">
        <v>305</v>
      </c>
      <c r="C192" s="55" t="s">
        <v>310</v>
      </c>
      <c r="D192" s="55" t="s">
        <v>311</v>
      </c>
      <c r="E192" s="75" t="s">
        <v>297</v>
      </c>
      <c r="F192" s="55" t="s">
        <v>269</v>
      </c>
      <c r="G192" s="55">
        <v>911605050</v>
      </c>
      <c r="H192" s="239" t="s">
        <v>166</v>
      </c>
      <c r="I192" s="56">
        <v>84.05</v>
      </c>
      <c r="J192" s="56"/>
      <c r="K192" s="111">
        <v>0</v>
      </c>
      <c r="L192" s="4">
        <v>0</v>
      </c>
      <c r="M192" s="4">
        <v>0</v>
      </c>
      <c r="N192" s="4">
        <v>0</v>
      </c>
      <c r="O192" s="4"/>
      <c r="P192" s="209">
        <f t="shared" si="6"/>
        <v>0</v>
      </c>
      <c r="Q192" s="209">
        <f t="shared" si="7"/>
        <v>0</v>
      </c>
      <c r="R192" s="209">
        <f t="shared" si="8"/>
        <v>0</v>
      </c>
    </row>
    <row r="193" spans="1:18" hidden="1">
      <c r="A193" s="55">
        <v>191</v>
      </c>
      <c r="B193" s="55" t="s">
        <v>305</v>
      </c>
      <c r="C193" s="55" t="s">
        <v>310</v>
      </c>
      <c r="D193" s="55" t="s">
        <v>311</v>
      </c>
      <c r="E193" s="75" t="s">
        <v>297</v>
      </c>
      <c r="F193" s="55" t="s">
        <v>270</v>
      </c>
      <c r="G193" s="55">
        <v>911605051</v>
      </c>
      <c r="H193" s="239" t="s">
        <v>166</v>
      </c>
      <c r="I193" s="56">
        <v>84.05</v>
      </c>
      <c r="J193" s="56"/>
      <c r="K193" s="111">
        <v>0</v>
      </c>
      <c r="L193" s="4">
        <v>0</v>
      </c>
      <c r="M193" s="4">
        <v>0</v>
      </c>
      <c r="N193" s="4">
        <v>0</v>
      </c>
      <c r="O193" s="4"/>
      <c r="P193" s="209">
        <f t="shared" si="6"/>
        <v>0</v>
      </c>
      <c r="Q193" s="209">
        <f t="shared" si="7"/>
        <v>0</v>
      </c>
      <c r="R193" s="209">
        <f t="shared" si="8"/>
        <v>0</v>
      </c>
    </row>
    <row r="194" spans="1:18" hidden="1">
      <c r="A194" s="55">
        <v>192</v>
      </c>
      <c r="B194" s="55" t="s">
        <v>305</v>
      </c>
      <c r="C194" s="55" t="s">
        <v>310</v>
      </c>
      <c r="D194" s="55" t="s">
        <v>311</v>
      </c>
      <c r="E194" s="75" t="s">
        <v>297</v>
      </c>
      <c r="F194" s="55" t="s">
        <v>287</v>
      </c>
      <c r="G194" s="55">
        <v>911605026</v>
      </c>
      <c r="H194" s="239" t="s">
        <v>133</v>
      </c>
      <c r="I194" s="56">
        <v>81.88</v>
      </c>
      <c r="J194" s="56"/>
      <c r="K194" s="111">
        <v>0</v>
      </c>
      <c r="L194" s="4">
        <v>0</v>
      </c>
      <c r="M194" s="4">
        <v>0</v>
      </c>
      <c r="N194" s="4">
        <v>0</v>
      </c>
      <c r="O194" s="4"/>
      <c r="P194" s="209">
        <f t="shared" si="6"/>
        <v>0</v>
      </c>
      <c r="Q194" s="209">
        <f t="shared" si="7"/>
        <v>0</v>
      </c>
      <c r="R194" s="209">
        <f t="shared" si="8"/>
        <v>0</v>
      </c>
    </row>
    <row r="195" spans="1:18" hidden="1">
      <c r="A195" s="55">
        <v>193</v>
      </c>
      <c r="B195" s="55" t="s">
        <v>305</v>
      </c>
      <c r="C195" s="55" t="s">
        <v>310</v>
      </c>
      <c r="D195" s="55" t="s">
        <v>311</v>
      </c>
      <c r="E195" s="75" t="s">
        <v>297</v>
      </c>
      <c r="F195" s="55" t="s">
        <v>288</v>
      </c>
      <c r="G195" s="55">
        <v>911605025</v>
      </c>
      <c r="H195" s="239" t="s">
        <v>134</v>
      </c>
      <c r="I195" s="56">
        <v>81.88</v>
      </c>
      <c r="J195" s="56"/>
      <c r="K195" s="111">
        <v>0</v>
      </c>
      <c r="L195" s="4">
        <v>0</v>
      </c>
      <c r="M195" s="4">
        <v>0</v>
      </c>
      <c r="N195" s="4">
        <v>0</v>
      </c>
      <c r="O195" s="4"/>
      <c r="P195" s="209">
        <f t="shared" ref="P195:P236" si="9">K195*I195</f>
        <v>0</v>
      </c>
      <c r="Q195" s="209">
        <f t="shared" ref="Q195:Q236" si="10">L195*K195</f>
        <v>0</v>
      </c>
      <c r="R195" s="209">
        <f t="shared" ref="R195:R236" si="11">M195*L195</f>
        <v>0</v>
      </c>
    </row>
    <row r="196" spans="1:18" hidden="1">
      <c r="A196" s="55">
        <v>194</v>
      </c>
      <c r="B196" s="55" t="s">
        <v>305</v>
      </c>
      <c r="C196" s="55" t="s">
        <v>310</v>
      </c>
      <c r="D196" s="55" t="s">
        <v>311</v>
      </c>
      <c r="E196" s="75" t="s">
        <v>297</v>
      </c>
      <c r="F196" s="55" t="s">
        <v>289</v>
      </c>
      <c r="G196" s="55">
        <v>911605028</v>
      </c>
      <c r="H196" s="239" t="s">
        <v>135</v>
      </c>
      <c r="I196" s="56">
        <v>74.7</v>
      </c>
      <c r="J196" s="56"/>
      <c r="K196" s="111">
        <v>0</v>
      </c>
      <c r="L196" s="4">
        <v>0</v>
      </c>
      <c r="M196" s="4">
        <v>0</v>
      </c>
      <c r="N196" s="4">
        <v>0</v>
      </c>
      <c r="O196" s="4"/>
      <c r="P196" s="209">
        <f t="shared" si="9"/>
        <v>0</v>
      </c>
      <c r="Q196" s="209">
        <f t="shared" si="10"/>
        <v>0</v>
      </c>
      <c r="R196" s="209">
        <f t="shared" si="11"/>
        <v>0</v>
      </c>
    </row>
    <row r="197" spans="1:18" hidden="1">
      <c r="A197" s="55">
        <v>195</v>
      </c>
      <c r="B197" s="55" t="s">
        <v>305</v>
      </c>
      <c r="C197" s="55" t="s">
        <v>310</v>
      </c>
      <c r="D197" s="55" t="s">
        <v>311</v>
      </c>
      <c r="E197" s="75" t="s">
        <v>297</v>
      </c>
      <c r="F197" s="55" t="s">
        <v>290</v>
      </c>
      <c r="G197" s="55">
        <v>911605027</v>
      </c>
      <c r="H197" s="239" t="s">
        <v>136</v>
      </c>
      <c r="I197" s="56">
        <v>74.7</v>
      </c>
      <c r="J197" s="56"/>
      <c r="K197" s="111">
        <v>0</v>
      </c>
      <c r="L197" s="4">
        <v>0</v>
      </c>
      <c r="M197" s="4">
        <v>0</v>
      </c>
      <c r="N197" s="4">
        <v>0</v>
      </c>
      <c r="O197" s="4"/>
      <c r="P197" s="209">
        <f t="shared" si="9"/>
        <v>0</v>
      </c>
      <c r="Q197" s="209">
        <f t="shared" si="10"/>
        <v>0</v>
      </c>
      <c r="R197" s="209">
        <f t="shared" si="11"/>
        <v>0</v>
      </c>
    </row>
    <row r="198" spans="1:18" hidden="1">
      <c r="A198" s="55">
        <v>196</v>
      </c>
      <c r="B198" s="55" t="s">
        <v>305</v>
      </c>
      <c r="C198" s="55" t="s">
        <v>310</v>
      </c>
      <c r="D198" s="55" t="s">
        <v>311</v>
      </c>
      <c r="E198" s="75" t="s">
        <v>297</v>
      </c>
      <c r="F198" s="55" t="s">
        <v>275</v>
      </c>
      <c r="G198" s="55">
        <v>916021001</v>
      </c>
      <c r="H198" s="239" t="s">
        <v>137</v>
      </c>
      <c r="I198" s="56">
        <v>95.19</v>
      </c>
      <c r="J198" s="56"/>
      <c r="K198" s="111">
        <v>0</v>
      </c>
      <c r="L198" s="4">
        <v>0</v>
      </c>
      <c r="M198" s="4">
        <v>0</v>
      </c>
      <c r="N198" s="4">
        <v>0</v>
      </c>
      <c r="O198" s="4"/>
      <c r="P198" s="209">
        <f t="shared" si="9"/>
        <v>0</v>
      </c>
      <c r="Q198" s="209">
        <f t="shared" si="10"/>
        <v>0</v>
      </c>
      <c r="R198" s="209">
        <f t="shared" si="11"/>
        <v>0</v>
      </c>
    </row>
    <row r="199" spans="1:18" hidden="1">
      <c r="A199" s="55">
        <v>197</v>
      </c>
      <c r="B199" s="55" t="s">
        <v>305</v>
      </c>
      <c r="C199" s="55" t="s">
        <v>310</v>
      </c>
      <c r="D199" s="55" t="s">
        <v>311</v>
      </c>
      <c r="E199" s="75" t="s">
        <v>297</v>
      </c>
      <c r="F199" s="55" t="s">
        <v>276</v>
      </c>
      <c r="G199" s="55">
        <v>911604024</v>
      </c>
      <c r="H199" s="239" t="s">
        <v>138</v>
      </c>
      <c r="I199" s="56">
        <v>98.31</v>
      </c>
      <c r="J199" s="56"/>
      <c r="K199" s="111">
        <v>0</v>
      </c>
      <c r="L199" s="4">
        <v>0</v>
      </c>
      <c r="M199" s="4">
        <v>0</v>
      </c>
      <c r="N199" s="4">
        <v>0</v>
      </c>
      <c r="O199" s="4"/>
      <c r="P199" s="209">
        <f t="shared" si="9"/>
        <v>0</v>
      </c>
      <c r="Q199" s="209">
        <f t="shared" si="10"/>
        <v>0</v>
      </c>
      <c r="R199" s="209">
        <f t="shared" si="11"/>
        <v>0</v>
      </c>
    </row>
    <row r="200" spans="1:18" hidden="1">
      <c r="A200" s="55">
        <v>198</v>
      </c>
      <c r="B200" s="55" t="s">
        <v>305</v>
      </c>
      <c r="C200" s="55" t="s">
        <v>310</v>
      </c>
      <c r="D200" s="55" t="s">
        <v>311</v>
      </c>
      <c r="E200" s="75" t="s">
        <v>297</v>
      </c>
      <c r="F200" s="55" t="s">
        <v>277</v>
      </c>
      <c r="G200" s="55">
        <v>911604025</v>
      </c>
      <c r="H200" s="239" t="s">
        <v>139</v>
      </c>
      <c r="I200" s="56">
        <v>98.31</v>
      </c>
      <c r="J200" s="56"/>
      <c r="K200" s="111">
        <v>0</v>
      </c>
      <c r="L200" s="4">
        <v>0</v>
      </c>
      <c r="M200" s="4">
        <v>0</v>
      </c>
      <c r="N200" s="4">
        <v>0</v>
      </c>
      <c r="O200" s="4"/>
      <c r="P200" s="209">
        <f t="shared" si="9"/>
        <v>0</v>
      </c>
      <c r="Q200" s="209">
        <f t="shared" si="10"/>
        <v>0</v>
      </c>
      <c r="R200" s="209">
        <f t="shared" si="11"/>
        <v>0</v>
      </c>
    </row>
    <row r="201" spans="1:18" hidden="1">
      <c r="A201" s="55">
        <v>199</v>
      </c>
      <c r="B201" s="55" t="s">
        <v>305</v>
      </c>
      <c r="C201" s="55" t="s">
        <v>310</v>
      </c>
      <c r="D201" s="55" t="s">
        <v>311</v>
      </c>
      <c r="E201" s="75" t="s">
        <v>297</v>
      </c>
      <c r="F201" s="55" t="s">
        <v>291</v>
      </c>
      <c r="G201" s="55">
        <v>911604061</v>
      </c>
      <c r="H201" s="239" t="s">
        <v>163</v>
      </c>
      <c r="I201" s="56">
        <v>123.68</v>
      </c>
      <c r="J201" s="56"/>
      <c r="K201" s="111">
        <v>0</v>
      </c>
      <c r="L201" s="4">
        <v>0</v>
      </c>
      <c r="M201" s="4">
        <v>0</v>
      </c>
      <c r="N201" s="4">
        <v>0</v>
      </c>
      <c r="O201" s="4"/>
      <c r="P201" s="209">
        <f t="shared" si="9"/>
        <v>0</v>
      </c>
      <c r="Q201" s="209">
        <f t="shared" si="10"/>
        <v>0</v>
      </c>
      <c r="R201" s="209">
        <f t="shared" si="11"/>
        <v>0</v>
      </c>
    </row>
    <row r="202" spans="1:18" hidden="1">
      <c r="A202" s="55">
        <v>200</v>
      </c>
      <c r="B202" s="55" t="s">
        <v>305</v>
      </c>
      <c r="C202" s="55" t="s">
        <v>310</v>
      </c>
      <c r="D202" s="55" t="s">
        <v>311</v>
      </c>
      <c r="E202" s="75" t="s">
        <v>297</v>
      </c>
      <c r="F202" s="55" t="s">
        <v>292</v>
      </c>
      <c r="G202" s="55">
        <v>911604062</v>
      </c>
      <c r="H202" s="239" t="s">
        <v>143</v>
      </c>
      <c r="I202" s="56">
        <v>123.68</v>
      </c>
      <c r="J202" s="56"/>
      <c r="K202" s="111">
        <v>0</v>
      </c>
      <c r="L202" s="4">
        <v>0</v>
      </c>
      <c r="M202" s="4">
        <v>0</v>
      </c>
      <c r="N202" s="4">
        <v>0</v>
      </c>
      <c r="O202" s="4"/>
      <c r="P202" s="209">
        <f t="shared" si="9"/>
        <v>0</v>
      </c>
      <c r="Q202" s="209">
        <f t="shared" si="10"/>
        <v>0</v>
      </c>
      <c r="R202" s="209">
        <f t="shared" si="11"/>
        <v>0</v>
      </c>
    </row>
    <row r="203" spans="1:18" hidden="1">
      <c r="A203" s="55">
        <v>201</v>
      </c>
      <c r="B203" s="55" t="s">
        <v>305</v>
      </c>
      <c r="C203" s="55" t="s">
        <v>310</v>
      </c>
      <c r="D203" s="55" t="s">
        <v>311</v>
      </c>
      <c r="E203" s="75" t="s">
        <v>297</v>
      </c>
      <c r="F203" s="55" t="s">
        <v>279</v>
      </c>
      <c r="G203" s="55">
        <v>911604028</v>
      </c>
      <c r="H203" s="239" t="s">
        <v>140</v>
      </c>
      <c r="I203" s="56">
        <v>105.1</v>
      </c>
      <c r="J203" s="56"/>
      <c r="K203" s="111">
        <v>0</v>
      </c>
      <c r="L203" s="4">
        <v>0</v>
      </c>
      <c r="M203" s="4">
        <v>0</v>
      </c>
      <c r="N203" s="4">
        <v>0</v>
      </c>
      <c r="O203" s="4"/>
      <c r="P203" s="209">
        <f t="shared" si="9"/>
        <v>0</v>
      </c>
      <c r="Q203" s="209">
        <f t="shared" si="10"/>
        <v>0</v>
      </c>
      <c r="R203" s="209">
        <f t="shared" si="11"/>
        <v>0</v>
      </c>
    </row>
    <row r="204" spans="1:18" hidden="1">
      <c r="A204" s="55">
        <v>202</v>
      </c>
      <c r="B204" s="55" t="s">
        <v>305</v>
      </c>
      <c r="C204" s="55" t="s">
        <v>310</v>
      </c>
      <c r="D204" s="55" t="s">
        <v>311</v>
      </c>
      <c r="E204" s="75" t="s">
        <v>297</v>
      </c>
      <c r="F204" s="55" t="s">
        <v>280</v>
      </c>
      <c r="G204" s="55">
        <v>911604029</v>
      </c>
      <c r="H204" s="239" t="s">
        <v>141</v>
      </c>
      <c r="I204" s="56">
        <v>105.1</v>
      </c>
      <c r="J204" s="56"/>
      <c r="K204" s="111">
        <v>0</v>
      </c>
      <c r="L204" s="4">
        <v>0</v>
      </c>
      <c r="M204" s="4">
        <v>0</v>
      </c>
      <c r="N204" s="4">
        <v>0</v>
      </c>
      <c r="O204" s="4"/>
      <c r="P204" s="209">
        <f t="shared" si="9"/>
        <v>0</v>
      </c>
      <c r="Q204" s="209">
        <f t="shared" si="10"/>
        <v>0</v>
      </c>
      <c r="R204" s="209">
        <f t="shared" si="11"/>
        <v>0</v>
      </c>
    </row>
    <row r="205" spans="1:18" hidden="1">
      <c r="A205" s="55">
        <v>203</v>
      </c>
      <c r="B205" s="55" t="s">
        <v>305</v>
      </c>
      <c r="C205" s="55" t="s">
        <v>310</v>
      </c>
      <c r="D205" s="55" t="s">
        <v>311</v>
      </c>
      <c r="E205" s="75" t="s">
        <v>298</v>
      </c>
      <c r="F205" s="55" t="s">
        <v>263</v>
      </c>
      <c r="G205" s="55">
        <v>911604058</v>
      </c>
      <c r="H205" s="75" t="s">
        <v>125</v>
      </c>
      <c r="I205" s="56">
        <v>251.52</v>
      </c>
      <c r="J205" s="56"/>
      <c r="K205" s="111">
        <v>0</v>
      </c>
      <c r="L205" s="4">
        <v>0</v>
      </c>
      <c r="M205" s="4">
        <v>0</v>
      </c>
      <c r="N205" s="4">
        <v>0</v>
      </c>
      <c r="O205" s="4"/>
      <c r="P205" s="209">
        <f t="shared" si="9"/>
        <v>0</v>
      </c>
      <c r="Q205" s="209">
        <f t="shared" si="10"/>
        <v>0</v>
      </c>
      <c r="R205" s="209">
        <f t="shared" si="11"/>
        <v>0</v>
      </c>
    </row>
    <row r="206" spans="1:18" hidden="1">
      <c r="A206" s="55">
        <v>204</v>
      </c>
      <c r="B206" s="55" t="s">
        <v>305</v>
      </c>
      <c r="C206" s="55" t="s">
        <v>310</v>
      </c>
      <c r="D206" s="55" t="s">
        <v>311</v>
      </c>
      <c r="E206" s="75" t="s">
        <v>298</v>
      </c>
      <c r="F206" s="55" t="s">
        <v>264</v>
      </c>
      <c r="G206" s="55">
        <v>911604057</v>
      </c>
      <c r="H206" s="75" t="s">
        <v>126</v>
      </c>
      <c r="I206" s="56">
        <v>253.84</v>
      </c>
      <c r="J206" s="56"/>
      <c r="K206" s="111">
        <v>0</v>
      </c>
      <c r="L206" s="4">
        <v>0</v>
      </c>
      <c r="M206" s="4">
        <v>0</v>
      </c>
      <c r="N206" s="4">
        <v>0</v>
      </c>
      <c r="O206" s="4"/>
      <c r="P206" s="209">
        <f t="shared" si="9"/>
        <v>0</v>
      </c>
      <c r="Q206" s="209">
        <f t="shared" si="10"/>
        <v>0</v>
      </c>
      <c r="R206" s="209">
        <f t="shared" si="11"/>
        <v>0</v>
      </c>
    </row>
    <row r="207" spans="1:18" hidden="1">
      <c r="A207" s="55">
        <v>205</v>
      </c>
      <c r="B207" s="55" t="s">
        <v>305</v>
      </c>
      <c r="C207" s="55" t="s">
        <v>310</v>
      </c>
      <c r="D207" s="55" t="s">
        <v>311</v>
      </c>
      <c r="E207" s="75" t="s">
        <v>298</v>
      </c>
      <c r="F207" s="55" t="s">
        <v>265</v>
      </c>
      <c r="G207" s="55">
        <v>911604060</v>
      </c>
      <c r="H207" s="75" t="s">
        <v>127</v>
      </c>
      <c r="I207" s="56">
        <v>226.54</v>
      </c>
      <c r="J207" s="56"/>
      <c r="K207" s="111">
        <v>0</v>
      </c>
      <c r="L207" s="4">
        <v>0</v>
      </c>
      <c r="M207" s="4">
        <v>0</v>
      </c>
      <c r="N207" s="4">
        <v>0</v>
      </c>
      <c r="O207" s="4"/>
      <c r="P207" s="209">
        <f t="shared" si="9"/>
        <v>0</v>
      </c>
      <c r="Q207" s="209">
        <f t="shared" si="10"/>
        <v>0</v>
      </c>
      <c r="R207" s="209">
        <f t="shared" si="11"/>
        <v>0</v>
      </c>
    </row>
    <row r="208" spans="1:18" hidden="1">
      <c r="A208" s="55">
        <v>206</v>
      </c>
      <c r="B208" s="55" t="s">
        <v>305</v>
      </c>
      <c r="C208" s="55" t="s">
        <v>310</v>
      </c>
      <c r="D208" s="55" t="s">
        <v>311</v>
      </c>
      <c r="E208" s="75" t="s">
        <v>298</v>
      </c>
      <c r="F208" s="55" t="s">
        <v>266</v>
      </c>
      <c r="G208" s="55">
        <v>911604059</v>
      </c>
      <c r="H208" s="75" t="s">
        <v>128</v>
      </c>
      <c r="I208" s="56">
        <v>226.54</v>
      </c>
      <c r="J208" s="56"/>
      <c r="K208" s="111">
        <v>0</v>
      </c>
      <c r="L208" s="4">
        <v>0</v>
      </c>
      <c r="M208" s="4">
        <v>0</v>
      </c>
      <c r="N208" s="4">
        <v>0</v>
      </c>
      <c r="O208" s="4"/>
      <c r="P208" s="209">
        <f t="shared" si="9"/>
        <v>0</v>
      </c>
      <c r="Q208" s="209">
        <f t="shared" si="10"/>
        <v>0</v>
      </c>
      <c r="R208" s="209">
        <f t="shared" si="11"/>
        <v>0</v>
      </c>
    </row>
    <row r="209" spans="1:18" hidden="1">
      <c r="A209" s="55">
        <v>207</v>
      </c>
      <c r="B209" s="55" t="s">
        <v>305</v>
      </c>
      <c r="C209" s="55" t="s">
        <v>310</v>
      </c>
      <c r="D209" s="55" t="s">
        <v>311</v>
      </c>
      <c r="E209" s="75" t="s">
        <v>298</v>
      </c>
      <c r="F209" s="55" t="s">
        <v>267</v>
      </c>
      <c r="G209" s="55">
        <v>911605068</v>
      </c>
      <c r="H209" s="55" t="s">
        <v>129</v>
      </c>
      <c r="I209" s="56">
        <v>106.45</v>
      </c>
      <c r="J209" s="56"/>
      <c r="K209" s="111">
        <v>0</v>
      </c>
      <c r="L209" s="4">
        <v>0</v>
      </c>
      <c r="M209" s="4">
        <v>0</v>
      </c>
      <c r="N209" s="4">
        <v>0</v>
      </c>
      <c r="O209" s="4"/>
      <c r="P209" s="209">
        <f t="shared" si="9"/>
        <v>0</v>
      </c>
      <c r="Q209" s="209">
        <f t="shared" si="10"/>
        <v>0</v>
      </c>
      <c r="R209" s="209">
        <f t="shared" si="11"/>
        <v>0</v>
      </c>
    </row>
    <row r="210" spans="1:18" hidden="1">
      <c r="A210" s="55">
        <v>208</v>
      </c>
      <c r="B210" s="55" t="s">
        <v>305</v>
      </c>
      <c r="C210" s="55" t="s">
        <v>310</v>
      </c>
      <c r="D210" s="55" t="s">
        <v>311</v>
      </c>
      <c r="E210" s="75" t="s">
        <v>298</v>
      </c>
      <c r="F210" s="55" t="s">
        <v>268</v>
      </c>
      <c r="G210" s="55">
        <v>911605067</v>
      </c>
      <c r="H210" s="55" t="s">
        <v>130</v>
      </c>
      <c r="I210" s="56">
        <v>106.45</v>
      </c>
      <c r="J210" s="56"/>
      <c r="K210" s="111">
        <v>0</v>
      </c>
      <c r="L210" s="4">
        <v>0</v>
      </c>
      <c r="M210" s="4">
        <v>0</v>
      </c>
      <c r="N210" s="4">
        <v>0</v>
      </c>
      <c r="O210" s="4"/>
      <c r="P210" s="209">
        <f t="shared" si="9"/>
        <v>0</v>
      </c>
      <c r="Q210" s="209">
        <f t="shared" si="10"/>
        <v>0</v>
      </c>
      <c r="R210" s="209">
        <f t="shared" si="11"/>
        <v>0</v>
      </c>
    </row>
    <row r="211" spans="1:18" hidden="1">
      <c r="A211" s="55">
        <v>209</v>
      </c>
      <c r="B211" s="55" t="s">
        <v>305</v>
      </c>
      <c r="C211" s="55" t="s">
        <v>310</v>
      </c>
      <c r="D211" s="55" t="s">
        <v>311</v>
      </c>
      <c r="E211" s="75" t="s">
        <v>298</v>
      </c>
      <c r="F211" s="55" t="s">
        <v>269</v>
      </c>
      <c r="G211" s="55">
        <v>911605070</v>
      </c>
      <c r="H211" s="55" t="s">
        <v>131</v>
      </c>
      <c r="I211" s="56">
        <v>91.77</v>
      </c>
      <c r="J211" s="56"/>
      <c r="K211" s="111">
        <v>0</v>
      </c>
      <c r="L211" s="4">
        <v>0</v>
      </c>
      <c r="M211" s="4">
        <v>0</v>
      </c>
      <c r="N211" s="4">
        <v>0</v>
      </c>
      <c r="O211" s="4"/>
      <c r="P211" s="209">
        <f t="shared" si="9"/>
        <v>0</v>
      </c>
      <c r="Q211" s="209">
        <f t="shared" si="10"/>
        <v>0</v>
      </c>
      <c r="R211" s="209">
        <f t="shared" si="11"/>
        <v>0</v>
      </c>
    </row>
    <row r="212" spans="1:18" hidden="1">
      <c r="A212" s="55">
        <v>210</v>
      </c>
      <c r="B212" s="55" t="s">
        <v>305</v>
      </c>
      <c r="C212" s="55" t="s">
        <v>310</v>
      </c>
      <c r="D212" s="55" t="s">
        <v>311</v>
      </c>
      <c r="E212" s="75" t="s">
        <v>298</v>
      </c>
      <c r="F212" s="55" t="s">
        <v>270</v>
      </c>
      <c r="G212" s="55">
        <v>911605069</v>
      </c>
      <c r="H212" s="55" t="s">
        <v>132</v>
      </c>
      <c r="I212" s="56">
        <v>91.77</v>
      </c>
      <c r="J212" s="56"/>
      <c r="K212" s="111">
        <v>0</v>
      </c>
      <c r="L212" s="4">
        <v>0</v>
      </c>
      <c r="M212" s="4">
        <v>0</v>
      </c>
      <c r="N212" s="4">
        <v>0</v>
      </c>
      <c r="O212" s="4"/>
      <c r="P212" s="209">
        <f t="shared" si="9"/>
        <v>0</v>
      </c>
      <c r="Q212" s="209">
        <f t="shared" si="10"/>
        <v>0</v>
      </c>
      <c r="R212" s="209">
        <f t="shared" si="11"/>
        <v>0</v>
      </c>
    </row>
    <row r="213" spans="1:18" hidden="1">
      <c r="A213" s="55">
        <v>211</v>
      </c>
      <c r="B213" s="55" t="s">
        <v>305</v>
      </c>
      <c r="C213" s="55" t="s">
        <v>310</v>
      </c>
      <c r="D213" s="55" t="s">
        <v>311</v>
      </c>
      <c r="E213" s="75" t="s">
        <v>298</v>
      </c>
      <c r="F213" s="55" t="s">
        <v>271</v>
      </c>
      <c r="G213" s="55">
        <v>911605055</v>
      </c>
      <c r="H213" s="55" t="s">
        <v>133</v>
      </c>
      <c r="I213" s="56">
        <v>104.31</v>
      </c>
      <c r="J213" s="56"/>
      <c r="K213" s="111">
        <v>0</v>
      </c>
      <c r="L213" s="4">
        <v>0</v>
      </c>
      <c r="M213" s="4">
        <v>0</v>
      </c>
      <c r="N213" s="4">
        <v>0</v>
      </c>
      <c r="O213" s="4"/>
      <c r="P213" s="209">
        <f t="shared" si="9"/>
        <v>0</v>
      </c>
      <c r="Q213" s="209">
        <f t="shared" si="10"/>
        <v>0</v>
      </c>
      <c r="R213" s="209">
        <f t="shared" si="11"/>
        <v>0</v>
      </c>
    </row>
    <row r="214" spans="1:18" hidden="1">
      <c r="A214" s="55">
        <v>212</v>
      </c>
      <c r="B214" s="55" t="s">
        <v>305</v>
      </c>
      <c r="C214" s="55" t="s">
        <v>310</v>
      </c>
      <c r="D214" s="55" t="s">
        <v>311</v>
      </c>
      <c r="E214" s="75" t="s">
        <v>298</v>
      </c>
      <c r="F214" s="55" t="s">
        <v>272</v>
      </c>
      <c r="G214" s="55">
        <v>911605054</v>
      </c>
      <c r="H214" s="55" t="s">
        <v>134</v>
      </c>
      <c r="I214" s="56">
        <v>104.31</v>
      </c>
      <c r="J214" s="56"/>
      <c r="K214" s="111">
        <v>0</v>
      </c>
      <c r="L214" s="4">
        <v>0</v>
      </c>
      <c r="M214" s="4">
        <v>0</v>
      </c>
      <c r="N214" s="4">
        <v>0</v>
      </c>
      <c r="O214" s="4"/>
      <c r="P214" s="209">
        <f t="shared" si="9"/>
        <v>0</v>
      </c>
      <c r="Q214" s="209">
        <f t="shared" si="10"/>
        <v>0</v>
      </c>
      <c r="R214" s="209">
        <f t="shared" si="11"/>
        <v>0</v>
      </c>
    </row>
    <row r="215" spans="1:18" hidden="1">
      <c r="A215" s="55">
        <v>213</v>
      </c>
      <c r="B215" s="55" t="s">
        <v>305</v>
      </c>
      <c r="C215" s="55" t="s">
        <v>310</v>
      </c>
      <c r="D215" s="55" t="s">
        <v>311</v>
      </c>
      <c r="E215" s="75" t="s">
        <v>298</v>
      </c>
      <c r="F215" s="55" t="s">
        <v>273</v>
      </c>
      <c r="G215" s="55">
        <v>911605056</v>
      </c>
      <c r="H215" s="55" t="s">
        <v>135</v>
      </c>
      <c r="I215" s="56">
        <v>94.98</v>
      </c>
      <c r="J215" s="56"/>
      <c r="K215" s="111">
        <v>0</v>
      </c>
      <c r="L215" s="4">
        <v>0</v>
      </c>
      <c r="M215" s="4">
        <v>0</v>
      </c>
      <c r="N215" s="4">
        <v>0</v>
      </c>
      <c r="O215" s="4"/>
      <c r="P215" s="209">
        <f t="shared" si="9"/>
        <v>0</v>
      </c>
      <c r="Q215" s="209">
        <f t="shared" si="10"/>
        <v>0</v>
      </c>
      <c r="R215" s="209">
        <f t="shared" si="11"/>
        <v>0</v>
      </c>
    </row>
    <row r="216" spans="1:18" hidden="1">
      <c r="A216" s="55">
        <v>214</v>
      </c>
      <c r="B216" s="55" t="s">
        <v>305</v>
      </c>
      <c r="C216" s="55" t="s">
        <v>310</v>
      </c>
      <c r="D216" s="55" t="s">
        <v>311</v>
      </c>
      <c r="E216" s="75" t="s">
        <v>298</v>
      </c>
      <c r="F216" s="55" t="s">
        <v>274</v>
      </c>
      <c r="G216" s="55">
        <v>911605057</v>
      </c>
      <c r="H216" s="55" t="s">
        <v>136</v>
      </c>
      <c r="I216" s="56">
        <v>94.98</v>
      </c>
      <c r="J216" s="56"/>
      <c r="K216" s="111">
        <v>0</v>
      </c>
      <c r="L216" s="4">
        <v>0</v>
      </c>
      <c r="M216" s="4">
        <v>0</v>
      </c>
      <c r="N216" s="4">
        <v>0</v>
      </c>
      <c r="O216" s="4"/>
      <c r="P216" s="209">
        <f t="shared" si="9"/>
        <v>0</v>
      </c>
      <c r="Q216" s="209">
        <f t="shared" si="10"/>
        <v>0</v>
      </c>
      <c r="R216" s="209">
        <f t="shared" si="11"/>
        <v>0</v>
      </c>
    </row>
    <row r="217" spans="1:18" hidden="1">
      <c r="A217" s="55">
        <v>215</v>
      </c>
      <c r="B217" s="55" t="s">
        <v>305</v>
      </c>
      <c r="C217" s="55" t="s">
        <v>310</v>
      </c>
      <c r="D217" s="55" t="s">
        <v>311</v>
      </c>
      <c r="E217" s="75" t="s">
        <v>298</v>
      </c>
      <c r="F217" s="55" t="s">
        <v>275</v>
      </c>
      <c r="G217" s="55">
        <v>916021003</v>
      </c>
      <c r="H217" s="55" t="s">
        <v>137</v>
      </c>
      <c r="I217" s="56">
        <v>118.34</v>
      </c>
      <c r="J217" s="56"/>
      <c r="K217" s="111">
        <v>0</v>
      </c>
      <c r="L217" s="4">
        <v>0</v>
      </c>
      <c r="M217" s="4">
        <v>0</v>
      </c>
      <c r="N217" s="4">
        <v>0</v>
      </c>
      <c r="O217" s="4"/>
      <c r="P217" s="209">
        <f t="shared" si="9"/>
        <v>0</v>
      </c>
      <c r="Q217" s="209">
        <f t="shared" si="10"/>
        <v>0</v>
      </c>
      <c r="R217" s="209">
        <f t="shared" si="11"/>
        <v>0</v>
      </c>
    </row>
    <row r="218" spans="1:18" hidden="1">
      <c r="A218" s="55">
        <v>216</v>
      </c>
      <c r="B218" s="55" t="s">
        <v>305</v>
      </c>
      <c r="C218" s="55" t="s">
        <v>310</v>
      </c>
      <c r="D218" s="55" t="s">
        <v>311</v>
      </c>
      <c r="E218" s="75" t="s">
        <v>298</v>
      </c>
      <c r="F218" s="55" t="s">
        <v>276</v>
      </c>
      <c r="G218" s="55">
        <v>911604053</v>
      </c>
      <c r="H218" s="55" t="s">
        <v>138</v>
      </c>
      <c r="I218" s="56">
        <v>104.96</v>
      </c>
      <c r="J218" s="56"/>
      <c r="K218" s="111">
        <v>0</v>
      </c>
      <c r="L218" s="4">
        <v>0</v>
      </c>
      <c r="M218" s="4">
        <v>0</v>
      </c>
      <c r="N218" s="4">
        <v>0</v>
      </c>
      <c r="O218" s="4"/>
      <c r="P218" s="209">
        <f t="shared" si="9"/>
        <v>0</v>
      </c>
      <c r="Q218" s="209">
        <f t="shared" si="10"/>
        <v>0</v>
      </c>
      <c r="R218" s="209">
        <f t="shared" si="11"/>
        <v>0</v>
      </c>
    </row>
    <row r="219" spans="1:18" hidden="1">
      <c r="A219" s="55">
        <v>217</v>
      </c>
      <c r="B219" s="55" t="s">
        <v>305</v>
      </c>
      <c r="C219" s="55" t="s">
        <v>310</v>
      </c>
      <c r="D219" s="55" t="s">
        <v>311</v>
      </c>
      <c r="E219" s="75" t="s">
        <v>298</v>
      </c>
      <c r="F219" s="55" t="s">
        <v>277</v>
      </c>
      <c r="G219" s="55">
        <v>911604052</v>
      </c>
      <c r="H219" s="55" t="s">
        <v>139</v>
      </c>
      <c r="I219" s="56">
        <v>104.96</v>
      </c>
      <c r="J219" s="56"/>
      <c r="K219" s="111">
        <v>0</v>
      </c>
      <c r="L219" s="4">
        <v>0</v>
      </c>
      <c r="M219" s="4">
        <v>0</v>
      </c>
      <c r="N219" s="4">
        <v>0</v>
      </c>
      <c r="O219" s="4"/>
      <c r="P219" s="209">
        <f t="shared" si="9"/>
        <v>0</v>
      </c>
      <c r="Q219" s="209">
        <f t="shared" si="10"/>
        <v>0</v>
      </c>
      <c r="R219" s="209">
        <f t="shared" si="11"/>
        <v>0</v>
      </c>
    </row>
    <row r="220" spans="1:18" hidden="1">
      <c r="A220" s="55">
        <v>218</v>
      </c>
      <c r="B220" s="55" t="s">
        <v>305</v>
      </c>
      <c r="C220" s="55" t="s">
        <v>310</v>
      </c>
      <c r="D220" s="55" t="s">
        <v>311</v>
      </c>
      <c r="E220" s="75" t="s">
        <v>298</v>
      </c>
      <c r="F220" s="55" t="s">
        <v>278</v>
      </c>
      <c r="G220" s="55">
        <v>911604054</v>
      </c>
      <c r="H220" s="55" t="s">
        <v>142</v>
      </c>
      <c r="I220" s="56">
        <v>122.15</v>
      </c>
      <c r="J220" s="56"/>
      <c r="K220" s="111">
        <v>0</v>
      </c>
      <c r="L220" s="4">
        <v>0</v>
      </c>
      <c r="M220" s="4">
        <v>0</v>
      </c>
      <c r="N220" s="4">
        <v>0</v>
      </c>
      <c r="O220" s="4"/>
      <c r="P220" s="209">
        <f t="shared" si="9"/>
        <v>0</v>
      </c>
      <c r="Q220" s="209">
        <f t="shared" si="10"/>
        <v>0</v>
      </c>
      <c r="R220" s="209">
        <f t="shared" si="11"/>
        <v>0</v>
      </c>
    </row>
    <row r="221" spans="1:18" hidden="1">
      <c r="A221" s="55">
        <v>219</v>
      </c>
      <c r="B221" s="55" t="s">
        <v>305</v>
      </c>
      <c r="C221" s="55" t="s">
        <v>310</v>
      </c>
      <c r="D221" s="55" t="s">
        <v>311</v>
      </c>
      <c r="E221" s="75" t="s">
        <v>298</v>
      </c>
      <c r="F221" s="55" t="s">
        <v>279</v>
      </c>
      <c r="G221" s="55">
        <v>911604056</v>
      </c>
      <c r="H221" s="55" t="s">
        <v>140</v>
      </c>
      <c r="I221" s="56">
        <v>106.84</v>
      </c>
      <c r="J221" s="56"/>
      <c r="K221" s="111">
        <v>0</v>
      </c>
      <c r="L221" s="4">
        <v>0</v>
      </c>
      <c r="M221" s="4">
        <v>0</v>
      </c>
      <c r="N221" s="4">
        <v>0</v>
      </c>
      <c r="O221" s="4"/>
      <c r="P221" s="209">
        <f t="shared" si="9"/>
        <v>0</v>
      </c>
      <c r="Q221" s="209">
        <f t="shared" si="10"/>
        <v>0</v>
      </c>
      <c r="R221" s="209">
        <f t="shared" si="11"/>
        <v>0</v>
      </c>
    </row>
    <row r="222" spans="1:18" hidden="1">
      <c r="A222" s="55">
        <v>220</v>
      </c>
      <c r="B222" s="55" t="s">
        <v>305</v>
      </c>
      <c r="C222" s="55" t="s">
        <v>310</v>
      </c>
      <c r="D222" s="55" t="s">
        <v>311</v>
      </c>
      <c r="E222" s="75" t="s">
        <v>298</v>
      </c>
      <c r="F222" s="55" t="s">
        <v>280</v>
      </c>
      <c r="G222" s="55">
        <v>911604055</v>
      </c>
      <c r="H222" s="55" t="s">
        <v>141</v>
      </c>
      <c r="I222" s="56">
        <v>106.84</v>
      </c>
      <c r="J222" s="56"/>
      <c r="K222" s="111">
        <v>0</v>
      </c>
      <c r="L222" s="4">
        <v>0</v>
      </c>
      <c r="M222" s="4">
        <v>0</v>
      </c>
      <c r="N222" s="4">
        <v>0</v>
      </c>
      <c r="O222" s="4"/>
      <c r="P222" s="209">
        <f t="shared" si="9"/>
        <v>0</v>
      </c>
      <c r="Q222" s="209">
        <f t="shared" si="10"/>
        <v>0</v>
      </c>
      <c r="R222" s="209">
        <f t="shared" si="11"/>
        <v>0</v>
      </c>
    </row>
    <row r="223" spans="1:18" hidden="1">
      <c r="A223" s="55">
        <v>221</v>
      </c>
      <c r="B223" s="55" t="s">
        <v>305</v>
      </c>
      <c r="C223" s="55" t="s">
        <v>312</v>
      </c>
      <c r="D223" s="55" t="s">
        <v>313</v>
      </c>
      <c r="E223" s="75" t="s">
        <v>299</v>
      </c>
      <c r="F223" s="55" t="s">
        <v>144</v>
      </c>
      <c r="G223" s="55">
        <v>919701001</v>
      </c>
      <c r="H223" s="55" t="s">
        <v>145</v>
      </c>
      <c r="I223" s="56">
        <v>147.96</v>
      </c>
      <c r="J223" s="56"/>
      <c r="K223" s="18">
        <v>6944</v>
      </c>
      <c r="L223" s="88">
        <v>6418</v>
      </c>
      <c r="M223" s="88">
        <v>6814</v>
      </c>
      <c r="N223" s="4">
        <v>6174</v>
      </c>
      <c r="O223" s="4">
        <v>7251</v>
      </c>
      <c r="P223" s="209">
        <f t="shared" si="9"/>
        <v>1027434.2400000001</v>
      </c>
      <c r="Q223" s="209">
        <f t="shared" si="10"/>
        <v>44566592</v>
      </c>
      <c r="R223" s="209">
        <f t="shared" si="11"/>
        <v>43732252</v>
      </c>
    </row>
    <row r="224" spans="1:18" hidden="1">
      <c r="A224" s="55">
        <v>222</v>
      </c>
      <c r="B224" s="55" t="s">
        <v>305</v>
      </c>
      <c r="C224" s="55" t="s">
        <v>312</v>
      </c>
      <c r="D224" s="55" t="s">
        <v>313</v>
      </c>
      <c r="E224" s="75" t="s">
        <v>299</v>
      </c>
      <c r="F224" s="55" t="s">
        <v>146</v>
      </c>
      <c r="G224" s="55">
        <v>919701002</v>
      </c>
      <c r="H224" s="55" t="s">
        <v>147</v>
      </c>
      <c r="I224" s="56">
        <v>147.96</v>
      </c>
      <c r="J224" s="56"/>
      <c r="K224" s="18">
        <v>6944</v>
      </c>
      <c r="L224" s="88">
        <v>6418</v>
      </c>
      <c r="M224" s="88">
        <v>6814</v>
      </c>
      <c r="N224" s="4">
        <v>6174</v>
      </c>
      <c r="O224" s="4">
        <v>7251</v>
      </c>
      <c r="P224" s="209">
        <f t="shared" si="9"/>
        <v>1027434.2400000001</v>
      </c>
      <c r="Q224" s="209">
        <f t="shared" si="10"/>
        <v>44566592</v>
      </c>
      <c r="R224" s="209">
        <f t="shared" si="11"/>
        <v>43732252</v>
      </c>
    </row>
    <row r="225" spans="1:18" hidden="1">
      <c r="A225" s="55">
        <v>223</v>
      </c>
      <c r="B225" s="55" t="s">
        <v>305</v>
      </c>
      <c r="C225" s="55" t="s">
        <v>312</v>
      </c>
      <c r="D225" s="55" t="s">
        <v>313</v>
      </c>
      <c r="E225" s="75" t="s">
        <v>299</v>
      </c>
      <c r="F225" s="55" t="s">
        <v>148</v>
      </c>
      <c r="G225" s="55">
        <v>919701003</v>
      </c>
      <c r="H225" s="55" t="s">
        <v>149</v>
      </c>
      <c r="I225" s="56">
        <v>130.61000000000001</v>
      </c>
      <c r="J225" s="56"/>
      <c r="K225" s="18">
        <v>6944</v>
      </c>
      <c r="L225" s="88">
        <v>6418</v>
      </c>
      <c r="M225" s="88">
        <v>6814</v>
      </c>
      <c r="N225" s="4">
        <v>6174</v>
      </c>
      <c r="O225" s="4">
        <v>7251</v>
      </c>
      <c r="P225" s="209">
        <f t="shared" si="9"/>
        <v>906955.84000000008</v>
      </c>
      <c r="Q225" s="209">
        <f t="shared" si="10"/>
        <v>44566592</v>
      </c>
      <c r="R225" s="209">
        <f t="shared" si="11"/>
        <v>43732252</v>
      </c>
    </row>
    <row r="226" spans="1:18" hidden="1">
      <c r="A226" s="55">
        <v>224</v>
      </c>
      <c r="B226" s="55" t="s">
        <v>305</v>
      </c>
      <c r="C226" s="55" t="s">
        <v>312</v>
      </c>
      <c r="D226" s="55" t="s">
        <v>313</v>
      </c>
      <c r="E226" s="75" t="s">
        <v>299</v>
      </c>
      <c r="F226" s="55" t="s">
        <v>150</v>
      </c>
      <c r="G226" s="55">
        <v>919701004</v>
      </c>
      <c r="H226" s="55" t="s">
        <v>151</v>
      </c>
      <c r="I226" s="56">
        <v>130.61000000000001</v>
      </c>
      <c r="J226" s="56"/>
      <c r="K226" s="18">
        <v>6944</v>
      </c>
      <c r="L226" s="88">
        <v>6418</v>
      </c>
      <c r="M226" s="88">
        <v>6814</v>
      </c>
      <c r="N226" s="4">
        <v>6174</v>
      </c>
      <c r="O226" s="4">
        <v>7251</v>
      </c>
      <c r="P226" s="209">
        <f t="shared" si="9"/>
        <v>906955.84000000008</v>
      </c>
      <c r="Q226" s="209">
        <f t="shared" si="10"/>
        <v>44566592</v>
      </c>
      <c r="R226" s="209">
        <f t="shared" si="11"/>
        <v>43732252</v>
      </c>
    </row>
    <row r="227" spans="1:18" hidden="1">
      <c r="A227" s="55">
        <v>225</v>
      </c>
      <c r="B227" s="55" t="s">
        <v>305</v>
      </c>
      <c r="C227" s="55" t="s">
        <v>312</v>
      </c>
      <c r="D227" s="55" t="s">
        <v>313</v>
      </c>
      <c r="E227" s="75" t="s">
        <v>1214</v>
      </c>
      <c r="F227" s="55" t="s">
        <v>1302</v>
      </c>
      <c r="G227" s="55">
        <v>914901001</v>
      </c>
      <c r="H227" s="240" t="s">
        <v>985</v>
      </c>
      <c r="I227" s="56">
        <v>133.86000000000001</v>
      </c>
      <c r="J227" s="56"/>
      <c r="K227" s="18">
        <v>11194</v>
      </c>
      <c r="L227" s="121">
        <v>9459</v>
      </c>
      <c r="M227" s="18">
        <v>11460</v>
      </c>
      <c r="N227" s="18">
        <v>13717</v>
      </c>
      <c r="O227" s="18">
        <v>15225</v>
      </c>
      <c r="P227" s="209">
        <f t="shared" si="9"/>
        <v>1498428.84</v>
      </c>
      <c r="Q227" s="209">
        <f t="shared" si="10"/>
        <v>105884046</v>
      </c>
      <c r="R227" s="209">
        <f t="shared" si="11"/>
        <v>108400140</v>
      </c>
    </row>
    <row r="228" spans="1:18" hidden="1">
      <c r="A228" s="55">
        <v>226</v>
      </c>
      <c r="B228" s="55" t="s">
        <v>305</v>
      </c>
      <c r="C228" s="55" t="s">
        <v>312</v>
      </c>
      <c r="D228" s="55" t="s">
        <v>313</v>
      </c>
      <c r="E228" s="75" t="s">
        <v>1214</v>
      </c>
      <c r="F228" s="55" t="s">
        <v>1303</v>
      </c>
      <c r="G228" s="55">
        <v>914901002</v>
      </c>
      <c r="H228" s="240" t="s">
        <v>985</v>
      </c>
      <c r="I228" s="56">
        <v>133.86000000000001</v>
      </c>
      <c r="J228" s="56"/>
      <c r="K228" s="18">
        <v>11194</v>
      </c>
      <c r="L228" s="121">
        <v>9459</v>
      </c>
      <c r="M228" s="18">
        <v>11460</v>
      </c>
      <c r="N228" s="18">
        <v>13717</v>
      </c>
      <c r="O228" s="18">
        <v>15225</v>
      </c>
      <c r="P228" s="209">
        <f t="shared" si="9"/>
        <v>1498428.84</v>
      </c>
      <c r="Q228" s="209">
        <f t="shared" si="10"/>
        <v>105884046</v>
      </c>
      <c r="R228" s="209">
        <f t="shared" si="11"/>
        <v>108400140</v>
      </c>
    </row>
    <row r="229" spans="1:18" hidden="1">
      <c r="A229" s="55">
        <v>227</v>
      </c>
      <c r="B229" s="55" t="s">
        <v>305</v>
      </c>
      <c r="C229" s="55" t="s">
        <v>312</v>
      </c>
      <c r="D229" s="55" t="s">
        <v>313</v>
      </c>
      <c r="E229" s="75" t="s">
        <v>1214</v>
      </c>
      <c r="F229" s="55" t="s">
        <v>1304</v>
      </c>
      <c r="G229" s="55">
        <v>914901003</v>
      </c>
      <c r="H229" s="240" t="s">
        <v>987</v>
      </c>
      <c r="I229" s="56">
        <v>121.2</v>
      </c>
      <c r="J229" s="56"/>
      <c r="K229" s="18">
        <v>11194</v>
      </c>
      <c r="L229" s="121">
        <v>9459</v>
      </c>
      <c r="M229" s="18">
        <v>11460</v>
      </c>
      <c r="N229" s="18">
        <v>13717</v>
      </c>
      <c r="O229" s="18">
        <v>15225</v>
      </c>
      <c r="P229" s="209">
        <f t="shared" si="9"/>
        <v>1356712.8</v>
      </c>
      <c r="Q229" s="209">
        <f t="shared" si="10"/>
        <v>105884046</v>
      </c>
      <c r="R229" s="209">
        <f t="shared" si="11"/>
        <v>108400140</v>
      </c>
    </row>
    <row r="230" spans="1:18" hidden="1">
      <c r="A230" s="55">
        <v>228</v>
      </c>
      <c r="B230" s="55" t="s">
        <v>305</v>
      </c>
      <c r="C230" s="55" t="s">
        <v>312</v>
      </c>
      <c r="D230" s="55" t="s">
        <v>313</v>
      </c>
      <c r="E230" s="75" t="s">
        <v>1214</v>
      </c>
      <c r="F230" s="55" t="s">
        <v>1305</v>
      </c>
      <c r="G230" s="55">
        <v>914901004</v>
      </c>
      <c r="H230" s="240" t="s">
        <v>987</v>
      </c>
      <c r="I230" s="56">
        <v>121.2</v>
      </c>
      <c r="J230" s="56"/>
      <c r="K230" s="18">
        <v>11194</v>
      </c>
      <c r="L230" s="121">
        <v>9459</v>
      </c>
      <c r="M230" s="18">
        <v>11460</v>
      </c>
      <c r="N230" s="18">
        <v>13717</v>
      </c>
      <c r="O230" s="18">
        <v>15225</v>
      </c>
      <c r="P230" s="209">
        <f t="shared" si="9"/>
        <v>1356712.8</v>
      </c>
      <c r="Q230" s="209">
        <f t="shared" si="10"/>
        <v>105884046</v>
      </c>
      <c r="R230" s="209">
        <f t="shared" si="11"/>
        <v>108400140</v>
      </c>
    </row>
    <row r="231" spans="1:18" hidden="1">
      <c r="A231" s="55">
        <v>229</v>
      </c>
      <c r="B231" s="55" t="s">
        <v>305</v>
      </c>
      <c r="C231" s="55" t="s">
        <v>312</v>
      </c>
      <c r="D231" s="55" t="s">
        <v>313</v>
      </c>
      <c r="E231" s="75" t="s">
        <v>1214</v>
      </c>
      <c r="F231" s="55" t="s">
        <v>1306</v>
      </c>
      <c r="G231" s="55">
        <v>914904001</v>
      </c>
      <c r="H231" s="240" t="s">
        <v>905</v>
      </c>
      <c r="I231" s="56">
        <v>130.57</v>
      </c>
      <c r="J231" s="56"/>
      <c r="K231" s="18">
        <v>11194</v>
      </c>
      <c r="L231" s="121">
        <v>9459</v>
      </c>
      <c r="M231" s="18">
        <v>11460</v>
      </c>
      <c r="N231" s="18">
        <v>13717</v>
      </c>
      <c r="O231" s="18">
        <v>15225</v>
      </c>
      <c r="P231" s="209">
        <f t="shared" si="9"/>
        <v>1461600.5799999998</v>
      </c>
      <c r="Q231" s="209">
        <f t="shared" si="10"/>
        <v>105884046</v>
      </c>
      <c r="R231" s="209">
        <f t="shared" si="11"/>
        <v>108400140</v>
      </c>
    </row>
    <row r="232" spans="1:18" hidden="1">
      <c r="A232" s="55">
        <v>230</v>
      </c>
      <c r="B232" s="55" t="s">
        <v>305</v>
      </c>
      <c r="C232" s="55" t="s">
        <v>312</v>
      </c>
      <c r="D232" s="55" t="s">
        <v>313</v>
      </c>
      <c r="E232" s="75" t="s">
        <v>1214</v>
      </c>
      <c r="F232" s="55" t="s">
        <v>1307</v>
      </c>
      <c r="G232" s="55">
        <v>914904002</v>
      </c>
      <c r="H232" s="240" t="s">
        <v>901</v>
      </c>
      <c r="I232" s="56">
        <v>130.57</v>
      </c>
      <c r="J232" s="56"/>
      <c r="K232" s="18">
        <v>11194</v>
      </c>
      <c r="L232" s="121">
        <v>9459</v>
      </c>
      <c r="M232" s="18">
        <v>11460</v>
      </c>
      <c r="N232" s="18">
        <v>13717</v>
      </c>
      <c r="O232" s="18">
        <v>15225</v>
      </c>
      <c r="P232" s="209">
        <f t="shared" si="9"/>
        <v>1461600.5799999998</v>
      </c>
      <c r="Q232" s="209">
        <f t="shared" si="10"/>
        <v>105884046</v>
      </c>
      <c r="R232" s="209">
        <f t="shared" si="11"/>
        <v>108400140</v>
      </c>
    </row>
    <row r="233" spans="1:18" hidden="1">
      <c r="A233" s="55">
        <v>231</v>
      </c>
      <c r="B233" s="55" t="s">
        <v>305</v>
      </c>
      <c r="C233" s="55" t="s">
        <v>312</v>
      </c>
      <c r="D233" s="55" t="s">
        <v>313</v>
      </c>
      <c r="E233" s="75" t="s">
        <v>1214</v>
      </c>
      <c r="F233" s="55" t="s">
        <v>1308</v>
      </c>
      <c r="G233" s="55">
        <v>914904003</v>
      </c>
      <c r="H233" s="240" t="s">
        <v>897</v>
      </c>
      <c r="I233" s="56">
        <v>113.22</v>
      </c>
      <c r="J233" s="56"/>
      <c r="K233" s="18">
        <v>11194</v>
      </c>
      <c r="L233" s="121">
        <v>9459</v>
      </c>
      <c r="M233" s="18">
        <v>11460</v>
      </c>
      <c r="N233" s="18">
        <v>13717</v>
      </c>
      <c r="O233" s="18">
        <v>15225</v>
      </c>
      <c r="P233" s="209">
        <f t="shared" si="9"/>
        <v>1267384.68</v>
      </c>
      <c r="Q233" s="209">
        <f t="shared" si="10"/>
        <v>105884046</v>
      </c>
      <c r="R233" s="209">
        <f t="shared" si="11"/>
        <v>108400140</v>
      </c>
    </row>
    <row r="234" spans="1:18" hidden="1">
      <c r="A234" s="55">
        <v>232</v>
      </c>
      <c r="B234" s="55" t="s">
        <v>305</v>
      </c>
      <c r="C234" s="55" t="s">
        <v>312</v>
      </c>
      <c r="D234" s="55" t="s">
        <v>313</v>
      </c>
      <c r="E234" s="75" t="s">
        <v>1214</v>
      </c>
      <c r="F234" s="55" t="s">
        <v>1309</v>
      </c>
      <c r="G234" s="55">
        <v>914904004</v>
      </c>
      <c r="H234" s="240" t="s">
        <v>899</v>
      </c>
      <c r="I234" s="56">
        <v>113.22</v>
      </c>
      <c r="J234" s="56"/>
      <c r="K234" s="18">
        <v>11194</v>
      </c>
      <c r="L234" s="121">
        <v>9459</v>
      </c>
      <c r="M234" s="18">
        <v>11460</v>
      </c>
      <c r="N234" s="18">
        <v>13717</v>
      </c>
      <c r="O234" s="18">
        <v>15225</v>
      </c>
      <c r="P234" s="209">
        <f t="shared" si="9"/>
        <v>1267384.68</v>
      </c>
      <c r="Q234" s="209">
        <f t="shared" si="10"/>
        <v>105884046</v>
      </c>
      <c r="R234" s="209">
        <f t="shared" si="11"/>
        <v>108400140</v>
      </c>
    </row>
    <row r="235" spans="1:18" hidden="1">
      <c r="A235" s="55">
        <v>233</v>
      </c>
      <c r="B235" s="55" t="s">
        <v>305</v>
      </c>
      <c r="C235" s="55" t="s">
        <v>312</v>
      </c>
      <c r="D235" s="55" t="s">
        <v>313</v>
      </c>
      <c r="E235" s="75" t="s">
        <v>1214</v>
      </c>
      <c r="F235" s="55" t="s">
        <v>1310</v>
      </c>
      <c r="G235" s="55">
        <v>914904005</v>
      </c>
      <c r="H235" s="240" t="s">
        <v>986</v>
      </c>
      <c r="I235" s="56">
        <v>51</v>
      </c>
      <c r="J235" s="56"/>
      <c r="K235" s="18">
        <v>11194</v>
      </c>
      <c r="L235" s="121">
        <v>9459</v>
      </c>
      <c r="M235" s="18">
        <v>11460</v>
      </c>
      <c r="N235" s="18">
        <v>13717</v>
      </c>
      <c r="O235" s="18">
        <v>15225</v>
      </c>
      <c r="P235" s="209">
        <f t="shared" si="9"/>
        <v>570894</v>
      </c>
      <c r="Q235" s="209">
        <f t="shared" si="10"/>
        <v>105884046</v>
      </c>
      <c r="R235" s="209">
        <f t="shared" si="11"/>
        <v>108400140</v>
      </c>
    </row>
    <row r="236" spans="1:18" hidden="1">
      <c r="A236" s="55">
        <v>234</v>
      </c>
      <c r="B236" s="55" t="s">
        <v>305</v>
      </c>
      <c r="C236" s="55" t="s">
        <v>312</v>
      </c>
      <c r="D236" s="55" t="s">
        <v>313</v>
      </c>
      <c r="E236" s="75" t="s">
        <v>1311</v>
      </c>
      <c r="F236" s="55" t="s">
        <v>1312</v>
      </c>
      <c r="G236" s="55">
        <v>912103003</v>
      </c>
      <c r="H236" s="55" t="s">
        <v>1313</v>
      </c>
      <c r="I236" s="55">
        <v>38.6</v>
      </c>
      <c r="J236" s="55"/>
      <c r="K236" s="18">
        <v>8372</v>
      </c>
      <c r="L236" s="18">
        <v>11245</v>
      </c>
      <c r="M236" s="18">
        <v>17267</v>
      </c>
      <c r="N236" s="18">
        <v>19656</v>
      </c>
      <c r="O236" s="18">
        <v>15520</v>
      </c>
      <c r="P236" s="209">
        <f t="shared" si="9"/>
        <v>323159.2</v>
      </c>
      <c r="Q236" s="209">
        <f t="shared" si="10"/>
        <v>94143140</v>
      </c>
      <c r="R236" s="209">
        <f t="shared" si="11"/>
        <v>194167415</v>
      </c>
    </row>
    <row r="237" spans="1:18">
      <c r="I237" s="246"/>
      <c r="J237" s="246"/>
    </row>
  </sheetData>
  <autoFilter ref="A2:O236" xr:uid="{A9416364-F78B-4AE1-9EF4-08295BDF495B}">
    <filterColumn colId="2">
      <filters>
        <filter val="VW"/>
      </filters>
    </filterColumn>
  </autoFilter>
  <pageMargins left="0.2" right="0.2" top="0.2" bottom="0.2" header="0.2" footer="0.2"/>
  <pageSetup paperSize="9" scale="60" fitToHeight="0" orientation="landscape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0D79-CF2C-495E-A0A9-C021017E7551}">
  <sheetPr filterMode="1">
    <pageSetUpPr fitToPage="1"/>
  </sheetPr>
  <dimension ref="A1:U149"/>
  <sheetViews>
    <sheetView zoomScale="90" zoomScaleNormal="9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J26" sqref="J26:J37"/>
    </sheetView>
  </sheetViews>
  <sheetFormatPr defaultColWidth="9.1796875" defaultRowHeight="14.5"/>
  <cols>
    <col min="1" max="1" width="5.54296875" bestFit="1" customWidth="1"/>
    <col min="2" max="2" width="6.1796875" bestFit="1" customWidth="1"/>
    <col min="3" max="3" width="20.81640625" bestFit="1" customWidth="1"/>
    <col min="4" max="4" width="15.1796875" bestFit="1" customWidth="1"/>
    <col min="5" max="5" width="23.54296875" style="3" bestFit="1" customWidth="1"/>
    <col min="6" max="6" width="15.54296875" bestFit="1" customWidth="1"/>
    <col min="7" max="7" width="12.81640625" bestFit="1" customWidth="1"/>
    <col min="8" max="8" width="2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1284</v>
      </c>
      <c r="P1" s="8">
        <f t="shared" ref="P1:U1" si="0">SUBTOTAL(9,P4:P200)/100000</f>
        <v>159.13548989999998</v>
      </c>
      <c r="Q1" s="8">
        <f t="shared" si="0"/>
        <v>133.40843560000002</v>
      </c>
      <c r="R1" s="8">
        <f t="shared" si="0"/>
        <v>207.49754879999995</v>
      </c>
      <c r="S1" s="8">
        <f t="shared" si="0"/>
        <v>123.50186859999999</v>
      </c>
      <c r="T1" s="8">
        <f t="shared" si="0"/>
        <v>154.99274370000003</v>
      </c>
      <c r="U1" s="8">
        <f t="shared" si="0"/>
        <v>160.48638540000002</v>
      </c>
    </row>
    <row r="2" spans="1:21" ht="16" thickBot="1">
      <c r="J2" s="333" t="s">
        <v>314</v>
      </c>
      <c r="K2" s="334"/>
      <c r="L2" s="334"/>
      <c r="M2" s="334"/>
      <c r="N2" s="334"/>
      <c r="O2" s="335"/>
      <c r="P2" s="336" t="s">
        <v>318</v>
      </c>
      <c r="Q2" s="337"/>
      <c r="R2" s="337"/>
      <c r="S2" s="337"/>
      <c r="T2" s="337"/>
      <c r="U2" s="338"/>
    </row>
    <row r="3" spans="1:21" ht="29">
      <c r="A3" s="46" t="s">
        <v>301</v>
      </c>
      <c r="B3" s="47" t="s">
        <v>302</v>
      </c>
      <c r="C3" s="47" t="s">
        <v>303</v>
      </c>
      <c r="D3" s="47" t="s">
        <v>304</v>
      </c>
      <c r="E3" s="47" t="s">
        <v>293</v>
      </c>
      <c r="F3" s="48" t="s">
        <v>241</v>
      </c>
      <c r="G3" s="48" t="s">
        <v>242</v>
      </c>
      <c r="H3" s="48" t="s">
        <v>243</v>
      </c>
      <c r="I3" s="51" t="s">
        <v>315</v>
      </c>
      <c r="J3" s="16" t="s">
        <v>1239</v>
      </c>
      <c r="K3" s="17" t="s">
        <v>1238</v>
      </c>
      <c r="L3" s="17" t="s">
        <v>1237</v>
      </c>
      <c r="M3" s="17" t="s">
        <v>1236</v>
      </c>
      <c r="N3" s="17" t="s">
        <v>1241</v>
      </c>
      <c r="O3" s="17" t="s">
        <v>1285</v>
      </c>
      <c r="P3" s="49" t="s">
        <v>1239</v>
      </c>
      <c r="Q3" s="49" t="s">
        <v>1238</v>
      </c>
      <c r="R3" s="49" t="s">
        <v>1237</v>
      </c>
      <c r="S3" s="49" t="s">
        <v>1236</v>
      </c>
      <c r="T3" s="49" t="s">
        <v>1241</v>
      </c>
      <c r="U3" s="49" t="s">
        <v>1285</v>
      </c>
    </row>
    <row r="4" spans="1:21" hidden="1">
      <c r="A4" s="55">
        <v>1</v>
      </c>
      <c r="B4" s="55" t="s">
        <v>320</v>
      </c>
      <c r="C4" s="55" t="s">
        <v>321</v>
      </c>
      <c r="D4" s="55" t="s">
        <v>322</v>
      </c>
      <c r="E4" s="75" t="s">
        <v>323</v>
      </c>
      <c r="F4" s="55" t="s">
        <v>324</v>
      </c>
      <c r="G4" s="55">
        <v>915717015</v>
      </c>
      <c r="H4" s="55" t="s">
        <v>325</v>
      </c>
      <c r="I4" s="55">
        <v>221.66</v>
      </c>
      <c r="J4" s="111">
        <v>2497</v>
      </c>
      <c r="K4" s="111">
        <v>1975</v>
      </c>
      <c r="L4" s="111">
        <v>2800</v>
      </c>
      <c r="M4" s="111">
        <v>1718</v>
      </c>
      <c r="N4" s="111">
        <v>2045</v>
      </c>
      <c r="O4" s="111">
        <v>2182</v>
      </c>
      <c r="P4" s="2">
        <f t="shared" ref="P4" si="1">J4*I4</f>
        <v>553485.02</v>
      </c>
      <c r="Q4" s="2">
        <f t="shared" ref="Q4" si="2">K4*I4</f>
        <v>437778.5</v>
      </c>
      <c r="R4" s="2">
        <f t="shared" ref="R4" si="3">L4*I4</f>
        <v>620648</v>
      </c>
      <c r="S4" s="2">
        <f t="shared" ref="S4" si="4">M4*I4</f>
        <v>380811.88</v>
      </c>
      <c r="T4" s="2">
        <f t="shared" ref="T4" si="5">N4*I4</f>
        <v>453294.7</v>
      </c>
      <c r="U4" s="2">
        <f t="shared" ref="U4" si="6">O4*I4</f>
        <v>483662.12</v>
      </c>
    </row>
    <row r="5" spans="1:21" hidden="1">
      <c r="A5" s="55">
        <v>2</v>
      </c>
      <c r="B5" s="55" t="s">
        <v>320</v>
      </c>
      <c r="C5" s="55" t="s">
        <v>321</v>
      </c>
      <c r="D5" s="55" t="s">
        <v>322</v>
      </c>
      <c r="E5" s="75" t="s">
        <v>323</v>
      </c>
      <c r="F5" s="55" t="s">
        <v>326</v>
      </c>
      <c r="G5" s="55">
        <v>915717014</v>
      </c>
      <c r="H5" s="55" t="s">
        <v>327</v>
      </c>
      <c r="I5" s="55">
        <v>221.66</v>
      </c>
      <c r="J5" s="111">
        <v>2497</v>
      </c>
      <c r="K5" s="111">
        <v>1975</v>
      </c>
      <c r="L5" s="111">
        <v>2800</v>
      </c>
      <c r="M5" s="111">
        <v>1718</v>
      </c>
      <c r="N5" s="111">
        <v>2045</v>
      </c>
      <c r="O5" s="111">
        <v>2182</v>
      </c>
      <c r="P5" s="2">
        <f t="shared" ref="P5:P68" si="7">J5*I5</f>
        <v>553485.02</v>
      </c>
      <c r="Q5" s="2">
        <f t="shared" ref="Q5:Q68" si="8">K5*I5</f>
        <v>437778.5</v>
      </c>
      <c r="R5" s="2">
        <f t="shared" ref="R5:R68" si="9">L5*I5</f>
        <v>620648</v>
      </c>
      <c r="S5" s="2">
        <f t="shared" ref="S5:S68" si="10">M5*I5</f>
        <v>380811.88</v>
      </c>
      <c r="T5" s="2">
        <f t="shared" ref="T5:T68" si="11">N5*I5</f>
        <v>453294.7</v>
      </c>
      <c r="U5" s="2">
        <f t="shared" ref="U5:U68" si="12">O5*I5</f>
        <v>483662.12</v>
      </c>
    </row>
    <row r="6" spans="1:21" hidden="1">
      <c r="A6" s="55">
        <v>3</v>
      </c>
      <c r="B6" s="55" t="s">
        <v>320</v>
      </c>
      <c r="C6" s="55" t="s">
        <v>321</v>
      </c>
      <c r="D6" s="55" t="s">
        <v>322</v>
      </c>
      <c r="E6" s="75" t="s">
        <v>323</v>
      </c>
      <c r="F6" s="55" t="s">
        <v>328</v>
      </c>
      <c r="G6" s="55">
        <v>915717013</v>
      </c>
      <c r="H6" s="55" t="s">
        <v>329</v>
      </c>
      <c r="I6" s="55">
        <v>246.89</v>
      </c>
      <c r="J6" s="111">
        <v>2497</v>
      </c>
      <c r="K6" s="111">
        <v>1975</v>
      </c>
      <c r="L6" s="111">
        <v>2800</v>
      </c>
      <c r="M6" s="111">
        <v>1718</v>
      </c>
      <c r="N6" s="111">
        <v>2045</v>
      </c>
      <c r="O6" s="111">
        <v>2182</v>
      </c>
      <c r="P6" s="2">
        <f t="shared" si="7"/>
        <v>616484.32999999996</v>
      </c>
      <c r="Q6" s="2">
        <f t="shared" si="8"/>
        <v>487607.75</v>
      </c>
      <c r="R6" s="2">
        <f t="shared" si="9"/>
        <v>691292</v>
      </c>
      <c r="S6" s="2">
        <f t="shared" si="10"/>
        <v>424157.01999999996</v>
      </c>
      <c r="T6" s="2">
        <f t="shared" si="11"/>
        <v>504890.05</v>
      </c>
      <c r="U6" s="2">
        <f t="shared" si="12"/>
        <v>538713.98</v>
      </c>
    </row>
    <row r="7" spans="1:21" hidden="1">
      <c r="A7" s="55">
        <v>4</v>
      </c>
      <c r="B7" s="55" t="s">
        <v>320</v>
      </c>
      <c r="C7" s="55" t="s">
        <v>321</v>
      </c>
      <c r="D7" s="55" t="s">
        <v>322</v>
      </c>
      <c r="E7" s="75" t="s">
        <v>323</v>
      </c>
      <c r="F7" s="55" t="s">
        <v>330</v>
      </c>
      <c r="G7" s="55">
        <v>914503002</v>
      </c>
      <c r="H7" s="55" t="s">
        <v>331</v>
      </c>
      <c r="I7" s="55">
        <v>31.43</v>
      </c>
      <c r="J7" s="111">
        <v>2497</v>
      </c>
      <c r="K7" s="111">
        <v>1975</v>
      </c>
      <c r="L7" s="111">
        <v>2800</v>
      </c>
      <c r="M7" s="111">
        <v>1718</v>
      </c>
      <c r="N7" s="111">
        <v>2045</v>
      </c>
      <c r="O7" s="111">
        <v>2182</v>
      </c>
      <c r="P7" s="2">
        <f t="shared" si="7"/>
        <v>78480.710000000006</v>
      </c>
      <c r="Q7" s="2">
        <f t="shared" si="8"/>
        <v>62074.25</v>
      </c>
      <c r="R7" s="2">
        <f t="shared" si="9"/>
        <v>88004</v>
      </c>
      <c r="S7" s="2">
        <f t="shared" si="10"/>
        <v>53996.74</v>
      </c>
      <c r="T7" s="2">
        <f t="shared" si="11"/>
        <v>64274.35</v>
      </c>
      <c r="U7" s="2">
        <f t="shared" si="12"/>
        <v>68580.259999999995</v>
      </c>
    </row>
    <row r="8" spans="1:21" hidden="1">
      <c r="A8" s="55">
        <v>5</v>
      </c>
      <c r="B8" s="55" t="s">
        <v>320</v>
      </c>
      <c r="C8" s="55" t="s">
        <v>321</v>
      </c>
      <c r="D8" s="55" t="s">
        <v>322</v>
      </c>
      <c r="E8" s="75" t="s">
        <v>323</v>
      </c>
      <c r="F8" s="55" t="s">
        <v>332</v>
      </c>
      <c r="G8" s="55">
        <v>915704001</v>
      </c>
      <c r="H8" s="55" t="s">
        <v>333</v>
      </c>
      <c r="I8" s="55">
        <v>329.81</v>
      </c>
      <c r="J8" s="111">
        <v>2497</v>
      </c>
      <c r="K8" s="111">
        <v>1975</v>
      </c>
      <c r="L8" s="111">
        <v>2800</v>
      </c>
      <c r="M8" s="111">
        <v>1718</v>
      </c>
      <c r="N8" s="111">
        <v>2045</v>
      </c>
      <c r="O8" s="111">
        <v>2182</v>
      </c>
      <c r="P8" s="2">
        <f t="shared" si="7"/>
        <v>823535.57</v>
      </c>
      <c r="Q8" s="2">
        <f t="shared" si="8"/>
        <v>651374.75</v>
      </c>
      <c r="R8" s="2">
        <f t="shared" si="9"/>
        <v>923468</v>
      </c>
      <c r="S8" s="2">
        <f t="shared" si="10"/>
        <v>566613.57999999996</v>
      </c>
      <c r="T8" s="2">
        <f t="shared" si="11"/>
        <v>674461.45</v>
      </c>
      <c r="U8" s="2">
        <f t="shared" si="12"/>
        <v>719645.42</v>
      </c>
    </row>
    <row r="9" spans="1:21" hidden="1">
      <c r="A9" s="55">
        <v>6</v>
      </c>
      <c r="B9" s="55" t="s">
        <v>320</v>
      </c>
      <c r="C9" s="55" t="s">
        <v>321</v>
      </c>
      <c r="D9" s="55" t="s">
        <v>322</v>
      </c>
      <c r="E9" s="75" t="s">
        <v>323</v>
      </c>
      <c r="F9" s="55" t="s">
        <v>334</v>
      </c>
      <c r="G9" s="55">
        <v>915704002</v>
      </c>
      <c r="H9" s="55" t="s">
        <v>335</v>
      </c>
      <c r="I9" s="55">
        <v>329.71999999999997</v>
      </c>
      <c r="J9" s="111">
        <v>2497</v>
      </c>
      <c r="K9" s="111">
        <v>1975</v>
      </c>
      <c r="L9" s="111">
        <v>2800</v>
      </c>
      <c r="M9" s="111">
        <v>1718</v>
      </c>
      <c r="N9" s="111">
        <v>2045</v>
      </c>
      <c r="O9" s="111">
        <v>2182</v>
      </c>
      <c r="P9" s="2">
        <f t="shared" si="7"/>
        <v>823310.84</v>
      </c>
      <c r="Q9" s="2">
        <f t="shared" si="8"/>
        <v>651196.99999999988</v>
      </c>
      <c r="R9" s="2">
        <f t="shared" si="9"/>
        <v>923215.99999999988</v>
      </c>
      <c r="S9" s="2">
        <f t="shared" si="10"/>
        <v>566458.96</v>
      </c>
      <c r="T9" s="2">
        <f t="shared" si="11"/>
        <v>674277.39999999991</v>
      </c>
      <c r="U9" s="2">
        <f t="shared" si="12"/>
        <v>719449.03999999992</v>
      </c>
    </row>
    <row r="10" spans="1:21" hidden="1">
      <c r="A10" s="55">
        <v>7</v>
      </c>
      <c r="B10" s="55" t="s">
        <v>320</v>
      </c>
      <c r="C10" s="55" t="s">
        <v>321</v>
      </c>
      <c r="D10" s="55" t="s">
        <v>322</v>
      </c>
      <c r="E10" s="75" t="s">
        <v>323</v>
      </c>
      <c r="F10" s="55" t="s">
        <v>336</v>
      </c>
      <c r="G10" s="55">
        <v>915717006</v>
      </c>
      <c r="H10" s="55" t="s">
        <v>337</v>
      </c>
      <c r="I10" s="55">
        <v>241.11</v>
      </c>
      <c r="J10" s="111">
        <v>2497</v>
      </c>
      <c r="K10" s="111">
        <v>1975</v>
      </c>
      <c r="L10" s="111">
        <v>2800</v>
      </c>
      <c r="M10" s="111">
        <v>1718</v>
      </c>
      <c r="N10" s="111">
        <v>2045</v>
      </c>
      <c r="O10" s="111">
        <v>2182</v>
      </c>
      <c r="P10" s="2">
        <f t="shared" si="7"/>
        <v>602051.67000000004</v>
      </c>
      <c r="Q10" s="2">
        <f t="shared" si="8"/>
        <v>476192.25</v>
      </c>
      <c r="R10" s="2">
        <f t="shared" si="9"/>
        <v>675108</v>
      </c>
      <c r="S10" s="2">
        <f t="shared" si="10"/>
        <v>414226.98000000004</v>
      </c>
      <c r="T10" s="2">
        <f t="shared" si="11"/>
        <v>493069.95</v>
      </c>
      <c r="U10" s="2">
        <f t="shared" si="12"/>
        <v>526102.02</v>
      </c>
    </row>
    <row r="11" spans="1:21" hidden="1">
      <c r="A11" s="55">
        <v>8</v>
      </c>
      <c r="B11" s="55" t="s">
        <v>320</v>
      </c>
      <c r="C11" s="55" t="s">
        <v>321</v>
      </c>
      <c r="D11" s="55" t="s">
        <v>322</v>
      </c>
      <c r="E11" s="75" t="s">
        <v>323</v>
      </c>
      <c r="F11" s="55" t="s">
        <v>338</v>
      </c>
      <c r="G11" s="55">
        <v>915704003</v>
      </c>
      <c r="H11" s="55" t="s">
        <v>339</v>
      </c>
      <c r="I11" s="55">
        <v>267.14</v>
      </c>
      <c r="J11" s="111">
        <v>2497</v>
      </c>
      <c r="K11" s="111">
        <v>1975</v>
      </c>
      <c r="L11" s="111">
        <v>2800</v>
      </c>
      <c r="M11" s="111">
        <v>1718</v>
      </c>
      <c r="N11" s="111">
        <v>2045</v>
      </c>
      <c r="O11" s="111">
        <v>2182</v>
      </c>
      <c r="P11" s="2">
        <f t="shared" si="7"/>
        <v>667048.57999999996</v>
      </c>
      <c r="Q11" s="2">
        <f t="shared" si="8"/>
        <v>527601.5</v>
      </c>
      <c r="R11" s="2">
        <f t="shared" si="9"/>
        <v>747992</v>
      </c>
      <c r="S11" s="2">
        <f t="shared" si="10"/>
        <v>458946.51999999996</v>
      </c>
      <c r="T11" s="2">
        <f t="shared" si="11"/>
        <v>546301.29999999993</v>
      </c>
      <c r="U11" s="2">
        <f t="shared" si="12"/>
        <v>582899.48</v>
      </c>
    </row>
    <row r="12" spans="1:21" hidden="1">
      <c r="A12" s="55">
        <v>9</v>
      </c>
      <c r="B12" s="55" t="s">
        <v>320</v>
      </c>
      <c r="C12" s="55" t="s">
        <v>321</v>
      </c>
      <c r="D12" s="55" t="s">
        <v>322</v>
      </c>
      <c r="E12" s="75" t="s">
        <v>323</v>
      </c>
      <c r="F12" s="55" t="s">
        <v>340</v>
      </c>
      <c r="G12" s="55">
        <v>915704004</v>
      </c>
      <c r="H12" s="55" t="s">
        <v>341</v>
      </c>
      <c r="I12" s="55">
        <v>267.14</v>
      </c>
      <c r="J12" s="111">
        <v>2497</v>
      </c>
      <c r="K12" s="111">
        <v>1975</v>
      </c>
      <c r="L12" s="111">
        <v>2800</v>
      </c>
      <c r="M12" s="111">
        <v>1718</v>
      </c>
      <c r="N12" s="111">
        <v>2045</v>
      </c>
      <c r="O12" s="111">
        <v>2182</v>
      </c>
      <c r="P12" s="2">
        <f t="shared" si="7"/>
        <v>667048.57999999996</v>
      </c>
      <c r="Q12" s="2">
        <f t="shared" si="8"/>
        <v>527601.5</v>
      </c>
      <c r="R12" s="2">
        <f t="shared" si="9"/>
        <v>747992</v>
      </c>
      <c r="S12" s="2">
        <f t="shared" si="10"/>
        <v>458946.51999999996</v>
      </c>
      <c r="T12" s="2">
        <f t="shared" si="11"/>
        <v>546301.29999999993</v>
      </c>
      <c r="U12" s="2">
        <f t="shared" si="12"/>
        <v>582899.48</v>
      </c>
    </row>
    <row r="13" spans="1:21" hidden="1">
      <c r="A13" s="55">
        <v>10</v>
      </c>
      <c r="B13" s="55" t="s">
        <v>320</v>
      </c>
      <c r="C13" s="55" t="s">
        <v>321</v>
      </c>
      <c r="D13" s="55" t="s">
        <v>322</v>
      </c>
      <c r="E13" s="75" t="s">
        <v>323</v>
      </c>
      <c r="F13" s="55" t="s">
        <v>342</v>
      </c>
      <c r="G13" s="55">
        <v>915717001</v>
      </c>
      <c r="H13" s="55" t="s">
        <v>343</v>
      </c>
      <c r="I13" s="55">
        <v>153.69</v>
      </c>
      <c r="J13" s="111">
        <v>2497</v>
      </c>
      <c r="K13" s="111">
        <v>1975</v>
      </c>
      <c r="L13" s="111">
        <v>2800</v>
      </c>
      <c r="M13" s="111">
        <v>1718</v>
      </c>
      <c r="N13" s="111">
        <v>2045</v>
      </c>
      <c r="O13" s="111">
        <v>2182</v>
      </c>
      <c r="P13" s="2">
        <f t="shared" si="7"/>
        <v>383763.93</v>
      </c>
      <c r="Q13" s="2">
        <f t="shared" si="8"/>
        <v>303537.75</v>
      </c>
      <c r="R13" s="2">
        <f t="shared" si="9"/>
        <v>430332</v>
      </c>
      <c r="S13" s="2">
        <f t="shared" si="10"/>
        <v>264039.42</v>
      </c>
      <c r="T13" s="2">
        <f t="shared" si="11"/>
        <v>314296.05</v>
      </c>
      <c r="U13" s="2">
        <f t="shared" si="12"/>
        <v>335351.58</v>
      </c>
    </row>
    <row r="14" spans="1:21" hidden="1">
      <c r="A14" s="55">
        <v>11</v>
      </c>
      <c r="B14" s="55" t="s">
        <v>320</v>
      </c>
      <c r="C14" s="55" t="s">
        <v>321</v>
      </c>
      <c r="D14" s="55" t="s">
        <v>322</v>
      </c>
      <c r="E14" s="75" t="s">
        <v>344</v>
      </c>
      <c r="F14" s="55" t="s">
        <v>345</v>
      </c>
      <c r="G14" s="55">
        <v>919103001</v>
      </c>
      <c r="H14" s="55" t="s">
        <v>331</v>
      </c>
      <c r="I14" s="55">
        <v>36.65</v>
      </c>
      <c r="J14" s="111">
        <v>4608</v>
      </c>
      <c r="K14" s="111">
        <v>4113</v>
      </c>
      <c r="L14" s="111">
        <v>5856</v>
      </c>
      <c r="M14" s="111">
        <v>3279</v>
      </c>
      <c r="N14" s="111">
        <v>2492</v>
      </c>
      <c r="O14" s="111">
        <v>3406</v>
      </c>
      <c r="P14" s="2">
        <f t="shared" si="7"/>
        <v>168883.19999999998</v>
      </c>
      <c r="Q14" s="2">
        <f t="shared" si="8"/>
        <v>150741.44999999998</v>
      </c>
      <c r="R14" s="2">
        <f t="shared" si="9"/>
        <v>214622.4</v>
      </c>
      <c r="S14" s="2">
        <f t="shared" si="10"/>
        <v>120175.34999999999</v>
      </c>
      <c r="T14" s="2">
        <f t="shared" si="11"/>
        <v>91331.8</v>
      </c>
      <c r="U14" s="2">
        <f t="shared" si="12"/>
        <v>124829.9</v>
      </c>
    </row>
    <row r="15" spans="1:21" hidden="1">
      <c r="A15" s="55">
        <v>12</v>
      </c>
      <c r="B15" s="55" t="s">
        <v>320</v>
      </c>
      <c r="C15" s="55" t="s">
        <v>321</v>
      </c>
      <c r="D15" s="55" t="s">
        <v>322</v>
      </c>
      <c r="E15" s="75" t="s">
        <v>344</v>
      </c>
      <c r="F15" s="55" t="s">
        <v>346</v>
      </c>
      <c r="G15" s="55">
        <v>919101004</v>
      </c>
      <c r="H15" s="55" t="s">
        <v>347</v>
      </c>
      <c r="I15" s="55">
        <v>222.11</v>
      </c>
      <c r="J15" s="111">
        <v>4608</v>
      </c>
      <c r="K15" s="111">
        <v>4113</v>
      </c>
      <c r="L15" s="111">
        <v>5856</v>
      </c>
      <c r="M15" s="111">
        <v>3279</v>
      </c>
      <c r="N15" s="111">
        <v>2492</v>
      </c>
      <c r="O15" s="111">
        <v>3406</v>
      </c>
      <c r="P15" s="2">
        <f t="shared" si="7"/>
        <v>1023482.8800000001</v>
      </c>
      <c r="Q15" s="2">
        <f t="shared" si="8"/>
        <v>913538.43</v>
      </c>
      <c r="R15" s="2">
        <f t="shared" si="9"/>
        <v>1300676.1600000001</v>
      </c>
      <c r="S15" s="2">
        <f t="shared" si="10"/>
        <v>728298.69000000006</v>
      </c>
      <c r="T15" s="2">
        <f t="shared" si="11"/>
        <v>553498.12</v>
      </c>
      <c r="U15" s="2">
        <f t="shared" si="12"/>
        <v>756506.66</v>
      </c>
    </row>
    <row r="16" spans="1:21" hidden="1">
      <c r="A16" s="55">
        <v>13</v>
      </c>
      <c r="B16" s="55" t="s">
        <v>320</v>
      </c>
      <c r="C16" s="55" t="s">
        <v>321</v>
      </c>
      <c r="D16" s="55" t="s">
        <v>322</v>
      </c>
      <c r="E16" s="75" t="s">
        <v>344</v>
      </c>
      <c r="F16" s="55" t="s">
        <v>348</v>
      </c>
      <c r="G16" s="55">
        <v>919101003</v>
      </c>
      <c r="H16" s="55" t="s">
        <v>347</v>
      </c>
      <c r="I16" s="55">
        <v>222.11</v>
      </c>
      <c r="J16" s="111">
        <v>4608</v>
      </c>
      <c r="K16" s="111">
        <v>4113</v>
      </c>
      <c r="L16" s="111">
        <v>5856</v>
      </c>
      <c r="M16" s="111">
        <v>3279</v>
      </c>
      <c r="N16" s="111">
        <v>2492</v>
      </c>
      <c r="O16" s="111">
        <v>3406</v>
      </c>
      <c r="P16" s="2">
        <f t="shared" si="7"/>
        <v>1023482.8800000001</v>
      </c>
      <c r="Q16" s="2">
        <f t="shared" si="8"/>
        <v>913538.43</v>
      </c>
      <c r="R16" s="2">
        <f t="shared" si="9"/>
        <v>1300676.1600000001</v>
      </c>
      <c r="S16" s="2">
        <f t="shared" si="10"/>
        <v>728298.69000000006</v>
      </c>
      <c r="T16" s="2">
        <f t="shared" si="11"/>
        <v>553498.12</v>
      </c>
      <c r="U16" s="2">
        <f t="shared" si="12"/>
        <v>756506.66</v>
      </c>
    </row>
    <row r="17" spans="1:21" hidden="1">
      <c r="A17" s="55">
        <v>14</v>
      </c>
      <c r="B17" s="55" t="s">
        <v>320</v>
      </c>
      <c r="C17" s="55" t="s">
        <v>321</v>
      </c>
      <c r="D17" s="55" t="s">
        <v>322</v>
      </c>
      <c r="E17" s="75" t="s">
        <v>344</v>
      </c>
      <c r="F17" s="55" t="s">
        <v>349</v>
      </c>
      <c r="G17" s="55">
        <v>919104002</v>
      </c>
      <c r="H17" s="55" t="s">
        <v>333</v>
      </c>
      <c r="I17" s="55">
        <v>353.28</v>
      </c>
      <c r="J17" s="111">
        <v>4608</v>
      </c>
      <c r="K17" s="111">
        <v>4113</v>
      </c>
      <c r="L17" s="111">
        <v>5856</v>
      </c>
      <c r="M17" s="111">
        <v>3279</v>
      </c>
      <c r="N17" s="111">
        <v>2492</v>
      </c>
      <c r="O17" s="111">
        <v>3406</v>
      </c>
      <c r="P17" s="2">
        <f t="shared" si="7"/>
        <v>1627914.2399999998</v>
      </c>
      <c r="Q17" s="2">
        <f t="shared" si="8"/>
        <v>1453040.6399999999</v>
      </c>
      <c r="R17" s="2">
        <f t="shared" si="9"/>
        <v>2068807.6799999999</v>
      </c>
      <c r="S17" s="2">
        <f t="shared" si="10"/>
        <v>1158405.1199999999</v>
      </c>
      <c r="T17" s="2">
        <f t="shared" si="11"/>
        <v>880373.75999999989</v>
      </c>
      <c r="U17" s="2">
        <f t="shared" si="12"/>
        <v>1203271.6799999999</v>
      </c>
    </row>
    <row r="18" spans="1:21" hidden="1">
      <c r="A18" s="55">
        <v>15</v>
      </c>
      <c r="B18" s="55" t="s">
        <v>320</v>
      </c>
      <c r="C18" s="55" t="s">
        <v>321</v>
      </c>
      <c r="D18" s="55" t="s">
        <v>322</v>
      </c>
      <c r="E18" s="75" t="s">
        <v>344</v>
      </c>
      <c r="F18" s="55" t="s">
        <v>350</v>
      </c>
      <c r="G18" s="55">
        <v>919104001</v>
      </c>
      <c r="H18" s="55" t="s">
        <v>335</v>
      </c>
      <c r="I18" s="55">
        <v>353.43</v>
      </c>
      <c r="J18" s="111">
        <v>4608</v>
      </c>
      <c r="K18" s="111">
        <v>4113</v>
      </c>
      <c r="L18" s="111">
        <v>5856</v>
      </c>
      <c r="M18" s="111">
        <v>3279</v>
      </c>
      <c r="N18" s="111">
        <v>2492</v>
      </c>
      <c r="O18" s="111">
        <v>3406</v>
      </c>
      <c r="P18" s="2">
        <f t="shared" si="7"/>
        <v>1628605.4399999999</v>
      </c>
      <c r="Q18" s="2">
        <f t="shared" si="8"/>
        <v>1453657.59</v>
      </c>
      <c r="R18" s="2">
        <f t="shared" si="9"/>
        <v>2069686.08</v>
      </c>
      <c r="S18" s="2">
        <f t="shared" si="10"/>
        <v>1158896.97</v>
      </c>
      <c r="T18" s="2">
        <f t="shared" si="11"/>
        <v>880747.56</v>
      </c>
      <c r="U18" s="2">
        <f t="shared" si="12"/>
        <v>1203782.58</v>
      </c>
    </row>
    <row r="19" spans="1:21" hidden="1">
      <c r="A19" s="55">
        <v>16</v>
      </c>
      <c r="B19" s="55" t="s">
        <v>320</v>
      </c>
      <c r="C19" s="55" t="s">
        <v>321</v>
      </c>
      <c r="D19" s="55" t="s">
        <v>322</v>
      </c>
      <c r="E19" s="75" t="s">
        <v>344</v>
      </c>
      <c r="F19" s="55" t="s">
        <v>351</v>
      </c>
      <c r="G19" s="55">
        <v>919101002</v>
      </c>
      <c r="H19" s="55" t="s">
        <v>337</v>
      </c>
      <c r="I19" s="55">
        <v>215.73999999999998</v>
      </c>
      <c r="J19" s="111">
        <v>4608</v>
      </c>
      <c r="K19" s="111">
        <v>4113</v>
      </c>
      <c r="L19" s="111">
        <v>5856</v>
      </c>
      <c r="M19" s="111">
        <v>3279</v>
      </c>
      <c r="N19" s="111">
        <v>2492</v>
      </c>
      <c r="O19" s="111">
        <v>3406</v>
      </c>
      <c r="P19" s="2">
        <f t="shared" si="7"/>
        <v>994129.91999999993</v>
      </c>
      <c r="Q19" s="2">
        <f t="shared" si="8"/>
        <v>887338.61999999988</v>
      </c>
      <c r="R19" s="2">
        <f t="shared" si="9"/>
        <v>1263373.44</v>
      </c>
      <c r="S19" s="2">
        <f t="shared" si="10"/>
        <v>707411.46</v>
      </c>
      <c r="T19" s="2">
        <f t="shared" si="11"/>
        <v>537624.07999999996</v>
      </c>
      <c r="U19" s="2">
        <f t="shared" si="12"/>
        <v>734810.44</v>
      </c>
    </row>
    <row r="20" spans="1:21" hidden="1">
      <c r="A20" s="55">
        <v>17</v>
      </c>
      <c r="B20" s="55" t="s">
        <v>320</v>
      </c>
      <c r="C20" s="55" t="s">
        <v>321</v>
      </c>
      <c r="D20" s="55" t="s">
        <v>322</v>
      </c>
      <c r="E20" s="75" t="s">
        <v>344</v>
      </c>
      <c r="F20" s="55" t="s">
        <v>352</v>
      </c>
      <c r="G20" s="55">
        <v>919101001</v>
      </c>
      <c r="H20" s="55" t="s">
        <v>353</v>
      </c>
      <c r="I20" s="55">
        <v>216</v>
      </c>
      <c r="J20" s="111">
        <v>4608</v>
      </c>
      <c r="K20" s="111">
        <v>4113</v>
      </c>
      <c r="L20" s="111">
        <v>5856</v>
      </c>
      <c r="M20" s="111">
        <v>3279</v>
      </c>
      <c r="N20" s="111">
        <v>2492</v>
      </c>
      <c r="O20" s="111">
        <v>3406</v>
      </c>
      <c r="P20" s="2">
        <f t="shared" si="7"/>
        <v>995328</v>
      </c>
      <c r="Q20" s="2">
        <f t="shared" si="8"/>
        <v>888408</v>
      </c>
      <c r="R20" s="2">
        <f t="shared" si="9"/>
        <v>1264896</v>
      </c>
      <c r="S20" s="2">
        <f t="shared" si="10"/>
        <v>708264</v>
      </c>
      <c r="T20" s="2">
        <f t="shared" si="11"/>
        <v>538272</v>
      </c>
      <c r="U20" s="2">
        <f t="shared" si="12"/>
        <v>735696</v>
      </c>
    </row>
    <row r="21" spans="1:21" hidden="1">
      <c r="A21" s="55">
        <v>18</v>
      </c>
      <c r="B21" s="55" t="s">
        <v>320</v>
      </c>
      <c r="C21" s="55" t="s">
        <v>321</v>
      </c>
      <c r="D21" s="55" t="s">
        <v>322</v>
      </c>
      <c r="E21" s="75" t="s">
        <v>344</v>
      </c>
      <c r="F21" s="55" t="s">
        <v>354</v>
      </c>
      <c r="G21" s="55">
        <v>919104004</v>
      </c>
      <c r="H21" s="55" t="s">
        <v>339</v>
      </c>
      <c r="I21" s="55">
        <v>319.14999999999998</v>
      </c>
      <c r="J21" s="111">
        <v>4608</v>
      </c>
      <c r="K21" s="111">
        <v>4113</v>
      </c>
      <c r="L21" s="111">
        <v>5856</v>
      </c>
      <c r="M21" s="111">
        <v>3279</v>
      </c>
      <c r="N21" s="111">
        <v>2492</v>
      </c>
      <c r="O21" s="111">
        <v>3406</v>
      </c>
      <c r="P21" s="2">
        <f t="shared" si="7"/>
        <v>1470643.2</v>
      </c>
      <c r="Q21" s="2">
        <f t="shared" si="8"/>
        <v>1312663.95</v>
      </c>
      <c r="R21" s="2">
        <f t="shared" si="9"/>
        <v>1868942.4</v>
      </c>
      <c r="S21" s="2">
        <f t="shared" si="10"/>
        <v>1046492.85</v>
      </c>
      <c r="T21" s="2">
        <f t="shared" si="11"/>
        <v>795321.79999999993</v>
      </c>
      <c r="U21" s="2">
        <f t="shared" si="12"/>
        <v>1087024.8999999999</v>
      </c>
    </row>
    <row r="22" spans="1:21" hidden="1">
      <c r="A22" s="55">
        <v>19</v>
      </c>
      <c r="B22" s="55" t="s">
        <v>320</v>
      </c>
      <c r="C22" s="55" t="s">
        <v>321</v>
      </c>
      <c r="D22" s="55" t="s">
        <v>322</v>
      </c>
      <c r="E22" s="75" t="s">
        <v>344</v>
      </c>
      <c r="F22" s="55" t="s">
        <v>355</v>
      </c>
      <c r="G22" s="55">
        <v>919104003</v>
      </c>
      <c r="H22" s="55" t="s">
        <v>341</v>
      </c>
      <c r="I22" s="55">
        <v>318.02000000000004</v>
      </c>
      <c r="J22" s="111">
        <v>4608</v>
      </c>
      <c r="K22" s="111">
        <v>4113</v>
      </c>
      <c r="L22" s="111">
        <v>5856</v>
      </c>
      <c r="M22" s="111">
        <v>3279</v>
      </c>
      <c r="N22" s="111">
        <v>2492</v>
      </c>
      <c r="O22" s="111">
        <v>3406</v>
      </c>
      <c r="P22" s="2">
        <f t="shared" si="7"/>
        <v>1465436.1600000001</v>
      </c>
      <c r="Q22" s="2">
        <f t="shared" si="8"/>
        <v>1308016.2600000002</v>
      </c>
      <c r="R22" s="2">
        <f t="shared" si="9"/>
        <v>1862325.12</v>
      </c>
      <c r="S22" s="2">
        <f t="shared" si="10"/>
        <v>1042787.5800000001</v>
      </c>
      <c r="T22" s="2">
        <f t="shared" si="11"/>
        <v>792505.84000000008</v>
      </c>
      <c r="U22" s="2">
        <f t="shared" si="12"/>
        <v>1083176.1200000001</v>
      </c>
    </row>
    <row r="23" spans="1:21" hidden="1">
      <c r="A23" s="55">
        <v>20</v>
      </c>
      <c r="B23" s="55" t="s">
        <v>320</v>
      </c>
      <c r="C23" s="55" t="s">
        <v>321</v>
      </c>
      <c r="D23" s="55" t="s">
        <v>322</v>
      </c>
      <c r="E23" s="75" t="s">
        <v>344</v>
      </c>
      <c r="F23" s="55" t="s">
        <v>356</v>
      </c>
      <c r="G23" s="55">
        <v>919126001</v>
      </c>
      <c r="H23" s="55" t="s">
        <v>357</v>
      </c>
      <c r="I23" s="55">
        <v>25.64</v>
      </c>
      <c r="J23" s="111">
        <v>4608</v>
      </c>
      <c r="K23" s="111">
        <v>4113</v>
      </c>
      <c r="L23" s="111">
        <v>5856</v>
      </c>
      <c r="M23" s="111">
        <v>3279</v>
      </c>
      <c r="N23" s="111">
        <v>2492</v>
      </c>
      <c r="O23" s="111">
        <v>3406</v>
      </c>
      <c r="P23" s="2">
        <f t="shared" si="7"/>
        <v>118149.12</v>
      </c>
      <c r="Q23" s="2">
        <f t="shared" si="8"/>
        <v>105457.32</v>
      </c>
      <c r="R23" s="2">
        <f t="shared" si="9"/>
        <v>150147.84</v>
      </c>
      <c r="S23" s="2">
        <f t="shared" si="10"/>
        <v>84073.56</v>
      </c>
      <c r="T23" s="2">
        <f t="shared" si="11"/>
        <v>63894.880000000005</v>
      </c>
      <c r="U23" s="2">
        <f t="shared" si="12"/>
        <v>87329.84</v>
      </c>
    </row>
    <row r="24" spans="1:21" hidden="1">
      <c r="A24" s="55">
        <v>21</v>
      </c>
      <c r="B24" s="55" t="s">
        <v>320</v>
      </c>
      <c r="C24" s="55" t="s">
        <v>321</v>
      </c>
      <c r="D24" s="55" t="s">
        <v>322</v>
      </c>
      <c r="E24" s="75" t="s">
        <v>344</v>
      </c>
      <c r="F24" s="55" t="s">
        <v>358</v>
      </c>
      <c r="G24" s="55">
        <v>919126002</v>
      </c>
      <c r="H24" s="55" t="s">
        <v>359</v>
      </c>
      <c r="I24" s="55">
        <v>25.64</v>
      </c>
      <c r="J24" s="111">
        <v>4608</v>
      </c>
      <c r="K24" s="111">
        <v>4113</v>
      </c>
      <c r="L24" s="111">
        <v>5856</v>
      </c>
      <c r="M24" s="111">
        <v>3279</v>
      </c>
      <c r="N24" s="111">
        <v>2492</v>
      </c>
      <c r="O24" s="111">
        <v>3406</v>
      </c>
      <c r="P24" s="2">
        <f t="shared" si="7"/>
        <v>118149.12</v>
      </c>
      <c r="Q24" s="2">
        <f t="shared" si="8"/>
        <v>105457.32</v>
      </c>
      <c r="R24" s="2">
        <f t="shared" si="9"/>
        <v>150147.84</v>
      </c>
      <c r="S24" s="2">
        <f t="shared" si="10"/>
        <v>84073.56</v>
      </c>
      <c r="T24" s="2">
        <f t="shared" si="11"/>
        <v>63894.880000000005</v>
      </c>
      <c r="U24" s="2">
        <f t="shared" si="12"/>
        <v>87329.84</v>
      </c>
    </row>
    <row r="25" spans="1:21" hidden="1">
      <c r="A25" s="55">
        <v>22</v>
      </c>
      <c r="B25" s="55" t="s">
        <v>320</v>
      </c>
      <c r="C25" s="55" t="s">
        <v>321</v>
      </c>
      <c r="D25" s="55" t="s">
        <v>322</v>
      </c>
      <c r="E25" s="75" t="s">
        <v>344</v>
      </c>
      <c r="F25" s="55" t="s">
        <v>360</v>
      </c>
      <c r="G25" s="55">
        <v>919110002</v>
      </c>
      <c r="H25" s="55" t="s">
        <v>361</v>
      </c>
      <c r="I25" s="55">
        <v>202.75</v>
      </c>
      <c r="J25" s="111">
        <v>4608</v>
      </c>
      <c r="K25" s="111">
        <v>4113</v>
      </c>
      <c r="L25" s="111">
        <v>5856</v>
      </c>
      <c r="M25" s="111">
        <v>3279</v>
      </c>
      <c r="N25" s="111">
        <v>2492</v>
      </c>
      <c r="O25" s="111">
        <v>3406</v>
      </c>
      <c r="P25" s="2">
        <f t="shared" si="7"/>
        <v>934272</v>
      </c>
      <c r="Q25" s="2">
        <f t="shared" si="8"/>
        <v>833910.75</v>
      </c>
      <c r="R25" s="2">
        <f t="shared" si="9"/>
        <v>1187304</v>
      </c>
      <c r="S25" s="2">
        <f t="shared" si="10"/>
        <v>664817.25</v>
      </c>
      <c r="T25" s="2">
        <f t="shared" si="11"/>
        <v>505253</v>
      </c>
      <c r="U25" s="2">
        <f t="shared" si="12"/>
        <v>690566.5</v>
      </c>
    </row>
    <row r="26" spans="1:21">
      <c r="A26" s="55">
        <v>23</v>
      </c>
      <c r="B26" s="55" t="s">
        <v>320</v>
      </c>
      <c r="C26" s="55" t="s">
        <v>321</v>
      </c>
      <c r="D26" s="55" t="s">
        <v>322</v>
      </c>
      <c r="E26" s="75" t="s">
        <v>362</v>
      </c>
      <c r="F26" s="55" t="s">
        <v>363</v>
      </c>
      <c r="G26" s="55">
        <v>917226002</v>
      </c>
      <c r="H26" s="55" t="s">
        <v>364</v>
      </c>
      <c r="I26" s="55">
        <v>63.43</v>
      </c>
      <c r="J26" s="111">
        <v>5301</v>
      </c>
      <c r="K26" s="111">
        <v>4444</v>
      </c>
      <c r="L26" s="111">
        <v>6912</v>
      </c>
      <c r="M26" s="111">
        <v>4114</v>
      </c>
      <c r="N26" s="2">
        <v>5163</v>
      </c>
      <c r="O26" s="2">
        <v>5346</v>
      </c>
      <c r="P26" s="2">
        <f t="shared" si="7"/>
        <v>336242.43</v>
      </c>
      <c r="Q26" s="2">
        <f t="shared" si="8"/>
        <v>281882.92</v>
      </c>
      <c r="R26" s="2">
        <f t="shared" si="9"/>
        <v>438428.15999999997</v>
      </c>
      <c r="S26" s="2">
        <f t="shared" si="10"/>
        <v>260951.02</v>
      </c>
      <c r="T26" s="2">
        <f t="shared" si="11"/>
        <v>327489.09000000003</v>
      </c>
      <c r="U26" s="2">
        <f t="shared" si="12"/>
        <v>339096.77999999997</v>
      </c>
    </row>
    <row r="27" spans="1:21">
      <c r="A27" s="55">
        <v>24</v>
      </c>
      <c r="B27" s="55" t="s">
        <v>320</v>
      </c>
      <c r="C27" s="55" t="s">
        <v>321</v>
      </c>
      <c r="D27" s="55" t="s">
        <v>322</v>
      </c>
      <c r="E27" s="75" t="s">
        <v>362</v>
      </c>
      <c r="F27" s="55" t="s">
        <v>365</v>
      </c>
      <c r="G27" s="55">
        <v>917226001</v>
      </c>
      <c r="H27" s="55" t="s">
        <v>366</v>
      </c>
      <c r="I27" s="55">
        <v>63.43</v>
      </c>
      <c r="J27" s="111">
        <v>5301</v>
      </c>
      <c r="K27" s="111">
        <v>4444</v>
      </c>
      <c r="L27" s="111">
        <v>6912</v>
      </c>
      <c r="M27" s="111">
        <v>4114</v>
      </c>
      <c r="N27" s="2">
        <v>5163</v>
      </c>
      <c r="O27" s="2">
        <v>5346</v>
      </c>
      <c r="P27" s="2">
        <f t="shared" si="7"/>
        <v>336242.43</v>
      </c>
      <c r="Q27" s="2">
        <f t="shared" si="8"/>
        <v>281882.92</v>
      </c>
      <c r="R27" s="2">
        <f t="shared" si="9"/>
        <v>438428.15999999997</v>
      </c>
      <c r="S27" s="2">
        <f t="shared" si="10"/>
        <v>260951.02</v>
      </c>
      <c r="T27" s="2">
        <f t="shared" si="11"/>
        <v>327489.09000000003</v>
      </c>
      <c r="U27" s="2">
        <f t="shared" si="12"/>
        <v>339096.77999999997</v>
      </c>
    </row>
    <row r="28" spans="1:21">
      <c r="A28" s="55">
        <v>25</v>
      </c>
      <c r="B28" s="55" t="s">
        <v>320</v>
      </c>
      <c r="C28" s="55" t="s">
        <v>321</v>
      </c>
      <c r="D28" s="55" t="s">
        <v>322</v>
      </c>
      <c r="E28" s="75" t="s">
        <v>362</v>
      </c>
      <c r="F28" s="55" t="s">
        <v>367</v>
      </c>
      <c r="G28" s="55">
        <v>917203001</v>
      </c>
      <c r="H28" s="55" t="s">
        <v>368</v>
      </c>
      <c r="I28" s="55">
        <v>41.68</v>
      </c>
      <c r="J28" s="111">
        <v>5301</v>
      </c>
      <c r="K28" s="111">
        <v>4444</v>
      </c>
      <c r="L28" s="111">
        <v>6912</v>
      </c>
      <c r="M28" s="111">
        <v>4114</v>
      </c>
      <c r="N28" s="2">
        <v>5163</v>
      </c>
      <c r="O28" s="2">
        <v>5346</v>
      </c>
      <c r="P28" s="2">
        <f t="shared" si="7"/>
        <v>220945.68</v>
      </c>
      <c r="Q28" s="2">
        <f t="shared" si="8"/>
        <v>185225.92</v>
      </c>
      <c r="R28" s="2">
        <f t="shared" si="9"/>
        <v>288092.15999999997</v>
      </c>
      <c r="S28" s="2">
        <f t="shared" si="10"/>
        <v>171471.52</v>
      </c>
      <c r="T28" s="2">
        <f t="shared" si="11"/>
        <v>215193.84</v>
      </c>
      <c r="U28" s="2">
        <f t="shared" si="12"/>
        <v>222821.28</v>
      </c>
    </row>
    <row r="29" spans="1:21">
      <c r="A29" s="55">
        <v>26</v>
      </c>
      <c r="B29" s="55" t="s">
        <v>320</v>
      </c>
      <c r="C29" s="55" t="s">
        <v>321</v>
      </c>
      <c r="D29" s="55" t="s">
        <v>322</v>
      </c>
      <c r="E29" s="75" t="s">
        <v>362</v>
      </c>
      <c r="F29" s="55" t="s">
        <v>369</v>
      </c>
      <c r="G29" s="55">
        <v>917204002</v>
      </c>
      <c r="H29" s="55" t="s">
        <v>370</v>
      </c>
      <c r="I29" s="55">
        <v>456.04</v>
      </c>
      <c r="J29" s="111">
        <v>5301</v>
      </c>
      <c r="K29" s="111">
        <v>4444</v>
      </c>
      <c r="L29" s="111">
        <v>6912</v>
      </c>
      <c r="M29" s="111">
        <v>4114</v>
      </c>
      <c r="N29" s="2">
        <v>5163</v>
      </c>
      <c r="O29" s="2">
        <v>5346</v>
      </c>
      <c r="P29" s="2">
        <f t="shared" si="7"/>
        <v>2417468.04</v>
      </c>
      <c r="Q29" s="2">
        <f t="shared" si="8"/>
        <v>2026641.76</v>
      </c>
      <c r="R29" s="2">
        <f t="shared" si="9"/>
        <v>3152148.48</v>
      </c>
      <c r="S29" s="2">
        <f t="shared" si="10"/>
        <v>1876148.56</v>
      </c>
      <c r="T29" s="2">
        <f t="shared" si="11"/>
        <v>2354534.52</v>
      </c>
      <c r="U29" s="2">
        <f t="shared" si="12"/>
        <v>2437989.8400000003</v>
      </c>
    </row>
    <row r="30" spans="1:21">
      <c r="A30" s="55">
        <v>27</v>
      </c>
      <c r="B30" s="55" t="s">
        <v>320</v>
      </c>
      <c r="C30" s="55" t="s">
        <v>321</v>
      </c>
      <c r="D30" s="55" t="s">
        <v>322</v>
      </c>
      <c r="E30" s="75" t="s">
        <v>362</v>
      </c>
      <c r="F30" s="55" t="s">
        <v>371</v>
      </c>
      <c r="G30" s="55">
        <v>917204001</v>
      </c>
      <c r="H30" s="55" t="s">
        <v>370</v>
      </c>
      <c r="I30" s="55">
        <v>456.04</v>
      </c>
      <c r="J30" s="111">
        <v>5301</v>
      </c>
      <c r="K30" s="111">
        <v>4444</v>
      </c>
      <c r="L30" s="111">
        <v>6912</v>
      </c>
      <c r="M30" s="111">
        <v>4114</v>
      </c>
      <c r="N30" s="2">
        <v>5163</v>
      </c>
      <c r="O30" s="2">
        <v>5346</v>
      </c>
      <c r="P30" s="2">
        <f t="shared" si="7"/>
        <v>2417468.04</v>
      </c>
      <c r="Q30" s="2">
        <f t="shared" si="8"/>
        <v>2026641.76</v>
      </c>
      <c r="R30" s="2">
        <f t="shared" si="9"/>
        <v>3152148.48</v>
      </c>
      <c r="S30" s="2">
        <f t="shared" si="10"/>
        <v>1876148.56</v>
      </c>
      <c r="T30" s="2">
        <f t="shared" si="11"/>
        <v>2354534.52</v>
      </c>
      <c r="U30" s="2">
        <f t="shared" si="12"/>
        <v>2437989.8400000003</v>
      </c>
    </row>
    <row r="31" spans="1:21">
      <c r="A31" s="55">
        <v>28</v>
      </c>
      <c r="B31" s="55" t="s">
        <v>320</v>
      </c>
      <c r="C31" s="55" t="s">
        <v>321</v>
      </c>
      <c r="D31" s="55" t="s">
        <v>322</v>
      </c>
      <c r="E31" s="75" t="s">
        <v>362</v>
      </c>
      <c r="F31" s="55" t="s">
        <v>372</v>
      </c>
      <c r="G31" s="55">
        <v>917201002</v>
      </c>
      <c r="H31" s="55" t="s">
        <v>373</v>
      </c>
      <c r="I31" s="55">
        <v>251.78</v>
      </c>
      <c r="J31" s="111">
        <v>5301</v>
      </c>
      <c r="K31" s="111">
        <v>4444</v>
      </c>
      <c r="L31" s="111">
        <v>6912</v>
      </c>
      <c r="M31" s="111">
        <v>4114</v>
      </c>
      <c r="N31" s="2">
        <v>5163</v>
      </c>
      <c r="O31" s="2">
        <v>5346</v>
      </c>
      <c r="P31" s="2">
        <f t="shared" si="7"/>
        <v>1334685.78</v>
      </c>
      <c r="Q31" s="2">
        <f t="shared" si="8"/>
        <v>1118910.32</v>
      </c>
      <c r="R31" s="2">
        <f t="shared" si="9"/>
        <v>1740303.3600000001</v>
      </c>
      <c r="S31" s="2">
        <f t="shared" si="10"/>
        <v>1035822.92</v>
      </c>
      <c r="T31" s="2">
        <f t="shared" si="11"/>
        <v>1299940.1399999999</v>
      </c>
      <c r="U31" s="2">
        <f t="shared" si="12"/>
        <v>1346015.8800000001</v>
      </c>
    </row>
    <row r="32" spans="1:21">
      <c r="A32" s="55">
        <v>29</v>
      </c>
      <c r="B32" s="55" t="s">
        <v>320</v>
      </c>
      <c r="C32" s="55" t="s">
        <v>321</v>
      </c>
      <c r="D32" s="55" t="s">
        <v>322</v>
      </c>
      <c r="E32" s="75" t="s">
        <v>362</v>
      </c>
      <c r="F32" s="55" t="s">
        <v>374</v>
      </c>
      <c r="G32" s="55">
        <v>917201001</v>
      </c>
      <c r="H32" s="55" t="s">
        <v>375</v>
      </c>
      <c r="I32" s="55">
        <v>251.78</v>
      </c>
      <c r="J32" s="111">
        <v>5301</v>
      </c>
      <c r="K32" s="111">
        <v>4444</v>
      </c>
      <c r="L32" s="111">
        <v>6912</v>
      </c>
      <c r="M32" s="111">
        <v>4114</v>
      </c>
      <c r="N32" s="2">
        <v>5163</v>
      </c>
      <c r="O32" s="2">
        <v>5346</v>
      </c>
      <c r="P32" s="2">
        <f t="shared" si="7"/>
        <v>1334685.78</v>
      </c>
      <c r="Q32" s="2">
        <f t="shared" si="8"/>
        <v>1118910.32</v>
      </c>
      <c r="R32" s="2">
        <f t="shared" si="9"/>
        <v>1740303.3600000001</v>
      </c>
      <c r="S32" s="2">
        <f t="shared" si="10"/>
        <v>1035822.92</v>
      </c>
      <c r="T32" s="2">
        <f t="shared" si="11"/>
        <v>1299940.1399999999</v>
      </c>
      <c r="U32" s="2">
        <f t="shared" si="12"/>
        <v>1346015.8800000001</v>
      </c>
    </row>
    <row r="33" spans="1:21">
      <c r="A33" s="55">
        <v>30</v>
      </c>
      <c r="B33" s="55" t="s">
        <v>320</v>
      </c>
      <c r="C33" s="55" t="s">
        <v>321</v>
      </c>
      <c r="D33" s="55" t="s">
        <v>322</v>
      </c>
      <c r="E33" s="75" t="s">
        <v>362</v>
      </c>
      <c r="F33" s="55" t="s">
        <v>376</v>
      </c>
      <c r="G33" s="55">
        <v>917204004</v>
      </c>
      <c r="H33" s="55" t="s">
        <v>377</v>
      </c>
      <c r="I33" s="55">
        <v>365.92</v>
      </c>
      <c r="J33" s="111">
        <v>5301</v>
      </c>
      <c r="K33" s="111">
        <v>4444</v>
      </c>
      <c r="L33" s="111">
        <v>6912</v>
      </c>
      <c r="M33" s="111">
        <v>4114</v>
      </c>
      <c r="N33" s="2">
        <v>5163</v>
      </c>
      <c r="O33" s="2">
        <v>5346</v>
      </c>
      <c r="P33" s="2">
        <f t="shared" si="7"/>
        <v>1939741.9200000002</v>
      </c>
      <c r="Q33" s="2">
        <f t="shared" si="8"/>
        <v>1626148.48</v>
      </c>
      <c r="R33" s="2">
        <f t="shared" si="9"/>
        <v>2529239.04</v>
      </c>
      <c r="S33" s="2">
        <f t="shared" si="10"/>
        <v>1505394.8800000001</v>
      </c>
      <c r="T33" s="2">
        <f t="shared" si="11"/>
        <v>1889244.9600000002</v>
      </c>
      <c r="U33" s="2">
        <f t="shared" si="12"/>
        <v>1956208.32</v>
      </c>
    </row>
    <row r="34" spans="1:21">
      <c r="A34" s="55">
        <v>31</v>
      </c>
      <c r="B34" s="55" t="s">
        <v>320</v>
      </c>
      <c r="C34" s="55" t="s">
        <v>321</v>
      </c>
      <c r="D34" s="55" t="s">
        <v>322</v>
      </c>
      <c r="E34" s="75" t="s">
        <v>362</v>
      </c>
      <c r="F34" s="55" t="s">
        <v>378</v>
      </c>
      <c r="G34" s="55">
        <v>917204003</v>
      </c>
      <c r="H34" s="55" t="s">
        <v>377</v>
      </c>
      <c r="I34" s="55">
        <v>365.92</v>
      </c>
      <c r="J34" s="111">
        <v>5301</v>
      </c>
      <c r="K34" s="111">
        <v>4444</v>
      </c>
      <c r="L34" s="111">
        <v>6912</v>
      </c>
      <c r="M34" s="111">
        <v>4114</v>
      </c>
      <c r="N34" s="2">
        <v>5163</v>
      </c>
      <c r="O34" s="2">
        <v>5346</v>
      </c>
      <c r="P34" s="2">
        <f t="shared" si="7"/>
        <v>1939741.9200000002</v>
      </c>
      <c r="Q34" s="2">
        <f t="shared" si="8"/>
        <v>1626148.48</v>
      </c>
      <c r="R34" s="2">
        <f t="shared" si="9"/>
        <v>2529239.04</v>
      </c>
      <c r="S34" s="2">
        <f t="shared" si="10"/>
        <v>1505394.8800000001</v>
      </c>
      <c r="T34" s="2">
        <f t="shared" si="11"/>
        <v>1889244.9600000002</v>
      </c>
      <c r="U34" s="2">
        <f t="shared" si="12"/>
        <v>1956208.32</v>
      </c>
    </row>
    <row r="35" spans="1:21">
      <c r="A35" s="55">
        <v>32</v>
      </c>
      <c r="B35" s="55" t="s">
        <v>320</v>
      </c>
      <c r="C35" s="55" t="s">
        <v>321</v>
      </c>
      <c r="D35" s="55" t="s">
        <v>322</v>
      </c>
      <c r="E35" s="75" t="s">
        <v>362</v>
      </c>
      <c r="F35" s="55" t="s">
        <v>379</v>
      </c>
      <c r="G35" s="55">
        <v>917201004</v>
      </c>
      <c r="H35" s="55" t="s">
        <v>380</v>
      </c>
      <c r="I35" s="55">
        <v>239.53</v>
      </c>
      <c r="J35" s="111">
        <v>5301</v>
      </c>
      <c r="K35" s="111">
        <v>4444</v>
      </c>
      <c r="L35" s="111">
        <v>6912</v>
      </c>
      <c r="M35" s="111">
        <v>4114</v>
      </c>
      <c r="N35" s="2">
        <v>5163</v>
      </c>
      <c r="O35" s="2">
        <v>5346</v>
      </c>
      <c r="P35" s="2">
        <f t="shared" si="7"/>
        <v>1269748.53</v>
      </c>
      <c r="Q35" s="2">
        <f t="shared" si="8"/>
        <v>1064471.32</v>
      </c>
      <c r="R35" s="2">
        <f t="shared" si="9"/>
        <v>1655631.36</v>
      </c>
      <c r="S35" s="2">
        <f t="shared" si="10"/>
        <v>985426.42</v>
      </c>
      <c r="T35" s="2">
        <f t="shared" si="11"/>
        <v>1236693.3899999999</v>
      </c>
      <c r="U35" s="2">
        <f t="shared" si="12"/>
        <v>1280527.3800000001</v>
      </c>
    </row>
    <row r="36" spans="1:21">
      <c r="A36" s="55">
        <v>33</v>
      </c>
      <c r="B36" s="55" t="s">
        <v>320</v>
      </c>
      <c r="C36" s="55" t="s">
        <v>321</v>
      </c>
      <c r="D36" s="55" t="s">
        <v>322</v>
      </c>
      <c r="E36" s="75" t="s">
        <v>362</v>
      </c>
      <c r="F36" s="55" t="s">
        <v>381</v>
      </c>
      <c r="G36" s="55">
        <v>917201003</v>
      </c>
      <c r="H36" s="55" t="s">
        <v>380</v>
      </c>
      <c r="I36" s="55">
        <v>239.53</v>
      </c>
      <c r="J36" s="111">
        <v>5301</v>
      </c>
      <c r="K36" s="111">
        <v>4444</v>
      </c>
      <c r="L36" s="111">
        <v>6912</v>
      </c>
      <c r="M36" s="111">
        <v>4114</v>
      </c>
      <c r="N36" s="2">
        <v>5163</v>
      </c>
      <c r="O36" s="2">
        <v>5346</v>
      </c>
      <c r="P36" s="2">
        <f t="shared" si="7"/>
        <v>1269748.53</v>
      </c>
      <c r="Q36" s="2">
        <f t="shared" si="8"/>
        <v>1064471.32</v>
      </c>
      <c r="R36" s="2">
        <f t="shared" si="9"/>
        <v>1655631.36</v>
      </c>
      <c r="S36" s="2">
        <f t="shared" si="10"/>
        <v>985426.42</v>
      </c>
      <c r="T36" s="2">
        <f t="shared" si="11"/>
        <v>1236693.3899999999</v>
      </c>
      <c r="U36" s="2">
        <f t="shared" si="12"/>
        <v>1280527.3800000001</v>
      </c>
    </row>
    <row r="37" spans="1:21">
      <c r="A37" s="55">
        <v>34</v>
      </c>
      <c r="B37" s="55" t="s">
        <v>320</v>
      </c>
      <c r="C37" s="55" t="s">
        <v>321</v>
      </c>
      <c r="D37" s="55" t="s">
        <v>322</v>
      </c>
      <c r="E37" s="75" t="s">
        <v>362</v>
      </c>
      <c r="F37" s="55" t="s">
        <v>382</v>
      </c>
      <c r="G37" s="55">
        <v>917218001</v>
      </c>
      <c r="H37" s="55" t="s">
        <v>383</v>
      </c>
      <c r="I37" s="55">
        <v>206.91</v>
      </c>
      <c r="J37" s="111">
        <v>5301</v>
      </c>
      <c r="K37" s="111">
        <v>4444</v>
      </c>
      <c r="L37" s="111">
        <v>6912</v>
      </c>
      <c r="M37" s="111">
        <v>4114</v>
      </c>
      <c r="N37" s="2">
        <v>5163</v>
      </c>
      <c r="O37" s="2">
        <v>5346</v>
      </c>
      <c r="P37" s="2">
        <f t="shared" si="7"/>
        <v>1096829.9099999999</v>
      </c>
      <c r="Q37" s="2">
        <f t="shared" si="8"/>
        <v>919508.04</v>
      </c>
      <c r="R37" s="2">
        <f t="shared" si="9"/>
        <v>1430161.92</v>
      </c>
      <c r="S37" s="2">
        <f t="shared" si="10"/>
        <v>851227.74</v>
      </c>
      <c r="T37" s="2">
        <f t="shared" si="11"/>
        <v>1068276.33</v>
      </c>
      <c r="U37" s="2">
        <f t="shared" si="12"/>
        <v>1106140.8599999999</v>
      </c>
    </row>
    <row r="38" spans="1:21" hidden="1">
      <c r="A38" s="55">
        <v>35</v>
      </c>
      <c r="B38" s="55" t="s">
        <v>320</v>
      </c>
      <c r="C38" s="55" t="s">
        <v>321</v>
      </c>
      <c r="D38" s="55" t="s">
        <v>322</v>
      </c>
      <c r="E38" s="75" t="s">
        <v>384</v>
      </c>
      <c r="F38" s="55" t="s">
        <v>385</v>
      </c>
      <c r="G38" s="55">
        <v>918703001</v>
      </c>
      <c r="H38" s="55" t="s">
        <v>386</v>
      </c>
      <c r="I38" s="55">
        <v>74.150000000000006</v>
      </c>
      <c r="J38" s="111">
        <v>100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2">
        <f t="shared" si="7"/>
        <v>7415.0000000000009</v>
      </c>
      <c r="Q38" s="2">
        <f t="shared" si="8"/>
        <v>0</v>
      </c>
      <c r="R38" s="2">
        <f t="shared" si="9"/>
        <v>0</v>
      </c>
      <c r="S38" s="2">
        <f t="shared" si="10"/>
        <v>0</v>
      </c>
      <c r="T38" s="2">
        <f t="shared" si="11"/>
        <v>0</v>
      </c>
      <c r="U38" s="2">
        <f t="shared" si="12"/>
        <v>0</v>
      </c>
    </row>
    <row r="39" spans="1:21" hidden="1">
      <c r="A39" s="55">
        <v>36</v>
      </c>
      <c r="B39" s="55" t="s">
        <v>320</v>
      </c>
      <c r="C39" s="55" t="s">
        <v>321</v>
      </c>
      <c r="D39" s="55" t="s">
        <v>322</v>
      </c>
      <c r="E39" s="75" t="s">
        <v>387</v>
      </c>
      <c r="F39" s="55" t="s">
        <v>388</v>
      </c>
      <c r="G39" s="55">
        <v>917920002</v>
      </c>
      <c r="H39" s="55" t="s">
        <v>389</v>
      </c>
      <c r="I39" s="55">
        <v>14.67</v>
      </c>
      <c r="J39" s="111">
        <v>3394</v>
      </c>
      <c r="K39" s="111">
        <v>3136</v>
      </c>
      <c r="L39" s="111">
        <v>4152</v>
      </c>
      <c r="M39" s="111">
        <v>2622</v>
      </c>
      <c r="N39" s="111">
        <v>3624</v>
      </c>
      <c r="O39" s="111">
        <v>3916</v>
      </c>
      <c r="P39" s="2">
        <f t="shared" si="7"/>
        <v>49789.98</v>
      </c>
      <c r="Q39" s="2">
        <f t="shared" si="8"/>
        <v>46005.120000000003</v>
      </c>
      <c r="R39" s="2">
        <f t="shared" si="9"/>
        <v>60909.84</v>
      </c>
      <c r="S39" s="2">
        <f t="shared" si="10"/>
        <v>38464.74</v>
      </c>
      <c r="T39" s="2">
        <f t="shared" si="11"/>
        <v>53164.08</v>
      </c>
      <c r="U39" s="2">
        <f t="shared" si="12"/>
        <v>57447.72</v>
      </c>
    </row>
    <row r="40" spans="1:21" hidden="1">
      <c r="A40" s="55">
        <v>37</v>
      </c>
      <c r="B40" s="55" t="s">
        <v>320</v>
      </c>
      <c r="C40" s="55" t="s">
        <v>321</v>
      </c>
      <c r="D40" s="55" t="s">
        <v>322</v>
      </c>
      <c r="E40" s="75" t="s">
        <v>387</v>
      </c>
      <c r="F40" s="55" t="s">
        <v>390</v>
      </c>
      <c r="G40" s="55">
        <v>917920003</v>
      </c>
      <c r="H40" s="55" t="s">
        <v>391</v>
      </c>
      <c r="I40" s="55">
        <v>14.67</v>
      </c>
      <c r="J40" s="111">
        <v>3394</v>
      </c>
      <c r="K40" s="111">
        <v>3136</v>
      </c>
      <c r="L40" s="111">
        <v>4152</v>
      </c>
      <c r="M40" s="111">
        <v>2622</v>
      </c>
      <c r="N40" s="111">
        <v>3624</v>
      </c>
      <c r="O40" s="111">
        <v>3916</v>
      </c>
      <c r="P40" s="2">
        <f t="shared" si="7"/>
        <v>49789.98</v>
      </c>
      <c r="Q40" s="2">
        <f t="shared" si="8"/>
        <v>46005.120000000003</v>
      </c>
      <c r="R40" s="2">
        <f t="shared" si="9"/>
        <v>60909.84</v>
      </c>
      <c r="S40" s="2">
        <f t="shared" si="10"/>
        <v>38464.74</v>
      </c>
      <c r="T40" s="2">
        <f t="shared" si="11"/>
        <v>53164.08</v>
      </c>
      <c r="U40" s="2">
        <f t="shared" si="12"/>
        <v>57447.72</v>
      </c>
    </row>
    <row r="41" spans="1:21" hidden="1">
      <c r="A41" s="55">
        <v>38</v>
      </c>
      <c r="B41" s="55" t="s">
        <v>320</v>
      </c>
      <c r="C41" s="55" t="s">
        <v>321</v>
      </c>
      <c r="D41" s="55" t="s">
        <v>322</v>
      </c>
      <c r="E41" s="75" t="s">
        <v>387</v>
      </c>
      <c r="F41" s="55" t="s">
        <v>392</v>
      </c>
      <c r="G41" s="55">
        <v>917901004</v>
      </c>
      <c r="H41" s="55" t="s">
        <v>347</v>
      </c>
      <c r="I41" s="55">
        <v>233.56</v>
      </c>
      <c r="J41" s="111">
        <v>3394</v>
      </c>
      <c r="K41" s="111">
        <v>3136</v>
      </c>
      <c r="L41" s="111">
        <v>4152</v>
      </c>
      <c r="M41" s="111">
        <v>2622</v>
      </c>
      <c r="N41" s="111">
        <v>3624</v>
      </c>
      <c r="O41" s="111">
        <v>3916</v>
      </c>
      <c r="P41" s="2">
        <f t="shared" si="7"/>
        <v>792702.64</v>
      </c>
      <c r="Q41" s="2">
        <f t="shared" si="8"/>
        <v>732444.16000000003</v>
      </c>
      <c r="R41" s="2">
        <f t="shared" si="9"/>
        <v>969741.12</v>
      </c>
      <c r="S41" s="2">
        <f t="shared" si="10"/>
        <v>612394.31999999995</v>
      </c>
      <c r="T41" s="2">
        <f t="shared" si="11"/>
        <v>846421.44000000006</v>
      </c>
      <c r="U41" s="2">
        <f t="shared" si="12"/>
        <v>914620.96</v>
      </c>
    </row>
    <row r="42" spans="1:21" hidden="1">
      <c r="A42" s="55">
        <v>39</v>
      </c>
      <c r="B42" s="55" t="s">
        <v>320</v>
      </c>
      <c r="C42" s="55" t="s">
        <v>321</v>
      </c>
      <c r="D42" s="55" t="s">
        <v>322</v>
      </c>
      <c r="E42" s="75" t="s">
        <v>387</v>
      </c>
      <c r="F42" s="55" t="s">
        <v>393</v>
      </c>
      <c r="G42" s="55">
        <v>917901003</v>
      </c>
      <c r="H42" s="55" t="s">
        <v>347</v>
      </c>
      <c r="I42" s="55">
        <v>233.56</v>
      </c>
      <c r="J42" s="111">
        <v>3394</v>
      </c>
      <c r="K42" s="111">
        <v>3136</v>
      </c>
      <c r="L42" s="111">
        <v>4152</v>
      </c>
      <c r="M42" s="111">
        <v>2622</v>
      </c>
      <c r="N42" s="111">
        <v>3624</v>
      </c>
      <c r="O42" s="111">
        <v>3916</v>
      </c>
      <c r="P42" s="2">
        <f t="shared" si="7"/>
        <v>792702.64</v>
      </c>
      <c r="Q42" s="2">
        <f t="shared" si="8"/>
        <v>732444.16000000003</v>
      </c>
      <c r="R42" s="2">
        <f t="shared" si="9"/>
        <v>969741.12</v>
      </c>
      <c r="S42" s="2">
        <f t="shared" si="10"/>
        <v>612394.31999999995</v>
      </c>
      <c r="T42" s="2">
        <f t="shared" si="11"/>
        <v>846421.44000000006</v>
      </c>
      <c r="U42" s="2">
        <f t="shared" si="12"/>
        <v>914620.96</v>
      </c>
    </row>
    <row r="43" spans="1:21" hidden="1">
      <c r="A43" s="55">
        <v>40</v>
      </c>
      <c r="B43" s="55" t="s">
        <v>320</v>
      </c>
      <c r="C43" s="55" t="s">
        <v>321</v>
      </c>
      <c r="D43" s="55" t="s">
        <v>322</v>
      </c>
      <c r="E43" s="75" t="s">
        <v>387</v>
      </c>
      <c r="F43" s="55" t="s">
        <v>394</v>
      </c>
      <c r="G43" s="55">
        <v>917904002</v>
      </c>
      <c r="H43" s="55" t="s">
        <v>333</v>
      </c>
      <c r="I43" s="55">
        <v>374.53</v>
      </c>
      <c r="J43" s="111">
        <v>3394</v>
      </c>
      <c r="K43" s="111">
        <v>3136</v>
      </c>
      <c r="L43" s="111">
        <v>4152</v>
      </c>
      <c r="M43" s="111">
        <v>2622</v>
      </c>
      <c r="N43" s="111">
        <v>3624</v>
      </c>
      <c r="O43" s="111">
        <v>3916</v>
      </c>
      <c r="P43" s="2">
        <f t="shared" si="7"/>
        <v>1271154.8199999998</v>
      </c>
      <c r="Q43" s="2">
        <f t="shared" si="8"/>
        <v>1174526.0799999998</v>
      </c>
      <c r="R43" s="2">
        <f t="shared" si="9"/>
        <v>1555048.5599999998</v>
      </c>
      <c r="S43" s="2">
        <f t="shared" si="10"/>
        <v>982017.65999999992</v>
      </c>
      <c r="T43" s="2">
        <f t="shared" si="11"/>
        <v>1357296.72</v>
      </c>
      <c r="U43" s="2">
        <f t="shared" si="12"/>
        <v>1466659.48</v>
      </c>
    </row>
    <row r="44" spans="1:21" hidden="1">
      <c r="A44" s="55">
        <v>41</v>
      </c>
      <c r="B44" s="55" t="s">
        <v>320</v>
      </c>
      <c r="C44" s="55" t="s">
        <v>321</v>
      </c>
      <c r="D44" s="55" t="s">
        <v>322</v>
      </c>
      <c r="E44" s="75" t="s">
        <v>387</v>
      </c>
      <c r="F44" s="55" t="s">
        <v>395</v>
      </c>
      <c r="G44" s="55">
        <v>917904001</v>
      </c>
      <c r="H44" s="55" t="s">
        <v>335</v>
      </c>
      <c r="I44" s="55">
        <v>374.53</v>
      </c>
      <c r="J44" s="111">
        <v>3394</v>
      </c>
      <c r="K44" s="111">
        <v>3136</v>
      </c>
      <c r="L44" s="111">
        <v>4152</v>
      </c>
      <c r="M44" s="111">
        <v>2622</v>
      </c>
      <c r="N44" s="111">
        <v>3624</v>
      </c>
      <c r="O44" s="111">
        <v>3916</v>
      </c>
      <c r="P44" s="2">
        <f t="shared" si="7"/>
        <v>1271154.8199999998</v>
      </c>
      <c r="Q44" s="2">
        <f t="shared" si="8"/>
        <v>1174526.0799999998</v>
      </c>
      <c r="R44" s="2">
        <f t="shared" si="9"/>
        <v>1555048.5599999998</v>
      </c>
      <c r="S44" s="2">
        <f t="shared" si="10"/>
        <v>982017.65999999992</v>
      </c>
      <c r="T44" s="2">
        <f t="shared" si="11"/>
        <v>1357296.72</v>
      </c>
      <c r="U44" s="2">
        <f t="shared" si="12"/>
        <v>1466659.48</v>
      </c>
    </row>
    <row r="45" spans="1:21" hidden="1">
      <c r="A45" s="55">
        <v>42</v>
      </c>
      <c r="B45" s="55" t="s">
        <v>320</v>
      </c>
      <c r="C45" s="55" t="s">
        <v>321</v>
      </c>
      <c r="D45" s="55" t="s">
        <v>322</v>
      </c>
      <c r="E45" s="75" t="s">
        <v>387</v>
      </c>
      <c r="F45" s="55" t="s">
        <v>396</v>
      </c>
      <c r="G45" s="55">
        <v>917901002</v>
      </c>
      <c r="H45" s="55" t="s">
        <v>337</v>
      </c>
      <c r="I45" s="55">
        <v>239.69</v>
      </c>
      <c r="J45" s="111">
        <v>3394</v>
      </c>
      <c r="K45" s="111">
        <v>3136</v>
      </c>
      <c r="L45" s="111">
        <v>4152</v>
      </c>
      <c r="M45" s="111">
        <v>2622</v>
      </c>
      <c r="N45" s="111">
        <v>3624</v>
      </c>
      <c r="O45" s="111">
        <v>3916</v>
      </c>
      <c r="P45" s="2">
        <f t="shared" si="7"/>
        <v>813507.86</v>
      </c>
      <c r="Q45" s="2">
        <f t="shared" si="8"/>
        <v>751667.84</v>
      </c>
      <c r="R45" s="2">
        <f t="shared" si="9"/>
        <v>995192.88</v>
      </c>
      <c r="S45" s="2">
        <f t="shared" si="10"/>
        <v>628467.18000000005</v>
      </c>
      <c r="T45" s="2">
        <f t="shared" si="11"/>
        <v>868636.55999999994</v>
      </c>
      <c r="U45" s="2">
        <f t="shared" si="12"/>
        <v>938626.04</v>
      </c>
    </row>
    <row r="46" spans="1:21" hidden="1">
      <c r="A46" s="55">
        <v>43</v>
      </c>
      <c r="B46" s="55" t="s">
        <v>320</v>
      </c>
      <c r="C46" s="55" t="s">
        <v>321</v>
      </c>
      <c r="D46" s="55" t="s">
        <v>322</v>
      </c>
      <c r="E46" s="75" t="s">
        <v>387</v>
      </c>
      <c r="F46" s="55" t="s">
        <v>397</v>
      </c>
      <c r="G46" s="55">
        <v>917901001</v>
      </c>
      <c r="H46" s="55" t="s">
        <v>353</v>
      </c>
      <c r="I46" s="55">
        <v>239.69</v>
      </c>
      <c r="J46" s="111">
        <v>3394</v>
      </c>
      <c r="K46" s="111">
        <v>3136</v>
      </c>
      <c r="L46" s="111">
        <v>4152</v>
      </c>
      <c r="M46" s="111">
        <v>2622</v>
      </c>
      <c r="N46" s="111">
        <v>3624</v>
      </c>
      <c r="O46" s="111">
        <v>3916</v>
      </c>
      <c r="P46" s="2">
        <f t="shared" si="7"/>
        <v>813507.86</v>
      </c>
      <c r="Q46" s="2">
        <f t="shared" si="8"/>
        <v>751667.84</v>
      </c>
      <c r="R46" s="2">
        <f t="shared" si="9"/>
        <v>995192.88</v>
      </c>
      <c r="S46" s="2">
        <f t="shared" si="10"/>
        <v>628467.18000000005</v>
      </c>
      <c r="T46" s="2">
        <f t="shared" si="11"/>
        <v>868636.55999999994</v>
      </c>
      <c r="U46" s="2">
        <f t="shared" si="12"/>
        <v>938626.04</v>
      </c>
    </row>
    <row r="47" spans="1:21" hidden="1">
      <c r="A47" s="55">
        <v>44</v>
      </c>
      <c r="B47" s="55" t="s">
        <v>320</v>
      </c>
      <c r="C47" s="55" t="s">
        <v>321</v>
      </c>
      <c r="D47" s="55" t="s">
        <v>322</v>
      </c>
      <c r="E47" s="75" t="s">
        <v>387</v>
      </c>
      <c r="F47" s="55" t="s">
        <v>398</v>
      </c>
      <c r="G47" s="55">
        <v>917904003</v>
      </c>
      <c r="H47" s="55" t="s">
        <v>339</v>
      </c>
      <c r="I47" s="55">
        <v>384.84</v>
      </c>
      <c r="J47" s="111">
        <v>3394</v>
      </c>
      <c r="K47" s="111">
        <v>3136</v>
      </c>
      <c r="L47" s="111">
        <v>4152</v>
      </c>
      <c r="M47" s="111">
        <v>2622</v>
      </c>
      <c r="N47" s="111">
        <v>3624</v>
      </c>
      <c r="O47" s="111">
        <v>3916</v>
      </c>
      <c r="P47" s="2">
        <f t="shared" si="7"/>
        <v>1306146.96</v>
      </c>
      <c r="Q47" s="2">
        <f t="shared" si="8"/>
        <v>1206858.24</v>
      </c>
      <c r="R47" s="2">
        <f t="shared" si="9"/>
        <v>1597855.68</v>
      </c>
      <c r="S47" s="2">
        <f t="shared" si="10"/>
        <v>1009050.48</v>
      </c>
      <c r="T47" s="2">
        <f t="shared" si="11"/>
        <v>1394660.16</v>
      </c>
      <c r="U47" s="2">
        <f t="shared" si="12"/>
        <v>1507033.44</v>
      </c>
    </row>
    <row r="48" spans="1:21" hidden="1">
      <c r="A48" s="55">
        <v>45</v>
      </c>
      <c r="B48" s="55" t="s">
        <v>320</v>
      </c>
      <c r="C48" s="55" t="s">
        <v>321</v>
      </c>
      <c r="D48" s="55" t="s">
        <v>322</v>
      </c>
      <c r="E48" s="75" t="s">
        <v>387</v>
      </c>
      <c r="F48" s="55" t="s">
        <v>399</v>
      </c>
      <c r="G48" s="55">
        <v>917904004</v>
      </c>
      <c r="H48" s="55" t="s">
        <v>341</v>
      </c>
      <c r="I48" s="55">
        <v>384.84</v>
      </c>
      <c r="J48" s="111">
        <v>3394</v>
      </c>
      <c r="K48" s="111">
        <v>3136</v>
      </c>
      <c r="L48" s="111">
        <v>4152</v>
      </c>
      <c r="M48" s="111">
        <v>2622</v>
      </c>
      <c r="N48" s="111">
        <v>3624</v>
      </c>
      <c r="O48" s="111">
        <v>3916</v>
      </c>
      <c r="P48" s="2">
        <f t="shared" si="7"/>
        <v>1306146.96</v>
      </c>
      <c r="Q48" s="2">
        <f t="shared" si="8"/>
        <v>1206858.24</v>
      </c>
      <c r="R48" s="2">
        <f t="shared" si="9"/>
        <v>1597855.68</v>
      </c>
      <c r="S48" s="2">
        <f t="shared" si="10"/>
        <v>1009050.48</v>
      </c>
      <c r="T48" s="2">
        <f t="shared" si="11"/>
        <v>1394660.16</v>
      </c>
      <c r="U48" s="2">
        <f t="shared" si="12"/>
        <v>1507033.44</v>
      </c>
    </row>
    <row r="49" spans="1:21" hidden="1">
      <c r="A49" s="55">
        <v>46</v>
      </c>
      <c r="B49" s="55" t="s">
        <v>320</v>
      </c>
      <c r="C49" s="55" t="s">
        <v>321</v>
      </c>
      <c r="D49" s="55" t="s">
        <v>322</v>
      </c>
      <c r="E49" s="75" t="s">
        <v>387</v>
      </c>
      <c r="F49" s="55" t="s">
        <v>400</v>
      </c>
      <c r="G49" s="55">
        <v>917918001</v>
      </c>
      <c r="H49" s="55" t="s">
        <v>343</v>
      </c>
      <c r="I49" s="55">
        <v>214.98</v>
      </c>
      <c r="J49" s="111">
        <v>3394</v>
      </c>
      <c r="K49" s="111">
        <v>3136</v>
      </c>
      <c r="L49" s="111">
        <v>4152</v>
      </c>
      <c r="M49" s="111">
        <v>2622</v>
      </c>
      <c r="N49" s="111">
        <v>3624</v>
      </c>
      <c r="O49" s="111">
        <v>3916</v>
      </c>
      <c r="P49" s="2">
        <f t="shared" si="7"/>
        <v>729642.12</v>
      </c>
      <c r="Q49" s="2">
        <f t="shared" si="8"/>
        <v>674177.27999999991</v>
      </c>
      <c r="R49" s="2">
        <f t="shared" si="9"/>
        <v>892596.96</v>
      </c>
      <c r="S49" s="2">
        <f t="shared" si="10"/>
        <v>563677.55999999994</v>
      </c>
      <c r="T49" s="2">
        <f t="shared" si="11"/>
        <v>779087.52</v>
      </c>
      <c r="U49" s="2">
        <f t="shared" si="12"/>
        <v>841861.67999999993</v>
      </c>
    </row>
    <row r="50" spans="1:21" hidden="1">
      <c r="A50" s="55">
        <v>47</v>
      </c>
      <c r="B50" s="55" t="s">
        <v>320</v>
      </c>
      <c r="C50" s="55" t="s">
        <v>401</v>
      </c>
      <c r="D50" s="55" t="s">
        <v>402</v>
      </c>
      <c r="E50" s="75" t="s">
        <v>403</v>
      </c>
      <c r="F50" s="55" t="s">
        <v>404</v>
      </c>
      <c r="G50" s="55">
        <v>914503003</v>
      </c>
      <c r="H50" s="55" t="s">
        <v>405</v>
      </c>
      <c r="I50" s="55">
        <v>36.01</v>
      </c>
      <c r="J50" s="111">
        <v>10500</v>
      </c>
      <c r="K50" s="111">
        <v>5600</v>
      </c>
      <c r="L50" s="111">
        <v>10500</v>
      </c>
      <c r="M50" s="111">
        <v>9500</v>
      </c>
      <c r="N50" s="111">
        <v>11500</v>
      </c>
      <c r="O50" s="111">
        <v>11500</v>
      </c>
      <c r="P50" s="2">
        <f t="shared" si="7"/>
        <v>378105</v>
      </c>
      <c r="Q50" s="2">
        <f t="shared" si="8"/>
        <v>201656</v>
      </c>
      <c r="R50" s="2">
        <f t="shared" si="9"/>
        <v>378105</v>
      </c>
      <c r="S50" s="2">
        <f t="shared" si="10"/>
        <v>342095</v>
      </c>
      <c r="T50" s="2">
        <f t="shared" si="11"/>
        <v>414115</v>
      </c>
      <c r="U50" s="2">
        <f t="shared" si="12"/>
        <v>414115</v>
      </c>
    </row>
    <row r="51" spans="1:21" hidden="1">
      <c r="A51" s="55">
        <v>48</v>
      </c>
      <c r="B51" s="55" t="s">
        <v>320</v>
      </c>
      <c r="C51" s="55" t="s">
        <v>401</v>
      </c>
      <c r="D51" s="55" t="s">
        <v>402</v>
      </c>
      <c r="E51" s="75" t="s">
        <v>403</v>
      </c>
      <c r="F51" s="55" t="s">
        <v>406</v>
      </c>
      <c r="G51" s="55">
        <v>915704005</v>
      </c>
      <c r="H51" s="55" t="s">
        <v>407</v>
      </c>
      <c r="I51" s="55">
        <v>697.72</v>
      </c>
      <c r="J51" s="111">
        <v>10500</v>
      </c>
      <c r="K51" s="111">
        <v>5600</v>
      </c>
      <c r="L51" s="111">
        <v>10500</v>
      </c>
      <c r="M51" s="111">
        <v>9500</v>
      </c>
      <c r="N51" s="111">
        <v>11500</v>
      </c>
      <c r="O51" s="111">
        <v>11500</v>
      </c>
      <c r="P51" s="2">
        <f t="shared" si="7"/>
        <v>7326060</v>
      </c>
      <c r="Q51" s="2">
        <f t="shared" si="8"/>
        <v>3907232</v>
      </c>
      <c r="R51" s="2">
        <f t="shared" si="9"/>
        <v>7326060</v>
      </c>
      <c r="S51" s="2">
        <f t="shared" si="10"/>
        <v>6628340</v>
      </c>
      <c r="T51" s="2">
        <f t="shared" si="11"/>
        <v>8023780</v>
      </c>
      <c r="U51" s="2">
        <f t="shared" si="12"/>
        <v>8023780</v>
      </c>
    </row>
    <row r="52" spans="1:21" hidden="1">
      <c r="A52" s="55">
        <v>49</v>
      </c>
      <c r="B52" s="55" t="s">
        <v>320</v>
      </c>
      <c r="C52" s="55" t="s">
        <v>401</v>
      </c>
      <c r="D52" s="55" t="s">
        <v>402</v>
      </c>
      <c r="E52" s="75" t="s">
        <v>403</v>
      </c>
      <c r="F52" s="55" t="s">
        <v>408</v>
      </c>
      <c r="G52" s="55">
        <v>915704006</v>
      </c>
      <c r="H52" s="55" t="s">
        <v>409</v>
      </c>
      <c r="I52" s="55">
        <v>688.72</v>
      </c>
      <c r="J52" s="111">
        <v>10500</v>
      </c>
      <c r="K52" s="111">
        <v>5600</v>
      </c>
      <c r="L52" s="111">
        <v>10500</v>
      </c>
      <c r="M52" s="111">
        <v>9500</v>
      </c>
      <c r="N52" s="111">
        <v>11500</v>
      </c>
      <c r="O52" s="111">
        <v>11500</v>
      </c>
      <c r="P52" s="2">
        <f t="shared" si="7"/>
        <v>7231560</v>
      </c>
      <c r="Q52" s="2">
        <f t="shared" si="8"/>
        <v>3856832</v>
      </c>
      <c r="R52" s="2">
        <f t="shared" si="9"/>
        <v>7231560</v>
      </c>
      <c r="S52" s="2">
        <f t="shared" si="10"/>
        <v>6542840</v>
      </c>
      <c r="T52" s="2">
        <f t="shared" si="11"/>
        <v>7920280</v>
      </c>
      <c r="U52" s="2">
        <f t="shared" si="12"/>
        <v>7920280</v>
      </c>
    </row>
    <row r="53" spans="1:21" hidden="1">
      <c r="A53" s="55">
        <v>50</v>
      </c>
      <c r="B53" s="55" t="s">
        <v>320</v>
      </c>
      <c r="C53" s="55" t="s">
        <v>410</v>
      </c>
      <c r="D53" s="55" t="s">
        <v>322</v>
      </c>
      <c r="E53" s="75" t="s">
        <v>411</v>
      </c>
      <c r="F53" s="55" t="s">
        <v>412</v>
      </c>
      <c r="G53" s="55">
        <v>919203001</v>
      </c>
      <c r="H53" s="55" t="s">
        <v>413</v>
      </c>
      <c r="I53" s="55">
        <v>39.22</v>
      </c>
      <c r="J53" s="111">
        <v>13000</v>
      </c>
      <c r="K53" s="111">
        <v>12000</v>
      </c>
      <c r="L53" s="111">
        <v>12000</v>
      </c>
      <c r="M53" s="111">
        <v>12000</v>
      </c>
      <c r="N53" s="111">
        <v>11000</v>
      </c>
      <c r="O53" s="111">
        <v>11000</v>
      </c>
      <c r="P53" s="2">
        <f t="shared" si="7"/>
        <v>509860</v>
      </c>
      <c r="Q53" s="2">
        <f t="shared" si="8"/>
        <v>470640</v>
      </c>
      <c r="R53" s="2">
        <f t="shared" si="9"/>
        <v>470640</v>
      </c>
      <c r="S53" s="2">
        <f t="shared" si="10"/>
        <v>470640</v>
      </c>
      <c r="T53" s="2">
        <f t="shared" si="11"/>
        <v>431420</v>
      </c>
      <c r="U53" s="2">
        <f t="shared" si="12"/>
        <v>431420</v>
      </c>
    </row>
    <row r="54" spans="1:21" hidden="1">
      <c r="A54" s="55">
        <v>51</v>
      </c>
      <c r="B54" s="55" t="s">
        <v>320</v>
      </c>
      <c r="C54" s="55" t="s">
        <v>414</v>
      </c>
      <c r="D54" s="55" t="s">
        <v>322</v>
      </c>
      <c r="E54" s="75" t="s">
        <v>415</v>
      </c>
      <c r="F54" s="55" t="s">
        <v>336</v>
      </c>
      <c r="G54" s="55">
        <v>915717006</v>
      </c>
      <c r="H54" s="55" t="s">
        <v>1225</v>
      </c>
      <c r="I54" s="55">
        <v>229.02</v>
      </c>
      <c r="J54" s="55">
        <v>217</v>
      </c>
      <c r="K54" s="55">
        <v>168</v>
      </c>
      <c r="L54" s="55">
        <v>169</v>
      </c>
      <c r="M54" s="55">
        <v>168</v>
      </c>
      <c r="N54" s="55">
        <v>168</v>
      </c>
      <c r="O54" s="55">
        <v>169</v>
      </c>
      <c r="P54" s="2">
        <f t="shared" si="7"/>
        <v>49697.340000000004</v>
      </c>
      <c r="Q54" s="2">
        <f t="shared" si="8"/>
        <v>38475.360000000001</v>
      </c>
      <c r="R54" s="2">
        <f t="shared" si="9"/>
        <v>38704.380000000005</v>
      </c>
      <c r="S54" s="2">
        <f t="shared" si="10"/>
        <v>38475.360000000001</v>
      </c>
      <c r="T54" s="2">
        <f t="shared" si="11"/>
        <v>38475.360000000001</v>
      </c>
      <c r="U54" s="2">
        <f t="shared" si="12"/>
        <v>38704.380000000005</v>
      </c>
    </row>
    <row r="55" spans="1:21" hidden="1">
      <c r="A55" s="55">
        <v>52</v>
      </c>
      <c r="B55" s="55" t="s">
        <v>320</v>
      </c>
      <c r="C55" s="55" t="s">
        <v>414</v>
      </c>
      <c r="D55" s="55" t="s">
        <v>322</v>
      </c>
      <c r="E55" s="75" t="s">
        <v>415</v>
      </c>
      <c r="F55" s="55" t="s">
        <v>416</v>
      </c>
      <c r="G55" s="55">
        <v>915717009</v>
      </c>
      <c r="H55" s="55" t="s">
        <v>417</v>
      </c>
      <c r="I55" s="55">
        <v>205.39</v>
      </c>
      <c r="J55" s="55">
        <v>88</v>
      </c>
      <c r="K55" s="55">
        <v>101</v>
      </c>
      <c r="L55" s="55">
        <v>101</v>
      </c>
      <c r="M55" s="55">
        <v>101</v>
      </c>
      <c r="N55" s="55">
        <v>101</v>
      </c>
      <c r="O55" s="55">
        <v>101</v>
      </c>
      <c r="P55" s="2">
        <f t="shared" si="7"/>
        <v>18074.32</v>
      </c>
      <c r="Q55" s="2">
        <f t="shared" si="8"/>
        <v>20744.39</v>
      </c>
      <c r="R55" s="2">
        <f t="shared" si="9"/>
        <v>20744.39</v>
      </c>
      <c r="S55" s="2">
        <f t="shared" si="10"/>
        <v>20744.39</v>
      </c>
      <c r="T55" s="2">
        <f t="shared" si="11"/>
        <v>20744.39</v>
      </c>
      <c r="U55" s="2">
        <f t="shared" si="12"/>
        <v>20744.39</v>
      </c>
    </row>
    <row r="56" spans="1:21" hidden="1">
      <c r="A56" s="55">
        <v>53</v>
      </c>
      <c r="B56" s="55" t="s">
        <v>320</v>
      </c>
      <c r="C56" s="55" t="s">
        <v>414</v>
      </c>
      <c r="D56" s="55" t="s">
        <v>322</v>
      </c>
      <c r="E56" s="75" t="s">
        <v>415</v>
      </c>
      <c r="F56" s="55" t="s">
        <v>418</v>
      </c>
      <c r="G56" s="55">
        <v>915717008</v>
      </c>
      <c r="H56" s="55" t="s">
        <v>419</v>
      </c>
      <c r="I56" s="55">
        <v>212.47</v>
      </c>
      <c r="J56" s="55">
        <v>92</v>
      </c>
      <c r="K56" s="55">
        <v>92</v>
      </c>
      <c r="L56" s="55">
        <v>92</v>
      </c>
      <c r="M56" s="55">
        <v>92</v>
      </c>
      <c r="N56" s="55">
        <v>92</v>
      </c>
      <c r="O56" s="55">
        <v>92</v>
      </c>
      <c r="P56" s="2">
        <f t="shared" si="7"/>
        <v>19547.240000000002</v>
      </c>
      <c r="Q56" s="2">
        <f t="shared" si="8"/>
        <v>19547.240000000002</v>
      </c>
      <c r="R56" s="2">
        <f t="shared" si="9"/>
        <v>19547.240000000002</v>
      </c>
      <c r="S56" s="2">
        <f t="shared" si="10"/>
        <v>19547.240000000002</v>
      </c>
      <c r="T56" s="2">
        <f t="shared" si="11"/>
        <v>19547.240000000002</v>
      </c>
      <c r="U56" s="2">
        <f t="shared" si="12"/>
        <v>19547.240000000002</v>
      </c>
    </row>
    <row r="57" spans="1:21" hidden="1">
      <c r="A57" s="55">
        <v>54</v>
      </c>
      <c r="B57" s="55" t="s">
        <v>320</v>
      </c>
      <c r="C57" s="55" t="s">
        <v>414</v>
      </c>
      <c r="D57" s="55" t="s">
        <v>322</v>
      </c>
      <c r="E57" s="75" t="s">
        <v>415</v>
      </c>
      <c r="F57" s="55" t="s">
        <v>342</v>
      </c>
      <c r="G57" s="55">
        <v>915717001</v>
      </c>
      <c r="H57" s="55" t="s">
        <v>1226</v>
      </c>
      <c r="I57" s="55">
        <v>142.19</v>
      </c>
      <c r="J57" s="55">
        <v>61</v>
      </c>
      <c r="K57" s="55">
        <v>65</v>
      </c>
      <c r="L57" s="55">
        <v>65</v>
      </c>
      <c r="M57" s="55">
        <v>66</v>
      </c>
      <c r="N57" s="55">
        <v>65</v>
      </c>
      <c r="O57" s="55">
        <v>65</v>
      </c>
      <c r="P57" s="2">
        <f t="shared" si="7"/>
        <v>8673.59</v>
      </c>
      <c r="Q57" s="2">
        <f t="shared" si="8"/>
        <v>9242.35</v>
      </c>
      <c r="R57" s="2">
        <f t="shared" si="9"/>
        <v>9242.35</v>
      </c>
      <c r="S57" s="2">
        <f t="shared" si="10"/>
        <v>9384.5399999999991</v>
      </c>
      <c r="T57" s="2">
        <f t="shared" si="11"/>
        <v>9242.35</v>
      </c>
      <c r="U57" s="2">
        <f t="shared" si="12"/>
        <v>9242.35</v>
      </c>
    </row>
    <row r="58" spans="1:21" hidden="1">
      <c r="A58" s="55">
        <v>55</v>
      </c>
      <c r="B58" s="55" t="s">
        <v>320</v>
      </c>
      <c r="C58" s="55" t="s">
        <v>414</v>
      </c>
      <c r="D58" s="55" t="s">
        <v>322</v>
      </c>
      <c r="E58" s="75" t="s">
        <v>420</v>
      </c>
      <c r="F58" s="55" t="s">
        <v>421</v>
      </c>
      <c r="G58" s="55">
        <v>916801013</v>
      </c>
      <c r="H58" s="55" t="s">
        <v>422</v>
      </c>
      <c r="I58" s="55">
        <v>345.46</v>
      </c>
      <c r="J58" s="55">
        <v>86</v>
      </c>
      <c r="K58" s="55">
        <v>86</v>
      </c>
      <c r="L58" s="55">
        <v>85</v>
      </c>
      <c r="M58" s="55">
        <v>86</v>
      </c>
      <c r="N58" s="55">
        <v>86</v>
      </c>
      <c r="O58" s="55">
        <v>86</v>
      </c>
      <c r="P58" s="2">
        <f t="shared" si="7"/>
        <v>29709.559999999998</v>
      </c>
      <c r="Q58" s="2">
        <f t="shared" si="8"/>
        <v>29709.559999999998</v>
      </c>
      <c r="R58" s="2">
        <f t="shared" si="9"/>
        <v>29364.1</v>
      </c>
      <c r="S58" s="2">
        <f t="shared" si="10"/>
        <v>29709.559999999998</v>
      </c>
      <c r="T58" s="2">
        <f t="shared" si="11"/>
        <v>29709.559999999998</v>
      </c>
      <c r="U58" s="2">
        <f t="shared" si="12"/>
        <v>29709.559999999998</v>
      </c>
    </row>
    <row r="59" spans="1:21" hidden="1">
      <c r="A59" s="55">
        <v>56</v>
      </c>
      <c r="B59" s="55" t="s">
        <v>320</v>
      </c>
      <c r="C59" s="55" t="s">
        <v>414</v>
      </c>
      <c r="D59" s="55" t="s">
        <v>322</v>
      </c>
      <c r="E59" s="75" t="s">
        <v>415</v>
      </c>
      <c r="F59" s="55" t="s">
        <v>423</v>
      </c>
      <c r="G59" s="55">
        <v>915717007</v>
      </c>
      <c r="H59" s="55" t="s">
        <v>424</v>
      </c>
      <c r="I59" s="55">
        <v>232.47000000000003</v>
      </c>
      <c r="J59" s="55">
        <v>58</v>
      </c>
      <c r="K59" s="55">
        <v>80</v>
      </c>
      <c r="L59" s="55">
        <v>80</v>
      </c>
      <c r="M59" s="55">
        <v>80</v>
      </c>
      <c r="N59" s="55">
        <v>80</v>
      </c>
      <c r="O59" s="55">
        <v>80</v>
      </c>
      <c r="P59" s="2">
        <f t="shared" si="7"/>
        <v>13483.260000000002</v>
      </c>
      <c r="Q59" s="2">
        <f t="shared" si="8"/>
        <v>18597.600000000002</v>
      </c>
      <c r="R59" s="2">
        <f t="shared" si="9"/>
        <v>18597.600000000002</v>
      </c>
      <c r="S59" s="2">
        <f t="shared" si="10"/>
        <v>18597.600000000002</v>
      </c>
      <c r="T59" s="2">
        <f t="shared" si="11"/>
        <v>18597.600000000002</v>
      </c>
      <c r="U59" s="2">
        <f t="shared" si="12"/>
        <v>18597.600000000002</v>
      </c>
    </row>
    <row r="60" spans="1:21" hidden="1">
      <c r="A60" s="55">
        <v>57</v>
      </c>
      <c r="B60" s="55" t="s">
        <v>320</v>
      </c>
      <c r="C60" s="55" t="s">
        <v>414</v>
      </c>
      <c r="D60" s="55" t="s">
        <v>322</v>
      </c>
      <c r="E60" s="75" t="s">
        <v>420</v>
      </c>
      <c r="F60" s="55" t="s">
        <v>425</v>
      </c>
      <c r="G60" s="55">
        <v>916801011</v>
      </c>
      <c r="H60" s="55" t="s">
        <v>426</v>
      </c>
      <c r="I60" s="55">
        <v>319.94</v>
      </c>
      <c r="J60" s="55">
        <v>41</v>
      </c>
      <c r="K60" s="55">
        <v>41</v>
      </c>
      <c r="L60" s="55">
        <v>41</v>
      </c>
      <c r="M60" s="55">
        <v>41</v>
      </c>
      <c r="N60" s="55">
        <v>41</v>
      </c>
      <c r="O60" s="55">
        <v>41</v>
      </c>
      <c r="P60" s="2">
        <f t="shared" si="7"/>
        <v>13117.539999999999</v>
      </c>
      <c r="Q60" s="2">
        <f t="shared" si="8"/>
        <v>13117.539999999999</v>
      </c>
      <c r="R60" s="2">
        <f t="shared" si="9"/>
        <v>13117.539999999999</v>
      </c>
      <c r="S60" s="2">
        <f t="shared" si="10"/>
        <v>13117.539999999999</v>
      </c>
      <c r="T60" s="2">
        <f t="shared" si="11"/>
        <v>13117.539999999999</v>
      </c>
      <c r="U60" s="2">
        <f t="shared" si="12"/>
        <v>13117.539999999999</v>
      </c>
    </row>
    <row r="61" spans="1:21" hidden="1">
      <c r="A61" s="55">
        <v>58</v>
      </c>
      <c r="B61" s="55" t="s">
        <v>320</v>
      </c>
      <c r="C61" s="55" t="s">
        <v>414</v>
      </c>
      <c r="D61" s="55" t="s">
        <v>322</v>
      </c>
      <c r="E61" s="75" t="s">
        <v>420</v>
      </c>
      <c r="F61" s="55" t="s">
        <v>427</v>
      </c>
      <c r="G61" s="55">
        <v>916801012</v>
      </c>
      <c r="H61" s="55" t="s">
        <v>428</v>
      </c>
      <c r="I61" s="55">
        <v>317.74</v>
      </c>
      <c r="J61" s="55">
        <v>43</v>
      </c>
      <c r="K61" s="55">
        <v>43</v>
      </c>
      <c r="L61" s="55">
        <v>43</v>
      </c>
      <c r="M61" s="55">
        <v>42</v>
      </c>
      <c r="N61" s="55">
        <v>43</v>
      </c>
      <c r="O61" s="55">
        <v>43</v>
      </c>
      <c r="P61" s="2">
        <f t="shared" si="7"/>
        <v>13662.82</v>
      </c>
      <c r="Q61" s="2">
        <f t="shared" si="8"/>
        <v>13662.82</v>
      </c>
      <c r="R61" s="2">
        <f t="shared" si="9"/>
        <v>13662.82</v>
      </c>
      <c r="S61" s="2">
        <f t="shared" si="10"/>
        <v>13345.08</v>
      </c>
      <c r="T61" s="2">
        <f t="shared" si="11"/>
        <v>13662.82</v>
      </c>
      <c r="U61" s="2">
        <f t="shared" si="12"/>
        <v>13662.82</v>
      </c>
    </row>
    <row r="62" spans="1:21" hidden="1">
      <c r="A62" s="55">
        <v>59</v>
      </c>
      <c r="B62" s="55" t="s">
        <v>320</v>
      </c>
      <c r="C62" s="55" t="s">
        <v>414</v>
      </c>
      <c r="D62" s="55" t="s">
        <v>322</v>
      </c>
      <c r="E62" s="75" t="s">
        <v>415</v>
      </c>
      <c r="F62" s="55" t="s">
        <v>332</v>
      </c>
      <c r="G62" s="55">
        <v>915704001</v>
      </c>
      <c r="H62" s="55" t="s">
        <v>429</v>
      </c>
      <c r="I62" s="55">
        <v>310.27999999999997</v>
      </c>
      <c r="J62" s="55">
        <v>25</v>
      </c>
      <c r="K62" s="55">
        <v>25</v>
      </c>
      <c r="L62" s="55">
        <v>25</v>
      </c>
      <c r="M62" s="55">
        <v>26</v>
      </c>
      <c r="N62" s="55">
        <v>25</v>
      </c>
      <c r="O62" s="55">
        <v>25</v>
      </c>
      <c r="P62" s="2">
        <f t="shared" si="7"/>
        <v>7756.9999999999991</v>
      </c>
      <c r="Q62" s="2">
        <f t="shared" si="8"/>
        <v>7756.9999999999991</v>
      </c>
      <c r="R62" s="2">
        <f t="shared" si="9"/>
        <v>7756.9999999999991</v>
      </c>
      <c r="S62" s="2">
        <f t="shared" si="10"/>
        <v>8067.2799999999988</v>
      </c>
      <c r="T62" s="2">
        <f t="shared" si="11"/>
        <v>7756.9999999999991</v>
      </c>
      <c r="U62" s="2">
        <f t="shared" si="12"/>
        <v>7756.9999999999991</v>
      </c>
    </row>
    <row r="63" spans="1:21" hidden="1">
      <c r="A63" s="55">
        <v>60</v>
      </c>
      <c r="B63" s="55" t="s">
        <v>320</v>
      </c>
      <c r="C63" s="55" t="s">
        <v>414</v>
      </c>
      <c r="D63" s="55" t="s">
        <v>322</v>
      </c>
      <c r="E63" s="75" t="s">
        <v>415</v>
      </c>
      <c r="F63" s="55" t="s">
        <v>334</v>
      </c>
      <c r="G63" s="55">
        <v>915704002</v>
      </c>
      <c r="H63" s="55" t="s">
        <v>430</v>
      </c>
      <c r="I63" s="55">
        <v>310.27999999999997</v>
      </c>
      <c r="J63" s="55">
        <v>25</v>
      </c>
      <c r="K63" s="55">
        <v>25</v>
      </c>
      <c r="L63" s="55">
        <v>25</v>
      </c>
      <c r="M63" s="55">
        <v>0</v>
      </c>
      <c r="N63" s="55">
        <v>25</v>
      </c>
      <c r="O63" s="55">
        <v>25</v>
      </c>
      <c r="P63" s="2">
        <f t="shared" si="7"/>
        <v>7756.9999999999991</v>
      </c>
      <c r="Q63" s="2">
        <f t="shared" si="8"/>
        <v>7756.9999999999991</v>
      </c>
      <c r="R63" s="2">
        <f t="shared" si="9"/>
        <v>7756.9999999999991</v>
      </c>
      <c r="S63" s="2">
        <f t="shared" si="10"/>
        <v>0</v>
      </c>
      <c r="T63" s="2">
        <f t="shared" si="11"/>
        <v>7756.9999999999991</v>
      </c>
      <c r="U63" s="2">
        <f t="shared" si="12"/>
        <v>7756.9999999999991</v>
      </c>
    </row>
    <row r="64" spans="1:21" hidden="1">
      <c r="A64" s="55">
        <v>61</v>
      </c>
      <c r="B64" s="55" t="s">
        <v>320</v>
      </c>
      <c r="C64" s="55" t="s">
        <v>414</v>
      </c>
      <c r="D64" s="55" t="s">
        <v>322</v>
      </c>
      <c r="E64" s="75" t="s">
        <v>420</v>
      </c>
      <c r="F64" s="55" t="s">
        <v>431</v>
      </c>
      <c r="G64" s="55">
        <v>916805009</v>
      </c>
      <c r="H64" s="55" t="s">
        <v>432</v>
      </c>
      <c r="I64" s="55">
        <v>59.77</v>
      </c>
      <c r="J64" s="55">
        <v>22</v>
      </c>
      <c r="K64" s="55">
        <v>21</v>
      </c>
      <c r="L64" s="55">
        <v>22</v>
      </c>
      <c r="M64" s="55">
        <v>22</v>
      </c>
      <c r="N64" s="55">
        <v>22</v>
      </c>
      <c r="O64" s="55">
        <v>22</v>
      </c>
      <c r="P64" s="2">
        <f t="shared" si="7"/>
        <v>1314.94</v>
      </c>
      <c r="Q64" s="2">
        <f t="shared" si="8"/>
        <v>1255.17</v>
      </c>
      <c r="R64" s="2">
        <f t="shared" si="9"/>
        <v>1314.94</v>
      </c>
      <c r="S64" s="2">
        <f t="shared" si="10"/>
        <v>1314.94</v>
      </c>
      <c r="T64" s="2">
        <f t="shared" si="11"/>
        <v>1314.94</v>
      </c>
      <c r="U64" s="2">
        <f t="shared" si="12"/>
        <v>1314.94</v>
      </c>
    </row>
    <row r="65" spans="1:21" hidden="1">
      <c r="A65" s="55">
        <v>62</v>
      </c>
      <c r="B65" s="55" t="s">
        <v>320</v>
      </c>
      <c r="C65" s="55" t="s">
        <v>414</v>
      </c>
      <c r="D65" s="55" t="s">
        <v>322</v>
      </c>
      <c r="E65" s="75" t="s">
        <v>433</v>
      </c>
      <c r="F65" s="55" t="s">
        <v>434</v>
      </c>
      <c r="G65" s="55">
        <v>919110001</v>
      </c>
      <c r="H65" s="55" t="s">
        <v>435</v>
      </c>
      <c r="I65" s="55">
        <v>177.19</v>
      </c>
      <c r="J65" s="55">
        <v>13</v>
      </c>
      <c r="K65" s="55">
        <v>24</v>
      </c>
      <c r="L65" s="55">
        <v>25</v>
      </c>
      <c r="M65" s="55">
        <v>24</v>
      </c>
      <c r="N65" s="55">
        <v>24</v>
      </c>
      <c r="O65" s="55">
        <v>24</v>
      </c>
      <c r="P65" s="2">
        <f t="shared" si="7"/>
        <v>2303.4699999999998</v>
      </c>
      <c r="Q65" s="2">
        <f t="shared" si="8"/>
        <v>4252.5599999999995</v>
      </c>
      <c r="R65" s="2">
        <f t="shared" si="9"/>
        <v>4429.75</v>
      </c>
      <c r="S65" s="2">
        <f t="shared" si="10"/>
        <v>4252.5599999999995</v>
      </c>
      <c r="T65" s="2">
        <f t="shared" si="11"/>
        <v>4252.5599999999995</v>
      </c>
      <c r="U65" s="2">
        <f t="shared" si="12"/>
        <v>4252.5599999999995</v>
      </c>
    </row>
    <row r="66" spans="1:21" hidden="1">
      <c r="A66" s="55">
        <v>63</v>
      </c>
      <c r="B66" s="55" t="s">
        <v>320</v>
      </c>
      <c r="C66" s="55" t="s">
        <v>414</v>
      </c>
      <c r="D66" s="55" t="s">
        <v>322</v>
      </c>
      <c r="E66" s="75" t="s">
        <v>420</v>
      </c>
      <c r="F66" s="55" t="s">
        <v>436</v>
      </c>
      <c r="G66" s="55">
        <v>916805013</v>
      </c>
      <c r="H66" s="55" t="s">
        <v>437</v>
      </c>
      <c r="I66" s="55">
        <v>59.949999999999996</v>
      </c>
      <c r="J66" s="55">
        <v>15</v>
      </c>
      <c r="K66" s="55">
        <v>14</v>
      </c>
      <c r="L66" s="55">
        <v>15</v>
      </c>
      <c r="M66" s="55">
        <v>15</v>
      </c>
      <c r="N66" s="55">
        <v>14</v>
      </c>
      <c r="O66" s="55">
        <v>15</v>
      </c>
      <c r="P66" s="2">
        <f t="shared" si="7"/>
        <v>899.24999999999989</v>
      </c>
      <c r="Q66" s="2">
        <f t="shared" si="8"/>
        <v>839.3</v>
      </c>
      <c r="R66" s="2">
        <f t="shared" si="9"/>
        <v>899.24999999999989</v>
      </c>
      <c r="S66" s="2">
        <f t="shared" si="10"/>
        <v>899.24999999999989</v>
      </c>
      <c r="T66" s="2">
        <f t="shared" si="11"/>
        <v>839.3</v>
      </c>
      <c r="U66" s="2">
        <f t="shared" si="12"/>
        <v>899.24999999999989</v>
      </c>
    </row>
    <row r="67" spans="1:21" hidden="1">
      <c r="A67" s="55">
        <v>64</v>
      </c>
      <c r="B67" s="55" t="s">
        <v>320</v>
      </c>
      <c r="C67" s="55" t="s">
        <v>414</v>
      </c>
      <c r="D67" s="55" t="s">
        <v>322</v>
      </c>
      <c r="E67" s="75" t="s">
        <v>420</v>
      </c>
      <c r="F67" s="55" t="s">
        <v>438</v>
      </c>
      <c r="G67" s="55">
        <v>913702003</v>
      </c>
      <c r="H67" s="55" t="s">
        <v>439</v>
      </c>
      <c r="I67" s="55">
        <v>283.59999999999997</v>
      </c>
      <c r="J67" s="55">
        <v>20</v>
      </c>
      <c r="K67" s="55">
        <v>19</v>
      </c>
      <c r="L67" s="55">
        <v>20</v>
      </c>
      <c r="M67" s="55">
        <v>20</v>
      </c>
      <c r="N67" s="55">
        <v>19</v>
      </c>
      <c r="O67" s="55">
        <v>20</v>
      </c>
      <c r="P67" s="2">
        <f t="shared" si="7"/>
        <v>5671.9999999999991</v>
      </c>
      <c r="Q67" s="2">
        <f t="shared" si="8"/>
        <v>5388.4</v>
      </c>
      <c r="R67" s="2">
        <f t="shared" si="9"/>
        <v>5671.9999999999991</v>
      </c>
      <c r="S67" s="2">
        <f t="shared" si="10"/>
        <v>5671.9999999999991</v>
      </c>
      <c r="T67" s="2">
        <f t="shared" si="11"/>
        <v>5388.4</v>
      </c>
      <c r="U67" s="2">
        <f t="shared" si="12"/>
        <v>5671.9999999999991</v>
      </c>
    </row>
    <row r="68" spans="1:21" hidden="1">
      <c r="A68" s="55">
        <v>65</v>
      </c>
      <c r="B68" s="55" t="s">
        <v>320</v>
      </c>
      <c r="C68" s="55" t="s">
        <v>414</v>
      </c>
      <c r="D68" s="55" t="s">
        <v>322</v>
      </c>
      <c r="E68" s="75" t="s">
        <v>415</v>
      </c>
      <c r="F68" s="55" t="s">
        <v>338</v>
      </c>
      <c r="G68" s="55">
        <v>915704003</v>
      </c>
      <c r="H68" s="55" t="s">
        <v>440</v>
      </c>
      <c r="I68" s="55">
        <v>251.66</v>
      </c>
      <c r="J68" s="55">
        <v>8</v>
      </c>
      <c r="K68" s="55">
        <v>8</v>
      </c>
      <c r="L68" s="55">
        <v>8</v>
      </c>
      <c r="M68" s="55">
        <v>8</v>
      </c>
      <c r="N68" s="55">
        <v>8</v>
      </c>
      <c r="O68" s="55">
        <v>7</v>
      </c>
      <c r="P68" s="2">
        <f t="shared" si="7"/>
        <v>2013.28</v>
      </c>
      <c r="Q68" s="2">
        <f t="shared" si="8"/>
        <v>2013.28</v>
      </c>
      <c r="R68" s="2">
        <f t="shared" si="9"/>
        <v>2013.28</v>
      </c>
      <c r="S68" s="2">
        <f t="shared" si="10"/>
        <v>2013.28</v>
      </c>
      <c r="T68" s="2">
        <f t="shared" si="11"/>
        <v>2013.28</v>
      </c>
      <c r="U68" s="2">
        <f t="shared" si="12"/>
        <v>1761.62</v>
      </c>
    </row>
    <row r="69" spans="1:21" hidden="1">
      <c r="A69" s="55">
        <v>66</v>
      </c>
      <c r="B69" s="55" t="s">
        <v>320</v>
      </c>
      <c r="C69" s="55" t="s">
        <v>414</v>
      </c>
      <c r="D69" s="55" t="s">
        <v>322</v>
      </c>
      <c r="E69" s="75" t="s">
        <v>433</v>
      </c>
      <c r="F69" s="55" t="s">
        <v>350</v>
      </c>
      <c r="G69" s="55">
        <v>919104001</v>
      </c>
      <c r="H69" s="55" t="s">
        <v>430</v>
      </c>
      <c r="I69" s="55">
        <v>347.52</v>
      </c>
      <c r="J69" s="55">
        <v>18</v>
      </c>
      <c r="K69" s="55">
        <v>16</v>
      </c>
      <c r="L69" s="55">
        <v>16</v>
      </c>
      <c r="M69" s="55">
        <v>16</v>
      </c>
      <c r="N69" s="55">
        <v>15</v>
      </c>
      <c r="O69" s="55">
        <v>16</v>
      </c>
      <c r="P69" s="2">
        <f t="shared" ref="P69:P132" si="13">J69*I69</f>
        <v>6255.36</v>
      </c>
      <c r="Q69" s="2">
        <f t="shared" ref="Q69:Q132" si="14">K69*I69</f>
        <v>5560.32</v>
      </c>
      <c r="R69" s="2">
        <f t="shared" ref="R69:R132" si="15">L69*I69</f>
        <v>5560.32</v>
      </c>
      <c r="S69" s="2">
        <f t="shared" ref="S69:S132" si="16">M69*I69</f>
        <v>5560.32</v>
      </c>
      <c r="T69" s="2">
        <f t="shared" ref="T69:T132" si="17">N69*I69</f>
        <v>5212.7999999999993</v>
      </c>
      <c r="U69" s="2">
        <f t="shared" ref="U69:U132" si="18">O69*I69</f>
        <v>5560.32</v>
      </c>
    </row>
    <row r="70" spans="1:21" hidden="1">
      <c r="A70" s="55">
        <v>67</v>
      </c>
      <c r="B70" s="55" t="s">
        <v>320</v>
      </c>
      <c r="C70" s="55" t="s">
        <v>414</v>
      </c>
      <c r="D70" s="55" t="s">
        <v>322</v>
      </c>
      <c r="E70" s="75" t="s">
        <v>420</v>
      </c>
      <c r="F70" s="55" t="s">
        <v>441</v>
      </c>
      <c r="G70" s="55">
        <v>916805017</v>
      </c>
      <c r="H70" s="55" t="s">
        <v>442</v>
      </c>
      <c r="I70" s="55">
        <v>58.7</v>
      </c>
      <c r="J70" s="55">
        <v>14</v>
      </c>
      <c r="K70" s="55">
        <v>14</v>
      </c>
      <c r="L70" s="55">
        <v>14</v>
      </c>
      <c r="M70" s="55">
        <v>14</v>
      </c>
      <c r="N70" s="55">
        <v>14</v>
      </c>
      <c r="O70" s="55">
        <v>15</v>
      </c>
      <c r="P70" s="2">
        <f t="shared" si="13"/>
        <v>821.80000000000007</v>
      </c>
      <c r="Q70" s="2">
        <f t="shared" si="14"/>
        <v>821.80000000000007</v>
      </c>
      <c r="R70" s="2">
        <f t="shared" si="15"/>
        <v>821.80000000000007</v>
      </c>
      <c r="S70" s="2">
        <f t="shared" si="16"/>
        <v>821.80000000000007</v>
      </c>
      <c r="T70" s="2">
        <f t="shared" si="17"/>
        <v>821.80000000000007</v>
      </c>
      <c r="U70" s="2">
        <f t="shared" si="18"/>
        <v>880.5</v>
      </c>
    </row>
    <row r="71" spans="1:21" hidden="1">
      <c r="A71" s="55">
        <v>68</v>
      </c>
      <c r="B71" s="55" t="s">
        <v>320</v>
      </c>
      <c r="C71" s="55" t="s">
        <v>414</v>
      </c>
      <c r="D71" s="55" t="s">
        <v>322</v>
      </c>
      <c r="E71" s="75" t="s">
        <v>415</v>
      </c>
      <c r="F71" s="55" t="s">
        <v>340</v>
      </c>
      <c r="G71" s="55">
        <v>915704004</v>
      </c>
      <c r="H71" s="55" t="s">
        <v>443</v>
      </c>
      <c r="I71" s="55">
        <v>251.66</v>
      </c>
      <c r="J71" s="55">
        <v>7</v>
      </c>
      <c r="K71" s="55">
        <v>8</v>
      </c>
      <c r="L71" s="55">
        <v>7</v>
      </c>
      <c r="M71" s="55">
        <v>8</v>
      </c>
      <c r="N71" s="55">
        <v>8</v>
      </c>
      <c r="O71" s="55">
        <v>7</v>
      </c>
      <c r="P71" s="2">
        <f t="shared" si="13"/>
        <v>1761.62</v>
      </c>
      <c r="Q71" s="2">
        <f t="shared" si="14"/>
        <v>2013.28</v>
      </c>
      <c r="R71" s="2">
        <f t="shared" si="15"/>
        <v>1761.62</v>
      </c>
      <c r="S71" s="2">
        <f t="shared" si="16"/>
        <v>2013.28</v>
      </c>
      <c r="T71" s="2">
        <f t="shared" si="17"/>
        <v>2013.28</v>
      </c>
      <c r="U71" s="2">
        <f t="shared" si="18"/>
        <v>1761.62</v>
      </c>
    </row>
    <row r="72" spans="1:21" hidden="1">
      <c r="A72" s="55">
        <v>69</v>
      </c>
      <c r="B72" s="55" t="s">
        <v>320</v>
      </c>
      <c r="C72" s="55" t="s">
        <v>414</v>
      </c>
      <c r="D72" s="55" t="s">
        <v>322</v>
      </c>
      <c r="E72" s="75" t="s">
        <v>420</v>
      </c>
      <c r="F72" s="55">
        <v>8200733142</v>
      </c>
      <c r="G72" s="55">
        <v>913704012</v>
      </c>
      <c r="H72" s="55" t="s">
        <v>430</v>
      </c>
      <c r="I72" s="55">
        <v>217.55</v>
      </c>
      <c r="J72" s="55">
        <v>0</v>
      </c>
      <c r="K72" s="55">
        <v>6</v>
      </c>
      <c r="L72" s="55">
        <v>6</v>
      </c>
      <c r="M72" s="55">
        <v>7</v>
      </c>
      <c r="N72" s="55">
        <v>6</v>
      </c>
      <c r="O72" s="55">
        <v>7</v>
      </c>
      <c r="P72" s="2">
        <f t="shared" si="13"/>
        <v>0</v>
      </c>
      <c r="Q72" s="2">
        <f t="shared" si="14"/>
        <v>1305.3000000000002</v>
      </c>
      <c r="R72" s="2">
        <f t="shared" si="15"/>
        <v>1305.3000000000002</v>
      </c>
      <c r="S72" s="2">
        <f t="shared" si="16"/>
        <v>1522.8500000000001</v>
      </c>
      <c r="T72" s="2">
        <f t="shared" si="17"/>
        <v>1305.3000000000002</v>
      </c>
      <c r="U72" s="2">
        <f t="shared" si="18"/>
        <v>1522.8500000000001</v>
      </c>
    </row>
    <row r="73" spans="1:21" hidden="1">
      <c r="A73" s="55">
        <v>70</v>
      </c>
      <c r="B73" s="55" t="s">
        <v>320</v>
      </c>
      <c r="C73" s="55" t="s">
        <v>414</v>
      </c>
      <c r="D73" s="55" t="s">
        <v>322</v>
      </c>
      <c r="E73" s="75" t="s">
        <v>1220</v>
      </c>
      <c r="F73" s="55" t="s">
        <v>382</v>
      </c>
      <c r="G73" s="55">
        <v>917218001</v>
      </c>
      <c r="H73" s="55" t="s">
        <v>444</v>
      </c>
      <c r="I73" s="55">
        <v>185.13</v>
      </c>
      <c r="J73" s="55">
        <v>8</v>
      </c>
      <c r="K73" s="55">
        <v>17</v>
      </c>
      <c r="L73" s="55">
        <v>18</v>
      </c>
      <c r="M73" s="55">
        <v>17</v>
      </c>
      <c r="N73" s="55">
        <v>17</v>
      </c>
      <c r="O73" s="55">
        <v>18</v>
      </c>
      <c r="P73" s="2">
        <f t="shared" si="13"/>
        <v>1481.04</v>
      </c>
      <c r="Q73" s="2">
        <f t="shared" si="14"/>
        <v>3147.21</v>
      </c>
      <c r="R73" s="2">
        <f t="shared" si="15"/>
        <v>3332.34</v>
      </c>
      <c r="S73" s="2">
        <f t="shared" si="16"/>
        <v>3147.21</v>
      </c>
      <c r="T73" s="2">
        <f t="shared" si="17"/>
        <v>3147.21</v>
      </c>
      <c r="U73" s="2">
        <f t="shared" si="18"/>
        <v>3332.34</v>
      </c>
    </row>
    <row r="74" spans="1:21" hidden="1">
      <c r="A74" s="55">
        <v>71</v>
      </c>
      <c r="B74" s="55" t="s">
        <v>320</v>
      </c>
      <c r="C74" s="55" t="s">
        <v>414</v>
      </c>
      <c r="D74" s="55" t="s">
        <v>322</v>
      </c>
      <c r="E74" s="75" t="s">
        <v>420</v>
      </c>
      <c r="F74" s="55">
        <v>8200733140</v>
      </c>
      <c r="G74" s="55">
        <v>913704011</v>
      </c>
      <c r="H74" s="55" t="s">
        <v>429</v>
      </c>
      <c r="I74" s="55">
        <v>217.54999999999998</v>
      </c>
      <c r="J74" s="55">
        <v>0</v>
      </c>
      <c r="K74" s="55">
        <v>4</v>
      </c>
      <c r="L74" s="55">
        <v>9</v>
      </c>
      <c r="M74" s="55">
        <v>9</v>
      </c>
      <c r="N74" s="55">
        <v>9</v>
      </c>
      <c r="O74" s="55">
        <v>9</v>
      </c>
      <c r="P74" s="2">
        <f t="shared" si="13"/>
        <v>0</v>
      </c>
      <c r="Q74" s="2">
        <f t="shared" si="14"/>
        <v>870.19999999999993</v>
      </c>
      <c r="R74" s="2">
        <f t="shared" si="15"/>
        <v>1957.9499999999998</v>
      </c>
      <c r="S74" s="2">
        <f t="shared" si="16"/>
        <v>1957.9499999999998</v>
      </c>
      <c r="T74" s="2">
        <f t="shared" si="17"/>
        <v>1957.9499999999998</v>
      </c>
      <c r="U74" s="2">
        <f t="shared" si="18"/>
        <v>1957.9499999999998</v>
      </c>
    </row>
    <row r="75" spans="1:21" hidden="1">
      <c r="A75" s="55">
        <v>72</v>
      </c>
      <c r="B75" s="55" t="s">
        <v>320</v>
      </c>
      <c r="C75" s="55" t="s">
        <v>414</v>
      </c>
      <c r="D75" s="55" t="s">
        <v>322</v>
      </c>
      <c r="E75" s="75" t="s">
        <v>1234</v>
      </c>
      <c r="F75" s="55" t="s">
        <v>326</v>
      </c>
      <c r="G75" s="55">
        <v>915717014</v>
      </c>
      <c r="H75" s="55" t="s">
        <v>1233</v>
      </c>
      <c r="I75" s="55">
        <v>208.03</v>
      </c>
      <c r="J75" s="55">
        <v>18</v>
      </c>
      <c r="K75" s="55">
        <v>18</v>
      </c>
      <c r="L75" s="55">
        <v>18</v>
      </c>
      <c r="M75" s="55">
        <v>18</v>
      </c>
      <c r="N75" s="55">
        <v>18</v>
      </c>
      <c r="O75" s="55">
        <v>17</v>
      </c>
      <c r="P75" s="2">
        <f t="shared" si="13"/>
        <v>3744.54</v>
      </c>
      <c r="Q75" s="2">
        <f t="shared" si="14"/>
        <v>3744.54</v>
      </c>
      <c r="R75" s="2">
        <f t="shared" si="15"/>
        <v>3744.54</v>
      </c>
      <c r="S75" s="2">
        <f t="shared" si="16"/>
        <v>3744.54</v>
      </c>
      <c r="T75" s="2">
        <f t="shared" si="17"/>
        <v>3744.54</v>
      </c>
      <c r="U75" s="2">
        <f t="shared" si="18"/>
        <v>3536.51</v>
      </c>
    </row>
    <row r="76" spans="1:21" hidden="1">
      <c r="A76" s="55">
        <v>73</v>
      </c>
      <c r="B76" s="55" t="s">
        <v>320</v>
      </c>
      <c r="C76" s="55" t="s">
        <v>414</v>
      </c>
      <c r="D76" s="55" t="s">
        <v>322</v>
      </c>
      <c r="E76" s="75" t="s">
        <v>1220</v>
      </c>
      <c r="F76" s="55" t="s">
        <v>371</v>
      </c>
      <c r="G76" s="55">
        <v>917204001</v>
      </c>
      <c r="H76" s="55" t="s">
        <v>1229</v>
      </c>
      <c r="I76" s="55">
        <v>419.3</v>
      </c>
      <c r="J76" s="55">
        <v>11</v>
      </c>
      <c r="K76" s="55">
        <v>18</v>
      </c>
      <c r="L76" s="55">
        <v>17</v>
      </c>
      <c r="M76" s="55">
        <v>18</v>
      </c>
      <c r="N76" s="55">
        <v>17</v>
      </c>
      <c r="O76" s="55">
        <v>18</v>
      </c>
      <c r="P76" s="2">
        <f t="shared" si="13"/>
        <v>4612.3</v>
      </c>
      <c r="Q76" s="2">
        <f t="shared" si="14"/>
        <v>7547.4000000000005</v>
      </c>
      <c r="R76" s="2">
        <f t="shared" si="15"/>
        <v>7128.1</v>
      </c>
      <c r="S76" s="2">
        <f t="shared" si="16"/>
        <v>7547.4000000000005</v>
      </c>
      <c r="T76" s="2">
        <f t="shared" si="17"/>
        <v>7128.1</v>
      </c>
      <c r="U76" s="2">
        <f t="shared" si="18"/>
        <v>7547.4000000000005</v>
      </c>
    </row>
    <row r="77" spans="1:21" hidden="1">
      <c r="A77" s="55">
        <v>74</v>
      </c>
      <c r="B77" s="55" t="s">
        <v>320</v>
      </c>
      <c r="C77" s="55" t="s">
        <v>414</v>
      </c>
      <c r="D77" s="55" t="s">
        <v>322</v>
      </c>
      <c r="E77" s="75" t="s">
        <v>1234</v>
      </c>
      <c r="F77" s="55" t="s">
        <v>328</v>
      </c>
      <c r="G77" s="55">
        <v>915717013</v>
      </c>
      <c r="H77" s="55" t="s">
        <v>1235</v>
      </c>
      <c r="I77" s="55">
        <v>227.31</v>
      </c>
      <c r="J77" s="55">
        <v>21</v>
      </c>
      <c r="K77" s="55">
        <v>14</v>
      </c>
      <c r="L77" s="55">
        <v>15</v>
      </c>
      <c r="M77" s="55">
        <v>15</v>
      </c>
      <c r="N77" s="55">
        <v>14</v>
      </c>
      <c r="O77" s="55">
        <v>15</v>
      </c>
      <c r="P77" s="2">
        <f t="shared" si="13"/>
        <v>4773.51</v>
      </c>
      <c r="Q77" s="2">
        <f t="shared" si="14"/>
        <v>3182.34</v>
      </c>
      <c r="R77" s="2">
        <f t="shared" si="15"/>
        <v>3409.65</v>
      </c>
      <c r="S77" s="2">
        <f t="shared" si="16"/>
        <v>3409.65</v>
      </c>
      <c r="T77" s="2">
        <f t="shared" si="17"/>
        <v>3182.34</v>
      </c>
      <c r="U77" s="2">
        <f t="shared" si="18"/>
        <v>3409.65</v>
      </c>
    </row>
    <row r="78" spans="1:21" hidden="1">
      <c r="A78" s="55">
        <v>75</v>
      </c>
      <c r="B78" s="55" t="s">
        <v>320</v>
      </c>
      <c r="C78" s="55" t="s">
        <v>414</v>
      </c>
      <c r="D78" s="55" t="s">
        <v>322</v>
      </c>
      <c r="E78" s="75" t="s">
        <v>433</v>
      </c>
      <c r="F78" s="55" t="s">
        <v>349</v>
      </c>
      <c r="G78" s="55">
        <v>919104002</v>
      </c>
      <c r="H78" s="55" t="s">
        <v>429</v>
      </c>
      <c r="I78" s="55">
        <v>347.52</v>
      </c>
      <c r="J78" s="55">
        <v>20</v>
      </c>
      <c r="K78" s="55">
        <v>19</v>
      </c>
      <c r="L78" s="55">
        <v>19</v>
      </c>
      <c r="M78" s="55">
        <v>19</v>
      </c>
      <c r="N78" s="55">
        <v>19</v>
      </c>
      <c r="O78" s="55">
        <v>19</v>
      </c>
      <c r="P78" s="2">
        <f t="shared" si="13"/>
        <v>6950.4</v>
      </c>
      <c r="Q78" s="2">
        <f t="shared" si="14"/>
        <v>6602.8799999999992</v>
      </c>
      <c r="R78" s="2">
        <f t="shared" si="15"/>
        <v>6602.8799999999992</v>
      </c>
      <c r="S78" s="2">
        <f t="shared" si="16"/>
        <v>6602.8799999999992</v>
      </c>
      <c r="T78" s="2">
        <f t="shared" si="17"/>
        <v>6602.8799999999992</v>
      </c>
      <c r="U78" s="2">
        <f t="shared" si="18"/>
        <v>6602.8799999999992</v>
      </c>
    </row>
    <row r="79" spans="1:21" hidden="1">
      <c r="A79" s="55">
        <v>76</v>
      </c>
      <c r="B79" s="55" t="s">
        <v>320</v>
      </c>
      <c r="C79" s="55" t="s">
        <v>414</v>
      </c>
      <c r="D79" s="55" t="s">
        <v>322</v>
      </c>
      <c r="E79" s="75" t="s">
        <v>433</v>
      </c>
      <c r="F79" s="55" t="s">
        <v>355</v>
      </c>
      <c r="G79" s="55">
        <v>919104003</v>
      </c>
      <c r="H79" s="55" t="s">
        <v>443</v>
      </c>
      <c r="I79" s="55">
        <v>314.42</v>
      </c>
      <c r="J79" s="55">
        <v>10</v>
      </c>
      <c r="K79" s="55">
        <v>9</v>
      </c>
      <c r="L79" s="55">
        <v>8</v>
      </c>
      <c r="M79" s="55">
        <v>9</v>
      </c>
      <c r="N79" s="55">
        <v>8</v>
      </c>
      <c r="O79" s="55">
        <v>9</v>
      </c>
      <c r="P79" s="2">
        <f t="shared" si="13"/>
        <v>3144.2000000000003</v>
      </c>
      <c r="Q79" s="2">
        <f t="shared" si="14"/>
        <v>2829.78</v>
      </c>
      <c r="R79" s="2">
        <f t="shared" si="15"/>
        <v>2515.36</v>
      </c>
      <c r="S79" s="2">
        <f t="shared" si="16"/>
        <v>2829.78</v>
      </c>
      <c r="T79" s="2">
        <f t="shared" si="17"/>
        <v>2515.36</v>
      </c>
      <c r="U79" s="2">
        <f t="shared" si="18"/>
        <v>2829.78</v>
      </c>
    </row>
    <row r="80" spans="1:21" hidden="1">
      <c r="A80" s="55">
        <v>77</v>
      </c>
      <c r="B80" s="55" t="s">
        <v>320</v>
      </c>
      <c r="C80" s="55" t="s">
        <v>414</v>
      </c>
      <c r="D80" s="55" t="s">
        <v>322</v>
      </c>
      <c r="E80" s="75" t="s">
        <v>445</v>
      </c>
      <c r="F80" s="55" t="s">
        <v>446</v>
      </c>
      <c r="G80" s="55">
        <v>915810001</v>
      </c>
      <c r="H80" s="55" t="s">
        <v>444</v>
      </c>
      <c r="I80" s="55">
        <v>155.74</v>
      </c>
      <c r="J80" s="55">
        <v>0</v>
      </c>
      <c r="K80" s="55">
        <v>5</v>
      </c>
      <c r="L80" s="55">
        <v>5</v>
      </c>
      <c r="M80" s="55">
        <v>6</v>
      </c>
      <c r="N80" s="55">
        <v>6</v>
      </c>
      <c r="O80" s="55">
        <v>6</v>
      </c>
      <c r="P80" s="2">
        <f t="shared" si="13"/>
        <v>0</v>
      </c>
      <c r="Q80" s="2">
        <f t="shared" si="14"/>
        <v>778.7</v>
      </c>
      <c r="R80" s="2">
        <f t="shared" si="15"/>
        <v>778.7</v>
      </c>
      <c r="S80" s="2">
        <f t="shared" si="16"/>
        <v>934.44</v>
      </c>
      <c r="T80" s="2">
        <f t="shared" si="17"/>
        <v>934.44</v>
      </c>
      <c r="U80" s="2">
        <f t="shared" si="18"/>
        <v>934.44</v>
      </c>
    </row>
    <row r="81" spans="1:21" hidden="1">
      <c r="A81" s="55">
        <v>78</v>
      </c>
      <c r="B81" s="55" t="s">
        <v>320</v>
      </c>
      <c r="C81" s="55" t="s">
        <v>414</v>
      </c>
      <c r="D81" s="55" t="s">
        <v>322</v>
      </c>
      <c r="E81" s="75" t="s">
        <v>1234</v>
      </c>
      <c r="F81" s="55" t="s">
        <v>324</v>
      </c>
      <c r="G81" s="55">
        <v>915717015</v>
      </c>
      <c r="H81" s="55" t="s">
        <v>1233</v>
      </c>
      <c r="I81" s="55">
        <v>212.46999999999997</v>
      </c>
      <c r="J81" s="55">
        <v>15</v>
      </c>
      <c r="K81" s="55">
        <v>16</v>
      </c>
      <c r="L81" s="55">
        <v>15</v>
      </c>
      <c r="M81" s="55">
        <v>16</v>
      </c>
      <c r="N81" s="55">
        <v>16</v>
      </c>
      <c r="O81" s="55">
        <v>16</v>
      </c>
      <c r="P81" s="2">
        <f t="shared" si="13"/>
        <v>3187.0499999999997</v>
      </c>
      <c r="Q81" s="2">
        <f t="shared" si="14"/>
        <v>3399.5199999999995</v>
      </c>
      <c r="R81" s="2">
        <f t="shared" si="15"/>
        <v>3187.0499999999997</v>
      </c>
      <c r="S81" s="2">
        <f t="shared" si="16"/>
        <v>3399.5199999999995</v>
      </c>
      <c r="T81" s="2">
        <f t="shared" si="17"/>
        <v>3399.5199999999995</v>
      </c>
      <c r="U81" s="2">
        <f t="shared" si="18"/>
        <v>3399.5199999999995</v>
      </c>
    </row>
    <row r="82" spans="1:21" hidden="1">
      <c r="A82" s="55">
        <v>79</v>
      </c>
      <c r="B82" s="55" t="s">
        <v>320</v>
      </c>
      <c r="C82" s="55" t="s">
        <v>414</v>
      </c>
      <c r="D82" s="55" t="s">
        <v>322</v>
      </c>
      <c r="E82" s="75" t="s">
        <v>445</v>
      </c>
      <c r="F82" s="55" t="s">
        <v>447</v>
      </c>
      <c r="G82" s="55">
        <v>914502002</v>
      </c>
      <c r="H82" s="55" t="s">
        <v>444</v>
      </c>
      <c r="I82" s="55">
        <v>144.74</v>
      </c>
      <c r="J82" s="55">
        <v>5</v>
      </c>
      <c r="K82" s="55">
        <v>8</v>
      </c>
      <c r="L82" s="55">
        <v>8</v>
      </c>
      <c r="M82" s="55">
        <v>7</v>
      </c>
      <c r="N82" s="55">
        <v>8</v>
      </c>
      <c r="O82" s="55">
        <v>8</v>
      </c>
      <c r="P82" s="2">
        <f t="shared" si="13"/>
        <v>723.7</v>
      </c>
      <c r="Q82" s="2">
        <f t="shared" si="14"/>
        <v>1157.92</v>
      </c>
      <c r="R82" s="2">
        <f t="shared" si="15"/>
        <v>1157.92</v>
      </c>
      <c r="S82" s="2">
        <f t="shared" si="16"/>
        <v>1013.1800000000001</v>
      </c>
      <c r="T82" s="2">
        <f t="shared" si="17"/>
        <v>1157.92</v>
      </c>
      <c r="U82" s="2">
        <f t="shared" si="18"/>
        <v>1157.92</v>
      </c>
    </row>
    <row r="83" spans="1:21" hidden="1">
      <c r="A83" s="55">
        <v>80</v>
      </c>
      <c r="B83" s="55" t="s">
        <v>320</v>
      </c>
      <c r="C83" s="55" t="s">
        <v>414</v>
      </c>
      <c r="D83" s="55" t="s">
        <v>322</v>
      </c>
      <c r="E83" s="75" t="s">
        <v>433</v>
      </c>
      <c r="F83" s="55" t="s">
        <v>352</v>
      </c>
      <c r="G83" s="55">
        <v>919101001</v>
      </c>
      <c r="H83" s="55" t="s">
        <v>1232</v>
      </c>
      <c r="I83" s="55">
        <v>208.63</v>
      </c>
      <c r="J83" s="55">
        <v>10</v>
      </c>
      <c r="K83" s="55">
        <v>9</v>
      </c>
      <c r="L83" s="55">
        <v>9</v>
      </c>
      <c r="M83" s="55">
        <v>10</v>
      </c>
      <c r="N83" s="55">
        <v>9</v>
      </c>
      <c r="O83" s="55">
        <v>10</v>
      </c>
      <c r="P83" s="2">
        <f t="shared" si="13"/>
        <v>2086.3000000000002</v>
      </c>
      <c r="Q83" s="2">
        <f t="shared" si="14"/>
        <v>1877.67</v>
      </c>
      <c r="R83" s="2">
        <f t="shared" si="15"/>
        <v>1877.67</v>
      </c>
      <c r="S83" s="2">
        <f t="shared" si="16"/>
        <v>2086.3000000000002</v>
      </c>
      <c r="T83" s="2">
        <f t="shared" si="17"/>
        <v>1877.67</v>
      </c>
      <c r="U83" s="2">
        <f t="shared" si="18"/>
        <v>2086.3000000000002</v>
      </c>
    </row>
    <row r="84" spans="1:21" hidden="1">
      <c r="A84" s="55">
        <v>81</v>
      </c>
      <c r="B84" s="55" t="s">
        <v>320</v>
      </c>
      <c r="C84" s="55" t="s">
        <v>414</v>
      </c>
      <c r="D84" s="55" t="s">
        <v>322</v>
      </c>
      <c r="E84" s="75" t="s">
        <v>420</v>
      </c>
      <c r="F84" s="55" t="s">
        <v>448</v>
      </c>
      <c r="G84" s="55">
        <v>916805010</v>
      </c>
      <c r="H84" s="55" t="s">
        <v>449</v>
      </c>
      <c r="I84" s="55">
        <v>50.75</v>
      </c>
      <c r="J84" s="55">
        <v>5</v>
      </c>
      <c r="K84" s="55">
        <v>6</v>
      </c>
      <c r="L84" s="55">
        <v>6</v>
      </c>
      <c r="M84" s="55">
        <v>5</v>
      </c>
      <c r="N84" s="55">
        <v>6</v>
      </c>
      <c r="O84" s="55">
        <v>5</v>
      </c>
      <c r="P84" s="2">
        <f t="shared" si="13"/>
        <v>253.75</v>
      </c>
      <c r="Q84" s="2">
        <f t="shared" si="14"/>
        <v>304.5</v>
      </c>
      <c r="R84" s="2">
        <f t="shared" si="15"/>
        <v>304.5</v>
      </c>
      <c r="S84" s="2">
        <f t="shared" si="16"/>
        <v>253.75</v>
      </c>
      <c r="T84" s="2">
        <f t="shared" si="17"/>
        <v>304.5</v>
      </c>
      <c r="U84" s="2">
        <f t="shared" si="18"/>
        <v>253.75</v>
      </c>
    </row>
    <row r="85" spans="1:21" hidden="1">
      <c r="A85" s="55">
        <v>82</v>
      </c>
      <c r="B85" s="55" t="s">
        <v>320</v>
      </c>
      <c r="C85" s="55" t="s">
        <v>414</v>
      </c>
      <c r="D85" s="55" t="s">
        <v>322</v>
      </c>
      <c r="E85" s="75" t="s">
        <v>450</v>
      </c>
      <c r="F85" s="55" t="s">
        <v>451</v>
      </c>
      <c r="G85" s="55">
        <v>918701001</v>
      </c>
      <c r="H85" s="55" t="s">
        <v>452</v>
      </c>
      <c r="I85" s="55">
        <v>295.97000000000003</v>
      </c>
      <c r="J85" s="55">
        <v>3</v>
      </c>
      <c r="K85" s="55">
        <v>6</v>
      </c>
      <c r="L85" s="55">
        <v>5</v>
      </c>
      <c r="M85" s="55">
        <v>6</v>
      </c>
      <c r="N85" s="55">
        <v>6</v>
      </c>
      <c r="O85" s="55">
        <v>5</v>
      </c>
      <c r="P85" s="2">
        <f t="shared" si="13"/>
        <v>887.91000000000008</v>
      </c>
      <c r="Q85" s="2">
        <f t="shared" si="14"/>
        <v>1775.8200000000002</v>
      </c>
      <c r="R85" s="2">
        <f t="shared" si="15"/>
        <v>1479.8500000000001</v>
      </c>
      <c r="S85" s="2">
        <f t="shared" si="16"/>
        <v>1775.8200000000002</v>
      </c>
      <c r="T85" s="2">
        <f t="shared" si="17"/>
        <v>1775.8200000000002</v>
      </c>
      <c r="U85" s="2">
        <f t="shared" si="18"/>
        <v>1479.8500000000001</v>
      </c>
    </row>
    <row r="86" spans="1:21" hidden="1">
      <c r="A86" s="55">
        <v>83</v>
      </c>
      <c r="B86" s="55" t="s">
        <v>320</v>
      </c>
      <c r="C86" s="55" t="s">
        <v>414</v>
      </c>
      <c r="D86" s="55" t="s">
        <v>322</v>
      </c>
      <c r="E86" s="75" t="s">
        <v>1221</v>
      </c>
      <c r="F86" s="55" t="s">
        <v>394</v>
      </c>
      <c r="G86" s="55">
        <v>917904002</v>
      </c>
      <c r="H86" s="55" t="s">
        <v>429</v>
      </c>
      <c r="I86" s="55">
        <v>345.49</v>
      </c>
      <c r="J86" s="55">
        <v>31</v>
      </c>
      <c r="K86" s="55">
        <v>28</v>
      </c>
      <c r="L86" s="55">
        <v>28</v>
      </c>
      <c r="M86" s="55">
        <v>28</v>
      </c>
      <c r="N86" s="55">
        <v>29</v>
      </c>
      <c r="O86" s="55">
        <v>28</v>
      </c>
      <c r="P86" s="2">
        <f t="shared" si="13"/>
        <v>10710.19</v>
      </c>
      <c r="Q86" s="2">
        <f t="shared" si="14"/>
        <v>9673.7200000000012</v>
      </c>
      <c r="R86" s="2">
        <f t="shared" si="15"/>
        <v>9673.7200000000012</v>
      </c>
      <c r="S86" s="2">
        <f t="shared" si="16"/>
        <v>9673.7200000000012</v>
      </c>
      <c r="T86" s="2">
        <f t="shared" si="17"/>
        <v>10019.210000000001</v>
      </c>
      <c r="U86" s="2">
        <f t="shared" si="18"/>
        <v>9673.7200000000012</v>
      </c>
    </row>
    <row r="87" spans="1:21" hidden="1">
      <c r="A87" s="55">
        <v>84</v>
      </c>
      <c r="B87" s="55" t="s">
        <v>320</v>
      </c>
      <c r="C87" s="55" t="s">
        <v>414</v>
      </c>
      <c r="D87" s="55" t="s">
        <v>322</v>
      </c>
      <c r="E87" s="75" t="s">
        <v>433</v>
      </c>
      <c r="F87" s="55" t="s">
        <v>354</v>
      </c>
      <c r="G87" s="55">
        <v>919104004</v>
      </c>
      <c r="H87" s="55" t="s">
        <v>440</v>
      </c>
      <c r="I87" s="55">
        <v>311.62</v>
      </c>
      <c r="J87" s="55">
        <v>7</v>
      </c>
      <c r="K87" s="55">
        <v>8</v>
      </c>
      <c r="L87" s="55">
        <v>8</v>
      </c>
      <c r="M87" s="55">
        <v>9</v>
      </c>
      <c r="N87" s="55">
        <v>8</v>
      </c>
      <c r="O87" s="55">
        <v>8</v>
      </c>
      <c r="P87" s="2">
        <f t="shared" si="13"/>
        <v>2181.34</v>
      </c>
      <c r="Q87" s="2">
        <f t="shared" si="14"/>
        <v>2492.96</v>
      </c>
      <c r="R87" s="2">
        <f t="shared" si="15"/>
        <v>2492.96</v>
      </c>
      <c r="S87" s="2">
        <f t="shared" si="16"/>
        <v>2804.58</v>
      </c>
      <c r="T87" s="2">
        <f t="shared" si="17"/>
        <v>2492.96</v>
      </c>
      <c r="U87" s="2">
        <f t="shared" si="18"/>
        <v>2492.96</v>
      </c>
    </row>
    <row r="88" spans="1:21" hidden="1">
      <c r="A88" s="55">
        <v>85</v>
      </c>
      <c r="B88" s="55" t="s">
        <v>320</v>
      </c>
      <c r="C88" s="55" t="s">
        <v>414</v>
      </c>
      <c r="D88" s="55" t="s">
        <v>322</v>
      </c>
      <c r="E88" s="75" t="s">
        <v>433</v>
      </c>
      <c r="F88" s="55" t="s">
        <v>348</v>
      </c>
      <c r="G88" s="55">
        <v>919101003</v>
      </c>
      <c r="H88" s="55" t="s">
        <v>1228</v>
      </c>
      <c r="I88" s="55">
        <v>218.06</v>
      </c>
      <c r="J88" s="55">
        <v>7</v>
      </c>
      <c r="K88" s="55">
        <v>8</v>
      </c>
      <c r="L88" s="55">
        <v>7</v>
      </c>
      <c r="M88" s="55">
        <v>8</v>
      </c>
      <c r="N88" s="55">
        <v>7</v>
      </c>
      <c r="O88" s="55">
        <v>8</v>
      </c>
      <c r="P88" s="2">
        <f t="shared" si="13"/>
        <v>1526.42</v>
      </c>
      <c r="Q88" s="2">
        <f t="shared" si="14"/>
        <v>1744.48</v>
      </c>
      <c r="R88" s="2">
        <f t="shared" si="15"/>
        <v>1526.42</v>
      </c>
      <c r="S88" s="2">
        <f t="shared" si="16"/>
        <v>1744.48</v>
      </c>
      <c r="T88" s="2">
        <f t="shared" si="17"/>
        <v>1526.42</v>
      </c>
      <c r="U88" s="2">
        <f t="shared" si="18"/>
        <v>1744.48</v>
      </c>
    </row>
    <row r="89" spans="1:21" hidden="1">
      <c r="A89" s="55">
        <v>86</v>
      </c>
      <c r="B89" s="55" t="s">
        <v>320</v>
      </c>
      <c r="C89" s="55" t="s">
        <v>414</v>
      </c>
      <c r="D89" s="55" t="s">
        <v>322</v>
      </c>
      <c r="E89" s="75" t="s">
        <v>433</v>
      </c>
      <c r="F89" s="55" t="s">
        <v>351</v>
      </c>
      <c r="G89" s="55">
        <v>919101002</v>
      </c>
      <c r="H89" s="55" t="s">
        <v>1231</v>
      </c>
      <c r="I89" s="55">
        <v>208.63</v>
      </c>
      <c r="J89" s="55">
        <v>9</v>
      </c>
      <c r="K89" s="55">
        <v>9</v>
      </c>
      <c r="L89" s="55">
        <v>9</v>
      </c>
      <c r="M89" s="55">
        <v>9</v>
      </c>
      <c r="N89" s="55">
        <v>9</v>
      </c>
      <c r="O89" s="55">
        <v>9</v>
      </c>
      <c r="P89" s="2">
        <f t="shared" si="13"/>
        <v>1877.67</v>
      </c>
      <c r="Q89" s="2">
        <f t="shared" si="14"/>
        <v>1877.67</v>
      </c>
      <c r="R89" s="2">
        <f t="shared" si="15"/>
        <v>1877.67</v>
      </c>
      <c r="S89" s="2">
        <f t="shared" si="16"/>
        <v>1877.67</v>
      </c>
      <c r="T89" s="2">
        <f t="shared" si="17"/>
        <v>1877.67</v>
      </c>
      <c r="U89" s="2">
        <f t="shared" si="18"/>
        <v>1877.67</v>
      </c>
    </row>
    <row r="90" spans="1:21" hidden="1">
      <c r="A90" s="55">
        <v>87</v>
      </c>
      <c r="B90" s="55" t="s">
        <v>320</v>
      </c>
      <c r="C90" s="55" t="s">
        <v>414</v>
      </c>
      <c r="D90" s="55" t="s">
        <v>322</v>
      </c>
      <c r="E90" s="75" t="s">
        <v>453</v>
      </c>
      <c r="F90" s="55" t="s">
        <v>454</v>
      </c>
      <c r="G90" s="55">
        <v>916110001</v>
      </c>
      <c r="H90" s="55" t="s">
        <v>455</v>
      </c>
      <c r="I90" s="55">
        <v>136.17000000000002</v>
      </c>
      <c r="J90" s="55">
        <v>7</v>
      </c>
      <c r="K90" s="55">
        <v>7</v>
      </c>
      <c r="L90" s="55">
        <v>6</v>
      </c>
      <c r="M90" s="55">
        <v>7</v>
      </c>
      <c r="N90" s="55">
        <v>7</v>
      </c>
      <c r="O90" s="55">
        <v>7</v>
      </c>
      <c r="P90" s="2">
        <f t="shared" si="13"/>
        <v>953.19</v>
      </c>
      <c r="Q90" s="2">
        <f t="shared" si="14"/>
        <v>953.19</v>
      </c>
      <c r="R90" s="2">
        <f t="shared" si="15"/>
        <v>817.0200000000001</v>
      </c>
      <c r="S90" s="2">
        <f t="shared" si="16"/>
        <v>953.19</v>
      </c>
      <c r="T90" s="2">
        <f t="shared" si="17"/>
        <v>953.19</v>
      </c>
      <c r="U90" s="2">
        <f t="shared" si="18"/>
        <v>953.19</v>
      </c>
    </row>
    <row r="91" spans="1:21" hidden="1">
      <c r="A91" s="55">
        <v>88</v>
      </c>
      <c r="B91" s="55" t="s">
        <v>320</v>
      </c>
      <c r="C91" s="55" t="s">
        <v>414</v>
      </c>
      <c r="D91" s="55" t="s">
        <v>322</v>
      </c>
      <c r="E91" s="75" t="s">
        <v>420</v>
      </c>
      <c r="F91" s="55" t="s">
        <v>456</v>
      </c>
      <c r="G91" s="55">
        <v>913704013</v>
      </c>
      <c r="H91" s="55" t="s">
        <v>440</v>
      </c>
      <c r="I91" s="55">
        <v>210.29</v>
      </c>
      <c r="J91" s="55">
        <v>3</v>
      </c>
      <c r="K91" s="55">
        <v>5</v>
      </c>
      <c r="L91" s="55">
        <v>5</v>
      </c>
      <c r="M91" s="55">
        <v>5</v>
      </c>
      <c r="N91" s="55">
        <v>4</v>
      </c>
      <c r="O91" s="55">
        <v>5</v>
      </c>
      <c r="P91" s="2">
        <f t="shared" si="13"/>
        <v>630.87</v>
      </c>
      <c r="Q91" s="2">
        <f t="shared" si="14"/>
        <v>1051.45</v>
      </c>
      <c r="R91" s="2">
        <f t="shared" si="15"/>
        <v>1051.45</v>
      </c>
      <c r="S91" s="2">
        <f t="shared" si="16"/>
        <v>1051.45</v>
      </c>
      <c r="T91" s="2">
        <f t="shared" si="17"/>
        <v>841.16</v>
      </c>
      <c r="U91" s="2">
        <f t="shared" si="18"/>
        <v>1051.45</v>
      </c>
    </row>
    <row r="92" spans="1:21" hidden="1">
      <c r="A92" s="55">
        <v>89</v>
      </c>
      <c r="B92" s="55" t="s">
        <v>320</v>
      </c>
      <c r="C92" s="55" t="s">
        <v>414</v>
      </c>
      <c r="D92" s="55" t="s">
        <v>322</v>
      </c>
      <c r="E92" s="75" t="s">
        <v>1220</v>
      </c>
      <c r="F92" s="55" t="s">
        <v>376</v>
      </c>
      <c r="G92" s="55">
        <v>917204004</v>
      </c>
      <c r="H92" s="55" t="s">
        <v>1229</v>
      </c>
      <c r="I92" s="55">
        <v>333.52</v>
      </c>
      <c r="J92" s="55">
        <v>6</v>
      </c>
      <c r="K92" s="55">
        <v>13</v>
      </c>
      <c r="L92" s="55">
        <v>12</v>
      </c>
      <c r="M92" s="55">
        <v>12</v>
      </c>
      <c r="N92" s="55">
        <v>12</v>
      </c>
      <c r="O92" s="55">
        <v>13</v>
      </c>
      <c r="P92" s="2">
        <f t="shared" si="13"/>
        <v>2001.12</v>
      </c>
      <c r="Q92" s="2">
        <f t="shared" si="14"/>
        <v>4335.76</v>
      </c>
      <c r="R92" s="2">
        <f t="shared" si="15"/>
        <v>4002.24</v>
      </c>
      <c r="S92" s="2">
        <f t="shared" si="16"/>
        <v>4002.24</v>
      </c>
      <c r="T92" s="2">
        <f t="shared" si="17"/>
        <v>4002.24</v>
      </c>
      <c r="U92" s="2">
        <f t="shared" si="18"/>
        <v>4335.76</v>
      </c>
    </row>
    <row r="93" spans="1:21" hidden="1">
      <c r="A93" s="55">
        <v>90</v>
      </c>
      <c r="B93" s="55" t="s">
        <v>320</v>
      </c>
      <c r="C93" s="55" t="s">
        <v>414</v>
      </c>
      <c r="D93" s="55" t="s">
        <v>322</v>
      </c>
      <c r="E93" s="75" t="s">
        <v>1220</v>
      </c>
      <c r="F93" s="55" t="s">
        <v>369</v>
      </c>
      <c r="G93" s="55">
        <v>917204002</v>
      </c>
      <c r="H93" s="55" t="s">
        <v>1229</v>
      </c>
      <c r="I93" s="55">
        <v>419.3</v>
      </c>
      <c r="J93" s="55">
        <v>19</v>
      </c>
      <c r="K93" s="55">
        <v>19</v>
      </c>
      <c r="L93" s="55">
        <v>19</v>
      </c>
      <c r="M93" s="55">
        <v>19</v>
      </c>
      <c r="N93" s="55">
        <v>19</v>
      </c>
      <c r="O93" s="55">
        <v>19</v>
      </c>
      <c r="P93" s="2">
        <f t="shared" si="13"/>
        <v>7966.7</v>
      </c>
      <c r="Q93" s="2">
        <f t="shared" si="14"/>
        <v>7966.7</v>
      </c>
      <c r="R93" s="2">
        <f t="shared" si="15"/>
        <v>7966.7</v>
      </c>
      <c r="S93" s="2">
        <f t="shared" si="16"/>
        <v>7966.7</v>
      </c>
      <c r="T93" s="2">
        <f t="shared" si="17"/>
        <v>7966.7</v>
      </c>
      <c r="U93" s="2">
        <f t="shared" si="18"/>
        <v>7966.7</v>
      </c>
    </row>
    <row r="94" spans="1:21" hidden="1">
      <c r="A94" s="55">
        <v>91</v>
      </c>
      <c r="B94" s="55" t="s">
        <v>320</v>
      </c>
      <c r="C94" s="55" t="s">
        <v>414</v>
      </c>
      <c r="D94" s="55" t="s">
        <v>322</v>
      </c>
      <c r="E94" s="75" t="s">
        <v>433</v>
      </c>
      <c r="F94" s="55" t="s">
        <v>356</v>
      </c>
      <c r="G94" s="55">
        <v>919126001</v>
      </c>
      <c r="H94" s="55" t="s">
        <v>1230</v>
      </c>
      <c r="I94" s="55">
        <v>26.27</v>
      </c>
      <c r="J94" s="55">
        <v>10</v>
      </c>
      <c r="K94" s="55">
        <v>0</v>
      </c>
      <c r="L94" s="55">
        <v>0</v>
      </c>
      <c r="M94" s="55">
        <v>10</v>
      </c>
      <c r="N94" s="55">
        <v>0</v>
      </c>
      <c r="O94" s="55">
        <v>0</v>
      </c>
      <c r="P94" s="2">
        <f t="shared" si="13"/>
        <v>262.7</v>
      </c>
      <c r="Q94" s="2">
        <f t="shared" si="14"/>
        <v>0</v>
      </c>
      <c r="R94" s="2">
        <f t="shared" si="15"/>
        <v>0</v>
      </c>
      <c r="S94" s="2">
        <f t="shared" si="16"/>
        <v>262.7</v>
      </c>
      <c r="T94" s="2">
        <f t="shared" si="17"/>
        <v>0</v>
      </c>
      <c r="U94" s="2">
        <f t="shared" si="18"/>
        <v>0</v>
      </c>
    </row>
    <row r="95" spans="1:21" hidden="1">
      <c r="A95" s="55">
        <v>92</v>
      </c>
      <c r="B95" s="55" t="s">
        <v>320</v>
      </c>
      <c r="C95" s="55" t="s">
        <v>414</v>
      </c>
      <c r="D95" s="55" t="s">
        <v>322</v>
      </c>
      <c r="E95" s="75" t="s">
        <v>450</v>
      </c>
      <c r="F95" s="55" t="s">
        <v>457</v>
      </c>
      <c r="G95" s="55">
        <v>918701003</v>
      </c>
      <c r="H95" s="55" t="s">
        <v>458</v>
      </c>
      <c r="I95" s="55">
        <v>273.04000000000002</v>
      </c>
      <c r="J95" s="55">
        <v>4</v>
      </c>
      <c r="K95" s="55">
        <v>5</v>
      </c>
      <c r="L95" s="55">
        <v>4</v>
      </c>
      <c r="M95" s="55">
        <v>4</v>
      </c>
      <c r="N95" s="55">
        <v>4</v>
      </c>
      <c r="O95" s="55">
        <v>5</v>
      </c>
      <c r="P95" s="2">
        <f t="shared" si="13"/>
        <v>1092.1600000000001</v>
      </c>
      <c r="Q95" s="2">
        <f t="shared" si="14"/>
        <v>1365.2</v>
      </c>
      <c r="R95" s="2">
        <f t="shared" si="15"/>
        <v>1092.1600000000001</v>
      </c>
      <c r="S95" s="2">
        <f t="shared" si="16"/>
        <v>1092.1600000000001</v>
      </c>
      <c r="T95" s="2">
        <f t="shared" si="17"/>
        <v>1092.1600000000001</v>
      </c>
      <c r="U95" s="2">
        <f t="shared" si="18"/>
        <v>1365.2</v>
      </c>
    </row>
    <row r="96" spans="1:21" hidden="1">
      <c r="A96" s="55">
        <v>93</v>
      </c>
      <c r="B96" s="55" t="s">
        <v>320</v>
      </c>
      <c r="C96" s="55" t="s">
        <v>414</v>
      </c>
      <c r="D96" s="55" t="s">
        <v>322</v>
      </c>
      <c r="E96" s="75" t="s">
        <v>1220</v>
      </c>
      <c r="F96" s="55" t="s">
        <v>378</v>
      </c>
      <c r="G96" s="55">
        <v>917204003</v>
      </c>
      <c r="H96" s="55" t="s">
        <v>1229</v>
      </c>
      <c r="I96" s="55">
        <v>333.52</v>
      </c>
      <c r="J96" s="55">
        <v>11</v>
      </c>
      <c r="K96" s="55">
        <v>11</v>
      </c>
      <c r="L96" s="55">
        <v>11</v>
      </c>
      <c r="M96" s="55">
        <v>11</v>
      </c>
      <c r="N96" s="55">
        <v>11</v>
      </c>
      <c r="O96" s="55">
        <v>11</v>
      </c>
      <c r="P96" s="2">
        <f t="shared" si="13"/>
        <v>3668.72</v>
      </c>
      <c r="Q96" s="2">
        <f t="shared" si="14"/>
        <v>3668.72</v>
      </c>
      <c r="R96" s="2">
        <f t="shared" si="15"/>
        <v>3668.72</v>
      </c>
      <c r="S96" s="2">
        <f t="shared" si="16"/>
        <v>3668.72</v>
      </c>
      <c r="T96" s="2">
        <f t="shared" si="17"/>
        <v>3668.72</v>
      </c>
      <c r="U96" s="2">
        <f t="shared" si="18"/>
        <v>3668.72</v>
      </c>
    </row>
    <row r="97" spans="1:21" hidden="1">
      <c r="A97" s="55">
        <v>94</v>
      </c>
      <c r="B97" s="55" t="s">
        <v>320</v>
      </c>
      <c r="C97" s="55" t="s">
        <v>414</v>
      </c>
      <c r="D97" s="55" t="s">
        <v>322</v>
      </c>
      <c r="E97" s="75" t="s">
        <v>420</v>
      </c>
      <c r="F97" s="55">
        <v>8200760255</v>
      </c>
      <c r="G97" s="55">
        <v>913705029</v>
      </c>
      <c r="H97" s="55" t="s">
        <v>459</v>
      </c>
      <c r="I97" s="55">
        <v>60.01</v>
      </c>
      <c r="J97" s="55">
        <v>4</v>
      </c>
      <c r="K97" s="55">
        <v>4</v>
      </c>
      <c r="L97" s="55">
        <v>3</v>
      </c>
      <c r="M97" s="55">
        <v>4</v>
      </c>
      <c r="N97" s="55">
        <v>4</v>
      </c>
      <c r="O97" s="55">
        <v>3</v>
      </c>
      <c r="P97" s="2">
        <f t="shared" si="13"/>
        <v>240.04</v>
      </c>
      <c r="Q97" s="2">
        <f t="shared" si="14"/>
        <v>240.04</v>
      </c>
      <c r="R97" s="2">
        <f t="shared" si="15"/>
        <v>180.03</v>
      </c>
      <c r="S97" s="2">
        <f t="shared" si="16"/>
        <v>240.04</v>
      </c>
      <c r="T97" s="2">
        <f t="shared" si="17"/>
        <v>240.04</v>
      </c>
      <c r="U97" s="2">
        <f t="shared" si="18"/>
        <v>180.03</v>
      </c>
    </row>
    <row r="98" spans="1:21" hidden="1">
      <c r="A98" s="55">
        <v>95</v>
      </c>
      <c r="B98" s="55" t="s">
        <v>320</v>
      </c>
      <c r="C98" s="55" t="s">
        <v>414</v>
      </c>
      <c r="D98" s="55" t="s">
        <v>322</v>
      </c>
      <c r="E98" s="75" t="s">
        <v>420</v>
      </c>
      <c r="F98" s="55" t="s">
        <v>460</v>
      </c>
      <c r="G98" s="55">
        <v>913703003</v>
      </c>
      <c r="H98" s="55" t="s">
        <v>461</v>
      </c>
      <c r="I98" s="55">
        <v>98.6</v>
      </c>
      <c r="J98" s="55">
        <v>0</v>
      </c>
      <c r="K98" s="55">
        <v>3</v>
      </c>
      <c r="L98" s="55">
        <v>5</v>
      </c>
      <c r="M98" s="55">
        <v>4</v>
      </c>
      <c r="N98" s="55">
        <v>4</v>
      </c>
      <c r="O98" s="55">
        <v>4</v>
      </c>
      <c r="P98" s="2">
        <f t="shared" si="13"/>
        <v>0</v>
      </c>
      <c r="Q98" s="2">
        <f t="shared" si="14"/>
        <v>295.79999999999995</v>
      </c>
      <c r="R98" s="2">
        <f t="shared" si="15"/>
        <v>493</v>
      </c>
      <c r="S98" s="2">
        <f t="shared" si="16"/>
        <v>394.4</v>
      </c>
      <c r="T98" s="2">
        <f t="shared" si="17"/>
        <v>394.4</v>
      </c>
      <c r="U98" s="2">
        <f t="shared" si="18"/>
        <v>394.4</v>
      </c>
    </row>
    <row r="99" spans="1:21" hidden="1">
      <c r="A99" s="55">
        <v>96</v>
      </c>
      <c r="B99" s="55" t="s">
        <v>320</v>
      </c>
      <c r="C99" s="55" t="s">
        <v>414</v>
      </c>
      <c r="D99" s="55" t="s">
        <v>322</v>
      </c>
      <c r="E99" s="75" t="s">
        <v>433</v>
      </c>
      <c r="F99" s="55" t="s">
        <v>346</v>
      </c>
      <c r="G99" s="55">
        <v>919101004</v>
      </c>
      <c r="H99" s="55" t="s">
        <v>1228</v>
      </c>
      <c r="I99" s="55">
        <v>218.06</v>
      </c>
      <c r="J99" s="55">
        <v>6</v>
      </c>
      <c r="K99" s="55">
        <v>7</v>
      </c>
      <c r="L99" s="55">
        <v>7</v>
      </c>
      <c r="M99" s="55">
        <v>7</v>
      </c>
      <c r="N99" s="55">
        <v>8</v>
      </c>
      <c r="O99" s="55">
        <v>7</v>
      </c>
      <c r="P99" s="2">
        <f t="shared" si="13"/>
        <v>1308.3600000000001</v>
      </c>
      <c r="Q99" s="2">
        <f t="shared" si="14"/>
        <v>1526.42</v>
      </c>
      <c r="R99" s="2">
        <f t="shared" si="15"/>
        <v>1526.42</v>
      </c>
      <c r="S99" s="2">
        <f t="shared" si="16"/>
        <v>1526.42</v>
      </c>
      <c r="T99" s="2">
        <f t="shared" si="17"/>
        <v>1744.48</v>
      </c>
      <c r="U99" s="2">
        <f t="shared" si="18"/>
        <v>1526.42</v>
      </c>
    </row>
    <row r="100" spans="1:21" hidden="1">
      <c r="A100" s="55">
        <v>97</v>
      </c>
      <c r="B100" s="55" t="s">
        <v>320</v>
      </c>
      <c r="C100" s="55" t="s">
        <v>414</v>
      </c>
      <c r="D100" s="55" t="s">
        <v>322</v>
      </c>
      <c r="E100" s="75" t="s">
        <v>433</v>
      </c>
      <c r="F100" s="55" t="s">
        <v>358</v>
      </c>
      <c r="G100" s="55">
        <v>919126002</v>
      </c>
      <c r="H100" s="55" t="s">
        <v>1227</v>
      </c>
      <c r="I100" s="55">
        <v>26.27</v>
      </c>
      <c r="J100" s="55">
        <v>0</v>
      </c>
      <c r="K100" s="55">
        <v>0</v>
      </c>
      <c r="L100" s="55">
        <v>0</v>
      </c>
      <c r="M100" s="55">
        <v>10</v>
      </c>
      <c r="N100" s="55">
        <v>0</v>
      </c>
      <c r="O100" s="55">
        <v>0</v>
      </c>
      <c r="P100" s="2">
        <f t="shared" si="13"/>
        <v>0</v>
      </c>
      <c r="Q100" s="2">
        <f t="shared" si="14"/>
        <v>0</v>
      </c>
      <c r="R100" s="2">
        <f t="shared" si="15"/>
        <v>0</v>
      </c>
      <c r="S100" s="2">
        <f t="shared" si="16"/>
        <v>262.7</v>
      </c>
      <c r="T100" s="2">
        <f t="shared" si="17"/>
        <v>0</v>
      </c>
      <c r="U100" s="2">
        <f t="shared" si="18"/>
        <v>0</v>
      </c>
    </row>
    <row r="101" spans="1:21" hidden="1">
      <c r="A101" s="55">
        <v>98</v>
      </c>
      <c r="B101" s="55" t="s">
        <v>320</v>
      </c>
      <c r="C101" s="55" t="s">
        <v>414</v>
      </c>
      <c r="D101" s="55" t="s">
        <v>322</v>
      </c>
      <c r="E101" s="75" t="s">
        <v>453</v>
      </c>
      <c r="F101" s="55" t="s">
        <v>462</v>
      </c>
      <c r="G101" s="55">
        <v>916103001</v>
      </c>
      <c r="H101" s="55" t="s">
        <v>463</v>
      </c>
      <c r="I101" s="55">
        <v>48.25</v>
      </c>
      <c r="J101" s="55">
        <v>10</v>
      </c>
      <c r="K101" s="55">
        <v>0</v>
      </c>
      <c r="L101" s="55">
        <v>0</v>
      </c>
      <c r="M101" s="55">
        <v>10</v>
      </c>
      <c r="N101" s="55">
        <v>0</v>
      </c>
      <c r="O101" s="55">
        <v>0</v>
      </c>
      <c r="P101" s="2">
        <f t="shared" si="13"/>
        <v>482.5</v>
      </c>
      <c r="Q101" s="2">
        <f t="shared" si="14"/>
        <v>0</v>
      </c>
      <c r="R101" s="2">
        <f t="shared" si="15"/>
        <v>0</v>
      </c>
      <c r="S101" s="2">
        <f t="shared" si="16"/>
        <v>482.5</v>
      </c>
      <c r="T101" s="2">
        <f t="shared" si="17"/>
        <v>0</v>
      </c>
      <c r="U101" s="2">
        <f t="shared" si="18"/>
        <v>0</v>
      </c>
    </row>
    <row r="102" spans="1:21" hidden="1">
      <c r="A102" s="55">
        <v>99</v>
      </c>
      <c r="B102" s="55" t="s">
        <v>320</v>
      </c>
      <c r="C102" s="55" t="s">
        <v>414</v>
      </c>
      <c r="D102" s="55" t="s">
        <v>322</v>
      </c>
      <c r="E102" s="75" t="s">
        <v>1221</v>
      </c>
      <c r="F102" s="55" t="s">
        <v>395</v>
      </c>
      <c r="G102" s="55">
        <v>917904001</v>
      </c>
      <c r="H102" s="55" t="s">
        <v>430</v>
      </c>
      <c r="I102" s="55">
        <v>345.48999999999995</v>
      </c>
      <c r="J102" s="55">
        <v>13</v>
      </c>
      <c r="K102" s="55">
        <v>13</v>
      </c>
      <c r="L102" s="55">
        <v>14</v>
      </c>
      <c r="M102" s="55">
        <v>13</v>
      </c>
      <c r="N102" s="55">
        <v>13</v>
      </c>
      <c r="O102" s="55">
        <v>14</v>
      </c>
      <c r="P102" s="2">
        <f t="shared" si="13"/>
        <v>4491.369999999999</v>
      </c>
      <c r="Q102" s="2">
        <f t="shared" si="14"/>
        <v>4491.369999999999</v>
      </c>
      <c r="R102" s="2">
        <f t="shared" si="15"/>
        <v>4836.8599999999997</v>
      </c>
      <c r="S102" s="2">
        <f t="shared" si="16"/>
        <v>4491.369999999999</v>
      </c>
      <c r="T102" s="2">
        <f t="shared" si="17"/>
        <v>4491.369999999999</v>
      </c>
      <c r="U102" s="2">
        <f t="shared" si="18"/>
        <v>4836.8599999999997</v>
      </c>
    </row>
    <row r="103" spans="1:21" hidden="1">
      <c r="A103" s="55">
        <v>100</v>
      </c>
      <c r="B103" s="55" t="s">
        <v>320</v>
      </c>
      <c r="C103" s="55" t="s">
        <v>414</v>
      </c>
      <c r="D103" s="55" t="s">
        <v>322</v>
      </c>
      <c r="E103" s="75" t="s">
        <v>420</v>
      </c>
      <c r="F103" s="55">
        <v>8200760256</v>
      </c>
      <c r="G103" s="55">
        <v>913705030</v>
      </c>
      <c r="H103" s="55" t="s">
        <v>464</v>
      </c>
      <c r="I103" s="55">
        <v>60.01</v>
      </c>
      <c r="J103" s="55">
        <v>2</v>
      </c>
      <c r="K103" s="55">
        <v>2</v>
      </c>
      <c r="L103" s="55">
        <v>1</v>
      </c>
      <c r="M103" s="55">
        <v>2</v>
      </c>
      <c r="N103" s="55">
        <v>1</v>
      </c>
      <c r="O103" s="55">
        <v>2</v>
      </c>
      <c r="P103" s="2">
        <f t="shared" si="13"/>
        <v>120.02</v>
      </c>
      <c r="Q103" s="2">
        <f t="shared" si="14"/>
        <v>120.02</v>
      </c>
      <c r="R103" s="2">
        <f t="shared" si="15"/>
        <v>60.01</v>
      </c>
      <c r="S103" s="2">
        <f t="shared" si="16"/>
        <v>120.02</v>
      </c>
      <c r="T103" s="2">
        <f t="shared" si="17"/>
        <v>60.01</v>
      </c>
      <c r="U103" s="2">
        <f t="shared" si="18"/>
        <v>120.02</v>
      </c>
    </row>
    <row r="104" spans="1:21" hidden="1">
      <c r="A104" s="55">
        <v>101</v>
      </c>
      <c r="B104" s="55" t="s">
        <v>320</v>
      </c>
      <c r="C104" s="55" t="s">
        <v>414</v>
      </c>
      <c r="D104" s="55" t="s">
        <v>322</v>
      </c>
      <c r="E104" s="75" t="s">
        <v>445</v>
      </c>
      <c r="F104" s="55" t="s">
        <v>465</v>
      </c>
      <c r="G104" s="55">
        <v>914501023</v>
      </c>
      <c r="H104" s="55" t="s">
        <v>466</v>
      </c>
      <c r="I104" s="55">
        <v>111.57</v>
      </c>
      <c r="J104" s="55">
        <v>4</v>
      </c>
      <c r="K104" s="55">
        <v>3</v>
      </c>
      <c r="L104" s="55">
        <v>4</v>
      </c>
      <c r="M104" s="55">
        <v>4</v>
      </c>
      <c r="N104" s="55">
        <v>3</v>
      </c>
      <c r="O104" s="55">
        <v>4</v>
      </c>
      <c r="P104" s="2">
        <f t="shared" si="13"/>
        <v>446.28</v>
      </c>
      <c r="Q104" s="2">
        <f t="shared" si="14"/>
        <v>334.71</v>
      </c>
      <c r="R104" s="2">
        <f t="shared" si="15"/>
        <v>446.28</v>
      </c>
      <c r="S104" s="2">
        <f t="shared" si="16"/>
        <v>446.28</v>
      </c>
      <c r="T104" s="2">
        <f t="shared" si="17"/>
        <v>334.71</v>
      </c>
      <c r="U104" s="2">
        <f t="shared" si="18"/>
        <v>446.28</v>
      </c>
    </row>
    <row r="105" spans="1:21" hidden="1">
      <c r="A105" s="55">
        <v>102</v>
      </c>
      <c r="B105" s="55" t="s">
        <v>320</v>
      </c>
      <c r="C105" s="55" t="s">
        <v>414</v>
      </c>
      <c r="D105" s="55" t="s">
        <v>322</v>
      </c>
      <c r="E105" s="75" t="s">
        <v>420</v>
      </c>
      <c r="F105" s="55" t="s">
        <v>467</v>
      </c>
      <c r="G105" s="55">
        <v>913705031</v>
      </c>
      <c r="H105" s="55" t="s">
        <v>437</v>
      </c>
      <c r="I105" s="55">
        <v>48.25</v>
      </c>
      <c r="J105" s="55">
        <v>0</v>
      </c>
      <c r="K105" s="55">
        <v>10</v>
      </c>
      <c r="L105" s="55">
        <v>0</v>
      </c>
      <c r="M105" s="55">
        <v>0</v>
      </c>
      <c r="N105" s="55">
        <v>10</v>
      </c>
      <c r="O105" s="55">
        <v>0</v>
      </c>
      <c r="P105" s="2">
        <f t="shared" si="13"/>
        <v>0</v>
      </c>
      <c r="Q105" s="2">
        <f t="shared" si="14"/>
        <v>482.5</v>
      </c>
      <c r="R105" s="2">
        <f t="shared" si="15"/>
        <v>0</v>
      </c>
      <c r="S105" s="2">
        <f t="shared" si="16"/>
        <v>0</v>
      </c>
      <c r="T105" s="2">
        <f t="shared" si="17"/>
        <v>482.5</v>
      </c>
      <c r="U105" s="2">
        <f t="shared" si="18"/>
        <v>0</v>
      </c>
    </row>
    <row r="106" spans="1:21" hidden="1">
      <c r="A106" s="55">
        <v>103</v>
      </c>
      <c r="B106" s="55" t="s">
        <v>320</v>
      </c>
      <c r="C106" s="55" t="s">
        <v>414</v>
      </c>
      <c r="D106" s="55" t="s">
        <v>322</v>
      </c>
      <c r="E106" s="75" t="s">
        <v>420</v>
      </c>
      <c r="F106" s="55" t="s">
        <v>468</v>
      </c>
      <c r="G106" s="55">
        <v>913704014</v>
      </c>
      <c r="H106" s="55" t="s">
        <v>443</v>
      </c>
      <c r="I106" s="55">
        <v>210.29</v>
      </c>
      <c r="J106" s="55">
        <v>0</v>
      </c>
      <c r="K106" s="55">
        <v>4</v>
      </c>
      <c r="L106" s="55">
        <v>4</v>
      </c>
      <c r="M106" s="55">
        <v>3</v>
      </c>
      <c r="N106" s="55">
        <v>4</v>
      </c>
      <c r="O106" s="55">
        <v>4</v>
      </c>
      <c r="P106" s="2">
        <f t="shared" si="13"/>
        <v>0</v>
      </c>
      <c r="Q106" s="2">
        <f t="shared" si="14"/>
        <v>841.16</v>
      </c>
      <c r="R106" s="2">
        <f t="shared" si="15"/>
        <v>841.16</v>
      </c>
      <c r="S106" s="2">
        <f t="shared" si="16"/>
        <v>630.87</v>
      </c>
      <c r="T106" s="2">
        <f t="shared" si="17"/>
        <v>841.16</v>
      </c>
      <c r="U106" s="2">
        <f t="shared" si="18"/>
        <v>841.16</v>
      </c>
    </row>
    <row r="107" spans="1:21" hidden="1">
      <c r="A107" s="55">
        <v>104</v>
      </c>
      <c r="B107" s="55" t="s">
        <v>320</v>
      </c>
      <c r="C107" s="55" t="s">
        <v>414</v>
      </c>
      <c r="D107" s="55" t="s">
        <v>322</v>
      </c>
      <c r="E107" s="75" t="s">
        <v>1221</v>
      </c>
      <c r="F107" s="55" t="s">
        <v>400</v>
      </c>
      <c r="G107" s="55">
        <v>917918001</v>
      </c>
      <c r="H107" s="55" t="s">
        <v>1226</v>
      </c>
      <c r="I107" s="55">
        <v>168.04000000000002</v>
      </c>
      <c r="J107" s="55">
        <v>9</v>
      </c>
      <c r="K107" s="55">
        <v>9</v>
      </c>
      <c r="L107" s="55">
        <v>8</v>
      </c>
      <c r="M107" s="55">
        <v>9</v>
      </c>
      <c r="N107" s="55">
        <v>9</v>
      </c>
      <c r="O107" s="55">
        <v>8</v>
      </c>
      <c r="P107" s="2">
        <f t="shared" si="13"/>
        <v>1512.3600000000001</v>
      </c>
      <c r="Q107" s="2">
        <f t="shared" si="14"/>
        <v>1512.3600000000001</v>
      </c>
      <c r="R107" s="2">
        <f t="shared" si="15"/>
        <v>1344.3200000000002</v>
      </c>
      <c r="S107" s="2">
        <f t="shared" si="16"/>
        <v>1512.3600000000001</v>
      </c>
      <c r="T107" s="2">
        <f t="shared" si="17"/>
        <v>1512.3600000000001</v>
      </c>
      <c r="U107" s="2">
        <f t="shared" si="18"/>
        <v>1344.3200000000002</v>
      </c>
    </row>
    <row r="108" spans="1:21" hidden="1">
      <c r="A108" s="55">
        <v>105</v>
      </c>
      <c r="B108" s="55" t="s">
        <v>320</v>
      </c>
      <c r="C108" s="55" t="s">
        <v>414</v>
      </c>
      <c r="D108" s="55" t="s">
        <v>322</v>
      </c>
      <c r="E108" s="75" t="s">
        <v>1220</v>
      </c>
      <c r="F108" s="55" t="s">
        <v>367</v>
      </c>
      <c r="G108" s="55">
        <v>917203001</v>
      </c>
      <c r="H108" s="55" t="s">
        <v>463</v>
      </c>
      <c r="I108" s="55">
        <v>38.520000000000003</v>
      </c>
      <c r="J108" s="55">
        <v>0</v>
      </c>
      <c r="K108" s="55">
        <v>0</v>
      </c>
      <c r="L108" s="55">
        <v>10</v>
      </c>
      <c r="M108" s="55">
        <v>0</v>
      </c>
      <c r="N108" s="55">
        <v>0</v>
      </c>
      <c r="O108" s="55">
        <v>0</v>
      </c>
      <c r="P108" s="2">
        <f t="shared" si="13"/>
        <v>0</v>
      </c>
      <c r="Q108" s="2">
        <f t="shared" si="14"/>
        <v>0</v>
      </c>
      <c r="R108" s="2">
        <f t="shared" si="15"/>
        <v>385.20000000000005</v>
      </c>
      <c r="S108" s="2">
        <f t="shared" si="16"/>
        <v>0</v>
      </c>
      <c r="T108" s="2">
        <f t="shared" si="17"/>
        <v>0</v>
      </c>
      <c r="U108" s="2">
        <f t="shared" si="18"/>
        <v>0</v>
      </c>
    </row>
    <row r="109" spans="1:21" hidden="1">
      <c r="A109" s="55">
        <v>106</v>
      </c>
      <c r="B109" s="55" t="s">
        <v>320</v>
      </c>
      <c r="C109" s="55" t="s">
        <v>414</v>
      </c>
      <c r="D109" s="55" t="s">
        <v>322</v>
      </c>
      <c r="E109" s="75" t="s">
        <v>1221</v>
      </c>
      <c r="F109" s="55" t="s">
        <v>397</v>
      </c>
      <c r="G109" s="55">
        <v>917901001</v>
      </c>
      <c r="H109" s="55" t="s">
        <v>424</v>
      </c>
      <c r="I109" s="55">
        <v>218.32</v>
      </c>
      <c r="J109" s="55">
        <v>1</v>
      </c>
      <c r="K109" s="55">
        <v>3</v>
      </c>
      <c r="L109" s="55">
        <v>3</v>
      </c>
      <c r="M109" s="55">
        <v>3</v>
      </c>
      <c r="N109" s="55">
        <v>3</v>
      </c>
      <c r="O109" s="55">
        <v>3</v>
      </c>
      <c r="P109" s="2">
        <f t="shared" si="13"/>
        <v>218.32</v>
      </c>
      <c r="Q109" s="2">
        <f t="shared" si="14"/>
        <v>654.96</v>
      </c>
      <c r="R109" s="2">
        <f t="shared" si="15"/>
        <v>654.96</v>
      </c>
      <c r="S109" s="2">
        <f t="shared" si="16"/>
        <v>654.96</v>
      </c>
      <c r="T109" s="2">
        <f t="shared" si="17"/>
        <v>654.96</v>
      </c>
      <c r="U109" s="2">
        <f t="shared" si="18"/>
        <v>654.96</v>
      </c>
    </row>
    <row r="110" spans="1:21" hidden="1">
      <c r="A110" s="55">
        <v>107</v>
      </c>
      <c r="B110" s="55" t="s">
        <v>320</v>
      </c>
      <c r="C110" s="55" t="s">
        <v>414</v>
      </c>
      <c r="D110" s="55" t="s">
        <v>322</v>
      </c>
      <c r="E110" s="75" t="s">
        <v>450</v>
      </c>
      <c r="F110" s="55" t="s">
        <v>469</v>
      </c>
      <c r="G110" s="55">
        <v>918722002</v>
      </c>
      <c r="H110" s="55" t="s">
        <v>470</v>
      </c>
      <c r="I110" s="55">
        <v>79.08</v>
      </c>
      <c r="J110" s="55">
        <v>1</v>
      </c>
      <c r="K110" s="55">
        <v>1</v>
      </c>
      <c r="L110" s="55">
        <v>1</v>
      </c>
      <c r="M110" s="55">
        <v>1</v>
      </c>
      <c r="N110" s="55">
        <v>1</v>
      </c>
      <c r="O110" s="55">
        <v>1</v>
      </c>
      <c r="P110" s="2">
        <f t="shared" si="13"/>
        <v>79.08</v>
      </c>
      <c r="Q110" s="2">
        <f t="shared" si="14"/>
        <v>79.08</v>
      </c>
      <c r="R110" s="2">
        <f t="shared" si="15"/>
        <v>79.08</v>
      </c>
      <c r="S110" s="2">
        <f t="shared" si="16"/>
        <v>79.08</v>
      </c>
      <c r="T110" s="2">
        <f t="shared" si="17"/>
        <v>79.08</v>
      </c>
      <c r="U110" s="2">
        <f t="shared" si="18"/>
        <v>79.08</v>
      </c>
    </row>
    <row r="111" spans="1:21" hidden="1">
      <c r="A111" s="55">
        <v>108</v>
      </c>
      <c r="B111" s="55" t="s">
        <v>320</v>
      </c>
      <c r="C111" s="55" t="s">
        <v>414</v>
      </c>
      <c r="D111" s="55" t="s">
        <v>322</v>
      </c>
      <c r="E111" s="75" t="s">
        <v>433</v>
      </c>
      <c r="F111" s="55" t="s">
        <v>345</v>
      </c>
      <c r="G111" s="55">
        <v>919103001</v>
      </c>
      <c r="H111" s="55" t="s">
        <v>1222</v>
      </c>
      <c r="I111" s="55">
        <v>35.630000000000003</v>
      </c>
      <c r="J111" s="55">
        <v>10</v>
      </c>
      <c r="K111" s="55">
        <v>0</v>
      </c>
      <c r="L111" s="55">
        <v>10</v>
      </c>
      <c r="M111" s="55">
        <v>0</v>
      </c>
      <c r="N111" s="55">
        <v>10</v>
      </c>
      <c r="O111" s="55">
        <v>10</v>
      </c>
      <c r="P111" s="2">
        <f t="shared" si="13"/>
        <v>356.3</v>
      </c>
      <c r="Q111" s="2">
        <f t="shared" si="14"/>
        <v>0</v>
      </c>
      <c r="R111" s="2">
        <f t="shared" si="15"/>
        <v>356.3</v>
      </c>
      <c r="S111" s="2">
        <f t="shared" si="16"/>
        <v>0</v>
      </c>
      <c r="T111" s="2">
        <f t="shared" si="17"/>
        <v>356.3</v>
      </c>
      <c r="U111" s="2">
        <f t="shared" si="18"/>
        <v>356.3</v>
      </c>
    </row>
    <row r="112" spans="1:21" hidden="1">
      <c r="A112" s="55">
        <v>109</v>
      </c>
      <c r="B112" s="55" t="s">
        <v>320</v>
      </c>
      <c r="C112" s="55" t="s">
        <v>414</v>
      </c>
      <c r="D112" s="55" t="s">
        <v>322</v>
      </c>
      <c r="E112" s="75" t="s">
        <v>450</v>
      </c>
      <c r="F112" s="55" t="s">
        <v>471</v>
      </c>
      <c r="G112" s="55">
        <v>918723001</v>
      </c>
      <c r="H112" s="55" t="s">
        <v>472</v>
      </c>
      <c r="I112" s="55">
        <v>78.44</v>
      </c>
      <c r="J112" s="55">
        <v>0</v>
      </c>
      <c r="K112" s="55">
        <v>1</v>
      </c>
      <c r="L112" s="55">
        <v>1</v>
      </c>
      <c r="M112" s="55">
        <v>0</v>
      </c>
      <c r="N112" s="55">
        <v>1</v>
      </c>
      <c r="O112" s="55">
        <v>1</v>
      </c>
      <c r="P112" s="2">
        <f t="shared" si="13"/>
        <v>0</v>
      </c>
      <c r="Q112" s="2">
        <f t="shared" si="14"/>
        <v>78.44</v>
      </c>
      <c r="R112" s="2">
        <f t="shared" si="15"/>
        <v>78.44</v>
      </c>
      <c r="S112" s="2">
        <f t="shared" si="16"/>
        <v>0</v>
      </c>
      <c r="T112" s="2">
        <f t="shared" si="17"/>
        <v>78.44</v>
      </c>
      <c r="U112" s="2">
        <f t="shared" si="18"/>
        <v>78.44</v>
      </c>
    </row>
    <row r="113" spans="1:21" hidden="1">
      <c r="A113" s="55">
        <v>110</v>
      </c>
      <c r="B113" s="55" t="s">
        <v>320</v>
      </c>
      <c r="C113" s="55" t="s">
        <v>414</v>
      </c>
      <c r="D113" s="55" t="s">
        <v>322</v>
      </c>
      <c r="E113" s="75" t="s">
        <v>420</v>
      </c>
      <c r="F113" s="55" t="s">
        <v>473</v>
      </c>
      <c r="G113" s="55">
        <v>916805011</v>
      </c>
      <c r="H113" s="55" t="s">
        <v>474</v>
      </c>
      <c r="I113" s="55">
        <v>63.429999999999993</v>
      </c>
      <c r="J113" s="55">
        <v>0</v>
      </c>
      <c r="K113" s="55">
        <v>0</v>
      </c>
      <c r="L113" s="55">
        <v>0</v>
      </c>
      <c r="M113" s="55">
        <v>0</v>
      </c>
      <c r="N113" s="55">
        <v>10</v>
      </c>
      <c r="O113" s="55">
        <v>0</v>
      </c>
      <c r="P113" s="2">
        <f t="shared" si="13"/>
        <v>0</v>
      </c>
      <c r="Q113" s="2">
        <f t="shared" si="14"/>
        <v>0</v>
      </c>
      <c r="R113" s="2">
        <f t="shared" si="15"/>
        <v>0</v>
      </c>
      <c r="S113" s="2">
        <f t="shared" si="16"/>
        <v>0</v>
      </c>
      <c r="T113" s="2">
        <f t="shared" si="17"/>
        <v>634.29999999999995</v>
      </c>
      <c r="U113" s="2">
        <f t="shared" si="18"/>
        <v>0</v>
      </c>
    </row>
    <row r="114" spans="1:21" hidden="1">
      <c r="A114" s="55">
        <v>111</v>
      </c>
      <c r="B114" s="55" t="s">
        <v>320</v>
      </c>
      <c r="C114" s="55" t="s">
        <v>414</v>
      </c>
      <c r="D114" s="55" t="s">
        <v>322</v>
      </c>
      <c r="E114" s="75" t="s">
        <v>475</v>
      </c>
      <c r="F114" s="55" t="s">
        <v>476</v>
      </c>
      <c r="G114" s="55">
        <v>916805018</v>
      </c>
      <c r="H114" s="55" t="s">
        <v>477</v>
      </c>
      <c r="I114" s="55">
        <v>63.42</v>
      </c>
      <c r="J114" s="55">
        <v>0</v>
      </c>
      <c r="K114" s="55">
        <v>0</v>
      </c>
      <c r="L114" s="55">
        <v>1</v>
      </c>
      <c r="M114" s="55">
        <v>1</v>
      </c>
      <c r="N114" s="55">
        <v>1</v>
      </c>
      <c r="O114" s="55">
        <v>1</v>
      </c>
      <c r="P114" s="2">
        <f t="shared" si="13"/>
        <v>0</v>
      </c>
      <c r="Q114" s="2">
        <f t="shared" si="14"/>
        <v>0</v>
      </c>
      <c r="R114" s="2">
        <f t="shared" si="15"/>
        <v>63.42</v>
      </c>
      <c r="S114" s="2">
        <f t="shared" si="16"/>
        <v>63.42</v>
      </c>
      <c r="T114" s="2">
        <f t="shared" si="17"/>
        <v>63.42</v>
      </c>
      <c r="U114" s="2">
        <f t="shared" si="18"/>
        <v>63.42</v>
      </c>
    </row>
    <row r="115" spans="1:21" hidden="1">
      <c r="A115" s="55">
        <v>112</v>
      </c>
      <c r="B115" s="55" t="s">
        <v>320</v>
      </c>
      <c r="C115" s="55" t="s">
        <v>414</v>
      </c>
      <c r="D115" s="55" t="s">
        <v>322</v>
      </c>
      <c r="E115" s="75" t="s">
        <v>450</v>
      </c>
      <c r="F115" s="55" t="s">
        <v>478</v>
      </c>
      <c r="G115" s="55">
        <v>918705005</v>
      </c>
      <c r="H115" s="55" t="s">
        <v>479</v>
      </c>
      <c r="I115" s="55">
        <v>139.87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5">
        <v>1</v>
      </c>
      <c r="P115" s="2">
        <f t="shared" si="13"/>
        <v>0</v>
      </c>
      <c r="Q115" s="2">
        <f t="shared" si="14"/>
        <v>0</v>
      </c>
      <c r="R115" s="2">
        <f t="shared" si="15"/>
        <v>0</v>
      </c>
      <c r="S115" s="2">
        <f t="shared" si="16"/>
        <v>0</v>
      </c>
      <c r="T115" s="2">
        <f t="shared" si="17"/>
        <v>0</v>
      </c>
      <c r="U115" s="2">
        <f t="shared" si="18"/>
        <v>139.87</v>
      </c>
    </row>
    <row r="116" spans="1:21" hidden="1">
      <c r="A116" s="55">
        <v>113</v>
      </c>
      <c r="B116" s="55" t="s">
        <v>320</v>
      </c>
      <c r="C116" s="55" t="s">
        <v>414</v>
      </c>
      <c r="D116" s="55" t="s">
        <v>322</v>
      </c>
      <c r="E116" s="75" t="s">
        <v>1221</v>
      </c>
      <c r="F116" s="55" t="s">
        <v>396</v>
      </c>
      <c r="G116" s="55">
        <v>917901002</v>
      </c>
      <c r="H116" s="55" t="s">
        <v>1225</v>
      </c>
      <c r="I116" s="55">
        <v>218.32</v>
      </c>
      <c r="J116" s="55">
        <v>3</v>
      </c>
      <c r="K116" s="55">
        <v>4</v>
      </c>
      <c r="L116" s="55">
        <v>5</v>
      </c>
      <c r="M116" s="55">
        <v>4</v>
      </c>
      <c r="N116" s="55">
        <v>5</v>
      </c>
      <c r="O116" s="55">
        <v>4</v>
      </c>
      <c r="P116" s="2">
        <f t="shared" si="13"/>
        <v>654.96</v>
      </c>
      <c r="Q116" s="2">
        <f t="shared" si="14"/>
        <v>873.28</v>
      </c>
      <c r="R116" s="2">
        <f t="shared" si="15"/>
        <v>1091.5999999999999</v>
      </c>
      <c r="S116" s="2">
        <f t="shared" si="16"/>
        <v>873.28</v>
      </c>
      <c r="T116" s="2">
        <f t="shared" si="17"/>
        <v>1091.5999999999999</v>
      </c>
      <c r="U116" s="2">
        <f t="shared" si="18"/>
        <v>873.28</v>
      </c>
    </row>
    <row r="117" spans="1:21" hidden="1">
      <c r="A117" s="55">
        <v>114</v>
      </c>
      <c r="B117" s="55" t="s">
        <v>320</v>
      </c>
      <c r="C117" s="55" t="s">
        <v>414</v>
      </c>
      <c r="D117" s="55" t="s">
        <v>322</v>
      </c>
      <c r="E117" s="75" t="s">
        <v>1220</v>
      </c>
      <c r="F117" s="55" t="s">
        <v>372</v>
      </c>
      <c r="G117" s="55">
        <v>917201002</v>
      </c>
      <c r="H117" s="55" t="s">
        <v>1219</v>
      </c>
      <c r="I117" s="55">
        <v>230.56</v>
      </c>
      <c r="J117" s="55">
        <v>0</v>
      </c>
      <c r="K117" s="55">
        <v>0</v>
      </c>
      <c r="L117" s="55">
        <v>0</v>
      </c>
      <c r="M117" s="55">
        <v>3</v>
      </c>
      <c r="N117" s="55">
        <v>3</v>
      </c>
      <c r="O117" s="55">
        <v>4</v>
      </c>
      <c r="P117" s="2">
        <f t="shared" si="13"/>
        <v>0</v>
      </c>
      <c r="Q117" s="2">
        <f t="shared" si="14"/>
        <v>0</v>
      </c>
      <c r="R117" s="2">
        <f t="shared" si="15"/>
        <v>0</v>
      </c>
      <c r="S117" s="2">
        <f t="shared" si="16"/>
        <v>691.68000000000006</v>
      </c>
      <c r="T117" s="2">
        <f t="shared" si="17"/>
        <v>691.68000000000006</v>
      </c>
      <c r="U117" s="2">
        <f t="shared" si="18"/>
        <v>922.24</v>
      </c>
    </row>
    <row r="118" spans="1:21" hidden="1">
      <c r="A118" s="55">
        <v>115</v>
      </c>
      <c r="B118" s="55" t="s">
        <v>320</v>
      </c>
      <c r="C118" s="55" t="s">
        <v>414</v>
      </c>
      <c r="D118" s="55" t="s">
        <v>322</v>
      </c>
      <c r="E118" s="75" t="s">
        <v>450</v>
      </c>
      <c r="F118" s="55" t="s">
        <v>480</v>
      </c>
      <c r="G118" s="55">
        <v>918705004</v>
      </c>
      <c r="H118" s="55" t="s">
        <v>481</v>
      </c>
      <c r="I118" s="55">
        <v>111.02</v>
      </c>
      <c r="J118" s="55">
        <v>0</v>
      </c>
      <c r="K118" s="55">
        <v>0</v>
      </c>
      <c r="L118" s="55">
        <v>1</v>
      </c>
      <c r="M118" s="55">
        <v>0</v>
      </c>
      <c r="N118" s="55">
        <v>1</v>
      </c>
      <c r="O118" s="55">
        <v>1</v>
      </c>
      <c r="P118" s="2">
        <f t="shared" si="13"/>
        <v>0</v>
      </c>
      <c r="Q118" s="2">
        <f t="shared" si="14"/>
        <v>0</v>
      </c>
      <c r="R118" s="2">
        <f t="shared" si="15"/>
        <v>111.02</v>
      </c>
      <c r="S118" s="2">
        <f t="shared" si="16"/>
        <v>0</v>
      </c>
      <c r="T118" s="2">
        <f t="shared" si="17"/>
        <v>111.02</v>
      </c>
      <c r="U118" s="2">
        <f t="shared" si="18"/>
        <v>111.02</v>
      </c>
    </row>
    <row r="119" spans="1:21" hidden="1">
      <c r="A119" s="55">
        <v>116</v>
      </c>
      <c r="B119" s="55" t="s">
        <v>320</v>
      </c>
      <c r="C119" s="55" t="s">
        <v>414</v>
      </c>
      <c r="D119" s="55" t="s">
        <v>322</v>
      </c>
      <c r="E119" s="75" t="s">
        <v>450</v>
      </c>
      <c r="F119" s="55" t="s">
        <v>482</v>
      </c>
      <c r="G119" s="55">
        <v>918705008</v>
      </c>
      <c r="H119" s="55" t="s">
        <v>483</v>
      </c>
      <c r="I119" s="55">
        <v>114.34</v>
      </c>
      <c r="J119" s="55">
        <v>0</v>
      </c>
      <c r="K119" s="55">
        <v>0</v>
      </c>
      <c r="L119" s="55">
        <v>0</v>
      </c>
      <c r="M119" s="55">
        <v>0</v>
      </c>
      <c r="N119" s="55">
        <v>1</v>
      </c>
      <c r="O119" s="55">
        <v>1</v>
      </c>
      <c r="P119" s="2">
        <f t="shared" si="13"/>
        <v>0</v>
      </c>
      <c r="Q119" s="2">
        <f t="shared" si="14"/>
        <v>0</v>
      </c>
      <c r="R119" s="2">
        <f t="shared" si="15"/>
        <v>0</v>
      </c>
      <c r="S119" s="2">
        <f t="shared" si="16"/>
        <v>0</v>
      </c>
      <c r="T119" s="2">
        <f t="shared" si="17"/>
        <v>114.34</v>
      </c>
      <c r="U119" s="2">
        <f t="shared" si="18"/>
        <v>114.34</v>
      </c>
    </row>
    <row r="120" spans="1:21" hidden="1">
      <c r="A120" s="55">
        <v>117</v>
      </c>
      <c r="B120" s="55" t="s">
        <v>320</v>
      </c>
      <c r="C120" s="55" t="s">
        <v>414</v>
      </c>
      <c r="D120" s="55" t="s">
        <v>322</v>
      </c>
      <c r="E120" s="75" t="s">
        <v>1220</v>
      </c>
      <c r="F120" s="55" t="s">
        <v>379</v>
      </c>
      <c r="G120" s="55">
        <v>917201004</v>
      </c>
      <c r="H120" s="55" t="s">
        <v>1224</v>
      </c>
      <c r="I120" s="55">
        <v>220.14</v>
      </c>
      <c r="J120" s="55">
        <v>3</v>
      </c>
      <c r="K120" s="55">
        <v>4</v>
      </c>
      <c r="L120" s="55">
        <v>3</v>
      </c>
      <c r="M120" s="55">
        <v>4</v>
      </c>
      <c r="N120" s="55">
        <v>3</v>
      </c>
      <c r="O120" s="55">
        <v>4</v>
      </c>
      <c r="P120" s="2">
        <f t="shared" si="13"/>
        <v>660.42</v>
      </c>
      <c r="Q120" s="2">
        <f t="shared" si="14"/>
        <v>880.56</v>
      </c>
      <c r="R120" s="2">
        <f t="shared" si="15"/>
        <v>660.42</v>
      </c>
      <c r="S120" s="2">
        <f t="shared" si="16"/>
        <v>880.56</v>
      </c>
      <c r="T120" s="2">
        <f t="shared" si="17"/>
        <v>660.42</v>
      </c>
      <c r="U120" s="2">
        <f t="shared" si="18"/>
        <v>880.56</v>
      </c>
    </row>
    <row r="121" spans="1:21" hidden="1">
      <c r="A121" s="55">
        <v>118</v>
      </c>
      <c r="B121" s="55" t="s">
        <v>320</v>
      </c>
      <c r="C121" s="55" t="s">
        <v>414</v>
      </c>
      <c r="D121" s="55" t="s">
        <v>322</v>
      </c>
      <c r="E121" s="75" t="s">
        <v>450</v>
      </c>
      <c r="F121" s="55" t="s">
        <v>484</v>
      </c>
      <c r="G121" s="55">
        <v>918711004</v>
      </c>
      <c r="H121" s="55" t="s">
        <v>485</v>
      </c>
      <c r="I121" s="55">
        <v>117.39</v>
      </c>
      <c r="J121" s="55">
        <v>0</v>
      </c>
      <c r="K121" s="55">
        <v>1</v>
      </c>
      <c r="L121" s="55">
        <v>0</v>
      </c>
      <c r="M121" s="55">
        <v>1</v>
      </c>
      <c r="N121" s="55">
        <v>0</v>
      </c>
      <c r="O121" s="55">
        <v>0</v>
      </c>
      <c r="P121" s="2">
        <f t="shared" si="13"/>
        <v>0</v>
      </c>
      <c r="Q121" s="2">
        <f t="shared" si="14"/>
        <v>117.39</v>
      </c>
      <c r="R121" s="2">
        <f t="shared" si="15"/>
        <v>0</v>
      </c>
      <c r="S121" s="2">
        <f t="shared" si="16"/>
        <v>117.39</v>
      </c>
      <c r="T121" s="2">
        <f t="shared" si="17"/>
        <v>0</v>
      </c>
      <c r="U121" s="2">
        <f t="shared" si="18"/>
        <v>0</v>
      </c>
    </row>
    <row r="122" spans="1:21" hidden="1">
      <c r="A122" s="55">
        <v>119</v>
      </c>
      <c r="B122" s="55" t="s">
        <v>320</v>
      </c>
      <c r="C122" s="55" t="s">
        <v>414</v>
      </c>
      <c r="D122" s="55" t="s">
        <v>322</v>
      </c>
      <c r="E122" s="75" t="s">
        <v>450</v>
      </c>
      <c r="F122" s="55" t="s">
        <v>486</v>
      </c>
      <c r="G122" s="55">
        <v>918710001</v>
      </c>
      <c r="H122" s="55" t="s">
        <v>439</v>
      </c>
      <c r="I122" s="55">
        <v>283.21999999999997</v>
      </c>
      <c r="J122" s="55">
        <v>1</v>
      </c>
      <c r="K122" s="55">
        <v>2</v>
      </c>
      <c r="L122" s="55">
        <v>2</v>
      </c>
      <c r="M122" s="55">
        <v>1</v>
      </c>
      <c r="N122" s="55">
        <v>2</v>
      </c>
      <c r="O122" s="55">
        <v>1</v>
      </c>
      <c r="P122" s="2">
        <f t="shared" si="13"/>
        <v>283.21999999999997</v>
      </c>
      <c r="Q122" s="2">
        <f t="shared" si="14"/>
        <v>566.43999999999994</v>
      </c>
      <c r="R122" s="2">
        <f t="shared" si="15"/>
        <v>566.43999999999994</v>
      </c>
      <c r="S122" s="2">
        <f t="shared" si="16"/>
        <v>283.21999999999997</v>
      </c>
      <c r="T122" s="2">
        <f t="shared" si="17"/>
        <v>566.43999999999994</v>
      </c>
      <c r="U122" s="2">
        <f t="shared" si="18"/>
        <v>283.21999999999997</v>
      </c>
    </row>
    <row r="123" spans="1:21" hidden="1">
      <c r="A123" s="55">
        <v>120</v>
      </c>
      <c r="B123" s="55" t="s">
        <v>320</v>
      </c>
      <c r="C123" s="55" t="s">
        <v>414</v>
      </c>
      <c r="D123" s="55" t="s">
        <v>322</v>
      </c>
      <c r="E123" s="75" t="s">
        <v>1221</v>
      </c>
      <c r="F123" s="55" t="s">
        <v>392</v>
      </c>
      <c r="G123" s="55">
        <v>917901004</v>
      </c>
      <c r="H123" s="55" t="s">
        <v>419</v>
      </c>
      <c r="I123" s="55">
        <v>212.96</v>
      </c>
      <c r="J123" s="55">
        <v>0</v>
      </c>
      <c r="K123" s="55">
        <v>0</v>
      </c>
      <c r="L123" s="55">
        <v>1</v>
      </c>
      <c r="M123" s="55">
        <v>2</v>
      </c>
      <c r="N123" s="55">
        <v>3</v>
      </c>
      <c r="O123" s="55">
        <v>2</v>
      </c>
      <c r="P123" s="2">
        <f t="shared" si="13"/>
        <v>0</v>
      </c>
      <c r="Q123" s="2">
        <f t="shared" si="14"/>
        <v>0</v>
      </c>
      <c r="R123" s="2">
        <f t="shared" si="15"/>
        <v>212.96</v>
      </c>
      <c r="S123" s="2">
        <f t="shared" si="16"/>
        <v>425.92</v>
      </c>
      <c r="T123" s="2">
        <f t="shared" si="17"/>
        <v>638.88</v>
      </c>
      <c r="U123" s="2">
        <f t="shared" si="18"/>
        <v>425.92</v>
      </c>
    </row>
    <row r="124" spans="1:21" hidden="1">
      <c r="A124" s="55">
        <v>121</v>
      </c>
      <c r="B124" s="55" t="s">
        <v>320</v>
      </c>
      <c r="C124" s="55" t="s">
        <v>414</v>
      </c>
      <c r="D124" s="55" t="s">
        <v>322</v>
      </c>
      <c r="E124" s="75" t="s">
        <v>450</v>
      </c>
      <c r="F124" s="55" t="s">
        <v>487</v>
      </c>
      <c r="G124" s="55">
        <v>918704002</v>
      </c>
      <c r="H124" s="55" t="s">
        <v>488</v>
      </c>
      <c r="I124" s="55">
        <v>484.97</v>
      </c>
      <c r="J124" s="55">
        <v>0</v>
      </c>
      <c r="K124" s="55">
        <v>1</v>
      </c>
      <c r="L124" s="55">
        <v>2</v>
      </c>
      <c r="M124" s="55">
        <v>2</v>
      </c>
      <c r="N124" s="55">
        <v>2</v>
      </c>
      <c r="O124" s="55">
        <v>1</v>
      </c>
      <c r="P124" s="2">
        <f t="shared" si="13"/>
        <v>0</v>
      </c>
      <c r="Q124" s="2">
        <f t="shared" si="14"/>
        <v>484.97</v>
      </c>
      <c r="R124" s="2">
        <f t="shared" si="15"/>
        <v>969.94</v>
      </c>
      <c r="S124" s="2">
        <f t="shared" si="16"/>
        <v>969.94</v>
      </c>
      <c r="T124" s="2">
        <f t="shared" si="17"/>
        <v>969.94</v>
      </c>
      <c r="U124" s="2">
        <f t="shared" si="18"/>
        <v>484.97</v>
      </c>
    </row>
    <row r="125" spans="1:21" hidden="1">
      <c r="A125" s="55">
        <v>122</v>
      </c>
      <c r="B125" s="55" t="s">
        <v>320</v>
      </c>
      <c r="C125" s="55" t="s">
        <v>414</v>
      </c>
      <c r="D125" s="55" t="s">
        <v>322</v>
      </c>
      <c r="E125" s="75" t="s">
        <v>450</v>
      </c>
      <c r="F125" s="55" t="s">
        <v>489</v>
      </c>
      <c r="G125" s="55">
        <v>918705002</v>
      </c>
      <c r="H125" s="55" t="s">
        <v>490</v>
      </c>
      <c r="I125" s="55">
        <v>92.76</v>
      </c>
      <c r="J125" s="55">
        <v>0</v>
      </c>
      <c r="K125" s="55">
        <v>0</v>
      </c>
      <c r="L125" s="55">
        <v>1</v>
      </c>
      <c r="M125" s="55">
        <v>0</v>
      </c>
      <c r="N125" s="55">
        <v>1</v>
      </c>
      <c r="O125" s="55">
        <v>1</v>
      </c>
      <c r="P125" s="2">
        <f t="shared" si="13"/>
        <v>0</v>
      </c>
      <c r="Q125" s="2">
        <f t="shared" si="14"/>
        <v>0</v>
      </c>
      <c r="R125" s="2">
        <f t="shared" si="15"/>
        <v>92.76</v>
      </c>
      <c r="S125" s="2">
        <f t="shared" si="16"/>
        <v>0</v>
      </c>
      <c r="T125" s="2">
        <f t="shared" si="17"/>
        <v>92.76</v>
      </c>
      <c r="U125" s="2">
        <f t="shared" si="18"/>
        <v>92.76</v>
      </c>
    </row>
    <row r="126" spans="1:21" hidden="1">
      <c r="A126" s="55">
        <v>123</v>
      </c>
      <c r="B126" s="55" t="s">
        <v>320</v>
      </c>
      <c r="C126" s="55" t="s">
        <v>414</v>
      </c>
      <c r="D126" s="55" t="s">
        <v>322</v>
      </c>
      <c r="E126" s="75" t="s">
        <v>450</v>
      </c>
      <c r="F126" s="55" t="s">
        <v>491</v>
      </c>
      <c r="G126" s="55">
        <v>918704001</v>
      </c>
      <c r="H126" s="55" t="s">
        <v>492</v>
      </c>
      <c r="I126" s="55">
        <v>438.06</v>
      </c>
      <c r="J126" s="55">
        <v>1</v>
      </c>
      <c r="K126" s="55">
        <v>1</v>
      </c>
      <c r="L126" s="55">
        <v>1</v>
      </c>
      <c r="M126" s="55">
        <v>1</v>
      </c>
      <c r="N126" s="55">
        <v>1</v>
      </c>
      <c r="O126" s="55">
        <v>2</v>
      </c>
      <c r="P126" s="2">
        <f t="shared" si="13"/>
        <v>438.06</v>
      </c>
      <c r="Q126" s="2">
        <f t="shared" si="14"/>
        <v>438.06</v>
      </c>
      <c r="R126" s="2">
        <f t="shared" si="15"/>
        <v>438.06</v>
      </c>
      <c r="S126" s="2">
        <f t="shared" si="16"/>
        <v>438.06</v>
      </c>
      <c r="T126" s="2">
        <f t="shared" si="17"/>
        <v>438.06</v>
      </c>
      <c r="U126" s="2">
        <f t="shared" si="18"/>
        <v>876.12</v>
      </c>
    </row>
    <row r="127" spans="1:21" hidden="1">
      <c r="A127" s="55">
        <v>124</v>
      </c>
      <c r="B127" s="55" t="s">
        <v>320</v>
      </c>
      <c r="C127" s="55" t="s">
        <v>414</v>
      </c>
      <c r="D127" s="55" t="s">
        <v>322</v>
      </c>
      <c r="E127" s="75" t="s">
        <v>420</v>
      </c>
      <c r="F127" s="55" t="s">
        <v>493</v>
      </c>
      <c r="G127" s="55">
        <v>916805012</v>
      </c>
      <c r="H127" s="55" t="s">
        <v>494</v>
      </c>
      <c r="I127" s="55">
        <v>63.43</v>
      </c>
      <c r="J127" s="55">
        <v>0</v>
      </c>
      <c r="K127" s="55">
        <v>1</v>
      </c>
      <c r="L127" s="55">
        <v>1</v>
      </c>
      <c r="M127" s="55">
        <v>1</v>
      </c>
      <c r="N127" s="55">
        <v>1</v>
      </c>
      <c r="O127" s="55">
        <v>2</v>
      </c>
      <c r="P127" s="2">
        <f t="shared" si="13"/>
        <v>0</v>
      </c>
      <c r="Q127" s="2">
        <f t="shared" si="14"/>
        <v>63.43</v>
      </c>
      <c r="R127" s="2">
        <f t="shared" si="15"/>
        <v>63.43</v>
      </c>
      <c r="S127" s="2">
        <f t="shared" si="16"/>
        <v>63.43</v>
      </c>
      <c r="T127" s="2">
        <f t="shared" si="17"/>
        <v>63.43</v>
      </c>
      <c r="U127" s="2">
        <f t="shared" si="18"/>
        <v>126.86</v>
      </c>
    </row>
    <row r="128" spans="1:21" hidden="1">
      <c r="A128" s="55">
        <v>125</v>
      </c>
      <c r="B128" s="55" t="s">
        <v>320</v>
      </c>
      <c r="C128" s="55" t="s">
        <v>414</v>
      </c>
      <c r="D128" s="55" t="s">
        <v>322</v>
      </c>
      <c r="E128" s="75" t="s">
        <v>475</v>
      </c>
      <c r="F128" s="55" t="s">
        <v>495</v>
      </c>
      <c r="G128" s="55">
        <v>916805019</v>
      </c>
      <c r="H128" s="55" t="s">
        <v>496</v>
      </c>
      <c r="I128" s="55">
        <v>63.42</v>
      </c>
      <c r="J128" s="55">
        <v>0</v>
      </c>
      <c r="K128" s="55">
        <v>0</v>
      </c>
      <c r="L128" s="55">
        <v>2</v>
      </c>
      <c r="M128" s="55">
        <v>1</v>
      </c>
      <c r="N128" s="55">
        <v>2</v>
      </c>
      <c r="O128" s="55">
        <v>2</v>
      </c>
      <c r="P128" s="2">
        <f t="shared" si="13"/>
        <v>0</v>
      </c>
      <c r="Q128" s="2">
        <f t="shared" si="14"/>
        <v>0</v>
      </c>
      <c r="R128" s="2">
        <f t="shared" si="15"/>
        <v>126.84</v>
      </c>
      <c r="S128" s="2">
        <f t="shared" si="16"/>
        <v>63.42</v>
      </c>
      <c r="T128" s="2">
        <f t="shared" si="17"/>
        <v>126.84</v>
      </c>
      <c r="U128" s="2">
        <f t="shared" si="18"/>
        <v>126.84</v>
      </c>
    </row>
    <row r="129" spans="1:21" hidden="1">
      <c r="A129" s="55">
        <v>126</v>
      </c>
      <c r="B129" s="55" t="s">
        <v>320</v>
      </c>
      <c r="C129" s="55" t="s">
        <v>414</v>
      </c>
      <c r="D129" s="55" t="s">
        <v>322</v>
      </c>
      <c r="E129" s="75" t="s">
        <v>450</v>
      </c>
      <c r="F129" s="55" t="s">
        <v>497</v>
      </c>
      <c r="G129" s="55">
        <v>918705006</v>
      </c>
      <c r="H129" s="55" t="s">
        <v>498</v>
      </c>
      <c r="I129" s="55">
        <v>139.87</v>
      </c>
      <c r="J129" s="55">
        <v>0</v>
      </c>
      <c r="K129" s="55">
        <v>1</v>
      </c>
      <c r="L129" s="55">
        <v>2</v>
      </c>
      <c r="M129" s="55">
        <v>1</v>
      </c>
      <c r="N129" s="55">
        <v>2</v>
      </c>
      <c r="O129" s="55">
        <v>2</v>
      </c>
      <c r="P129" s="2">
        <f t="shared" si="13"/>
        <v>0</v>
      </c>
      <c r="Q129" s="2">
        <f t="shared" si="14"/>
        <v>139.87</v>
      </c>
      <c r="R129" s="2">
        <f t="shared" si="15"/>
        <v>279.74</v>
      </c>
      <c r="S129" s="2">
        <f t="shared" si="16"/>
        <v>139.87</v>
      </c>
      <c r="T129" s="2">
        <f t="shared" si="17"/>
        <v>279.74</v>
      </c>
      <c r="U129" s="2">
        <f t="shared" si="18"/>
        <v>279.74</v>
      </c>
    </row>
    <row r="130" spans="1:21" hidden="1">
      <c r="A130" s="55">
        <v>127</v>
      </c>
      <c r="B130" s="55" t="s">
        <v>320</v>
      </c>
      <c r="C130" s="55" t="s">
        <v>414</v>
      </c>
      <c r="D130" s="55" t="s">
        <v>322</v>
      </c>
      <c r="E130" s="75" t="s">
        <v>450</v>
      </c>
      <c r="F130" s="55" t="s">
        <v>499</v>
      </c>
      <c r="G130" s="55">
        <v>918704004</v>
      </c>
      <c r="H130" s="55" t="s">
        <v>440</v>
      </c>
      <c r="I130" s="55">
        <v>439.41</v>
      </c>
      <c r="J130" s="55">
        <v>1</v>
      </c>
      <c r="K130" s="55">
        <v>1</v>
      </c>
      <c r="L130" s="55">
        <v>1</v>
      </c>
      <c r="M130" s="55">
        <v>1</v>
      </c>
      <c r="N130" s="55">
        <v>1</v>
      </c>
      <c r="O130" s="55">
        <v>1</v>
      </c>
      <c r="P130" s="2">
        <f t="shared" si="13"/>
        <v>439.41</v>
      </c>
      <c r="Q130" s="2">
        <f t="shared" si="14"/>
        <v>439.41</v>
      </c>
      <c r="R130" s="2">
        <f t="shared" si="15"/>
        <v>439.41</v>
      </c>
      <c r="S130" s="2">
        <f t="shared" si="16"/>
        <v>439.41</v>
      </c>
      <c r="T130" s="2">
        <f t="shared" si="17"/>
        <v>439.41</v>
      </c>
      <c r="U130" s="2">
        <f t="shared" si="18"/>
        <v>439.41</v>
      </c>
    </row>
    <row r="131" spans="1:21" hidden="1">
      <c r="A131" s="55">
        <v>128</v>
      </c>
      <c r="B131" s="55" t="s">
        <v>320</v>
      </c>
      <c r="C131" s="55" t="s">
        <v>414</v>
      </c>
      <c r="D131" s="55" t="s">
        <v>322</v>
      </c>
      <c r="E131" s="75" t="s">
        <v>450</v>
      </c>
      <c r="F131" s="55" t="s">
        <v>500</v>
      </c>
      <c r="G131" s="55">
        <v>918711003</v>
      </c>
      <c r="H131" s="55" t="s">
        <v>501</v>
      </c>
      <c r="I131" s="55">
        <v>144.4</v>
      </c>
      <c r="J131" s="55">
        <v>0</v>
      </c>
      <c r="K131" s="55">
        <v>0</v>
      </c>
      <c r="L131" s="55">
        <v>0</v>
      </c>
      <c r="M131" s="55">
        <v>0</v>
      </c>
      <c r="N131" s="55">
        <v>0</v>
      </c>
      <c r="O131" s="55">
        <v>1</v>
      </c>
      <c r="P131" s="2">
        <f t="shared" si="13"/>
        <v>0</v>
      </c>
      <c r="Q131" s="2">
        <f t="shared" si="14"/>
        <v>0</v>
      </c>
      <c r="R131" s="2">
        <f t="shared" si="15"/>
        <v>0</v>
      </c>
      <c r="S131" s="2">
        <f t="shared" si="16"/>
        <v>0</v>
      </c>
      <c r="T131" s="2">
        <f t="shared" si="17"/>
        <v>0</v>
      </c>
      <c r="U131" s="2">
        <f t="shared" si="18"/>
        <v>144.4</v>
      </c>
    </row>
    <row r="132" spans="1:21" hidden="1">
      <c r="A132" s="55">
        <v>129</v>
      </c>
      <c r="B132" s="55" t="s">
        <v>320</v>
      </c>
      <c r="C132" s="55" t="s">
        <v>414</v>
      </c>
      <c r="D132" s="55" t="s">
        <v>322</v>
      </c>
      <c r="E132" s="75" t="s">
        <v>450</v>
      </c>
      <c r="F132" s="55" t="s">
        <v>502</v>
      </c>
      <c r="G132" s="55">
        <v>918723004</v>
      </c>
      <c r="H132" s="55" t="s">
        <v>503</v>
      </c>
      <c r="I132" s="55">
        <v>75.650000000000006</v>
      </c>
      <c r="J132" s="55">
        <v>0</v>
      </c>
      <c r="K132" s="55">
        <v>0</v>
      </c>
      <c r="L132" s="55">
        <v>0</v>
      </c>
      <c r="M132" s="55">
        <v>1</v>
      </c>
      <c r="N132" s="55">
        <v>0</v>
      </c>
      <c r="O132" s="55">
        <v>0</v>
      </c>
      <c r="P132" s="2">
        <f t="shared" si="13"/>
        <v>0</v>
      </c>
      <c r="Q132" s="2">
        <f t="shared" si="14"/>
        <v>0</v>
      </c>
      <c r="R132" s="2">
        <f t="shared" si="15"/>
        <v>0</v>
      </c>
      <c r="S132" s="2">
        <f t="shared" si="16"/>
        <v>75.650000000000006</v>
      </c>
      <c r="T132" s="2">
        <f t="shared" si="17"/>
        <v>0</v>
      </c>
      <c r="U132" s="2">
        <f t="shared" si="18"/>
        <v>0</v>
      </c>
    </row>
    <row r="133" spans="1:21" hidden="1">
      <c r="A133" s="55">
        <v>130</v>
      </c>
      <c r="B133" s="55" t="s">
        <v>320</v>
      </c>
      <c r="C133" s="55" t="s">
        <v>414</v>
      </c>
      <c r="D133" s="55" t="s">
        <v>322</v>
      </c>
      <c r="E133" s="75" t="s">
        <v>1220</v>
      </c>
      <c r="F133" s="55" t="s">
        <v>363</v>
      </c>
      <c r="G133" s="55">
        <v>917226002</v>
      </c>
      <c r="H133" s="55" t="s">
        <v>1223</v>
      </c>
      <c r="I133" s="55">
        <v>57.95</v>
      </c>
      <c r="J133" s="55">
        <v>0</v>
      </c>
      <c r="K133" s="55">
        <v>10</v>
      </c>
      <c r="L133" s="55">
        <v>0</v>
      </c>
      <c r="M133" s="55">
        <v>0</v>
      </c>
      <c r="N133" s="55">
        <v>10</v>
      </c>
      <c r="O133" s="55">
        <v>0</v>
      </c>
      <c r="P133" s="2">
        <f t="shared" ref="P133:P149" si="19">J133*I133</f>
        <v>0</v>
      </c>
      <c r="Q133" s="2">
        <f t="shared" ref="Q133:Q149" si="20">K133*I133</f>
        <v>579.5</v>
      </c>
      <c r="R133" s="2">
        <f t="shared" ref="R133:R149" si="21">L133*I133</f>
        <v>0</v>
      </c>
      <c r="S133" s="2">
        <f t="shared" ref="S133:S149" si="22">M133*I133</f>
        <v>0</v>
      </c>
      <c r="T133" s="2">
        <f t="shared" ref="T133:T149" si="23">N133*I133</f>
        <v>579.5</v>
      </c>
      <c r="U133" s="2">
        <f t="shared" ref="U133:U149" si="24">O133*I133</f>
        <v>0</v>
      </c>
    </row>
    <row r="134" spans="1:21" hidden="1">
      <c r="A134" s="55">
        <v>131</v>
      </c>
      <c r="B134" s="55" t="s">
        <v>320</v>
      </c>
      <c r="C134" s="55" t="s">
        <v>414</v>
      </c>
      <c r="D134" s="55" t="s">
        <v>322</v>
      </c>
      <c r="E134" s="75" t="s">
        <v>1220</v>
      </c>
      <c r="F134" s="55" t="s">
        <v>365</v>
      </c>
      <c r="G134" s="55">
        <v>917226001</v>
      </c>
      <c r="H134" s="55" t="s">
        <v>1223</v>
      </c>
      <c r="I134" s="55">
        <v>57.95</v>
      </c>
      <c r="J134" s="55">
        <v>0</v>
      </c>
      <c r="K134" s="55">
        <v>10</v>
      </c>
      <c r="L134" s="55">
        <v>0</v>
      </c>
      <c r="M134" s="55">
        <v>0</v>
      </c>
      <c r="N134" s="55">
        <v>10</v>
      </c>
      <c r="O134" s="55">
        <v>0</v>
      </c>
      <c r="P134" s="2">
        <f t="shared" si="19"/>
        <v>0</v>
      </c>
      <c r="Q134" s="2">
        <f t="shared" si="20"/>
        <v>579.5</v>
      </c>
      <c r="R134" s="2">
        <f t="shared" si="21"/>
        <v>0</v>
      </c>
      <c r="S134" s="2">
        <f t="shared" si="22"/>
        <v>0</v>
      </c>
      <c r="T134" s="2">
        <f t="shared" si="23"/>
        <v>579.5</v>
      </c>
      <c r="U134" s="2">
        <f t="shared" si="24"/>
        <v>0</v>
      </c>
    </row>
    <row r="135" spans="1:21" hidden="1">
      <c r="A135" s="55">
        <v>132</v>
      </c>
      <c r="B135" s="55" t="s">
        <v>320</v>
      </c>
      <c r="C135" s="55" t="s">
        <v>414</v>
      </c>
      <c r="D135" s="55" t="s">
        <v>322</v>
      </c>
      <c r="E135" s="75" t="s">
        <v>504</v>
      </c>
      <c r="F135" s="55" t="s">
        <v>404</v>
      </c>
      <c r="G135" s="55">
        <v>914503003</v>
      </c>
      <c r="H135" s="55" t="s">
        <v>1222</v>
      </c>
      <c r="I135" s="55">
        <v>33.56</v>
      </c>
      <c r="J135" s="55">
        <v>10</v>
      </c>
      <c r="K135" s="55">
        <v>10</v>
      </c>
      <c r="L135" s="55">
        <v>0</v>
      </c>
      <c r="M135" s="55">
        <v>10</v>
      </c>
      <c r="N135" s="55">
        <v>0</v>
      </c>
      <c r="O135" s="55">
        <v>10</v>
      </c>
      <c r="P135" s="2">
        <f t="shared" si="19"/>
        <v>335.6</v>
      </c>
      <c r="Q135" s="2">
        <f t="shared" si="20"/>
        <v>335.6</v>
      </c>
      <c r="R135" s="2">
        <f t="shared" si="21"/>
        <v>0</v>
      </c>
      <c r="S135" s="2">
        <f t="shared" si="22"/>
        <v>335.6</v>
      </c>
      <c r="T135" s="2">
        <f t="shared" si="23"/>
        <v>0</v>
      </c>
      <c r="U135" s="2">
        <f t="shared" si="24"/>
        <v>335.6</v>
      </c>
    </row>
    <row r="136" spans="1:21" hidden="1">
      <c r="A136" s="55">
        <v>133</v>
      </c>
      <c r="B136" s="55" t="s">
        <v>320</v>
      </c>
      <c r="C136" s="55" t="s">
        <v>414</v>
      </c>
      <c r="D136" s="55" t="s">
        <v>322</v>
      </c>
      <c r="E136" s="75" t="s">
        <v>445</v>
      </c>
      <c r="F136" s="55" t="s">
        <v>505</v>
      </c>
      <c r="G136" s="55">
        <v>914501021</v>
      </c>
      <c r="H136" s="55" t="s">
        <v>466</v>
      </c>
      <c r="I136" s="55">
        <v>92.29</v>
      </c>
      <c r="J136" s="55">
        <v>1</v>
      </c>
      <c r="K136" s="55">
        <v>1</v>
      </c>
      <c r="L136" s="55">
        <v>1</v>
      </c>
      <c r="M136" s="55">
        <v>2</v>
      </c>
      <c r="N136" s="55">
        <v>1</v>
      </c>
      <c r="O136" s="55">
        <v>2</v>
      </c>
      <c r="P136" s="2">
        <f t="shared" si="19"/>
        <v>92.29</v>
      </c>
      <c r="Q136" s="2">
        <f t="shared" si="20"/>
        <v>92.29</v>
      </c>
      <c r="R136" s="2">
        <f t="shared" si="21"/>
        <v>92.29</v>
      </c>
      <c r="S136" s="2">
        <f t="shared" si="22"/>
        <v>184.58</v>
      </c>
      <c r="T136" s="2">
        <f t="shared" si="23"/>
        <v>92.29</v>
      </c>
      <c r="U136" s="2">
        <f t="shared" si="24"/>
        <v>184.58</v>
      </c>
    </row>
    <row r="137" spans="1:21" hidden="1">
      <c r="A137" s="55">
        <v>134</v>
      </c>
      <c r="B137" s="55" t="s">
        <v>320</v>
      </c>
      <c r="C137" s="55" t="s">
        <v>414</v>
      </c>
      <c r="D137" s="55" t="s">
        <v>322</v>
      </c>
      <c r="E137" s="75" t="s">
        <v>1221</v>
      </c>
      <c r="F137" s="55" t="s">
        <v>393</v>
      </c>
      <c r="G137" s="55">
        <v>917901003</v>
      </c>
      <c r="H137" s="55" t="s">
        <v>417</v>
      </c>
      <c r="I137" s="55">
        <v>212.96</v>
      </c>
      <c r="J137" s="55">
        <v>0</v>
      </c>
      <c r="K137" s="55">
        <v>0</v>
      </c>
      <c r="L137" s="55">
        <v>1</v>
      </c>
      <c r="M137" s="55">
        <v>3</v>
      </c>
      <c r="N137" s="55">
        <v>3</v>
      </c>
      <c r="O137" s="55">
        <v>2</v>
      </c>
      <c r="P137" s="2">
        <f t="shared" si="19"/>
        <v>0</v>
      </c>
      <c r="Q137" s="2">
        <f t="shared" si="20"/>
        <v>0</v>
      </c>
      <c r="R137" s="2">
        <f t="shared" si="21"/>
        <v>212.96</v>
      </c>
      <c r="S137" s="2">
        <f t="shared" si="22"/>
        <v>638.88</v>
      </c>
      <c r="T137" s="2">
        <f t="shared" si="23"/>
        <v>638.88</v>
      </c>
      <c r="U137" s="2">
        <f t="shared" si="24"/>
        <v>425.92</v>
      </c>
    </row>
    <row r="138" spans="1:21" hidden="1">
      <c r="A138" s="55">
        <v>135</v>
      </c>
      <c r="B138" s="55" t="s">
        <v>320</v>
      </c>
      <c r="C138" s="55" t="s">
        <v>414</v>
      </c>
      <c r="D138" s="55" t="s">
        <v>322</v>
      </c>
      <c r="E138" s="75" t="s">
        <v>450</v>
      </c>
      <c r="F138" s="55" t="s">
        <v>506</v>
      </c>
      <c r="G138" s="55">
        <v>918711001</v>
      </c>
      <c r="H138" s="55" t="s">
        <v>507</v>
      </c>
      <c r="I138" s="55">
        <v>80.61</v>
      </c>
      <c r="J138" s="55">
        <v>0</v>
      </c>
      <c r="K138" s="55">
        <v>0</v>
      </c>
      <c r="L138" s="55">
        <v>0</v>
      </c>
      <c r="M138" s="55">
        <v>1</v>
      </c>
      <c r="N138" s="55">
        <v>0</v>
      </c>
      <c r="O138" s="55">
        <v>1</v>
      </c>
      <c r="P138" s="2">
        <f t="shared" si="19"/>
        <v>0</v>
      </c>
      <c r="Q138" s="2">
        <f t="shared" si="20"/>
        <v>0</v>
      </c>
      <c r="R138" s="2">
        <f t="shared" si="21"/>
        <v>0</v>
      </c>
      <c r="S138" s="2">
        <f t="shared" si="22"/>
        <v>80.61</v>
      </c>
      <c r="T138" s="2">
        <f t="shared" si="23"/>
        <v>0</v>
      </c>
      <c r="U138" s="2">
        <f t="shared" si="24"/>
        <v>80.61</v>
      </c>
    </row>
    <row r="139" spans="1:21" hidden="1">
      <c r="A139" s="55">
        <v>136</v>
      </c>
      <c r="B139" s="55" t="s">
        <v>320</v>
      </c>
      <c r="C139" s="55" t="s">
        <v>414</v>
      </c>
      <c r="D139" s="55" t="s">
        <v>322</v>
      </c>
      <c r="E139" s="75" t="s">
        <v>420</v>
      </c>
      <c r="F139" s="55" t="s">
        <v>508</v>
      </c>
      <c r="G139" s="55">
        <v>916805015</v>
      </c>
      <c r="H139" s="55" t="s">
        <v>509</v>
      </c>
      <c r="I139" s="55">
        <v>50.75</v>
      </c>
      <c r="J139" s="55">
        <v>1</v>
      </c>
      <c r="K139" s="55">
        <v>1</v>
      </c>
      <c r="L139" s="55">
        <v>1</v>
      </c>
      <c r="M139" s="55">
        <v>1</v>
      </c>
      <c r="N139" s="55">
        <v>1</v>
      </c>
      <c r="O139" s="55">
        <v>1</v>
      </c>
      <c r="P139" s="2">
        <f t="shared" si="19"/>
        <v>50.75</v>
      </c>
      <c r="Q139" s="2">
        <f t="shared" si="20"/>
        <v>50.75</v>
      </c>
      <c r="R139" s="2">
        <f t="shared" si="21"/>
        <v>50.75</v>
      </c>
      <c r="S139" s="2">
        <f t="shared" si="22"/>
        <v>50.75</v>
      </c>
      <c r="T139" s="2">
        <f t="shared" si="23"/>
        <v>50.75</v>
      </c>
      <c r="U139" s="2">
        <f t="shared" si="24"/>
        <v>50.75</v>
      </c>
    </row>
    <row r="140" spans="1:21" hidden="1">
      <c r="A140" s="55">
        <v>137</v>
      </c>
      <c r="B140" s="55" t="s">
        <v>320</v>
      </c>
      <c r="C140" s="55" t="s">
        <v>414</v>
      </c>
      <c r="D140" s="55" t="s">
        <v>322</v>
      </c>
      <c r="E140" s="75" t="s">
        <v>1221</v>
      </c>
      <c r="F140" s="55" t="s">
        <v>398</v>
      </c>
      <c r="G140" s="55">
        <v>917904003</v>
      </c>
      <c r="H140" s="55" t="s">
        <v>440</v>
      </c>
      <c r="I140" s="55">
        <v>337.76</v>
      </c>
      <c r="J140" s="55">
        <v>0</v>
      </c>
      <c r="K140" s="55">
        <v>5</v>
      </c>
      <c r="L140" s="55">
        <v>5</v>
      </c>
      <c r="M140" s="55">
        <v>5</v>
      </c>
      <c r="N140" s="55">
        <v>5</v>
      </c>
      <c r="O140" s="55">
        <v>5</v>
      </c>
      <c r="P140" s="2">
        <f t="shared" si="19"/>
        <v>0</v>
      </c>
      <c r="Q140" s="2">
        <f t="shared" si="20"/>
        <v>1688.8</v>
      </c>
      <c r="R140" s="2">
        <f t="shared" si="21"/>
        <v>1688.8</v>
      </c>
      <c r="S140" s="2">
        <f t="shared" si="22"/>
        <v>1688.8</v>
      </c>
      <c r="T140" s="2">
        <f t="shared" si="23"/>
        <v>1688.8</v>
      </c>
      <c r="U140" s="2">
        <f t="shared" si="24"/>
        <v>1688.8</v>
      </c>
    </row>
    <row r="141" spans="1:21" hidden="1">
      <c r="A141" s="55">
        <v>138</v>
      </c>
      <c r="B141" s="55" t="s">
        <v>320</v>
      </c>
      <c r="C141" s="55" t="s">
        <v>414</v>
      </c>
      <c r="D141" s="55" t="s">
        <v>322</v>
      </c>
      <c r="E141" s="75" t="s">
        <v>1221</v>
      </c>
      <c r="F141" s="55" t="s">
        <v>399</v>
      </c>
      <c r="G141" s="55">
        <v>917904004</v>
      </c>
      <c r="H141" s="55" t="s">
        <v>443</v>
      </c>
      <c r="I141" s="55">
        <v>337.76</v>
      </c>
      <c r="J141" s="55">
        <v>2</v>
      </c>
      <c r="K141" s="55">
        <v>3</v>
      </c>
      <c r="L141" s="55">
        <v>3</v>
      </c>
      <c r="M141" s="55">
        <v>4</v>
      </c>
      <c r="N141" s="55">
        <v>3</v>
      </c>
      <c r="O141" s="55">
        <v>3</v>
      </c>
      <c r="P141" s="2">
        <f t="shared" si="19"/>
        <v>675.52</v>
      </c>
      <c r="Q141" s="2">
        <f t="shared" si="20"/>
        <v>1013.28</v>
      </c>
      <c r="R141" s="2">
        <f t="shared" si="21"/>
        <v>1013.28</v>
      </c>
      <c r="S141" s="2">
        <f t="shared" si="22"/>
        <v>1351.04</v>
      </c>
      <c r="T141" s="2">
        <f t="shared" si="23"/>
        <v>1013.28</v>
      </c>
      <c r="U141" s="2">
        <f t="shared" si="24"/>
        <v>1013.28</v>
      </c>
    </row>
    <row r="142" spans="1:21" hidden="1">
      <c r="A142" s="55">
        <v>139</v>
      </c>
      <c r="B142" s="55" t="s">
        <v>320</v>
      </c>
      <c r="C142" s="55" t="s">
        <v>414</v>
      </c>
      <c r="D142" s="55" t="s">
        <v>322</v>
      </c>
      <c r="E142" s="75" t="s">
        <v>420</v>
      </c>
      <c r="F142" s="55" t="s">
        <v>510</v>
      </c>
      <c r="G142" s="55">
        <v>916805016</v>
      </c>
      <c r="H142" s="55" t="s">
        <v>511</v>
      </c>
      <c r="I142" s="55">
        <v>50.75</v>
      </c>
      <c r="J142" s="55">
        <v>1</v>
      </c>
      <c r="K142" s="55">
        <v>2</v>
      </c>
      <c r="L142" s="55">
        <v>1</v>
      </c>
      <c r="M142" s="55">
        <v>2</v>
      </c>
      <c r="N142" s="55">
        <v>2</v>
      </c>
      <c r="O142" s="55">
        <v>1</v>
      </c>
      <c r="P142" s="2">
        <f t="shared" si="19"/>
        <v>50.75</v>
      </c>
      <c r="Q142" s="2">
        <f t="shared" si="20"/>
        <v>101.5</v>
      </c>
      <c r="R142" s="2">
        <f t="shared" si="21"/>
        <v>50.75</v>
      </c>
      <c r="S142" s="2">
        <f t="shared" si="22"/>
        <v>101.5</v>
      </c>
      <c r="T142" s="2">
        <f t="shared" si="23"/>
        <v>101.5</v>
      </c>
      <c r="U142" s="2">
        <f t="shared" si="24"/>
        <v>50.75</v>
      </c>
    </row>
    <row r="143" spans="1:21" hidden="1">
      <c r="A143" s="55">
        <v>140</v>
      </c>
      <c r="B143" s="55" t="s">
        <v>320</v>
      </c>
      <c r="C143" s="55" t="s">
        <v>414</v>
      </c>
      <c r="D143" s="55" t="s">
        <v>322</v>
      </c>
      <c r="E143" s="75" t="s">
        <v>450</v>
      </c>
      <c r="F143" s="55" t="s">
        <v>512</v>
      </c>
      <c r="G143" s="55">
        <v>918704003</v>
      </c>
      <c r="H143" s="55" t="s">
        <v>443</v>
      </c>
      <c r="I143" s="55">
        <v>400</v>
      </c>
      <c r="J143" s="55">
        <v>0</v>
      </c>
      <c r="K143" s="55">
        <v>1</v>
      </c>
      <c r="L143" s="55">
        <v>1</v>
      </c>
      <c r="M143" s="55">
        <v>1</v>
      </c>
      <c r="N143" s="55">
        <v>1</v>
      </c>
      <c r="O143" s="55">
        <v>1</v>
      </c>
      <c r="P143" s="2">
        <f t="shared" si="19"/>
        <v>0</v>
      </c>
      <c r="Q143" s="2">
        <f t="shared" si="20"/>
        <v>400</v>
      </c>
      <c r="R143" s="2">
        <f t="shared" si="21"/>
        <v>400</v>
      </c>
      <c r="S143" s="2">
        <f t="shared" si="22"/>
        <v>400</v>
      </c>
      <c r="T143" s="2">
        <f t="shared" si="23"/>
        <v>400</v>
      </c>
      <c r="U143" s="2">
        <f t="shared" si="24"/>
        <v>400</v>
      </c>
    </row>
    <row r="144" spans="1:21" hidden="1">
      <c r="A144" s="55">
        <v>141</v>
      </c>
      <c r="B144" s="55" t="s">
        <v>320</v>
      </c>
      <c r="C144" s="55" t="s">
        <v>414</v>
      </c>
      <c r="D144" s="55" t="s">
        <v>322</v>
      </c>
      <c r="E144" s="75" t="s">
        <v>450</v>
      </c>
      <c r="F144" s="55" t="s">
        <v>513</v>
      </c>
      <c r="G144" s="55">
        <v>918705007</v>
      </c>
      <c r="H144" s="55" t="s">
        <v>514</v>
      </c>
      <c r="I144" s="55">
        <v>114.34</v>
      </c>
      <c r="J144" s="55">
        <v>1</v>
      </c>
      <c r="K144" s="55">
        <v>1</v>
      </c>
      <c r="L144" s="55">
        <v>1</v>
      </c>
      <c r="M144" s="55">
        <v>1</v>
      </c>
      <c r="N144" s="55">
        <v>1</v>
      </c>
      <c r="O144" s="55">
        <v>2</v>
      </c>
      <c r="P144" s="2">
        <f t="shared" si="19"/>
        <v>114.34</v>
      </c>
      <c r="Q144" s="2">
        <f t="shared" si="20"/>
        <v>114.34</v>
      </c>
      <c r="R144" s="2">
        <f t="shared" si="21"/>
        <v>114.34</v>
      </c>
      <c r="S144" s="2">
        <f t="shared" si="22"/>
        <v>114.34</v>
      </c>
      <c r="T144" s="2">
        <f t="shared" si="23"/>
        <v>114.34</v>
      </c>
      <c r="U144" s="2">
        <f t="shared" si="24"/>
        <v>228.68</v>
      </c>
    </row>
    <row r="145" spans="1:21" hidden="1">
      <c r="A145" s="55">
        <v>142</v>
      </c>
      <c r="B145" s="55" t="s">
        <v>320</v>
      </c>
      <c r="C145" s="55" t="s">
        <v>414</v>
      </c>
      <c r="D145" s="55" t="s">
        <v>322</v>
      </c>
      <c r="E145" s="75" t="s">
        <v>450</v>
      </c>
      <c r="F145" s="55" t="s">
        <v>515</v>
      </c>
      <c r="G145" s="55">
        <v>918723003</v>
      </c>
      <c r="H145" s="55" t="s">
        <v>516</v>
      </c>
      <c r="I145" s="55">
        <v>75.650000000000006</v>
      </c>
      <c r="J145" s="55">
        <v>0</v>
      </c>
      <c r="K145" s="55">
        <v>0</v>
      </c>
      <c r="L145" s="55">
        <v>1</v>
      </c>
      <c r="M145" s="55">
        <v>0</v>
      </c>
      <c r="N145" s="55">
        <v>1</v>
      </c>
      <c r="O145" s="55">
        <v>1</v>
      </c>
      <c r="P145" s="2">
        <f t="shared" si="19"/>
        <v>0</v>
      </c>
      <c r="Q145" s="2">
        <f t="shared" si="20"/>
        <v>0</v>
      </c>
      <c r="R145" s="2">
        <f t="shared" si="21"/>
        <v>75.650000000000006</v>
      </c>
      <c r="S145" s="2">
        <f t="shared" si="22"/>
        <v>0</v>
      </c>
      <c r="T145" s="2">
        <f t="shared" si="23"/>
        <v>75.650000000000006</v>
      </c>
      <c r="U145" s="2">
        <f t="shared" si="24"/>
        <v>75.650000000000006</v>
      </c>
    </row>
    <row r="146" spans="1:21" hidden="1">
      <c r="A146" s="55">
        <v>143</v>
      </c>
      <c r="B146" s="55" t="s">
        <v>320</v>
      </c>
      <c r="C146" s="55" t="s">
        <v>414</v>
      </c>
      <c r="D146" s="55" t="s">
        <v>322</v>
      </c>
      <c r="E146" s="75" t="s">
        <v>450</v>
      </c>
      <c r="F146" s="55" t="s">
        <v>385</v>
      </c>
      <c r="G146" s="55">
        <v>918703001</v>
      </c>
      <c r="H146" s="55" t="s">
        <v>461</v>
      </c>
      <c r="I146" s="55">
        <v>68.45</v>
      </c>
      <c r="J146" s="55">
        <v>1</v>
      </c>
      <c r="K146" s="55">
        <v>1</v>
      </c>
      <c r="L146" s="55">
        <v>1</v>
      </c>
      <c r="M146" s="55">
        <v>1</v>
      </c>
      <c r="N146" s="55">
        <v>1</v>
      </c>
      <c r="O146" s="55">
        <v>1</v>
      </c>
      <c r="P146" s="2">
        <f t="shared" si="19"/>
        <v>68.45</v>
      </c>
      <c r="Q146" s="2">
        <f t="shared" si="20"/>
        <v>68.45</v>
      </c>
      <c r="R146" s="2">
        <f t="shared" si="21"/>
        <v>68.45</v>
      </c>
      <c r="S146" s="2">
        <f t="shared" si="22"/>
        <v>68.45</v>
      </c>
      <c r="T146" s="2">
        <f t="shared" si="23"/>
        <v>68.45</v>
      </c>
      <c r="U146" s="2">
        <f t="shared" si="24"/>
        <v>68.45</v>
      </c>
    </row>
    <row r="147" spans="1:21" hidden="1">
      <c r="A147" s="55">
        <v>144</v>
      </c>
      <c r="B147" s="55" t="s">
        <v>320</v>
      </c>
      <c r="C147" s="55" t="s">
        <v>414</v>
      </c>
      <c r="D147" s="55" t="s">
        <v>322</v>
      </c>
      <c r="E147" s="75" t="s">
        <v>1220</v>
      </c>
      <c r="F147" s="55" t="s">
        <v>374</v>
      </c>
      <c r="G147" s="55">
        <v>917201001</v>
      </c>
      <c r="H147" s="55" t="s">
        <v>1219</v>
      </c>
      <c r="I147" s="55">
        <v>230.56</v>
      </c>
      <c r="J147" s="55">
        <v>0</v>
      </c>
      <c r="K147" s="55">
        <v>0</v>
      </c>
      <c r="L147" s="55">
        <v>0</v>
      </c>
      <c r="M147" s="55">
        <v>1</v>
      </c>
      <c r="N147" s="55">
        <v>3</v>
      </c>
      <c r="O147" s="55">
        <v>2</v>
      </c>
      <c r="P147" s="2">
        <f t="shared" si="19"/>
        <v>0</v>
      </c>
      <c r="Q147" s="2">
        <f t="shared" si="20"/>
        <v>0</v>
      </c>
      <c r="R147" s="2">
        <f t="shared" si="21"/>
        <v>0</v>
      </c>
      <c r="S147" s="2">
        <f t="shared" si="22"/>
        <v>230.56</v>
      </c>
      <c r="T147" s="2">
        <f t="shared" si="23"/>
        <v>691.68000000000006</v>
      </c>
      <c r="U147" s="2">
        <f t="shared" si="24"/>
        <v>461.12</v>
      </c>
    </row>
    <row r="148" spans="1:21" hidden="1">
      <c r="A148" s="55">
        <v>145</v>
      </c>
      <c r="B148" s="55" t="s">
        <v>320</v>
      </c>
      <c r="C148" s="55" t="s">
        <v>414</v>
      </c>
      <c r="D148" s="55" t="s">
        <v>322</v>
      </c>
      <c r="E148" s="75" t="s">
        <v>504</v>
      </c>
      <c r="F148" s="55" t="s">
        <v>517</v>
      </c>
      <c r="G148" s="55">
        <v>915704008</v>
      </c>
      <c r="H148" s="55" t="s">
        <v>440</v>
      </c>
      <c r="I148" s="55">
        <v>791.99</v>
      </c>
      <c r="J148" s="55">
        <v>0</v>
      </c>
      <c r="K148" s="55">
        <v>0</v>
      </c>
      <c r="L148" s="55">
        <v>0</v>
      </c>
      <c r="M148" s="55">
        <v>0</v>
      </c>
      <c r="N148" s="55">
        <v>0</v>
      </c>
      <c r="O148" s="55">
        <v>0</v>
      </c>
      <c r="P148" s="2">
        <f t="shared" si="19"/>
        <v>0</v>
      </c>
      <c r="Q148" s="2">
        <f t="shared" si="20"/>
        <v>0</v>
      </c>
      <c r="R148" s="2">
        <f t="shared" si="21"/>
        <v>0</v>
      </c>
      <c r="S148" s="2">
        <f t="shared" si="22"/>
        <v>0</v>
      </c>
      <c r="T148" s="2">
        <f t="shared" si="23"/>
        <v>0</v>
      </c>
      <c r="U148" s="2">
        <f t="shared" si="24"/>
        <v>0</v>
      </c>
    </row>
    <row r="149" spans="1:21" hidden="1">
      <c r="A149" s="55">
        <v>146</v>
      </c>
      <c r="B149" s="55" t="s">
        <v>320</v>
      </c>
      <c r="C149" s="55" t="s">
        <v>414</v>
      </c>
      <c r="D149" s="55" t="s">
        <v>322</v>
      </c>
      <c r="E149" s="75" t="s">
        <v>504</v>
      </c>
      <c r="F149" s="55" t="s">
        <v>518</v>
      </c>
      <c r="G149" s="55">
        <v>915704007</v>
      </c>
      <c r="H149" s="55" t="s">
        <v>443</v>
      </c>
      <c r="I149" s="55">
        <v>791.99</v>
      </c>
      <c r="J149" s="55">
        <v>0</v>
      </c>
      <c r="K149" s="55">
        <v>0</v>
      </c>
      <c r="L149" s="55">
        <v>0</v>
      </c>
      <c r="M149" s="55">
        <v>0</v>
      </c>
      <c r="N149" s="55">
        <v>0</v>
      </c>
      <c r="O149" s="55">
        <v>0</v>
      </c>
      <c r="P149" s="2">
        <f t="shared" si="19"/>
        <v>0</v>
      </c>
      <c r="Q149" s="2">
        <f t="shared" si="20"/>
        <v>0</v>
      </c>
      <c r="R149" s="2">
        <f t="shared" si="21"/>
        <v>0</v>
      </c>
      <c r="S149" s="2">
        <f t="shared" si="22"/>
        <v>0</v>
      </c>
      <c r="T149" s="2">
        <f t="shared" si="23"/>
        <v>0</v>
      </c>
      <c r="U149" s="2">
        <f t="shared" si="24"/>
        <v>0</v>
      </c>
    </row>
  </sheetData>
  <autoFilter ref="A3:U149" xr:uid="{28790D79-CF2C-495E-A0A9-C021017E7551}">
    <filterColumn colId="4">
      <filters>
        <filter val="PY1B"/>
      </filters>
    </filterColumn>
  </autoFilter>
  <mergeCells count="2">
    <mergeCell ref="J2:O2"/>
    <mergeCell ref="P2:U2"/>
  </mergeCells>
  <pageMargins left="0.2" right="0.2" top="0.2" bottom="0.2" header="0.2" footer="0.2"/>
  <pageSetup paperSize="9" scale="60" fitToHeight="0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471A-1C39-4453-B6F7-77345432E5E8}">
  <sheetPr filterMode="1">
    <pageSetUpPr fitToPage="1"/>
  </sheetPr>
  <dimension ref="A1:U82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J4" sqref="J4:J74"/>
    </sheetView>
  </sheetViews>
  <sheetFormatPr defaultColWidth="9.1796875" defaultRowHeight="14.5"/>
  <cols>
    <col min="1" max="1" width="6.1796875" customWidth="1"/>
    <col min="2" max="2" width="11" bestFit="1" customWidth="1"/>
    <col min="3" max="4" width="14.81640625" bestFit="1" customWidth="1"/>
    <col min="5" max="5" width="13.81640625" style="3" bestFit="1" customWidth="1"/>
    <col min="6" max="6" width="14.1796875" bestFit="1" customWidth="1"/>
    <col min="7" max="7" width="13.81640625" bestFit="1" customWidth="1"/>
    <col min="8" max="8" width="28.81640625" bestFit="1" customWidth="1"/>
    <col min="9" max="9" width="14.81640625" bestFit="1" customWidth="1"/>
    <col min="10" max="12" width="11" style="26" customWidth="1"/>
    <col min="13" max="13" width="9.81640625" bestFit="1" customWidth="1"/>
    <col min="14" max="14" width="9.453125" bestFit="1" customWidth="1"/>
    <col min="15" max="15" width="10" bestFit="1" customWidth="1"/>
    <col min="16" max="18" width="14.81640625" bestFit="1" customWidth="1"/>
    <col min="19" max="21" width="11.81640625" customWidth="1"/>
  </cols>
  <sheetData>
    <row r="1" spans="1:21" ht="16" thickBot="1">
      <c r="A1" s="15" t="s">
        <v>1121</v>
      </c>
      <c r="P1" s="8">
        <f t="shared" ref="P1:U1" si="0">SUBTOTAL(9,P4:P82)/100000</f>
        <v>235.7723647</v>
      </c>
      <c r="Q1" s="8">
        <f t="shared" si="0"/>
        <v>232.54904549999998</v>
      </c>
      <c r="R1" s="8">
        <f>SUBTOTAL(9,R4:R82)/100000</f>
        <v>242.6521468</v>
      </c>
      <c r="S1" s="8">
        <f t="shared" si="0"/>
        <v>222.86136349999998</v>
      </c>
      <c r="T1" s="8">
        <f t="shared" si="0"/>
        <v>0</v>
      </c>
      <c r="U1" s="8">
        <f t="shared" si="0"/>
        <v>0</v>
      </c>
    </row>
    <row r="2" spans="1:21" ht="16" thickBot="1">
      <c r="J2" s="333" t="s">
        <v>314</v>
      </c>
      <c r="K2" s="334"/>
      <c r="L2" s="334"/>
      <c r="M2" s="334"/>
      <c r="N2" s="334"/>
      <c r="O2" s="335"/>
      <c r="P2" s="336" t="s">
        <v>318</v>
      </c>
      <c r="Q2" s="337"/>
      <c r="R2" s="337"/>
      <c r="S2" s="337"/>
      <c r="T2" s="337"/>
      <c r="U2" s="338"/>
    </row>
    <row r="3" spans="1:21" ht="29.5" thickBot="1">
      <c r="A3" s="11" t="s">
        <v>1122</v>
      </c>
      <c r="B3" s="12" t="s">
        <v>302</v>
      </c>
      <c r="C3" s="12" t="s">
        <v>303</v>
      </c>
      <c r="D3" s="12" t="s">
        <v>304</v>
      </c>
      <c r="E3" s="12" t="s">
        <v>293</v>
      </c>
      <c r="F3" s="13" t="s">
        <v>241</v>
      </c>
      <c r="G3" s="13" t="s">
        <v>242</v>
      </c>
      <c r="H3" s="13" t="s">
        <v>243</v>
      </c>
      <c r="I3" s="19" t="s">
        <v>315</v>
      </c>
      <c r="J3" s="27" t="s">
        <v>316</v>
      </c>
      <c r="K3" s="28" t="s">
        <v>317</v>
      </c>
      <c r="L3" s="28" t="s">
        <v>319</v>
      </c>
      <c r="M3" s="28" t="s">
        <v>1211</v>
      </c>
      <c r="N3" s="29" t="s">
        <v>1213</v>
      </c>
      <c r="O3" s="29" t="s">
        <v>1282</v>
      </c>
      <c r="P3" s="14" t="s">
        <v>316</v>
      </c>
      <c r="Q3" s="14" t="s">
        <v>317</v>
      </c>
      <c r="R3" s="14" t="s">
        <v>319</v>
      </c>
      <c r="S3" s="14" t="s">
        <v>1211</v>
      </c>
      <c r="T3" s="43" t="s">
        <v>1213</v>
      </c>
      <c r="U3" s="43" t="s">
        <v>1282</v>
      </c>
    </row>
    <row r="4" spans="1:21">
      <c r="A4" s="30">
        <v>1</v>
      </c>
      <c r="B4" s="30" t="s">
        <v>1123</v>
      </c>
      <c r="C4" s="31" t="s">
        <v>1124</v>
      </c>
      <c r="D4" s="31" t="s">
        <v>1125</v>
      </c>
      <c r="E4" s="32" t="s">
        <v>1126</v>
      </c>
      <c r="F4" s="33">
        <v>282972506309</v>
      </c>
      <c r="G4" s="33">
        <v>914204007</v>
      </c>
      <c r="H4" s="34" t="s">
        <v>1127</v>
      </c>
      <c r="I4" s="35">
        <v>257.61</v>
      </c>
      <c r="J4" s="36">
        <v>12700</v>
      </c>
      <c r="K4" s="36">
        <v>12300</v>
      </c>
      <c r="L4" s="36">
        <v>13598</v>
      </c>
      <c r="M4" s="36">
        <v>12408</v>
      </c>
      <c r="N4" s="23"/>
      <c r="O4" s="37"/>
      <c r="P4" s="5">
        <f t="shared" ref="P4:P67" si="1">J4*I4</f>
        <v>3271647</v>
      </c>
      <c r="Q4" s="1">
        <f t="shared" ref="Q4:Q68" si="2">K4*I4</f>
        <v>3168603</v>
      </c>
      <c r="R4" s="1">
        <f t="shared" ref="R4:R68" si="3">L4*I4</f>
        <v>3502980.7800000003</v>
      </c>
      <c r="S4" s="1">
        <f t="shared" ref="S4:S67" si="4">M4*I4</f>
        <v>3196424.8800000004</v>
      </c>
      <c r="T4" s="1">
        <f t="shared" ref="T4:T67" si="5">N4*I4</f>
        <v>0</v>
      </c>
      <c r="U4" s="44">
        <f t="shared" ref="U4:U67" si="6">O4*I4</f>
        <v>0</v>
      </c>
    </row>
    <row r="5" spans="1:21">
      <c r="A5" s="20">
        <v>2</v>
      </c>
      <c r="B5" s="20" t="s">
        <v>1123</v>
      </c>
      <c r="C5" s="9" t="s">
        <v>1124</v>
      </c>
      <c r="D5" s="9" t="s">
        <v>1125</v>
      </c>
      <c r="E5" s="21" t="s">
        <v>1126</v>
      </c>
      <c r="F5" s="38">
        <v>282972506310</v>
      </c>
      <c r="G5" s="38">
        <v>914204008</v>
      </c>
      <c r="H5" s="39" t="s">
        <v>1128</v>
      </c>
      <c r="I5" s="40">
        <v>257.61</v>
      </c>
      <c r="J5" s="41">
        <v>12700</v>
      </c>
      <c r="K5" s="41">
        <v>12300</v>
      </c>
      <c r="L5" s="41">
        <v>13598</v>
      </c>
      <c r="M5" s="41">
        <v>12408</v>
      </c>
      <c r="N5" s="4"/>
      <c r="O5" s="42"/>
      <c r="P5" s="6">
        <f t="shared" si="1"/>
        <v>3271647</v>
      </c>
      <c r="Q5" s="2">
        <f t="shared" si="2"/>
        <v>3168603</v>
      </c>
      <c r="R5" s="2">
        <f t="shared" si="3"/>
        <v>3502980.7800000003</v>
      </c>
      <c r="S5" s="2">
        <f t="shared" si="4"/>
        <v>3196424.8800000004</v>
      </c>
      <c r="T5" s="2">
        <f t="shared" si="5"/>
        <v>0</v>
      </c>
      <c r="U5" s="7">
        <f t="shared" si="6"/>
        <v>0</v>
      </c>
    </row>
    <row r="6" spans="1:21">
      <c r="A6" s="20">
        <v>3</v>
      </c>
      <c r="B6" s="20" t="s">
        <v>1123</v>
      </c>
      <c r="C6" s="9" t="s">
        <v>1124</v>
      </c>
      <c r="D6" s="9" t="s">
        <v>1125</v>
      </c>
      <c r="E6" s="21" t="s">
        <v>1126</v>
      </c>
      <c r="F6" s="38">
        <v>282972306312</v>
      </c>
      <c r="G6" s="38">
        <v>914205001</v>
      </c>
      <c r="H6" s="122" t="s">
        <v>1129</v>
      </c>
      <c r="I6" s="40">
        <v>76.55</v>
      </c>
      <c r="J6" s="41">
        <v>12700</v>
      </c>
      <c r="K6" s="41">
        <v>12300</v>
      </c>
      <c r="L6" s="41">
        <v>13598</v>
      </c>
      <c r="M6" s="41">
        <v>12408</v>
      </c>
      <c r="N6" s="4"/>
      <c r="O6" s="42"/>
      <c r="P6" s="6">
        <f t="shared" si="1"/>
        <v>972185</v>
      </c>
      <c r="Q6" s="2">
        <f t="shared" si="2"/>
        <v>941565</v>
      </c>
      <c r="R6" s="2">
        <f t="shared" si="3"/>
        <v>1040926.8999999999</v>
      </c>
      <c r="S6" s="2">
        <f t="shared" si="4"/>
        <v>949832.39999999991</v>
      </c>
      <c r="T6" s="2">
        <f t="shared" si="5"/>
        <v>0</v>
      </c>
      <c r="U6" s="7">
        <f t="shared" si="6"/>
        <v>0</v>
      </c>
    </row>
    <row r="7" spans="1:21">
      <c r="A7" s="20">
        <v>4</v>
      </c>
      <c r="B7" s="20" t="s">
        <v>1123</v>
      </c>
      <c r="C7" s="9" t="s">
        <v>1124</v>
      </c>
      <c r="D7" s="9" t="s">
        <v>1125</v>
      </c>
      <c r="E7" s="21" t="s">
        <v>1126</v>
      </c>
      <c r="F7" s="38">
        <v>282972306313</v>
      </c>
      <c r="G7" s="38">
        <v>914205002</v>
      </c>
      <c r="H7" s="122" t="s">
        <v>1130</v>
      </c>
      <c r="I7" s="40">
        <v>76.55</v>
      </c>
      <c r="J7" s="41">
        <v>12700</v>
      </c>
      <c r="K7" s="41">
        <v>12300</v>
      </c>
      <c r="L7" s="41">
        <v>13598</v>
      </c>
      <c r="M7" s="41">
        <v>12408</v>
      </c>
      <c r="N7" s="4"/>
      <c r="O7" s="42"/>
      <c r="P7" s="6">
        <f t="shared" si="1"/>
        <v>972185</v>
      </c>
      <c r="Q7" s="2">
        <f t="shared" si="2"/>
        <v>941565</v>
      </c>
      <c r="R7" s="2">
        <f t="shared" si="3"/>
        <v>1040926.8999999999</v>
      </c>
      <c r="S7" s="2">
        <f t="shared" si="4"/>
        <v>949832.39999999991</v>
      </c>
      <c r="T7" s="2">
        <f t="shared" si="5"/>
        <v>0</v>
      </c>
      <c r="U7" s="7">
        <f t="shared" si="6"/>
        <v>0</v>
      </c>
    </row>
    <row r="8" spans="1:21">
      <c r="A8" s="20">
        <v>5</v>
      </c>
      <c r="B8" s="20" t="s">
        <v>1123</v>
      </c>
      <c r="C8" s="9" t="s">
        <v>1124</v>
      </c>
      <c r="D8" s="9" t="s">
        <v>1125</v>
      </c>
      <c r="E8" s="21" t="s">
        <v>1126</v>
      </c>
      <c r="F8" s="38">
        <v>282972306314</v>
      </c>
      <c r="G8" s="38">
        <v>914205004</v>
      </c>
      <c r="H8" s="122" t="s">
        <v>1131</v>
      </c>
      <c r="I8" s="40">
        <v>77.180000000000007</v>
      </c>
      <c r="J8" s="41">
        <v>12700</v>
      </c>
      <c r="K8" s="41">
        <v>12300</v>
      </c>
      <c r="L8" s="41">
        <v>13598</v>
      </c>
      <c r="M8" s="41">
        <v>12408</v>
      </c>
      <c r="N8" s="4"/>
      <c r="O8" s="42"/>
      <c r="P8" s="6">
        <f t="shared" si="1"/>
        <v>980186.00000000012</v>
      </c>
      <c r="Q8" s="2">
        <f t="shared" si="2"/>
        <v>949314.00000000012</v>
      </c>
      <c r="R8" s="2">
        <f t="shared" si="3"/>
        <v>1049493.6400000001</v>
      </c>
      <c r="S8" s="2">
        <f t="shared" si="4"/>
        <v>957649.44000000006</v>
      </c>
      <c r="T8" s="2">
        <f t="shared" si="5"/>
        <v>0</v>
      </c>
      <c r="U8" s="7">
        <f t="shared" si="6"/>
        <v>0</v>
      </c>
    </row>
    <row r="9" spans="1:21">
      <c r="A9" s="20">
        <v>6</v>
      </c>
      <c r="B9" s="20" t="s">
        <v>1123</v>
      </c>
      <c r="C9" s="9" t="s">
        <v>1124</v>
      </c>
      <c r="D9" s="9" t="s">
        <v>1125</v>
      </c>
      <c r="E9" s="21" t="s">
        <v>1126</v>
      </c>
      <c r="F9" s="38">
        <v>282972306315</v>
      </c>
      <c r="G9" s="38">
        <v>914205003</v>
      </c>
      <c r="H9" s="39" t="s">
        <v>1132</v>
      </c>
      <c r="I9" s="40">
        <v>77.180000000000007</v>
      </c>
      <c r="J9" s="41">
        <v>12700</v>
      </c>
      <c r="K9" s="41">
        <v>12300</v>
      </c>
      <c r="L9" s="41">
        <v>13598</v>
      </c>
      <c r="M9" s="41">
        <v>12408</v>
      </c>
      <c r="N9" s="4"/>
      <c r="O9" s="42"/>
      <c r="P9" s="6">
        <f t="shared" si="1"/>
        <v>980186.00000000012</v>
      </c>
      <c r="Q9" s="2">
        <f t="shared" si="2"/>
        <v>949314.00000000012</v>
      </c>
      <c r="R9" s="2">
        <f t="shared" si="3"/>
        <v>1049493.6400000001</v>
      </c>
      <c r="S9" s="2">
        <f t="shared" si="4"/>
        <v>957649.44000000006</v>
      </c>
      <c r="T9" s="2">
        <f t="shared" si="5"/>
        <v>0</v>
      </c>
      <c r="U9" s="7">
        <f t="shared" si="6"/>
        <v>0</v>
      </c>
    </row>
    <row r="10" spans="1:21">
      <c r="A10" s="20">
        <v>7</v>
      </c>
      <c r="B10" s="20" t="s">
        <v>1123</v>
      </c>
      <c r="C10" s="9" t="s">
        <v>1124</v>
      </c>
      <c r="D10" s="9" t="s">
        <v>1125</v>
      </c>
      <c r="E10" s="21" t="s">
        <v>1126</v>
      </c>
      <c r="F10" s="38">
        <v>282972506311</v>
      </c>
      <c r="G10" s="38">
        <v>914201001</v>
      </c>
      <c r="H10" s="39" t="s">
        <v>746</v>
      </c>
      <c r="I10" s="40">
        <v>270.61</v>
      </c>
      <c r="J10" s="41">
        <v>12700</v>
      </c>
      <c r="K10" s="41">
        <v>12300</v>
      </c>
      <c r="L10" s="41">
        <v>13598</v>
      </c>
      <c r="M10" s="41">
        <v>12408</v>
      </c>
      <c r="N10" s="4"/>
      <c r="O10" s="42"/>
      <c r="P10" s="6">
        <f t="shared" si="1"/>
        <v>3436747</v>
      </c>
      <c r="Q10" s="2">
        <f t="shared" si="2"/>
        <v>3328503</v>
      </c>
      <c r="R10" s="2">
        <f t="shared" si="3"/>
        <v>3679754.7800000003</v>
      </c>
      <c r="S10" s="2">
        <f t="shared" si="4"/>
        <v>3357728.8800000004</v>
      </c>
      <c r="T10" s="2">
        <f t="shared" si="5"/>
        <v>0</v>
      </c>
      <c r="U10" s="7">
        <f t="shared" si="6"/>
        <v>0</v>
      </c>
    </row>
    <row r="11" spans="1:21">
      <c r="A11" s="20">
        <v>8</v>
      </c>
      <c r="B11" s="20" t="s">
        <v>1123</v>
      </c>
      <c r="C11" s="9" t="s">
        <v>1124</v>
      </c>
      <c r="D11" s="9" t="s">
        <v>1125</v>
      </c>
      <c r="E11" s="21" t="s">
        <v>1126</v>
      </c>
      <c r="F11" s="38">
        <v>282972506312</v>
      </c>
      <c r="G11" s="38">
        <v>914201002</v>
      </c>
      <c r="H11" s="122" t="s">
        <v>744</v>
      </c>
      <c r="I11" s="40">
        <v>270.61</v>
      </c>
      <c r="J11" s="41">
        <v>12700</v>
      </c>
      <c r="K11" s="41">
        <v>12300</v>
      </c>
      <c r="L11" s="41">
        <v>13598</v>
      </c>
      <c r="M11" s="41">
        <v>12408</v>
      </c>
      <c r="N11" s="4"/>
      <c r="O11" s="42"/>
      <c r="P11" s="6">
        <f t="shared" si="1"/>
        <v>3436747</v>
      </c>
      <c r="Q11" s="2">
        <f t="shared" si="2"/>
        <v>3328503</v>
      </c>
      <c r="R11" s="2">
        <f t="shared" si="3"/>
        <v>3679754.7800000003</v>
      </c>
      <c r="S11" s="2">
        <f t="shared" si="4"/>
        <v>3357728.8800000004</v>
      </c>
      <c r="T11" s="2">
        <f t="shared" si="5"/>
        <v>0</v>
      </c>
      <c r="U11" s="7">
        <f t="shared" si="6"/>
        <v>0</v>
      </c>
    </row>
    <row r="12" spans="1:21">
      <c r="A12" s="20">
        <v>9</v>
      </c>
      <c r="B12" s="20" t="s">
        <v>1123</v>
      </c>
      <c r="C12" s="9" t="s">
        <v>1124</v>
      </c>
      <c r="D12" s="9" t="s">
        <v>1125</v>
      </c>
      <c r="E12" s="21" t="s">
        <v>1126</v>
      </c>
      <c r="F12" s="38">
        <v>282988806305</v>
      </c>
      <c r="G12" s="38">
        <v>914217001</v>
      </c>
      <c r="H12" s="122" t="s">
        <v>1133</v>
      </c>
      <c r="I12" s="40">
        <v>44.37</v>
      </c>
      <c r="J12" s="41">
        <v>9600</v>
      </c>
      <c r="K12" s="41">
        <v>9900</v>
      </c>
      <c r="L12" s="41">
        <v>11502</v>
      </c>
      <c r="M12" s="41">
        <v>10329</v>
      </c>
      <c r="N12" s="4"/>
      <c r="O12" s="42"/>
      <c r="P12" s="6">
        <f t="shared" si="1"/>
        <v>425952</v>
      </c>
      <c r="Q12" s="2">
        <f t="shared" si="2"/>
        <v>439263</v>
      </c>
      <c r="R12" s="2">
        <f t="shared" si="3"/>
        <v>510343.74</v>
      </c>
      <c r="S12" s="2">
        <f t="shared" si="4"/>
        <v>458297.73</v>
      </c>
      <c r="T12" s="2">
        <f t="shared" si="5"/>
        <v>0</v>
      </c>
      <c r="U12" s="7">
        <f t="shared" si="6"/>
        <v>0</v>
      </c>
    </row>
    <row r="13" spans="1:21">
      <c r="A13" s="20">
        <v>10</v>
      </c>
      <c r="B13" s="20" t="s">
        <v>1123</v>
      </c>
      <c r="C13" s="9" t="s">
        <v>1124</v>
      </c>
      <c r="D13" s="9" t="s">
        <v>1125</v>
      </c>
      <c r="E13" s="21" t="s">
        <v>1126</v>
      </c>
      <c r="F13" s="38">
        <v>282967806302</v>
      </c>
      <c r="G13" s="38">
        <v>914209002</v>
      </c>
      <c r="H13" s="39" t="s">
        <v>1134</v>
      </c>
      <c r="I13" s="40">
        <v>128.65</v>
      </c>
      <c r="J13" s="41">
        <v>1000</v>
      </c>
      <c r="K13" s="41">
        <v>1000</v>
      </c>
      <c r="L13" s="41">
        <v>1000</v>
      </c>
      <c r="M13" s="41">
        <v>1000</v>
      </c>
      <c r="N13" s="4"/>
      <c r="O13" s="42"/>
      <c r="P13" s="6">
        <f t="shared" si="1"/>
        <v>128650</v>
      </c>
      <c r="Q13" s="2">
        <f t="shared" si="2"/>
        <v>128650</v>
      </c>
      <c r="R13" s="2">
        <f t="shared" si="3"/>
        <v>128650</v>
      </c>
      <c r="S13" s="2">
        <f t="shared" si="4"/>
        <v>128650</v>
      </c>
      <c r="T13" s="2">
        <f t="shared" si="5"/>
        <v>0</v>
      </c>
      <c r="U13" s="7">
        <f t="shared" si="6"/>
        <v>0</v>
      </c>
    </row>
    <row r="14" spans="1:21">
      <c r="A14" s="20">
        <v>11</v>
      </c>
      <c r="B14" s="20" t="s">
        <v>1123</v>
      </c>
      <c r="C14" s="9" t="s">
        <v>1124</v>
      </c>
      <c r="D14" s="9" t="s">
        <v>1125</v>
      </c>
      <c r="E14" s="21" t="s">
        <v>1126</v>
      </c>
      <c r="F14" s="38">
        <v>282967806304</v>
      </c>
      <c r="G14" s="38">
        <v>914209006</v>
      </c>
      <c r="H14" s="39" t="s">
        <v>1135</v>
      </c>
      <c r="I14" s="40">
        <v>134.15</v>
      </c>
      <c r="J14" s="41">
        <v>10000</v>
      </c>
      <c r="K14" s="41">
        <v>11700</v>
      </c>
      <c r="L14" s="41">
        <v>4637</v>
      </c>
      <c r="M14" s="41">
        <v>4073</v>
      </c>
      <c r="N14" s="4"/>
      <c r="O14" s="42"/>
      <c r="P14" s="6">
        <f t="shared" si="1"/>
        <v>1341500</v>
      </c>
      <c r="Q14" s="2">
        <f t="shared" si="2"/>
        <v>1569555</v>
      </c>
      <c r="R14" s="2">
        <f t="shared" si="3"/>
        <v>622053.55000000005</v>
      </c>
      <c r="S14" s="2">
        <f t="shared" si="4"/>
        <v>546392.95000000007</v>
      </c>
      <c r="T14" s="2">
        <f t="shared" si="5"/>
        <v>0</v>
      </c>
      <c r="U14" s="7">
        <f t="shared" si="6"/>
        <v>0</v>
      </c>
    </row>
    <row r="15" spans="1:21">
      <c r="A15" s="20">
        <v>12</v>
      </c>
      <c r="B15" s="20" t="s">
        <v>1123</v>
      </c>
      <c r="C15" s="9" t="s">
        <v>1124</v>
      </c>
      <c r="D15" s="9" t="s">
        <v>1125</v>
      </c>
      <c r="E15" s="21" t="s">
        <v>1126</v>
      </c>
      <c r="F15" s="38">
        <v>282967106304</v>
      </c>
      <c r="G15" s="38">
        <v>914209001</v>
      </c>
      <c r="H15" s="39" t="s">
        <v>1136</v>
      </c>
      <c r="I15" s="40">
        <v>131.79</v>
      </c>
      <c r="J15" s="41">
        <v>9700</v>
      </c>
      <c r="K15" s="41">
        <v>10100</v>
      </c>
      <c r="L15" s="41">
        <v>11502</v>
      </c>
      <c r="M15" s="41">
        <v>10329</v>
      </c>
      <c r="N15" s="4"/>
      <c r="O15" s="42"/>
      <c r="P15" s="6">
        <f t="shared" si="1"/>
        <v>1278363</v>
      </c>
      <c r="Q15" s="2">
        <f t="shared" si="2"/>
        <v>1331079</v>
      </c>
      <c r="R15" s="2">
        <f t="shared" si="3"/>
        <v>1515848.5799999998</v>
      </c>
      <c r="S15" s="2">
        <f t="shared" si="4"/>
        <v>1361258.91</v>
      </c>
      <c r="T15" s="2">
        <f t="shared" si="5"/>
        <v>0</v>
      </c>
      <c r="U15" s="7">
        <f t="shared" si="6"/>
        <v>0</v>
      </c>
    </row>
    <row r="16" spans="1:21">
      <c r="A16" s="20">
        <v>13</v>
      </c>
      <c r="B16" s="20" t="s">
        <v>1123</v>
      </c>
      <c r="C16" s="9" t="s">
        <v>1124</v>
      </c>
      <c r="D16" s="9" t="s">
        <v>1125</v>
      </c>
      <c r="E16" s="21" t="s">
        <v>1126</v>
      </c>
      <c r="F16" s="38">
        <v>282972306309</v>
      </c>
      <c r="G16" s="38">
        <v>914211004</v>
      </c>
      <c r="H16" s="122" t="s">
        <v>1137</v>
      </c>
      <c r="I16" s="40">
        <v>19.82</v>
      </c>
      <c r="J16" s="41">
        <v>0</v>
      </c>
      <c r="K16" s="41">
        <v>0</v>
      </c>
      <c r="L16" s="41">
        <v>0</v>
      </c>
      <c r="M16" s="41">
        <v>0</v>
      </c>
      <c r="N16" s="4"/>
      <c r="O16" s="42"/>
      <c r="P16" s="6">
        <f t="shared" si="1"/>
        <v>0</v>
      </c>
      <c r="Q16" s="2">
        <f t="shared" si="2"/>
        <v>0</v>
      </c>
      <c r="R16" s="2">
        <f t="shared" si="3"/>
        <v>0</v>
      </c>
      <c r="S16" s="2">
        <f t="shared" si="4"/>
        <v>0</v>
      </c>
      <c r="T16" s="2">
        <f t="shared" si="5"/>
        <v>0</v>
      </c>
      <c r="U16" s="7">
        <f t="shared" si="6"/>
        <v>0</v>
      </c>
    </row>
    <row r="17" spans="1:21">
      <c r="A17" s="20">
        <v>14</v>
      </c>
      <c r="B17" s="20" t="s">
        <v>1123</v>
      </c>
      <c r="C17" s="9" t="s">
        <v>1124</v>
      </c>
      <c r="D17" s="9" t="s">
        <v>1125</v>
      </c>
      <c r="E17" s="21" t="s">
        <v>1126</v>
      </c>
      <c r="F17" s="38">
        <v>282972306310</v>
      </c>
      <c r="G17" s="38">
        <v>914211005</v>
      </c>
      <c r="H17" s="39" t="s">
        <v>1138</v>
      </c>
      <c r="I17" s="40">
        <v>19.82</v>
      </c>
      <c r="J17" s="41">
        <v>0</v>
      </c>
      <c r="K17" s="41">
        <v>0</v>
      </c>
      <c r="L17" s="41">
        <v>0</v>
      </c>
      <c r="M17" s="41">
        <v>0</v>
      </c>
      <c r="N17" s="4"/>
      <c r="O17" s="42"/>
      <c r="P17" s="6">
        <f t="shared" si="1"/>
        <v>0</v>
      </c>
      <c r="Q17" s="2">
        <f t="shared" si="2"/>
        <v>0</v>
      </c>
      <c r="R17" s="2">
        <f t="shared" si="3"/>
        <v>0</v>
      </c>
      <c r="S17" s="2">
        <f t="shared" si="4"/>
        <v>0</v>
      </c>
      <c r="T17" s="2">
        <f t="shared" si="5"/>
        <v>0</v>
      </c>
      <c r="U17" s="7">
        <f t="shared" si="6"/>
        <v>0</v>
      </c>
    </row>
    <row r="18" spans="1:21">
      <c r="A18" s="20">
        <v>15</v>
      </c>
      <c r="B18" s="20" t="s">
        <v>1123</v>
      </c>
      <c r="C18" s="9" t="s">
        <v>1124</v>
      </c>
      <c r="D18" s="9" t="s">
        <v>1125</v>
      </c>
      <c r="E18" s="21" t="s">
        <v>1126</v>
      </c>
      <c r="F18" s="38">
        <v>282970906311</v>
      </c>
      <c r="G18" s="38">
        <v>914209003</v>
      </c>
      <c r="H18" s="122" t="s">
        <v>1139</v>
      </c>
      <c r="I18" s="40">
        <v>47.78</v>
      </c>
      <c r="J18" s="41">
        <v>11500</v>
      </c>
      <c r="K18" s="41">
        <v>11700</v>
      </c>
      <c r="L18" s="41">
        <v>12423</v>
      </c>
      <c r="M18" s="41">
        <v>11277</v>
      </c>
      <c r="N18" s="4"/>
      <c r="O18" s="42"/>
      <c r="P18" s="6">
        <f t="shared" si="1"/>
        <v>549470</v>
      </c>
      <c r="Q18" s="2">
        <f t="shared" si="2"/>
        <v>559026</v>
      </c>
      <c r="R18" s="2">
        <f t="shared" si="3"/>
        <v>593570.94000000006</v>
      </c>
      <c r="S18" s="2">
        <f t="shared" si="4"/>
        <v>538815.06000000006</v>
      </c>
      <c r="T18" s="2">
        <f t="shared" si="5"/>
        <v>0</v>
      </c>
      <c r="U18" s="7">
        <f t="shared" si="6"/>
        <v>0</v>
      </c>
    </row>
    <row r="19" spans="1:21">
      <c r="A19" s="20">
        <v>16</v>
      </c>
      <c r="B19" s="20" t="s">
        <v>1123</v>
      </c>
      <c r="C19" s="9" t="s">
        <v>1124</v>
      </c>
      <c r="D19" s="9" t="s">
        <v>1125</v>
      </c>
      <c r="E19" s="21" t="s">
        <v>1126</v>
      </c>
      <c r="F19" s="38">
        <v>282973506303</v>
      </c>
      <c r="G19" s="38">
        <v>914201007</v>
      </c>
      <c r="H19" s="122" t="s">
        <v>1140</v>
      </c>
      <c r="I19" s="40">
        <v>97.43</v>
      </c>
      <c r="J19" s="41">
        <v>91</v>
      </c>
      <c r="K19" s="41">
        <v>305</v>
      </c>
      <c r="L19" s="41">
        <v>177</v>
      </c>
      <c r="M19" s="41">
        <v>150</v>
      </c>
      <c r="N19" s="4"/>
      <c r="O19" s="42"/>
      <c r="P19" s="6">
        <f t="shared" si="1"/>
        <v>8866.130000000001</v>
      </c>
      <c r="Q19" s="2">
        <f t="shared" si="2"/>
        <v>29716.15</v>
      </c>
      <c r="R19" s="2">
        <f t="shared" si="3"/>
        <v>17245.11</v>
      </c>
      <c r="S19" s="2">
        <f t="shared" si="4"/>
        <v>14614.500000000002</v>
      </c>
      <c r="T19" s="2">
        <f t="shared" si="5"/>
        <v>0</v>
      </c>
      <c r="U19" s="7">
        <f t="shared" si="6"/>
        <v>0</v>
      </c>
    </row>
    <row r="20" spans="1:21">
      <c r="A20" s="20">
        <v>17</v>
      </c>
      <c r="B20" s="20" t="s">
        <v>1123</v>
      </c>
      <c r="C20" s="9" t="s">
        <v>1124</v>
      </c>
      <c r="D20" s="9" t="s">
        <v>1125</v>
      </c>
      <c r="E20" s="21" t="s">
        <v>1126</v>
      </c>
      <c r="F20" s="38">
        <v>282974506302</v>
      </c>
      <c r="G20" s="38">
        <v>914202002</v>
      </c>
      <c r="H20" s="39" t="s">
        <v>1141</v>
      </c>
      <c r="I20" s="40">
        <v>110.58</v>
      </c>
      <c r="J20" s="41">
        <v>23</v>
      </c>
      <c r="K20" s="41">
        <v>130</v>
      </c>
      <c r="L20" s="41">
        <v>177</v>
      </c>
      <c r="M20" s="41">
        <v>150</v>
      </c>
      <c r="N20" s="4"/>
      <c r="O20" s="42"/>
      <c r="P20" s="6">
        <f t="shared" si="1"/>
        <v>2543.34</v>
      </c>
      <c r="Q20" s="2">
        <f t="shared" si="2"/>
        <v>14375.4</v>
      </c>
      <c r="R20" s="2">
        <f t="shared" si="3"/>
        <v>19572.66</v>
      </c>
      <c r="S20" s="2">
        <f t="shared" si="4"/>
        <v>16587</v>
      </c>
      <c r="T20" s="2">
        <f t="shared" si="5"/>
        <v>0</v>
      </c>
      <c r="U20" s="7">
        <f t="shared" si="6"/>
        <v>0</v>
      </c>
    </row>
    <row r="21" spans="1:21">
      <c r="A21" s="20">
        <v>18</v>
      </c>
      <c r="B21" s="20" t="s">
        <v>1123</v>
      </c>
      <c r="C21" s="9" t="s">
        <v>1124</v>
      </c>
      <c r="D21" s="9" t="s">
        <v>1125</v>
      </c>
      <c r="E21" s="21" t="s">
        <v>1126</v>
      </c>
      <c r="F21" s="38">
        <v>552367106303</v>
      </c>
      <c r="G21" s="38">
        <v>914209005</v>
      </c>
      <c r="H21" s="39" t="s">
        <v>1142</v>
      </c>
      <c r="I21" s="40">
        <v>66.23</v>
      </c>
      <c r="J21" s="41">
        <v>3200</v>
      </c>
      <c r="K21" s="41">
        <v>2200</v>
      </c>
      <c r="L21" s="41">
        <v>2096</v>
      </c>
      <c r="M21" s="41">
        <v>2079</v>
      </c>
      <c r="N21" s="4"/>
      <c r="O21" s="42"/>
      <c r="P21" s="6">
        <f t="shared" si="1"/>
        <v>211936</v>
      </c>
      <c r="Q21" s="2">
        <f t="shared" si="2"/>
        <v>145706</v>
      </c>
      <c r="R21" s="2">
        <f t="shared" si="3"/>
        <v>138818.08000000002</v>
      </c>
      <c r="S21" s="2">
        <f t="shared" si="4"/>
        <v>137692.17000000001</v>
      </c>
      <c r="T21" s="2">
        <f t="shared" si="5"/>
        <v>0</v>
      </c>
      <c r="U21" s="7">
        <f t="shared" si="6"/>
        <v>0</v>
      </c>
    </row>
    <row r="22" spans="1:21">
      <c r="A22" s="20">
        <v>19</v>
      </c>
      <c r="B22" s="20" t="s">
        <v>1123</v>
      </c>
      <c r="C22" s="9" t="s">
        <v>1124</v>
      </c>
      <c r="D22" s="9" t="s">
        <v>1125</v>
      </c>
      <c r="E22" s="21" t="s">
        <v>1126</v>
      </c>
      <c r="F22" s="38">
        <v>552388806307</v>
      </c>
      <c r="G22" s="38">
        <v>914217010</v>
      </c>
      <c r="H22" s="39" t="s">
        <v>1143</v>
      </c>
      <c r="I22" s="40">
        <v>45.34</v>
      </c>
      <c r="J22" s="41">
        <v>3500</v>
      </c>
      <c r="K22" s="41">
        <v>2300</v>
      </c>
      <c r="L22" s="41">
        <v>2096</v>
      </c>
      <c r="M22" s="41">
        <v>2079</v>
      </c>
      <c r="N22" s="4"/>
      <c r="O22" s="42"/>
      <c r="P22" s="6">
        <f t="shared" si="1"/>
        <v>158690</v>
      </c>
      <c r="Q22" s="2">
        <f t="shared" si="2"/>
        <v>104282.00000000001</v>
      </c>
      <c r="R22" s="2">
        <f t="shared" si="3"/>
        <v>95032.640000000014</v>
      </c>
      <c r="S22" s="2">
        <f t="shared" si="4"/>
        <v>94261.86</v>
      </c>
      <c r="T22" s="2">
        <f t="shared" si="5"/>
        <v>0</v>
      </c>
      <c r="U22" s="7">
        <f t="shared" si="6"/>
        <v>0</v>
      </c>
    </row>
    <row r="23" spans="1:21">
      <c r="A23" s="20">
        <v>20</v>
      </c>
      <c r="B23" s="20" t="s">
        <v>1123</v>
      </c>
      <c r="C23" s="9" t="s">
        <v>1124</v>
      </c>
      <c r="D23" s="9" t="s">
        <v>1125</v>
      </c>
      <c r="E23" s="21" t="s">
        <v>1126</v>
      </c>
      <c r="F23" s="38">
        <v>554588806319</v>
      </c>
      <c r="G23" s="38">
        <v>914217012</v>
      </c>
      <c r="H23" s="39" t="s">
        <v>1144</v>
      </c>
      <c r="I23" s="40">
        <v>46.67</v>
      </c>
      <c r="J23" s="41">
        <v>4900</v>
      </c>
      <c r="K23" s="41">
        <v>5300</v>
      </c>
      <c r="L23" s="41">
        <v>5354</v>
      </c>
      <c r="M23" s="41">
        <v>4991</v>
      </c>
      <c r="N23" s="4"/>
      <c r="O23" s="42"/>
      <c r="P23" s="6">
        <f t="shared" si="1"/>
        <v>228683</v>
      </c>
      <c r="Q23" s="2">
        <f t="shared" si="2"/>
        <v>247351</v>
      </c>
      <c r="R23" s="2">
        <f t="shared" si="3"/>
        <v>249871.18000000002</v>
      </c>
      <c r="S23" s="2">
        <f t="shared" si="4"/>
        <v>232929.97</v>
      </c>
      <c r="T23" s="2">
        <f t="shared" si="5"/>
        <v>0</v>
      </c>
      <c r="U23" s="7">
        <f t="shared" si="6"/>
        <v>0</v>
      </c>
    </row>
    <row r="24" spans="1:21">
      <c r="A24" s="20">
        <v>21</v>
      </c>
      <c r="B24" s="20" t="s">
        <v>1123</v>
      </c>
      <c r="C24" s="9" t="s">
        <v>1124</v>
      </c>
      <c r="D24" s="9" t="s">
        <v>1125</v>
      </c>
      <c r="E24" s="21" t="s">
        <v>1126</v>
      </c>
      <c r="F24" s="38">
        <v>553773501601</v>
      </c>
      <c r="G24" s="38">
        <v>916701001</v>
      </c>
      <c r="H24" s="39" t="s">
        <v>1145</v>
      </c>
      <c r="I24" s="40">
        <v>273.45</v>
      </c>
      <c r="J24" s="41">
        <v>540</v>
      </c>
      <c r="K24" s="41">
        <v>470</v>
      </c>
      <c r="L24" s="41">
        <v>320</v>
      </c>
      <c r="M24" s="41">
        <v>330</v>
      </c>
      <c r="N24" s="4"/>
      <c r="O24" s="42"/>
      <c r="P24" s="6">
        <f t="shared" si="1"/>
        <v>147663</v>
      </c>
      <c r="Q24" s="2">
        <f t="shared" si="2"/>
        <v>128521.5</v>
      </c>
      <c r="R24" s="2">
        <f t="shared" si="3"/>
        <v>87504</v>
      </c>
      <c r="S24" s="2">
        <f t="shared" si="4"/>
        <v>90238.5</v>
      </c>
      <c r="T24" s="2">
        <f t="shared" si="5"/>
        <v>0</v>
      </c>
      <c r="U24" s="7">
        <f t="shared" si="6"/>
        <v>0</v>
      </c>
    </row>
    <row r="25" spans="1:21">
      <c r="A25" s="20">
        <v>22</v>
      </c>
      <c r="B25" s="20" t="s">
        <v>1123</v>
      </c>
      <c r="C25" s="9" t="s">
        <v>1124</v>
      </c>
      <c r="D25" s="9" t="s">
        <v>1125</v>
      </c>
      <c r="E25" s="21" t="s">
        <v>1126</v>
      </c>
      <c r="F25" s="38">
        <v>553773501602</v>
      </c>
      <c r="G25" s="38">
        <v>916701002</v>
      </c>
      <c r="H25" s="39" t="s">
        <v>1146</v>
      </c>
      <c r="I25" s="40">
        <v>273.45</v>
      </c>
      <c r="J25" s="41">
        <v>540</v>
      </c>
      <c r="K25" s="41">
        <v>470</v>
      </c>
      <c r="L25" s="41">
        <v>320</v>
      </c>
      <c r="M25" s="41">
        <v>330</v>
      </c>
      <c r="N25" s="4"/>
      <c r="O25" s="42"/>
      <c r="P25" s="6">
        <f t="shared" si="1"/>
        <v>147663</v>
      </c>
      <c r="Q25" s="2">
        <f t="shared" si="2"/>
        <v>128521.5</v>
      </c>
      <c r="R25" s="2">
        <f t="shared" si="3"/>
        <v>87504</v>
      </c>
      <c r="S25" s="2">
        <f t="shared" si="4"/>
        <v>90238.5</v>
      </c>
      <c r="T25" s="2">
        <f t="shared" si="5"/>
        <v>0</v>
      </c>
      <c r="U25" s="7">
        <f t="shared" si="6"/>
        <v>0</v>
      </c>
    </row>
    <row r="26" spans="1:21">
      <c r="A26" s="20">
        <v>23</v>
      </c>
      <c r="B26" s="20" t="s">
        <v>1123</v>
      </c>
      <c r="C26" s="9" t="s">
        <v>1124</v>
      </c>
      <c r="D26" s="9" t="s">
        <v>1125</v>
      </c>
      <c r="E26" s="21" t="s">
        <v>1126</v>
      </c>
      <c r="F26" s="38">
        <v>553774501601</v>
      </c>
      <c r="G26" s="38">
        <v>916702001</v>
      </c>
      <c r="H26" s="39" t="s">
        <v>1147</v>
      </c>
      <c r="I26" s="40">
        <v>229.85</v>
      </c>
      <c r="J26" s="110">
        <v>0</v>
      </c>
      <c r="K26" s="41">
        <v>0</v>
      </c>
      <c r="L26" s="41">
        <v>0</v>
      </c>
      <c r="M26" s="41">
        <v>0</v>
      </c>
      <c r="N26" s="4"/>
      <c r="O26" s="42"/>
      <c r="P26" s="6">
        <f t="shared" si="1"/>
        <v>0</v>
      </c>
      <c r="Q26" s="2">
        <f t="shared" si="2"/>
        <v>0</v>
      </c>
      <c r="R26" s="2">
        <f t="shared" si="3"/>
        <v>0</v>
      </c>
      <c r="S26" s="2">
        <f t="shared" si="4"/>
        <v>0</v>
      </c>
      <c r="T26" s="2">
        <f t="shared" si="5"/>
        <v>0</v>
      </c>
      <c r="U26" s="7">
        <f t="shared" si="6"/>
        <v>0</v>
      </c>
    </row>
    <row r="27" spans="1:21" hidden="1">
      <c r="A27" s="20">
        <v>24</v>
      </c>
      <c r="B27" s="20" t="s">
        <v>1123</v>
      </c>
      <c r="C27" s="9" t="s">
        <v>1124</v>
      </c>
      <c r="D27" s="9" t="s">
        <v>1125</v>
      </c>
      <c r="E27" s="21" t="s">
        <v>1148</v>
      </c>
      <c r="F27" s="38">
        <v>281872306313</v>
      </c>
      <c r="G27" s="38">
        <v>911301008</v>
      </c>
      <c r="H27" s="123" t="s">
        <v>64</v>
      </c>
      <c r="I27" s="124">
        <v>347.82</v>
      </c>
      <c r="J27" s="110">
        <v>840</v>
      </c>
      <c r="K27" s="41">
        <v>1000</v>
      </c>
      <c r="L27" s="110">
        <v>0</v>
      </c>
      <c r="M27" s="110">
        <v>0</v>
      </c>
      <c r="N27" s="4"/>
      <c r="O27" s="42"/>
      <c r="P27" s="6">
        <f t="shared" si="1"/>
        <v>292168.8</v>
      </c>
      <c r="Q27" s="2">
        <f t="shared" si="2"/>
        <v>347820</v>
      </c>
      <c r="R27" s="2">
        <f t="shared" si="3"/>
        <v>0</v>
      </c>
      <c r="S27" s="2">
        <f t="shared" si="4"/>
        <v>0</v>
      </c>
      <c r="T27" s="2">
        <f t="shared" si="5"/>
        <v>0</v>
      </c>
      <c r="U27" s="7">
        <f t="shared" si="6"/>
        <v>0</v>
      </c>
    </row>
    <row r="28" spans="1:21" hidden="1">
      <c r="A28" s="20">
        <v>25</v>
      </c>
      <c r="B28" s="20" t="s">
        <v>1123</v>
      </c>
      <c r="C28" s="9" t="s">
        <v>1124</v>
      </c>
      <c r="D28" s="9" t="s">
        <v>1125</v>
      </c>
      <c r="E28" s="21" t="s">
        <v>1148</v>
      </c>
      <c r="F28" s="38">
        <v>281872306314</v>
      </c>
      <c r="G28" s="38">
        <v>911301009</v>
      </c>
      <c r="H28" s="123" t="s">
        <v>66</v>
      </c>
      <c r="I28" s="124">
        <v>347.82</v>
      </c>
      <c r="J28" s="110">
        <v>840</v>
      </c>
      <c r="K28" s="41">
        <v>1000</v>
      </c>
      <c r="L28" s="110">
        <v>0</v>
      </c>
      <c r="M28" s="110">
        <v>0</v>
      </c>
      <c r="N28" s="4"/>
      <c r="O28" s="42"/>
      <c r="P28" s="6">
        <f t="shared" si="1"/>
        <v>292168.8</v>
      </c>
      <c r="Q28" s="2">
        <f t="shared" si="2"/>
        <v>347820</v>
      </c>
      <c r="R28" s="2">
        <f t="shared" si="3"/>
        <v>0</v>
      </c>
      <c r="S28" s="2">
        <f t="shared" si="4"/>
        <v>0</v>
      </c>
      <c r="T28" s="2">
        <f t="shared" si="5"/>
        <v>0</v>
      </c>
      <c r="U28" s="7">
        <f t="shared" si="6"/>
        <v>0</v>
      </c>
    </row>
    <row r="29" spans="1:21" hidden="1">
      <c r="A29" s="20">
        <v>26</v>
      </c>
      <c r="B29" s="20" t="s">
        <v>1123</v>
      </c>
      <c r="C29" s="9" t="s">
        <v>1124</v>
      </c>
      <c r="D29" s="9" t="s">
        <v>1125</v>
      </c>
      <c r="E29" s="21" t="s">
        <v>1148</v>
      </c>
      <c r="F29" s="38">
        <v>281872506303</v>
      </c>
      <c r="G29" s="38">
        <v>911304015</v>
      </c>
      <c r="H29" s="123" t="s">
        <v>35</v>
      </c>
      <c r="I29" s="124">
        <v>271.73</v>
      </c>
      <c r="J29" s="110">
        <v>840</v>
      </c>
      <c r="K29" s="41">
        <v>1000</v>
      </c>
      <c r="L29" s="110">
        <v>0</v>
      </c>
      <c r="M29" s="110">
        <v>0</v>
      </c>
      <c r="N29" s="4"/>
      <c r="O29" s="42"/>
      <c r="P29" s="6">
        <f t="shared" si="1"/>
        <v>228253.2</v>
      </c>
      <c r="Q29" s="2">
        <f t="shared" si="2"/>
        <v>271730</v>
      </c>
      <c r="R29" s="2">
        <f t="shared" si="3"/>
        <v>0</v>
      </c>
      <c r="S29" s="2">
        <f t="shared" si="4"/>
        <v>0</v>
      </c>
      <c r="T29" s="2">
        <f t="shared" si="5"/>
        <v>0</v>
      </c>
      <c r="U29" s="7">
        <f t="shared" si="6"/>
        <v>0</v>
      </c>
    </row>
    <row r="30" spans="1:21" hidden="1">
      <c r="A30" s="20">
        <v>27</v>
      </c>
      <c r="B30" s="20" t="s">
        <v>1123</v>
      </c>
      <c r="C30" s="9" t="s">
        <v>1124</v>
      </c>
      <c r="D30" s="9" t="s">
        <v>1125</v>
      </c>
      <c r="E30" s="21" t="s">
        <v>1148</v>
      </c>
      <c r="F30" s="38">
        <v>281872506304</v>
      </c>
      <c r="G30" s="38">
        <v>911304016</v>
      </c>
      <c r="H30" s="123" t="s">
        <v>7</v>
      </c>
      <c r="I30" s="124">
        <v>271.73</v>
      </c>
      <c r="J30" s="110">
        <v>840</v>
      </c>
      <c r="K30" s="41">
        <v>1000</v>
      </c>
      <c r="L30" s="110">
        <v>0</v>
      </c>
      <c r="M30" s="110">
        <v>0</v>
      </c>
      <c r="N30" s="4"/>
      <c r="O30" s="42"/>
      <c r="P30" s="6">
        <f t="shared" si="1"/>
        <v>228253.2</v>
      </c>
      <c r="Q30" s="2">
        <f t="shared" si="2"/>
        <v>271730</v>
      </c>
      <c r="R30" s="2">
        <f t="shared" si="3"/>
        <v>0</v>
      </c>
      <c r="S30" s="2">
        <f t="shared" si="4"/>
        <v>0</v>
      </c>
      <c r="T30" s="2">
        <f t="shared" si="5"/>
        <v>0</v>
      </c>
      <c r="U30" s="7">
        <f t="shared" si="6"/>
        <v>0</v>
      </c>
    </row>
    <row r="31" spans="1:21" hidden="1">
      <c r="A31" s="20">
        <v>28</v>
      </c>
      <c r="B31" s="20" t="s">
        <v>1123</v>
      </c>
      <c r="C31" s="9" t="s">
        <v>1124</v>
      </c>
      <c r="D31" s="9" t="s">
        <v>1125</v>
      </c>
      <c r="E31" s="21" t="s">
        <v>1148</v>
      </c>
      <c r="F31" s="38">
        <v>281872306309</v>
      </c>
      <c r="G31" s="38">
        <v>911305025</v>
      </c>
      <c r="H31" s="123" t="s">
        <v>16</v>
      </c>
      <c r="I31" s="124">
        <v>77.599999999999994</v>
      </c>
      <c r="J31" s="110">
        <v>840</v>
      </c>
      <c r="K31" s="41">
        <v>1000</v>
      </c>
      <c r="L31" s="110">
        <v>0</v>
      </c>
      <c r="M31" s="110">
        <v>0</v>
      </c>
      <c r="N31" s="4"/>
      <c r="O31" s="42"/>
      <c r="P31" s="125">
        <f t="shared" si="1"/>
        <v>65183.999999999993</v>
      </c>
      <c r="Q31" s="2">
        <f t="shared" si="2"/>
        <v>77600</v>
      </c>
      <c r="R31" s="2">
        <f t="shared" si="3"/>
        <v>0</v>
      </c>
      <c r="S31" s="2">
        <f t="shared" si="4"/>
        <v>0</v>
      </c>
      <c r="T31" s="2">
        <f t="shared" si="5"/>
        <v>0</v>
      </c>
      <c r="U31" s="7">
        <f t="shared" si="6"/>
        <v>0</v>
      </c>
    </row>
    <row r="32" spans="1:21" hidden="1">
      <c r="A32" s="20">
        <v>29</v>
      </c>
      <c r="B32" s="20" t="s">
        <v>1123</v>
      </c>
      <c r="C32" s="9" t="s">
        <v>1124</v>
      </c>
      <c r="D32" s="9" t="s">
        <v>1125</v>
      </c>
      <c r="E32" s="21" t="s">
        <v>1148</v>
      </c>
      <c r="F32" s="38">
        <v>281872306310</v>
      </c>
      <c r="G32" s="38">
        <v>911305026</v>
      </c>
      <c r="H32" s="123" t="s">
        <v>17</v>
      </c>
      <c r="I32" s="124">
        <v>77.599999999999994</v>
      </c>
      <c r="J32" s="110">
        <v>840</v>
      </c>
      <c r="K32" s="41">
        <v>1000</v>
      </c>
      <c r="L32" s="110">
        <v>0</v>
      </c>
      <c r="M32" s="110">
        <v>0</v>
      </c>
      <c r="N32" s="4"/>
      <c r="O32" s="42"/>
      <c r="P32" s="125">
        <f t="shared" si="1"/>
        <v>65183.999999999993</v>
      </c>
      <c r="Q32" s="2">
        <f t="shared" si="2"/>
        <v>77600</v>
      </c>
      <c r="R32" s="2">
        <f t="shared" si="3"/>
        <v>0</v>
      </c>
      <c r="S32" s="2">
        <f t="shared" si="4"/>
        <v>0</v>
      </c>
      <c r="T32" s="2">
        <f t="shared" si="5"/>
        <v>0</v>
      </c>
      <c r="U32" s="7">
        <f t="shared" si="6"/>
        <v>0</v>
      </c>
    </row>
    <row r="33" spans="1:21" hidden="1">
      <c r="A33" s="20">
        <v>30</v>
      </c>
      <c r="B33" s="20" t="s">
        <v>1123</v>
      </c>
      <c r="C33" s="9" t="s">
        <v>1124</v>
      </c>
      <c r="D33" s="9" t="s">
        <v>1125</v>
      </c>
      <c r="E33" s="21" t="s">
        <v>1148</v>
      </c>
      <c r="F33" s="38">
        <v>281872306311</v>
      </c>
      <c r="G33" s="38">
        <v>911305027</v>
      </c>
      <c r="H33" s="123" t="s">
        <v>22</v>
      </c>
      <c r="I33" s="124">
        <v>81.73</v>
      </c>
      <c r="J33" s="110">
        <v>840</v>
      </c>
      <c r="K33" s="41">
        <v>1000</v>
      </c>
      <c r="L33" s="110">
        <v>0</v>
      </c>
      <c r="M33" s="110">
        <v>0</v>
      </c>
      <c r="N33" s="4"/>
      <c r="O33" s="42"/>
      <c r="P33" s="125">
        <f t="shared" si="1"/>
        <v>68653.2</v>
      </c>
      <c r="Q33" s="2">
        <f t="shared" si="2"/>
        <v>81730</v>
      </c>
      <c r="R33" s="2">
        <f t="shared" si="3"/>
        <v>0</v>
      </c>
      <c r="S33" s="2">
        <f t="shared" si="4"/>
        <v>0</v>
      </c>
      <c r="T33" s="2">
        <f t="shared" si="5"/>
        <v>0</v>
      </c>
      <c r="U33" s="7">
        <f t="shared" si="6"/>
        <v>0</v>
      </c>
    </row>
    <row r="34" spans="1:21" hidden="1">
      <c r="A34" s="20">
        <v>31</v>
      </c>
      <c r="B34" s="20" t="s">
        <v>1123</v>
      </c>
      <c r="C34" s="9" t="s">
        <v>1124</v>
      </c>
      <c r="D34" s="9" t="s">
        <v>1125</v>
      </c>
      <c r="E34" s="21" t="s">
        <v>1148</v>
      </c>
      <c r="F34" s="38">
        <v>281872306312</v>
      </c>
      <c r="G34" s="38">
        <v>911305028</v>
      </c>
      <c r="H34" s="123" t="s">
        <v>23</v>
      </c>
      <c r="I34" s="124">
        <v>81.73</v>
      </c>
      <c r="J34" s="110">
        <v>840</v>
      </c>
      <c r="K34" s="41">
        <v>1000</v>
      </c>
      <c r="L34" s="110">
        <v>0</v>
      </c>
      <c r="M34" s="110">
        <v>0</v>
      </c>
      <c r="N34" s="4"/>
      <c r="O34" s="42"/>
      <c r="P34" s="125">
        <f t="shared" si="1"/>
        <v>68653.2</v>
      </c>
      <c r="Q34" s="2">
        <f t="shared" si="2"/>
        <v>81730</v>
      </c>
      <c r="R34" s="2">
        <f t="shared" si="3"/>
        <v>0</v>
      </c>
      <c r="S34" s="2">
        <f t="shared" si="4"/>
        <v>0</v>
      </c>
      <c r="T34" s="2">
        <f t="shared" si="5"/>
        <v>0</v>
      </c>
      <c r="U34" s="7">
        <f t="shared" si="6"/>
        <v>0</v>
      </c>
    </row>
    <row r="35" spans="1:21" hidden="1">
      <c r="A35" s="20">
        <v>32</v>
      </c>
      <c r="B35" s="20" t="s">
        <v>1123</v>
      </c>
      <c r="C35" s="9" t="s">
        <v>1124</v>
      </c>
      <c r="D35" s="9" t="s">
        <v>1125</v>
      </c>
      <c r="E35" s="21" t="s">
        <v>1148</v>
      </c>
      <c r="F35" s="38">
        <v>281867106303</v>
      </c>
      <c r="G35" s="38">
        <v>911309003</v>
      </c>
      <c r="H35" s="123" t="s">
        <v>1149</v>
      </c>
      <c r="I35" s="124">
        <v>97.32</v>
      </c>
      <c r="J35" s="110">
        <v>840</v>
      </c>
      <c r="K35" s="41">
        <v>1000</v>
      </c>
      <c r="L35" s="110">
        <v>0</v>
      </c>
      <c r="M35" s="110">
        <v>0</v>
      </c>
      <c r="N35" s="4"/>
      <c r="O35" s="42"/>
      <c r="P35" s="125">
        <f t="shared" si="1"/>
        <v>81748.799999999988</v>
      </c>
      <c r="Q35" s="2">
        <f t="shared" si="2"/>
        <v>97320</v>
      </c>
      <c r="R35" s="2">
        <f t="shared" si="3"/>
        <v>0</v>
      </c>
      <c r="S35" s="2">
        <f t="shared" si="4"/>
        <v>0</v>
      </c>
      <c r="T35" s="2">
        <f t="shared" si="5"/>
        <v>0</v>
      </c>
      <c r="U35" s="7">
        <f t="shared" si="6"/>
        <v>0</v>
      </c>
    </row>
    <row r="36" spans="1:21" hidden="1">
      <c r="A36" s="20">
        <v>33</v>
      </c>
      <c r="B36" s="20" t="s">
        <v>1123</v>
      </c>
      <c r="C36" s="9" t="s">
        <v>1124</v>
      </c>
      <c r="D36" s="9" t="s">
        <v>1125</v>
      </c>
      <c r="E36" s="21" t="s">
        <v>1148</v>
      </c>
      <c r="F36" s="38">
        <v>281872300125</v>
      </c>
      <c r="G36" s="38">
        <v>911311005</v>
      </c>
      <c r="H36" s="123" t="s">
        <v>1150</v>
      </c>
      <c r="I36" s="124">
        <v>29.24</v>
      </c>
      <c r="J36" s="110">
        <v>1680</v>
      </c>
      <c r="K36" s="41">
        <v>1000</v>
      </c>
      <c r="L36" s="110">
        <v>0</v>
      </c>
      <c r="M36" s="110">
        <v>0</v>
      </c>
      <c r="N36" s="4"/>
      <c r="O36" s="42"/>
      <c r="P36" s="125">
        <f t="shared" si="1"/>
        <v>49123.199999999997</v>
      </c>
      <c r="Q36" s="2">
        <f t="shared" si="2"/>
        <v>29240</v>
      </c>
      <c r="R36" s="2">
        <f t="shared" si="3"/>
        <v>0</v>
      </c>
      <c r="S36" s="2">
        <f t="shared" si="4"/>
        <v>0</v>
      </c>
      <c r="T36" s="2">
        <f t="shared" si="5"/>
        <v>0</v>
      </c>
      <c r="U36" s="7">
        <f t="shared" si="6"/>
        <v>0</v>
      </c>
    </row>
    <row r="37" spans="1:21" hidden="1">
      <c r="A37" s="20">
        <v>34</v>
      </c>
      <c r="B37" s="20" t="s">
        <v>1123</v>
      </c>
      <c r="C37" s="9" t="s">
        <v>1124</v>
      </c>
      <c r="D37" s="9" t="s">
        <v>1125</v>
      </c>
      <c r="E37" s="21" t="s">
        <v>1148</v>
      </c>
      <c r="F37" s="38" t="s">
        <v>1151</v>
      </c>
      <c r="G37" s="38">
        <v>911317005</v>
      </c>
      <c r="H37" s="123" t="s">
        <v>677</v>
      </c>
      <c r="I37" s="124">
        <v>37.22</v>
      </c>
      <c r="J37" s="110">
        <v>840</v>
      </c>
      <c r="K37" s="41">
        <v>1000</v>
      </c>
      <c r="L37" s="110">
        <v>0</v>
      </c>
      <c r="M37" s="110">
        <v>0</v>
      </c>
      <c r="N37" s="4"/>
      <c r="O37" s="42"/>
      <c r="P37" s="125">
        <f t="shared" si="1"/>
        <v>31264.799999999999</v>
      </c>
      <c r="Q37" s="2">
        <f t="shared" si="2"/>
        <v>37220</v>
      </c>
      <c r="R37" s="2">
        <f t="shared" si="3"/>
        <v>0</v>
      </c>
      <c r="S37" s="2">
        <f t="shared" si="4"/>
        <v>0</v>
      </c>
      <c r="T37" s="2">
        <f t="shared" si="5"/>
        <v>0</v>
      </c>
      <c r="U37" s="7">
        <f t="shared" si="6"/>
        <v>0</v>
      </c>
    </row>
    <row r="38" spans="1:21" hidden="1">
      <c r="A38" s="20">
        <v>35</v>
      </c>
      <c r="B38" s="20" t="s">
        <v>1123</v>
      </c>
      <c r="C38" s="9" t="s">
        <v>1124</v>
      </c>
      <c r="D38" s="9" t="s">
        <v>1125</v>
      </c>
      <c r="E38" s="21" t="s">
        <v>1148</v>
      </c>
      <c r="F38" s="38" t="s">
        <v>1152</v>
      </c>
      <c r="G38" s="38">
        <v>911301012</v>
      </c>
      <c r="H38" s="123" t="s">
        <v>1153</v>
      </c>
      <c r="I38" s="124">
        <v>59</v>
      </c>
      <c r="J38" s="110">
        <v>840</v>
      </c>
      <c r="K38" s="41">
        <v>1000</v>
      </c>
      <c r="L38" s="110">
        <v>0</v>
      </c>
      <c r="M38" s="110">
        <v>0</v>
      </c>
      <c r="N38" s="4"/>
      <c r="O38" s="42"/>
      <c r="P38" s="125">
        <f t="shared" si="1"/>
        <v>49560</v>
      </c>
      <c r="Q38" s="2">
        <f t="shared" si="2"/>
        <v>59000</v>
      </c>
      <c r="R38" s="2">
        <f t="shared" si="3"/>
        <v>0</v>
      </c>
      <c r="S38" s="2">
        <f t="shared" si="4"/>
        <v>0</v>
      </c>
      <c r="T38" s="2">
        <f t="shared" si="5"/>
        <v>0</v>
      </c>
      <c r="U38" s="7">
        <f t="shared" si="6"/>
        <v>0</v>
      </c>
    </row>
    <row r="39" spans="1:21" hidden="1">
      <c r="A39" s="20">
        <v>36</v>
      </c>
      <c r="B39" s="20" t="s">
        <v>1123</v>
      </c>
      <c r="C39" s="9" t="s">
        <v>1124</v>
      </c>
      <c r="D39" s="9" t="s">
        <v>1125</v>
      </c>
      <c r="E39" s="21" t="s">
        <v>1148</v>
      </c>
      <c r="F39" s="38" t="s">
        <v>1154</v>
      </c>
      <c r="G39" s="38">
        <v>911301013</v>
      </c>
      <c r="H39" s="123" t="s">
        <v>1155</v>
      </c>
      <c r="I39" s="124">
        <v>59</v>
      </c>
      <c r="J39" s="110">
        <v>840</v>
      </c>
      <c r="K39" s="41">
        <v>1000</v>
      </c>
      <c r="L39" s="110">
        <v>0</v>
      </c>
      <c r="M39" s="110">
        <v>0</v>
      </c>
      <c r="N39" s="4"/>
      <c r="O39" s="42"/>
      <c r="P39" s="125">
        <f t="shared" si="1"/>
        <v>49560</v>
      </c>
      <c r="Q39" s="2">
        <f t="shared" si="2"/>
        <v>59000</v>
      </c>
      <c r="R39" s="2">
        <f t="shared" si="3"/>
        <v>0</v>
      </c>
      <c r="S39" s="2">
        <f t="shared" si="4"/>
        <v>0</v>
      </c>
      <c r="T39" s="2">
        <f t="shared" si="5"/>
        <v>0</v>
      </c>
      <c r="U39" s="7">
        <f t="shared" si="6"/>
        <v>0</v>
      </c>
    </row>
    <row r="40" spans="1:21" hidden="1">
      <c r="A40" s="20">
        <v>37</v>
      </c>
      <c r="B40" s="20" t="s">
        <v>1123</v>
      </c>
      <c r="C40" s="9" t="s">
        <v>1124</v>
      </c>
      <c r="D40" s="9" t="s">
        <v>1125</v>
      </c>
      <c r="E40" s="21" t="s">
        <v>1148</v>
      </c>
      <c r="F40" s="38" t="s">
        <v>1156</v>
      </c>
      <c r="G40" s="38">
        <v>911317004</v>
      </c>
      <c r="H40" s="123" t="s">
        <v>1157</v>
      </c>
      <c r="I40" s="124">
        <v>2.44</v>
      </c>
      <c r="J40" s="110">
        <f>840*3</f>
        <v>2520</v>
      </c>
      <c r="K40" s="41">
        <v>1500</v>
      </c>
      <c r="L40" s="110">
        <v>0</v>
      </c>
      <c r="M40" s="110">
        <v>0</v>
      </c>
      <c r="N40" s="4"/>
      <c r="O40" s="42"/>
      <c r="P40" s="125">
        <f t="shared" si="1"/>
        <v>6148.8</v>
      </c>
      <c r="Q40" s="2">
        <f t="shared" si="2"/>
        <v>3660</v>
      </c>
      <c r="R40" s="2">
        <f t="shared" si="3"/>
        <v>0</v>
      </c>
      <c r="S40" s="2">
        <f t="shared" si="4"/>
        <v>0</v>
      </c>
      <c r="T40" s="2">
        <f t="shared" si="5"/>
        <v>0</v>
      </c>
      <c r="U40" s="7">
        <f t="shared" si="6"/>
        <v>0</v>
      </c>
    </row>
    <row r="41" spans="1:21" hidden="1">
      <c r="A41" s="20">
        <v>38</v>
      </c>
      <c r="B41" s="20" t="s">
        <v>1123</v>
      </c>
      <c r="C41" s="9" t="s">
        <v>1158</v>
      </c>
      <c r="D41" s="9" t="s">
        <v>1125</v>
      </c>
      <c r="E41" s="21" t="s">
        <v>1159</v>
      </c>
      <c r="F41" s="126" t="s">
        <v>1160</v>
      </c>
      <c r="G41" s="126">
        <v>915001001</v>
      </c>
      <c r="H41" s="127" t="s">
        <v>1161</v>
      </c>
      <c r="I41" s="124">
        <v>309.87</v>
      </c>
      <c r="J41" s="128">
        <v>350</v>
      </c>
      <c r="K41" s="128">
        <v>350</v>
      </c>
      <c r="L41" s="128">
        <v>350</v>
      </c>
      <c r="M41" s="128">
        <v>350</v>
      </c>
      <c r="N41" s="4"/>
      <c r="O41" s="42"/>
      <c r="P41" s="125">
        <f t="shared" si="1"/>
        <v>108454.5</v>
      </c>
      <c r="Q41" s="2">
        <f t="shared" si="2"/>
        <v>108454.5</v>
      </c>
      <c r="R41" s="2">
        <f t="shared" si="3"/>
        <v>108454.5</v>
      </c>
      <c r="S41" s="2">
        <f t="shared" si="4"/>
        <v>108454.5</v>
      </c>
      <c r="T41" s="2">
        <f t="shared" si="5"/>
        <v>0</v>
      </c>
      <c r="U41" s="7">
        <f t="shared" si="6"/>
        <v>0</v>
      </c>
    </row>
    <row r="42" spans="1:21" hidden="1">
      <c r="A42" s="20">
        <v>39</v>
      </c>
      <c r="B42" s="20" t="s">
        <v>1123</v>
      </c>
      <c r="C42" s="9" t="s">
        <v>1158</v>
      </c>
      <c r="D42" s="9" t="s">
        <v>1125</v>
      </c>
      <c r="E42" s="21" t="s">
        <v>1159</v>
      </c>
      <c r="F42" s="126" t="s">
        <v>1162</v>
      </c>
      <c r="G42" s="126">
        <v>915001002</v>
      </c>
      <c r="H42" s="127" t="s">
        <v>1163</v>
      </c>
      <c r="I42" s="124">
        <v>309.87</v>
      </c>
      <c r="J42" s="128">
        <v>350</v>
      </c>
      <c r="K42" s="128">
        <v>350</v>
      </c>
      <c r="L42" s="128">
        <v>350</v>
      </c>
      <c r="M42" s="128">
        <v>350</v>
      </c>
      <c r="N42" s="4"/>
      <c r="O42" s="42"/>
      <c r="P42" s="125">
        <f t="shared" si="1"/>
        <v>108454.5</v>
      </c>
      <c r="Q42" s="2">
        <f t="shared" si="2"/>
        <v>108454.5</v>
      </c>
      <c r="R42" s="2">
        <f t="shared" si="3"/>
        <v>108454.5</v>
      </c>
      <c r="S42" s="2">
        <f t="shared" si="4"/>
        <v>108454.5</v>
      </c>
      <c r="T42" s="2">
        <f t="shared" si="5"/>
        <v>0</v>
      </c>
      <c r="U42" s="7">
        <f t="shared" si="6"/>
        <v>0</v>
      </c>
    </row>
    <row r="43" spans="1:21" hidden="1">
      <c r="A43" s="20">
        <v>40</v>
      </c>
      <c r="B43" s="20" t="s">
        <v>1123</v>
      </c>
      <c r="C43" s="9" t="s">
        <v>1158</v>
      </c>
      <c r="D43" s="9" t="s">
        <v>1125</v>
      </c>
      <c r="E43" s="21" t="s">
        <v>1159</v>
      </c>
      <c r="F43" s="126" t="s">
        <v>1164</v>
      </c>
      <c r="G43" s="126">
        <v>915001003</v>
      </c>
      <c r="H43" s="127" t="s">
        <v>1165</v>
      </c>
      <c r="I43" s="124">
        <v>140.46</v>
      </c>
      <c r="J43" s="128">
        <v>350</v>
      </c>
      <c r="K43" s="128">
        <v>350</v>
      </c>
      <c r="L43" s="128">
        <v>350</v>
      </c>
      <c r="M43" s="128">
        <v>350</v>
      </c>
      <c r="N43" s="4"/>
      <c r="O43" s="42"/>
      <c r="P43" s="125">
        <f t="shared" si="1"/>
        <v>49161</v>
      </c>
      <c r="Q43" s="2">
        <f t="shared" si="2"/>
        <v>49161</v>
      </c>
      <c r="R43" s="2">
        <f t="shared" si="3"/>
        <v>49161</v>
      </c>
      <c r="S43" s="2">
        <f t="shared" si="4"/>
        <v>49161</v>
      </c>
      <c r="T43" s="2">
        <f t="shared" si="5"/>
        <v>0</v>
      </c>
      <c r="U43" s="7">
        <f t="shared" si="6"/>
        <v>0</v>
      </c>
    </row>
    <row r="44" spans="1:21" hidden="1">
      <c r="A44" s="20">
        <v>41</v>
      </c>
      <c r="B44" s="20" t="s">
        <v>1123</v>
      </c>
      <c r="C44" s="9" t="s">
        <v>1158</v>
      </c>
      <c r="D44" s="9" t="s">
        <v>1125</v>
      </c>
      <c r="E44" s="21" t="s">
        <v>1159</v>
      </c>
      <c r="F44" s="126" t="s">
        <v>1166</v>
      </c>
      <c r="G44" s="126">
        <v>915001004</v>
      </c>
      <c r="H44" s="127" t="s">
        <v>1167</v>
      </c>
      <c r="I44" s="124">
        <v>140.46</v>
      </c>
      <c r="J44" s="128">
        <v>350</v>
      </c>
      <c r="K44" s="128">
        <v>350</v>
      </c>
      <c r="L44" s="128">
        <v>350</v>
      </c>
      <c r="M44" s="128">
        <v>350</v>
      </c>
      <c r="N44" s="4"/>
      <c r="O44" s="42"/>
      <c r="P44" s="125">
        <f t="shared" si="1"/>
        <v>49161</v>
      </c>
      <c r="Q44" s="2">
        <f t="shared" si="2"/>
        <v>49161</v>
      </c>
      <c r="R44" s="2">
        <f t="shared" si="3"/>
        <v>49161</v>
      </c>
      <c r="S44" s="2">
        <f t="shared" si="4"/>
        <v>49161</v>
      </c>
      <c r="T44" s="2">
        <f t="shared" si="5"/>
        <v>0</v>
      </c>
      <c r="U44" s="7">
        <f t="shared" si="6"/>
        <v>0</v>
      </c>
    </row>
    <row r="45" spans="1:21" hidden="1">
      <c r="A45" s="20">
        <v>42</v>
      </c>
      <c r="B45" s="20" t="s">
        <v>1123</v>
      </c>
      <c r="C45" s="9" t="s">
        <v>1158</v>
      </c>
      <c r="D45" s="9" t="s">
        <v>1125</v>
      </c>
      <c r="E45" s="21" t="s">
        <v>1159</v>
      </c>
      <c r="F45" s="129" t="s">
        <v>1168</v>
      </c>
      <c r="G45" s="126">
        <v>915001005</v>
      </c>
      <c r="H45" s="122" t="s">
        <v>1169</v>
      </c>
      <c r="I45" s="40">
        <v>50</v>
      </c>
      <c r="J45" s="128">
        <v>0</v>
      </c>
      <c r="K45" s="128">
        <v>0</v>
      </c>
      <c r="L45" s="128">
        <v>0</v>
      </c>
      <c r="M45" s="128">
        <v>0</v>
      </c>
      <c r="N45" s="4">
        <v>0</v>
      </c>
      <c r="O45" s="42">
        <v>0</v>
      </c>
      <c r="P45" s="125">
        <f t="shared" si="1"/>
        <v>0</v>
      </c>
      <c r="Q45" s="2">
        <f t="shared" si="2"/>
        <v>0</v>
      </c>
      <c r="R45" s="2">
        <f>L45*I45</f>
        <v>0</v>
      </c>
      <c r="S45" s="2">
        <f t="shared" si="4"/>
        <v>0</v>
      </c>
      <c r="T45" s="2">
        <f t="shared" si="5"/>
        <v>0</v>
      </c>
      <c r="U45" s="7">
        <f t="shared" si="6"/>
        <v>0</v>
      </c>
    </row>
    <row r="46" spans="1:21" hidden="1">
      <c r="A46" s="20">
        <v>43</v>
      </c>
      <c r="B46" s="20" t="s">
        <v>1123</v>
      </c>
      <c r="C46" s="9" t="s">
        <v>1158</v>
      </c>
      <c r="D46" s="9" t="s">
        <v>1125</v>
      </c>
      <c r="E46" s="21" t="s">
        <v>1159</v>
      </c>
      <c r="F46" s="126" t="s">
        <v>1170</v>
      </c>
      <c r="G46" s="126">
        <v>915004001</v>
      </c>
      <c r="H46" s="127" t="s">
        <v>1171</v>
      </c>
      <c r="I46" s="124">
        <v>161.58000000000001</v>
      </c>
      <c r="J46" s="128">
        <v>350</v>
      </c>
      <c r="K46" s="128">
        <v>350</v>
      </c>
      <c r="L46" s="128">
        <v>350</v>
      </c>
      <c r="M46" s="128">
        <v>350</v>
      </c>
      <c r="N46" s="4"/>
      <c r="O46" s="42"/>
      <c r="P46" s="125">
        <f t="shared" si="1"/>
        <v>56553.000000000007</v>
      </c>
      <c r="Q46" s="2">
        <f t="shared" si="2"/>
        <v>56553.000000000007</v>
      </c>
      <c r="R46" s="2">
        <f t="shared" si="3"/>
        <v>56553.000000000007</v>
      </c>
      <c r="S46" s="2">
        <f t="shared" si="4"/>
        <v>56553.000000000007</v>
      </c>
      <c r="T46" s="2">
        <f t="shared" si="5"/>
        <v>0</v>
      </c>
      <c r="U46" s="7">
        <f t="shared" si="6"/>
        <v>0</v>
      </c>
    </row>
    <row r="47" spans="1:21" hidden="1">
      <c r="A47" s="20">
        <v>44</v>
      </c>
      <c r="B47" s="20" t="s">
        <v>1123</v>
      </c>
      <c r="C47" s="9" t="s">
        <v>1158</v>
      </c>
      <c r="D47" s="9" t="s">
        <v>1125</v>
      </c>
      <c r="E47" s="21" t="s">
        <v>1159</v>
      </c>
      <c r="F47" s="126" t="s">
        <v>1172</v>
      </c>
      <c r="G47" s="126">
        <v>915004002</v>
      </c>
      <c r="H47" s="127" t="s">
        <v>1173</v>
      </c>
      <c r="I47" s="124">
        <v>161.6</v>
      </c>
      <c r="J47" s="128">
        <v>350</v>
      </c>
      <c r="K47" s="128">
        <v>350</v>
      </c>
      <c r="L47" s="128">
        <v>350</v>
      </c>
      <c r="M47" s="128">
        <v>350</v>
      </c>
      <c r="N47" s="4"/>
      <c r="O47" s="42"/>
      <c r="P47" s="125">
        <f t="shared" si="1"/>
        <v>56560</v>
      </c>
      <c r="Q47" s="2">
        <f t="shared" si="2"/>
        <v>56560</v>
      </c>
      <c r="R47" s="2">
        <f t="shared" si="3"/>
        <v>56560</v>
      </c>
      <c r="S47" s="2">
        <f t="shared" si="4"/>
        <v>56560</v>
      </c>
      <c r="T47" s="2">
        <f t="shared" si="5"/>
        <v>0</v>
      </c>
      <c r="U47" s="7">
        <f t="shared" si="6"/>
        <v>0</v>
      </c>
    </row>
    <row r="48" spans="1:21" hidden="1">
      <c r="A48" s="20">
        <v>45</v>
      </c>
      <c r="B48" s="20" t="s">
        <v>1123</v>
      </c>
      <c r="C48" s="9" t="s">
        <v>1158</v>
      </c>
      <c r="D48" s="9" t="s">
        <v>1125</v>
      </c>
      <c r="E48" s="21" t="s">
        <v>1159</v>
      </c>
      <c r="F48" s="126" t="s">
        <v>1174</v>
      </c>
      <c r="G48" s="126">
        <v>915004003</v>
      </c>
      <c r="H48" s="127" t="s">
        <v>1175</v>
      </c>
      <c r="I48" s="124">
        <v>142.86000000000001</v>
      </c>
      <c r="J48" s="128">
        <v>350</v>
      </c>
      <c r="K48" s="128">
        <v>350</v>
      </c>
      <c r="L48" s="128">
        <v>350</v>
      </c>
      <c r="M48" s="128">
        <v>350</v>
      </c>
      <c r="N48" s="4"/>
      <c r="O48" s="42"/>
      <c r="P48" s="125">
        <f t="shared" si="1"/>
        <v>50001.000000000007</v>
      </c>
      <c r="Q48" s="2">
        <f t="shared" si="2"/>
        <v>50001.000000000007</v>
      </c>
      <c r="R48" s="2">
        <f t="shared" si="3"/>
        <v>50001.000000000007</v>
      </c>
      <c r="S48" s="2">
        <f t="shared" si="4"/>
        <v>50001.000000000007</v>
      </c>
      <c r="T48" s="2">
        <f t="shared" si="5"/>
        <v>0</v>
      </c>
      <c r="U48" s="7">
        <f t="shared" si="6"/>
        <v>0</v>
      </c>
    </row>
    <row r="49" spans="1:21" hidden="1">
      <c r="A49" s="20">
        <v>46</v>
      </c>
      <c r="B49" s="20" t="s">
        <v>1123</v>
      </c>
      <c r="C49" s="9" t="s">
        <v>1158</v>
      </c>
      <c r="D49" s="9" t="s">
        <v>1125</v>
      </c>
      <c r="E49" s="21" t="s">
        <v>1159</v>
      </c>
      <c r="F49" s="126" t="s">
        <v>1176</v>
      </c>
      <c r="G49" s="126">
        <v>915004004</v>
      </c>
      <c r="H49" s="127" t="s">
        <v>1177</v>
      </c>
      <c r="I49" s="124">
        <v>142.86000000000001</v>
      </c>
      <c r="J49" s="128">
        <v>350</v>
      </c>
      <c r="K49" s="128">
        <v>350</v>
      </c>
      <c r="L49" s="128">
        <v>350</v>
      </c>
      <c r="M49" s="128">
        <v>350</v>
      </c>
      <c r="N49" s="4"/>
      <c r="O49" s="42"/>
      <c r="P49" s="125">
        <f t="shared" si="1"/>
        <v>50001.000000000007</v>
      </c>
      <c r="Q49" s="2">
        <f t="shared" si="2"/>
        <v>50001.000000000007</v>
      </c>
      <c r="R49" s="2">
        <f t="shared" si="3"/>
        <v>50001.000000000007</v>
      </c>
      <c r="S49" s="2">
        <f t="shared" si="4"/>
        <v>50001.000000000007</v>
      </c>
      <c r="T49" s="2">
        <f t="shared" si="5"/>
        <v>0</v>
      </c>
      <c r="U49" s="7">
        <f t="shared" si="6"/>
        <v>0</v>
      </c>
    </row>
    <row r="50" spans="1:21" hidden="1">
      <c r="A50" s="20">
        <v>47</v>
      </c>
      <c r="B50" s="20" t="s">
        <v>1123</v>
      </c>
      <c r="C50" s="9" t="s">
        <v>1158</v>
      </c>
      <c r="D50" s="9" t="s">
        <v>1125</v>
      </c>
      <c r="E50" s="21" t="s">
        <v>1159</v>
      </c>
      <c r="F50" s="126" t="s">
        <v>1178</v>
      </c>
      <c r="G50" s="126">
        <v>915004005</v>
      </c>
      <c r="H50" s="127" t="s">
        <v>1179</v>
      </c>
      <c r="I50" s="124">
        <v>142.9</v>
      </c>
      <c r="J50" s="128">
        <v>350</v>
      </c>
      <c r="K50" s="128">
        <v>350</v>
      </c>
      <c r="L50" s="128">
        <v>350</v>
      </c>
      <c r="M50" s="128">
        <v>350</v>
      </c>
      <c r="N50" s="4"/>
      <c r="O50" s="42"/>
      <c r="P50" s="125">
        <f t="shared" si="1"/>
        <v>50015</v>
      </c>
      <c r="Q50" s="2">
        <f t="shared" si="2"/>
        <v>50015</v>
      </c>
      <c r="R50" s="2">
        <f t="shared" si="3"/>
        <v>50015</v>
      </c>
      <c r="S50" s="2">
        <f t="shared" si="4"/>
        <v>50015</v>
      </c>
      <c r="T50" s="2">
        <f t="shared" si="5"/>
        <v>0</v>
      </c>
      <c r="U50" s="7">
        <f t="shared" si="6"/>
        <v>0</v>
      </c>
    </row>
    <row r="51" spans="1:21" hidden="1">
      <c r="A51" s="20">
        <v>48</v>
      </c>
      <c r="B51" s="20" t="s">
        <v>1123</v>
      </c>
      <c r="C51" s="9" t="s">
        <v>1158</v>
      </c>
      <c r="D51" s="9" t="s">
        <v>1125</v>
      </c>
      <c r="E51" s="21" t="s">
        <v>1159</v>
      </c>
      <c r="F51" s="126" t="s">
        <v>1180</v>
      </c>
      <c r="G51" s="126">
        <v>915004006</v>
      </c>
      <c r="H51" s="127" t="s">
        <v>1181</v>
      </c>
      <c r="I51" s="124">
        <v>142.9</v>
      </c>
      <c r="J51" s="128">
        <v>350</v>
      </c>
      <c r="K51" s="128">
        <v>350</v>
      </c>
      <c r="L51" s="128">
        <v>350</v>
      </c>
      <c r="M51" s="128">
        <v>350</v>
      </c>
      <c r="N51" s="4"/>
      <c r="O51" s="42"/>
      <c r="P51" s="125">
        <f t="shared" si="1"/>
        <v>50015</v>
      </c>
      <c r="Q51" s="2">
        <f t="shared" si="2"/>
        <v>50015</v>
      </c>
      <c r="R51" s="2">
        <f t="shared" si="3"/>
        <v>50015</v>
      </c>
      <c r="S51" s="2">
        <f t="shared" si="4"/>
        <v>50015</v>
      </c>
      <c r="T51" s="2">
        <f t="shared" si="5"/>
        <v>0</v>
      </c>
      <c r="U51" s="7">
        <f t="shared" si="6"/>
        <v>0</v>
      </c>
    </row>
    <row r="52" spans="1:21" hidden="1">
      <c r="A52" s="20">
        <v>49</v>
      </c>
      <c r="B52" s="20" t="s">
        <v>1123</v>
      </c>
      <c r="C52" s="9" t="s">
        <v>1158</v>
      </c>
      <c r="D52" s="9" t="s">
        <v>1125</v>
      </c>
      <c r="E52" s="21" t="s">
        <v>1159</v>
      </c>
      <c r="F52" s="126" t="s">
        <v>1182</v>
      </c>
      <c r="G52" s="126">
        <v>915006001</v>
      </c>
      <c r="H52" s="127" t="s">
        <v>1183</v>
      </c>
      <c r="I52" s="124">
        <v>5.28</v>
      </c>
      <c r="J52" s="128">
        <v>750</v>
      </c>
      <c r="K52" s="128">
        <v>750</v>
      </c>
      <c r="L52" s="128">
        <v>750</v>
      </c>
      <c r="M52" s="128">
        <v>750</v>
      </c>
      <c r="N52" s="4"/>
      <c r="O52" s="42"/>
      <c r="P52" s="125">
        <f t="shared" si="1"/>
        <v>3960</v>
      </c>
      <c r="Q52" s="2">
        <f t="shared" si="2"/>
        <v>3960</v>
      </c>
      <c r="R52" s="2">
        <f t="shared" si="3"/>
        <v>3960</v>
      </c>
      <c r="S52" s="2">
        <f t="shared" si="4"/>
        <v>3960</v>
      </c>
      <c r="T52" s="2">
        <f t="shared" si="5"/>
        <v>0</v>
      </c>
      <c r="U52" s="7">
        <f t="shared" si="6"/>
        <v>0</v>
      </c>
    </row>
    <row r="53" spans="1:21" hidden="1">
      <c r="A53" s="20">
        <v>50</v>
      </c>
      <c r="B53" s="20" t="s">
        <v>1123</v>
      </c>
      <c r="C53" s="9" t="s">
        <v>1158</v>
      </c>
      <c r="D53" s="9" t="s">
        <v>1125</v>
      </c>
      <c r="E53" s="21" t="s">
        <v>1159</v>
      </c>
      <c r="F53" s="126" t="s">
        <v>1184</v>
      </c>
      <c r="G53" s="126">
        <v>915006002</v>
      </c>
      <c r="H53" s="127" t="s">
        <v>1185</v>
      </c>
      <c r="I53" s="124">
        <v>26.09</v>
      </c>
      <c r="J53" s="128">
        <v>750</v>
      </c>
      <c r="K53" s="128">
        <v>750</v>
      </c>
      <c r="L53" s="128">
        <v>750</v>
      </c>
      <c r="M53" s="128">
        <v>750</v>
      </c>
      <c r="N53" s="4"/>
      <c r="O53" s="42"/>
      <c r="P53" s="125">
        <f t="shared" si="1"/>
        <v>19567.5</v>
      </c>
      <c r="Q53" s="2">
        <f t="shared" si="2"/>
        <v>19567.5</v>
      </c>
      <c r="R53" s="2">
        <f t="shared" si="3"/>
        <v>19567.5</v>
      </c>
      <c r="S53" s="2">
        <f t="shared" si="4"/>
        <v>19567.5</v>
      </c>
      <c r="T53" s="2">
        <f t="shared" si="5"/>
        <v>0</v>
      </c>
      <c r="U53" s="7">
        <f t="shared" si="6"/>
        <v>0</v>
      </c>
    </row>
    <row r="54" spans="1:21" hidden="1">
      <c r="A54" s="20">
        <v>51</v>
      </c>
      <c r="B54" s="20" t="s">
        <v>1123</v>
      </c>
      <c r="C54" s="9" t="s">
        <v>1158</v>
      </c>
      <c r="D54" s="9" t="s">
        <v>1125</v>
      </c>
      <c r="E54" s="21" t="s">
        <v>1159</v>
      </c>
      <c r="F54" s="126" t="s">
        <v>1186</v>
      </c>
      <c r="G54" s="126">
        <v>915009001</v>
      </c>
      <c r="H54" s="127" t="s">
        <v>1187</v>
      </c>
      <c r="I54" s="124">
        <v>54.38</v>
      </c>
      <c r="J54" s="128">
        <v>0</v>
      </c>
      <c r="K54" s="128">
        <v>0</v>
      </c>
      <c r="L54" s="128">
        <v>0</v>
      </c>
      <c r="M54" s="128">
        <v>0</v>
      </c>
      <c r="N54" s="4">
        <v>0</v>
      </c>
      <c r="O54" s="42">
        <v>0</v>
      </c>
      <c r="P54" s="125">
        <f t="shared" si="1"/>
        <v>0</v>
      </c>
      <c r="Q54" s="2">
        <f t="shared" si="2"/>
        <v>0</v>
      </c>
      <c r="R54" s="2">
        <f t="shared" si="3"/>
        <v>0</v>
      </c>
      <c r="S54" s="2">
        <f t="shared" si="4"/>
        <v>0</v>
      </c>
      <c r="T54" s="2">
        <f t="shared" si="5"/>
        <v>0</v>
      </c>
      <c r="U54" s="7">
        <f t="shared" si="6"/>
        <v>0</v>
      </c>
    </row>
    <row r="55" spans="1:21" hidden="1">
      <c r="A55" s="20">
        <v>52</v>
      </c>
      <c r="B55" s="20" t="s">
        <v>1123</v>
      </c>
      <c r="C55" s="9" t="s">
        <v>1158</v>
      </c>
      <c r="D55" s="9" t="s">
        <v>1125</v>
      </c>
      <c r="E55" s="21" t="s">
        <v>1159</v>
      </c>
      <c r="F55" s="126" t="s">
        <v>1188</v>
      </c>
      <c r="G55" s="126">
        <v>915009002</v>
      </c>
      <c r="H55" s="127" t="s">
        <v>1187</v>
      </c>
      <c r="I55" s="124">
        <v>54.38</v>
      </c>
      <c r="J55" s="128">
        <v>0</v>
      </c>
      <c r="K55" s="128">
        <v>0</v>
      </c>
      <c r="L55" s="128">
        <v>0</v>
      </c>
      <c r="M55" s="128">
        <v>0</v>
      </c>
      <c r="N55" s="4">
        <v>0</v>
      </c>
      <c r="O55" s="42">
        <v>0</v>
      </c>
      <c r="P55" s="125">
        <f t="shared" si="1"/>
        <v>0</v>
      </c>
      <c r="Q55" s="2">
        <f t="shared" si="2"/>
        <v>0</v>
      </c>
      <c r="R55" s="2">
        <f t="shared" si="3"/>
        <v>0</v>
      </c>
      <c r="S55" s="2">
        <f t="shared" si="4"/>
        <v>0</v>
      </c>
      <c r="T55" s="2">
        <f t="shared" si="5"/>
        <v>0</v>
      </c>
      <c r="U55" s="7">
        <f t="shared" si="6"/>
        <v>0</v>
      </c>
    </row>
    <row r="56" spans="1:21" hidden="1">
      <c r="A56" s="20">
        <v>53</v>
      </c>
      <c r="B56" s="20" t="s">
        <v>1123</v>
      </c>
      <c r="C56" s="9" t="s">
        <v>1158</v>
      </c>
      <c r="D56" s="9" t="s">
        <v>1125</v>
      </c>
      <c r="E56" s="21" t="s">
        <v>1159</v>
      </c>
      <c r="F56" s="126" t="s">
        <v>1189</v>
      </c>
      <c r="G56" s="126">
        <v>915009003</v>
      </c>
      <c r="H56" s="127" t="s">
        <v>1190</v>
      </c>
      <c r="I56" s="124">
        <v>202.22</v>
      </c>
      <c r="J56" s="128">
        <v>350</v>
      </c>
      <c r="K56" s="128">
        <v>350</v>
      </c>
      <c r="L56" s="128">
        <v>350</v>
      </c>
      <c r="M56" s="128">
        <v>350</v>
      </c>
      <c r="N56" s="4"/>
      <c r="O56" s="42"/>
      <c r="P56" s="125">
        <f t="shared" si="1"/>
        <v>70777</v>
      </c>
      <c r="Q56" s="2">
        <f t="shared" si="2"/>
        <v>70777</v>
      </c>
      <c r="R56" s="2">
        <f t="shared" si="3"/>
        <v>70777</v>
      </c>
      <c r="S56" s="2">
        <f t="shared" si="4"/>
        <v>70777</v>
      </c>
      <c r="T56" s="2">
        <f t="shared" si="5"/>
        <v>0</v>
      </c>
      <c r="U56" s="7">
        <f t="shared" si="6"/>
        <v>0</v>
      </c>
    </row>
    <row r="57" spans="1:21" hidden="1">
      <c r="A57" s="20">
        <v>54</v>
      </c>
      <c r="B57" s="20" t="s">
        <v>1123</v>
      </c>
      <c r="C57" s="9" t="s">
        <v>1158</v>
      </c>
      <c r="D57" s="9" t="s">
        <v>1125</v>
      </c>
      <c r="E57" s="21" t="s">
        <v>1159</v>
      </c>
      <c r="F57" s="126" t="s">
        <v>1191</v>
      </c>
      <c r="G57" s="126">
        <v>915009004</v>
      </c>
      <c r="H57" s="127" t="s">
        <v>1192</v>
      </c>
      <c r="I57" s="124">
        <v>154.21</v>
      </c>
      <c r="J57" s="128">
        <v>350</v>
      </c>
      <c r="K57" s="128">
        <v>350</v>
      </c>
      <c r="L57" s="128">
        <v>350</v>
      </c>
      <c r="M57" s="128">
        <v>350</v>
      </c>
      <c r="N57" s="10"/>
      <c r="O57" s="130"/>
      <c r="P57" s="125">
        <f t="shared" si="1"/>
        <v>53973.5</v>
      </c>
      <c r="Q57" s="2">
        <f t="shared" si="2"/>
        <v>53973.5</v>
      </c>
      <c r="R57" s="2">
        <f t="shared" si="3"/>
        <v>53973.5</v>
      </c>
      <c r="S57" s="2">
        <f t="shared" si="4"/>
        <v>53973.5</v>
      </c>
      <c r="T57" s="2">
        <f t="shared" si="5"/>
        <v>0</v>
      </c>
      <c r="U57" s="7">
        <f t="shared" si="6"/>
        <v>0</v>
      </c>
    </row>
    <row r="58" spans="1:21" hidden="1">
      <c r="A58" s="20">
        <v>55</v>
      </c>
      <c r="B58" s="20" t="s">
        <v>1123</v>
      </c>
      <c r="C58" s="9" t="s">
        <v>1158</v>
      </c>
      <c r="D58" s="9" t="s">
        <v>1125</v>
      </c>
      <c r="E58" s="21" t="s">
        <v>1159</v>
      </c>
      <c r="F58" s="126" t="s">
        <v>1193</v>
      </c>
      <c r="G58" s="126">
        <v>915017001</v>
      </c>
      <c r="H58" s="127" t="s">
        <v>1194</v>
      </c>
      <c r="I58" s="124">
        <v>0</v>
      </c>
      <c r="J58" s="128">
        <v>0</v>
      </c>
      <c r="K58" s="128">
        <v>0</v>
      </c>
      <c r="L58" s="128">
        <v>0</v>
      </c>
      <c r="M58" s="128">
        <v>0</v>
      </c>
      <c r="N58" s="4">
        <v>0</v>
      </c>
      <c r="O58" s="42">
        <v>0</v>
      </c>
      <c r="P58" s="125">
        <f t="shared" si="1"/>
        <v>0</v>
      </c>
      <c r="Q58" s="2">
        <f t="shared" si="2"/>
        <v>0</v>
      </c>
      <c r="R58" s="2">
        <f t="shared" si="3"/>
        <v>0</v>
      </c>
      <c r="S58" s="2">
        <f t="shared" si="4"/>
        <v>0</v>
      </c>
      <c r="T58" s="2">
        <f t="shared" si="5"/>
        <v>0</v>
      </c>
      <c r="U58" s="7">
        <f t="shared" si="6"/>
        <v>0</v>
      </c>
    </row>
    <row r="59" spans="1:21" hidden="1">
      <c r="A59" s="20">
        <v>56</v>
      </c>
      <c r="B59" s="20" t="s">
        <v>1123</v>
      </c>
      <c r="C59" s="9" t="s">
        <v>1158</v>
      </c>
      <c r="D59" s="9" t="s">
        <v>1125</v>
      </c>
      <c r="E59" s="21" t="s">
        <v>1159</v>
      </c>
      <c r="F59" s="126" t="s">
        <v>1195</v>
      </c>
      <c r="G59" s="126">
        <v>915017002</v>
      </c>
      <c r="H59" s="127" t="s">
        <v>1196</v>
      </c>
      <c r="I59" s="124">
        <v>0</v>
      </c>
      <c r="J59" s="128">
        <v>0</v>
      </c>
      <c r="K59" s="128">
        <v>0</v>
      </c>
      <c r="L59" s="128">
        <v>0</v>
      </c>
      <c r="M59" s="128">
        <v>0</v>
      </c>
      <c r="N59" s="4">
        <v>0</v>
      </c>
      <c r="O59" s="42">
        <v>0</v>
      </c>
      <c r="P59" s="125">
        <f t="shared" si="1"/>
        <v>0</v>
      </c>
      <c r="Q59" s="2">
        <f t="shared" si="2"/>
        <v>0</v>
      </c>
      <c r="R59" s="2">
        <f t="shared" si="3"/>
        <v>0</v>
      </c>
      <c r="S59" s="2">
        <f t="shared" si="4"/>
        <v>0</v>
      </c>
      <c r="T59" s="2">
        <f t="shared" si="5"/>
        <v>0</v>
      </c>
      <c r="U59" s="7">
        <f t="shared" si="6"/>
        <v>0</v>
      </c>
    </row>
    <row r="60" spans="1:21" hidden="1">
      <c r="A60" s="20">
        <v>57</v>
      </c>
      <c r="B60" s="20" t="s">
        <v>1123</v>
      </c>
      <c r="C60" s="9" t="s">
        <v>1158</v>
      </c>
      <c r="D60" s="9" t="s">
        <v>1125</v>
      </c>
      <c r="E60" s="21" t="s">
        <v>1159</v>
      </c>
      <c r="F60" s="126" t="s">
        <v>1197</v>
      </c>
      <c r="G60" s="126">
        <v>915017003</v>
      </c>
      <c r="H60" s="127" t="s">
        <v>1198</v>
      </c>
      <c r="I60" s="131">
        <v>6.94</v>
      </c>
      <c r="J60" s="128">
        <v>700</v>
      </c>
      <c r="K60" s="128">
        <v>700</v>
      </c>
      <c r="L60" s="128">
        <v>700</v>
      </c>
      <c r="M60" s="128">
        <v>700</v>
      </c>
      <c r="N60" s="10"/>
      <c r="O60" s="130"/>
      <c r="P60" s="125">
        <f t="shared" si="1"/>
        <v>4858</v>
      </c>
      <c r="Q60" s="2">
        <f t="shared" si="2"/>
        <v>4858</v>
      </c>
      <c r="R60" s="2">
        <f t="shared" si="3"/>
        <v>4858</v>
      </c>
      <c r="S60" s="2">
        <f t="shared" si="4"/>
        <v>4858</v>
      </c>
      <c r="T60" s="2">
        <f t="shared" si="5"/>
        <v>0</v>
      </c>
      <c r="U60" s="7">
        <f t="shared" si="6"/>
        <v>0</v>
      </c>
    </row>
    <row r="61" spans="1:21" hidden="1">
      <c r="A61" s="20">
        <v>58</v>
      </c>
      <c r="B61" s="20" t="s">
        <v>1123</v>
      </c>
      <c r="C61" s="9" t="s">
        <v>1158</v>
      </c>
      <c r="D61" s="9" t="s">
        <v>1125</v>
      </c>
      <c r="E61" s="21" t="s">
        <v>1159</v>
      </c>
      <c r="F61" s="126" t="s">
        <v>1199</v>
      </c>
      <c r="G61" s="126">
        <v>915017004</v>
      </c>
      <c r="H61" s="127" t="s">
        <v>1200</v>
      </c>
      <c r="I61" s="124">
        <v>17.170000000000002</v>
      </c>
      <c r="J61" s="128">
        <v>700</v>
      </c>
      <c r="K61" s="128">
        <v>700</v>
      </c>
      <c r="L61" s="128">
        <v>700</v>
      </c>
      <c r="M61" s="128">
        <v>700</v>
      </c>
      <c r="N61" s="10"/>
      <c r="O61" s="130"/>
      <c r="P61" s="125">
        <f t="shared" si="1"/>
        <v>12019.000000000002</v>
      </c>
      <c r="Q61" s="2">
        <f t="shared" si="2"/>
        <v>12019.000000000002</v>
      </c>
      <c r="R61" s="2">
        <f t="shared" si="3"/>
        <v>12019.000000000002</v>
      </c>
      <c r="S61" s="2">
        <f t="shared" si="4"/>
        <v>12019.000000000002</v>
      </c>
      <c r="T61" s="2">
        <f t="shared" si="5"/>
        <v>0</v>
      </c>
      <c r="U61" s="7">
        <f t="shared" si="6"/>
        <v>0</v>
      </c>
    </row>
    <row r="62" spans="1:21" hidden="1">
      <c r="A62" s="20">
        <v>59</v>
      </c>
      <c r="B62" s="20" t="s">
        <v>1123</v>
      </c>
      <c r="C62" s="9" t="s">
        <v>1158</v>
      </c>
      <c r="D62" s="9" t="s">
        <v>1125</v>
      </c>
      <c r="E62" s="21" t="s">
        <v>1159</v>
      </c>
      <c r="F62" s="126" t="s">
        <v>1201</v>
      </c>
      <c r="G62" s="126">
        <v>915017005</v>
      </c>
      <c r="H62" s="127" t="s">
        <v>1202</v>
      </c>
      <c r="I62" s="124">
        <v>0</v>
      </c>
      <c r="J62" s="128">
        <v>0</v>
      </c>
      <c r="K62" s="128">
        <v>0</v>
      </c>
      <c r="L62" s="128">
        <v>0</v>
      </c>
      <c r="M62" s="128">
        <v>0</v>
      </c>
      <c r="N62" s="4">
        <v>0</v>
      </c>
      <c r="O62" s="42">
        <v>0</v>
      </c>
      <c r="P62" s="125">
        <f t="shared" si="1"/>
        <v>0</v>
      </c>
      <c r="Q62" s="2">
        <f t="shared" si="2"/>
        <v>0</v>
      </c>
      <c r="R62" s="2">
        <f t="shared" si="3"/>
        <v>0</v>
      </c>
      <c r="S62" s="2">
        <f t="shared" si="4"/>
        <v>0</v>
      </c>
      <c r="T62" s="2">
        <f t="shared" si="5"/>
        <v>0</v>
      </c>
      <c r="U62" s="7">
        <f t="shared" si="6"/>
        <v>0</v>
      </c>
    </row>
    <row r="63" spans="1:21" hidden="1">
      <c r="A63" s="20">
        <v>60</v>
      </c>
      <c r="B63" s="20" t="s">
        <v>1123</v>
      </c>
      <c r="C63" s="9" t="s">
        <v>1158</v>
      </c>
      <c r="D63" s="9" t="s">
        <v>1125</v>
      </c>
      <c r="E63" s="21" t="s">
        <v>1159</v>
      </c>
      <c r="F63" s="9" t="s">
        <v>1203</v>
      </c>
      <c r="G63" s="126">
        <v>915006003</v>
      </c>
      <c r="H63" s="127" t="s">
        <v>1204</v>
      </c>
      <c r="I63" s="124">
        <v>89.47</v>
      </c>
      <c r="J63" s="128">
        <v>700</v>
      </c>
      <c r="K63" s="128">
        <v>700</v>
      </c>
      <c r="L63" s="128">
        <v>700</v>
      </c>
      <c r="M63" s="128">
        <v>700</v>
      </c>
      <c r="N63" s="10"/>
      <c r="O63" s="130"/>
      <c r="P63" s="125">
        <f t="shared" si="1"/>
        <v>62629</v>
      </c>
      <c r="Q63" s="2">
        <f t="shared" si="2"/>
        <v>62629</v>
      </c>
      <c r="R63" s="2">
        <f t="shared" si="3"/>
        <v>62629</v>
      </c>
      <c r="S63" s="2">
        <f t="shared" si="4"/>
        <v>62629</v>
      </c>
      <c r="T63" s="2">
        <f t="shared" si="5"/>
        <v>0</v>
      </c>
      <c r="U63" s="7">
        <f t="shared" si="6"/>
        <v>0</v>
      </c>
    </row>
    <row r="64" spans="1:21" hidden="1">
      <c r="A64" s="20">
        <v>61</v>
      </c>
      <c r="B64" s="20" t="s">
        <v>1123</v>
      </c>
      <c r="C64" s="9" t="s">
        <v>1158</v>
      </c>
      <c r="D64" s="9" t="s">
        <v>1125</v>
      </c>
      <c r="E64" s="21" t="s">
        <v>1159</v>
      </c>
      <c r="F64" s="9" t="s">
        <v>1205</v>
      </c>
      <c r="G64" s="126">
        <v>918901001</v>
      </c>
      <c r="H64" s="127" t="s">
        <v>1206</v>
      </c>
      <c r="I64" s="124">
        <v>27.64</v>
      </c>
      <c r="J64" s="132">
        <v>340</v>
      </c>
      <c r="K64" s="132">
        <v>340</v>
      </c>
      <c r="L64" s="132">
        <v>340</v>
      </c>
      <c r="M64" s="132">
        <v>340</v>
      </c>
      <c r="N64" s="10"/>
      <c r="O64" s="130"/>
      <c r="P64" s="125">
        <f t="shared" si="1"/>
        <v>9397.6</v>
      </c>
      <c r="Q64" s="2">
        <f t="shared" si="2"/>
        <v>9397.6</v>
      </c>
      <c r="R64" s="2">
        <f t="shared" si="3"/>
        <v>9397.6</v>
      </c>
      <c r="S64" s="2">
        <f t="shared" si="4"/>
        <v>9397.6</v>
      </c>
      <c r="T64" s="2">
        <f t="shared" si="5"/>
        <v>0</v>
      </c>
      <c r="U64" s="7">
        <f t="shared" si="6"/>
        <v>0</v>
      </c>
    </row>
    <row r="65" spans="1:21" hidden="1">
      <c r="A65" s="20">
        <v>62</v>
      </c>
      <c r="B65" s="20" t="s">
        <v>1123</v>
      </c>
      <c r="C65" s="9" t="s">
        <v>1158</v>
      </c>
      <c r="D65" s="9" t="s">
        <v>1125</v>
      </c>
      <c r="E65" s="21" t="s">
        <v>1159</v>
      </c>
      <c r="F65" s="9" t="s">
        <v>1207</v>
      </c>
      <c r="G65" s="126">
        <v>918906001</v>
      </c>
      <c r="H65" s="122" t="s">
        <v>1208</v>
      </c>
      <c r="I65" s="124">
        <v>125.84</v>
      </c>
      <c r="J65" s="132">
        <v>340</v>
      </c>
      <c r="K65" s="132">
        <v>340</v>
      </c>
      <c r="L65" s="132">
        <v>340</v>
      </c>
      <c r="M65" s="132">
        <v>340</v>
      </c>
      <c r="N65" s="10"/>
      <c r="O65" s="130"/>
      <c r="P65" s="125">
        <f t="shared" si="1"/>
        <v>42785.599999999999</v>
      </c>
      <c r="Q65" s="2">
        <f t="shared" si="2"/>
        <v>42785.599999999999</v>
      </c>
      <c r="R65" s="2">
        <f t="shared" si="3"/>
        <v>42785.599999999999</v>
      </c>
      <c r="S65" s="2">
        <f t="shared" si="4"/>
        <v>42785.599999999999</v>
      </c>
      <c r="T65" s="2">
        <f t="shared" si="5"/>
        <v>0</v>
      </c>
      <c r="U65" s="7">
        <f t="shared" si="6"/>
        <v>0</v>
      </c>
    </row>
    <row r="66" spans="1:21">
      <c r="A66" s="20">
        <v>63</v>
      </c>
      <c r="B66" s="20" t="s">
        <v>1123</v>
      </c>
      <c r="C66" s="9" t="s">
        <v>1124</v>
      </c>
      <c r="D66" s="9" t="s">
        <v>1209</v>
      </c>
      <c r="E66" s="21" t="s">
        <v>1126</v>
      </c>
      <c r="F66" s="133">
        <v>282967806302</v>
      </c>
      <c r="G66" s="134">
        <v>914209002</v>
      </c>
      <c r="H66" s="39" t="s">
        <v>1134</v>
      </c>
      <c r="I66" s="40">
        <v>132.88999999999999</v>
      </c>
      <c r="J66" s="132">
        <v>5500</v>
      </c>
      <c r="K66" s="79">
        <v>5600</v>
      </c>
      <c r="L66" s="79">
        <v>5600</v>
      </c>
      <c r="M66" s="79">
        <v>5600</v>
      </c>
      <c r="N66" s="10"/>
      <c r="O66" s="130"/>
      <c r="P66" s="125">
        <f t="shared" si="1"/>
        <v>730894.99999999988</v>
      </c>
      <c r="Q66" s="2">
        <f t="shared" si="2"/>
        <v>744183.99999999988</v>
      </c>
      <c r="R66" s="2">
        <f t="shared" si="3"/>
        <v>744183.99999999988</v>
      </c>
      <c r="S66" s="2">
        <f t="shared" si="4"/>
        <v>744183.99999999988</v>
      </c>
      <c r="T66" s="2">
        <f t="shared" si="5"/>
        <v>0</v>
      </c>
      <c r="U66" s="7">
        <f t="shared" si="6"/>
        <v>0</v>
      </c>
    </row>
    <row r="67" spans="1:21">
      <c r="A67" s="135">
        <v>64</v>
      </c>
      <c r="B67" s="135" t="s">
        <v>1123</v>
      </c>
      <c r="C67" s="136" t="s">
        <v>1124</v>
      </c>
      <c r="D67" s="136" t="s">
        <v>1210</v>
      </c>
      <c r="E67" s="137" t="s">
        <v>1126</v>
      </c>
      <c r="F67" s="138">
        <v>282967806302</v>
      </c>
      <c r="G67" s="139">
        <v>914209002</v>
      </c>
      <c r="H67" s="140" t="s">
        <v>1134</v>
      </c>
      <c r="I67" s="141">
        <v>138.72</v>
      </c>
      <c r="J67" s="142">
        <v>1000</v>
      </c>
      <c r="K67" s="143">
        <v>1100</v>
      </c>
      <c r="L67" s="143">
        <v>1100</v>
      </c>
      <c r="M67" s="143">
        <v>1100</v>
      </c>
      <c r="N67" s="144"/>
      <c r="O67" s="145"/>
      <c r="P67" s="146">
        <f t="shared" si="1"/>
        <v>138720</v>
      </c>
      <c r="Q67" s="147">
        <f t="shared" si="2"/>
        <v>152592</v>
      </c>
      <c r="R67" s="147">
        <f t="shared" si="3"/>
        <v>152592</v>
      </c>
      <c r="S67" s="2">
        <f t="shared" si="4"/>
        <v>152592</v>
      </c>
      <c r="T67" s="2">
        <f t="shared" si="5"/>
        <v>0</v>
      </c>
      <c r="U67" s="7">
        <f t="shared" si="6"/>
        <v>0</v>
      </c>
    </row>
    <row r="68" spans="1:21">
      <c r="A68" s="20">
        <v>65</v>
      </c>
      <c r="B68" s="20" t="s">
        <v>1123</v>
      </c>
      <c r="C68" s="9" t="s">
        <v>1124</v>
      </c>
      <c r="D68" s="9" t="s">
        <v>1215</v>
      </c>
      <c r="E68" s="18" t="s">
        <v>1126</v>
      </c>
      <c r="F68" s="38">
        <v>282972506309</v>
      </c>
      <c r="G68" s="38">
        <v>914204007</v>
      </c>
      <c r="H68" s="39" t="s">
        <v>1127</v>
      </c>
      <c r="I68" s="40">
        <v>257.61</v>
      </c>
      <c r="J68" s="121">
        <v>400</v>
      </c>
      <c r="K68" s="121">
        <v>400</v>
      </c>
      <c r="L68" s="121">
        <v>400</v>
      </c>
      <c r="M68" s="121">
        <v>400</v>
      </c>
      <c r="N68" s="18"/>
      <c r="O68" s="148"/>
      <c r="P68" s="149">
        <f>J68*I68</f>
        <v>103044</v>
      </c>
      <c r="Q68" s="18">
        <f t="shared" si="2"/>
        <v>103044</v>
      </c>
      <c r="R68" s="18">
        <f t="shared" si="3"/>
        <v>103044</v>
      </c>
      <c r="S68" s="2">
        <f t="shared" ref="S68:S82" si="7">M68*I68</f>
        <v>103044</v>
      </c>
      <c r="T68" s="2">
        <f t="shared" ref="T68:T82" si="8">N68*I68</f>
        <v>0</v>
      </c>
      <c r="U68" s="7">
        <f t="shared" ref="U68:U82" si="9">O68*I68</f>
        <v>0</v>
      </c>
    </row>
    <row r="69" spans="1:21">
      <c r="A69" s="135">
        <v>66</v>
      </c>
      <c r="B69" s="20" t="s">
        <v>1123</v>
      </c>
      <c r="C69" s="9" t="s">
        <v>1124</v>
      </c>
      <c r="D69" s="9" t="s">
        <v>1215</v>
      </c>
      <c r="E69" s="18" t="s">
        <v>1126</v>
      </c>
      <c r="F69" s="38">
        <v>282972506310</v>
      </c>
      <c r="G69" s="38">
        <v>914204008</v>
      </c>
      <c r="H69" s="39" t="s">
        <v>1128</v>
      </c>
      <c r="I69" s="40">
        <v>257.61</v>
      </c>
      <c r="J69" s="121">
        <v>400</v>
      </c>
      <c r="K69" s="121">
        <v>400</v>
      </c>
      <c r="L69" s="121">
        <v>400</v>
      </c>
      <c r="M69" s="121">
        <v>400</v>
      </c>
      <c r="N69" s="18"/>
      <c r="O69" s="148"/>
      <c r="P69" s="150">
        <f t="shared" ref="P69:P82" si="10">J69*I69</f>
        <v>103044</v>
      </c>
      <c r="Q69" s="18">
        <f t="shared" ref="Q69:Q82" si="11">K69*I69</f>
        <v>103044</v>
      </c>
      <c r="R69" s="18">
        <f t="shared" ref="R69:R82" si="12">L69*I69</f>
        <v>103044</v>
      </c>
      <c r="S69" s="2">
        <f t="shared" si="7"/>
        <v>103044</v>
      </c>
      <c r="T69" s="2">
        <f t="shared" si="8"/>
        <v>0</v>
      </c>
      <c r="U69" s="7">
        <f t="shared" si="9"/>
        <v>0</v>
      </c>
    </row>
    <row r="70" spans="1:21">
      <c r="A70" s="20">
        <v>67</v>
      </c>
      <c r="B70" s="20" t="s">
        <v>1123</v>
      </c>
      <c r="C70" s="9" t="s">
        <v>1124</v>
      </c>
      <c r="D70" s="9" t="s">
        <v>1215</v>
      </c>
      <c r="E70" s="18" t="s">
        <v>1126</v>
      </c>
      <c r="F70" s="38">
        <v>282972306312</v>
      </c>
      <c r="G70" s="38">
        <v>914205001</v>
      </c>
      <c r="H70" s="122" t="s">
        <v>1129</v>
      </c>
      <c r="I70" s="40">
        <v>76.55</v>
      </c>
      <c r="J70" s="121">
        <v>400</v>
      </c>
      <c r="K70" s="121">
        <v>400</v>
      </c>
      <c r="L70" s="121">
        <v>400</v>
      </c>
      <c r="M70" s="121">
        <v>400</v>
      </c>
      <c r="N70" s="18"/>
      <c r="O70" s="148"/>
      <c r="P70" s="150">
        <f t="shared" si="10"/>
        <v>30620</v>
      </c>
      <c r="Q70" s="18">
        <f t="shared" si="11"/>
        <v>30620</v>
      </c>
      <c r="R70" s="18">
        <f t="shared" si="12"/>
        <v>30620</v>
      </c>
      <c r="S70" s="2">
        <f t="shared" si="7"/>
        <v>30620</v>
      </c>
      <c r="T70" s="2">
        <f t="shared" si="8"/>
        <v>0</v>
      </c>
      <c r="U70" s="7">
        <f t="shared" si="9"/>
        <v>0</v>
      </c>
    </row>
    <row r="71" spans="1:21">
      <c r="A71" s="135">
        <v>68</v>
      </c>
      <c r="B71" s="20" t="s">
        <v>1123</v>
      </c>
      <c r="C71" s="9" t="s">
        <v>1124</v>
      </c>
      <c r="D71" s="9" t="s">
        <v>1215</v>
      </c>
      <c r="E71" s="18" t="s">
        <v>1126</v>
      </c>
      <c r="F71" s="38">
        <v>282972306313</v>
      </c>
      <c r="G71" s="38">
        <v>914205002</v>
      </c>
      <c r="H71" s="122" t="s">
        <v>1130</v>
      </c>
      <c r="I71" s="40">
        <v>76.55</v>
      </c>
      <c r="J71" s="121">
        <v>400</v>
      </c>
      <c r="K71" s="121">
        <v>400</v>
      </c>
      <c r="L71" s="121">
        <v>400</v>
      </c>
      <c r="M71" s="121">
        <v>400</v>
      </c>
      <c r="N71" s="18"/>
      <c r="O71" s="148"/>
      <c r="P71" s="150">
        <f t="shared" si="10"/>
        <v>30620</v>
      </c>
      <c r="Q71" s="18">
        <f t="shared" si="11"/>
        <v>30620</v>
      </c>
      <c r="R71" s="18">
        <f t="shared" si="12"/>
        <v>30620</v>
      </c>
      <c r="S71" s="2">
        <f t="shared" si="7"/>
        <v>30620</v>
      </c>
      <c r="T71" s="2">
        <f t="shared" si="8"/>
        <v>0</v>
      </c>
      <c r="U71" s="7">
        <f t="shared" si="9"/>
        <v>0</v>
      </c>
    </row>
    <row r="72" spans="1:21">
      <c r="A72" s="20">
        <v>69</v>
      </c>
      <c r="B72" s="20" t="s">
        <v>1123</v>
      </c>
      <c r="C72" s="9" t="s">
        <v>1124</v>
      </c>
      <c r="D72" s="9" t="s">
        <v>1215</v>
      </c>
      <c r="E72" s="18" t="s">
        <v>1126</v>
      </c>
      <c r="F72" s="38">
        <v>282972306314</v>
      </c>
      <c r="G72" s="38">
        <v>914205004</v>
      </c>
      <c r="H72" s="122" t="s">
        <v>1131</v>
      </c>
      <c r="I72" s="40">
        <v>77.180000000000007</v>
      </c>
      <c r="J72" s="121">
        <v>400</v>
      </c>
      <c r="K72" s="121">
        <v>400</v>
      </c>
      <c r="L72" s="121">
        <v>400</v>
      </c>
      <c r="M72" s="121">
        <v>400</v>
      </c>
      <c r="N72" s="18"/>
      <c r="O72" s="148"/>
      <c r="P72" s="150">
        <f t="shared" si="10"/>
        <v>30872.000000000004</v>
      </c>
      <c r="Q72" s="18">
        <f t="shared" si="11"/>
        <v>30872.000000000004</v>
      </c>
      <c r="R72" s="18">
        <f t="shared" si="12"/>
        <v>30872.000000000004</v>
      </c>
      <c r="S72" s="2">
        <f t="shared" si="7"/>
        <v>30872.000000000004</v>
      </c>
      <c r="T72" s="2">
        <f t="shared" si="8"/>
        <v>0</v>
      </c>
      <c r="U72" s="7">
        <f t="shared" si="9"/>
        <v>0</v>
      </c>
    </row>
    <row r="73" spans="1:21">
      <c r="A73" s="135">
        <v>70</v>
      </c>
      <c r="B73" s="20" t="s">
        <v>1123</v>
      </c>
      <c r="C73" s="9" t="s">
        <v>1124</v>
      </c>
      <c r="D73" s="9" t="s">
        <v>1215</v>
      </c>
      <c r="E73" s="18" t="s">
        <v>1126</v>
      </c>
      <c r="F73" s="38">
        <v>282972306315</v>
      </c>
      <c r="G73" s="38">
        <v>914205003</v>
      </c>
      <c r="H73" s="39" t="s">
        <v>1132</v>
      </c>
      <c r="I73" s="40">
        <v>77.180000000000007</v>
      </c>
      <c r="J73" s="121">
        <v>400</v>
      </c>
      <c r="K73" s="121">
        <v>400</v>
      </c>
      <c r="L73" s="121">
        <v>400</v>
      </c>
      <c r="M73" s="121">
        <v>400</v>
      </c>
      <c r="N73" s="18"/>
      <c r="O73" s="148"/>
      <c r="P73" s="150">
        <f t="shared" si="10"/>
        <v>30872.000000000004</v>
      </c>
      <c r="Q73" s="18">
        <f t="shared" si="11"/>
        <v>30872.000000000004</v>
      </c>
      <c r="R73" s="18">
        <f t="shared" si="12"/>
        <v>30872.000000000004</v>
      </c>
      <c r="S73" s="2">
        <f t="shared" si="7"/>
        <v>30872.000000000004</v>
      </c>
      <c r="T73" s="2">
        <f t="shared" si="8"/>
        <v>0</v>
      </c>
      <c r="U73" s="7">
        <f t="shared" si="9"/>
        <v>0</v>
      </c>
    </row>
    <row r="74" spans="1:21">
      <c r="A74" s="20">
        <v>71</v>
      </c>
      <c r="B74" s="20" t="s">
        <v>1123</v>
      </c>
      <c r="C74" s="9" t="s">
        <v>1124</v>
      </c>
      <c r="D74" s="9" t="s">
        <v>1215</v>
      </c>
      <c r="E74" s="18" t="s">
        <v>1126</v>
      </c>
      <c r="F74" s="38">
        <v>282972506311</v>
      </c>
      <c r="G74" s="38">
        <v>914201001</v>
      </c>
      <c r="H74" s="39" t="s">
        <v>746</v>
      </c>
      <c r="I74" s="40">
        <v>270.61</v>
      </c>
      <c r="J74" s="121">
        <v>400</v>
      </c>
      <c r="K74" s="121">
        <v>400</v>
      </c>
      <c r="L74" s="121">
        <v>400</v>
      </c>
      <c r="M74" s="121">
        <v>400</v>
      </c>
      <c r="N74" s="18"/>
      <c r="O74" s="148"/>
      <c r="P74" s="150">
        <f t="shared" si="10"/>
        <v>108244</v>
      </c>
      <c r="Q74" s="18">
        <f t="shared" si="11"/>
        <v>108244</v>
      </c>
      <c r="R74" s="18">
        <f t="shared" si="12"/>
        <v>108244</v>
      </c>
      <c r="S74" s="2">
        <f t="shared" si="7"/>
        <v>108244</v>
      </c>
      <c r="T74" s="2">
        <f t="shared" si="8"/>
        <v>0</v>
      </c>
      <c r="U74" s="7">
        <f t="shared" si="9"/>
        <v>0</v>
      </c>
    </row>
    <row r="75" spans="1:21">
      <c r="A75" s="135">
        <v>72</v>
      </c>
      <c r="B75" s="20" t="s">
        <v>1123</v>
      </c>
      <c r="C75" s="9" t="s">
        <v>1124</v>
      </c>
      <c r="D75" s="9" t="s">
        <v>1215</v>
      </c>
      <c r="E75" s="18" t="s">
        <v>1126</v>
      </c>
      <c r="F75" s="38">
        <v>282972506312</v>
      </c>
      <c r="G75" s="38">
        <v>914201002</v>
      </c>
      <c r="H75" s="122" t="s">
        <v>744</v>
      </c>
      <c r="I75" s="40">
        <v>270.61</v>
      </c>
      <c r="J75" s="121">
        <v>400</v>
      </c>
      <c r="K75" s="121">
        <v>400</v>
      </c>
      <c r="L75" s="121">
        <v>400</v>
      </c>
      <c r="M75" s="121">
        <v>400</v>
      </c>
      <c r="N75" s="18"/>
      <c r="O75" s="148"/>
      <c r="P75" s="150">
        <f t="shared" si="10"/>
        <v>108244</v>
      </c>
      <c r="Q75" s="18">
        <f t="shared" si="11"/>
        <v>108244</v>
      </c>
      <c r="R75" s="18">
        <f t="shared" si="12"/>
        <v>108244</v>
      </c>
      <c r="S75" s="2">
        <f t="shared" si="7"/>
        <v>108244</v>
      </c>
      <c r="T75" s="2">
        <f t="shared" si="8"/>
        <v>0</v>
      </c>
      <c r="U75" s="7">
        <f t="shared" si="9"/>
        <v>0</v>
      </c>
    </row>
    <row r="76" spans="1:21">
      <c r="A76" s="20">
        <v>73</v>
      </c>
      <c r="B76" s="20" t="s">
        <v>1123</v>
      </c>
      <c r="C76" s="9" t="s">
        <v>1124</v>
      </c>
      <c r="D76" s="9" t="s">
        <v>1215</v>
      </c>
      <c r="E76" s="18" t="s">
        <v>1126</v>
      </c>
      <c r="F76" s="38">
        <v>282988806305</v>
      </c>
      <c r="G76" s="38">
        <v>914217001</v>
      </c>
      <c r="H76" s="122" t="s">
        <v>1133</v>
      </c>
      <c r="I76" s="40">
        <v>44.37</v>
      </c>
      <c r="J76" s="121">
        <v>400</v>
      </c>
      <c r="K76" s="121">
        <v>400</v>
      </c>
      <c r="L76" s="121">
        <v>400</v>
      </c>
      <c r="M76" s="121">
        <v>400</v>
      </c>
      <c r="N76" s="18"/>
      <c r="O76" s="148"/>
      <c r="P76" s="150">
        <f t="shared" si="10"/>
        <v>17748</v>
      </c>
      <c r="Q76" s="18">
        <f t="shared" si="11"/>
        <v>17748</v>
      </c>
      <c r="R76" s="18">
        <f t="shared" si="12"/>
        <v>17748</v>
      </c>
      <c r="S76" s="2">
        <f t="shared" si="7"/>
        <v>17748</v>
      </c>
      <c r="T76" s="2">
        <f t="shared" si="8"/>
        <v>0</v>
      </c>
      <c r="U76" s="7">
        <f t="shared" si="9"/>
        <v>0</v>
      </c>
    </row>
    <row r="77" spans="1:21">
      <c r="A77" s="135">
        <v>74</v>
      </c>
      <c r="B77" s="20" t="s">
        <v>1123</v>
      </c>
      <c r="C77" s="9" t="s">
        <v>1124</v>
      </c>
      <c r="D77" s="9" t="s">
        <v>1215</v>
      </c>
      <c r="E77" s="18" t="s">
        <v>1126</v>
      </c>
      <c r="F77" s="38">
        <v>282967806302</v>
      </c>
      <c r="G77" s="38">
        <v>914209002</v>
      </c>
      <c r="H77" s="39" t="s">
        <v>1134</v>
      </c>
      <c r="I77" s="40">
        <v>128.65</v>
      </c>
      <c r="J77" s="121">
        <v>400</v>
      </c>
      <c r="K77" s="121">
        <v>400</v>
      </c>
      <c r="L77" s="121">
        <v>400</v>
      </c>
      <c r="M77" s="121">
        <v>400</v>
      </c>
      <c r="N77" s="18"/>
      <c r="O77" s="148"/>
      <c r="P77" s="150">
        <f t="shared" si="10"/>
        <v>51460</v>
      </c>
      <c r="Q77" s="18">
        <f t="shared" si="11"/>
        <v>51460</v>
      </c>
      <c r="R77" s="18">
        <f t="shared" si="12"/>
        <v>51460</v>
      </c>
      <c r="S77" s="2">
        <f t="shared" si="7"/>
        <v>51460</v>
      </c>
      <c r="T77" s="2">
        <f t="shared" si="8"/>
        <v>0</v>
      </c>
      <c r="U77" s="7">
        <f t="shared" si="9"/>
        <v>0</v>
      </c>
    </row>
    <row r="78" spans="1:21">
      <c r="A78" s="20">
        <v>75</v>
      </c>
      <c r="B78" s="20" t="s">
        <v>1123</v>
      </c>
      <c r="C78" s="9" t="s">
        <v>1124</v>
      </c>
      <c r="D78" s="9" t="s">
        <v>1215</v>
      </c>
      <c r="E78" s="18" t="s">
        <v>1126</v>
      </c>
      <c r="F78" s="38">
        <v>282967806304</v>
      </c>
      <c r="G78" s="38">
        <v>914209006</v>
      </c>
      <c r="H78" s="39" t="s">
        <v>1135</v>
      </c>
      <c r="I78" s="40">
        <v>134.15</v>
      </c>
      <c r="J78" s="121">
        <v>400</v>
      </c>
      <c r="K78" s="121">
        <v>400</v>
      </c>
      <c r="L78" s="121">
        <v>400</v>
      </c>
      <c r="M78" s="121">
        <v>400</v>
      </c>
      <c r="N78" s="18"/>
      <c r="O78" s="148"/>
      <c r="P78" s="150">
        <f t="shared" si="10"/>
        <v>53660</v>
      </c>
      <c r="Q78" s="18">
        <f t="shared" si="11"/>
        <v>53660</v>
      </c>
      <c r="R78" s="18">
        <f t="shared" si="12"/>
        <v>53660</v>
      </c>
      <c r="S78" s="2">
        <f t="shared" si="7"/>
        <v>53660</v>
      </c>
      <c r="T78" s="2">
        <f t="shared" si="8"/>
        <v>0</v>
      </c>
      <c r="U78" s="7">
        <f t="shared" si="9"/>
        <v>0</v>
      </c>
    </row>
    <row r="79" spans="1:21">
      <c r="A79" s="135">
        <v>76</v>
      </c>
      <c r="B79" s="20" t="s">
        <v>1123</v>
      </c>
      <c r="C79" s="9" t="s">
        <v>1124</v>
      </c>
      <c r="D79" s="9" t="s">
        <v>1215</v>
      </c>
      <c r="E79" s="18" t="s">
        <v>1126</v>
      </c>
      <c r="F79" s="38">
        <v>282967106304</v>
      </c>
      <c r="G79" s="38">
        <v>914209001</v>
      </c>
      <c r="H79" s="39" t="s">
        <v>1136</v>
      </c>
      <c r="I79" s="40">
        <v>131.79</v>
      </c>
      <c r="J79" s="121">
        <v>400</v>
      </c>
      <c r="K79" s="121">
        <v>400</v>
      </c>
      <c r="L79" s="121">
        <v>400</v>
      </c>
      <c r="M79" s="121">
        <v>400</v>
      </c>
      <c r="N79" s="18"/>
      <c r="O79" s="148"/>
      <c r="P79" s="150">
        <f t="shared" si="10"/>
        <v>52716</v>
      </c>
      <c r="Q79" s="18">
        <f t="shared" si="11"/>
        <v>52716</v>
      </c>
      <c r="R79" s="18">
        <f t="shared" si="12"/>
        <v>52716</v>
      </c>
      <c r="S79" s="2">
        <f t="shared" si="7"/>
        <v>52716</v>
      </c>
      <c r="T79" s="2">
        <f t="shared" si="8"/>
        <v>0</v>
      </c>
      <c r="U79" s="7">
        <f t="shared" si="9"/>
        <v>0</v>
      </c>
    </row>
    <row r="80" spans="1:21">
      <c r="A80" s="20">
        <v>77</v>
      </c>
      <c r="B80" s="20" t="s">
        <v>1123</v>
      </c>
      <c r="C80" s="9" t="s">
        <v>1124</v>
      </c>
      <c r="D80" s="9" t="s">
        <v>1215</v>
      </c>
      <c r="E80" s="18" t="s">
        <v>1126</v>
      </c>
      <c r="F80" s="38">
        <v>282972306309</v>
      </c>
      <c r="G80" s="38">
        <v>914211004</v>
      </c>
      <c r="H80" s="122" t="s">
        <v>1137</v>
      </c>
      <c r="I80" s="40">
        <v>19.82</v>
      </c>
      <c r="J80" s="121">
        <v>400</v>
      </c>
      <c r="K80" s="121">
        <v>400</v>
      </c>
      <c r="L80" s="121">
        <v>400</v>
      </c>
      <c r="M80" s="121">
        <v>400</v>
      </c>
      <c r="N80" s="18"/>
      <c r="O80" s="148"/>
      <c r="P80" s="150">
        <f t="shared" si="10"/>
        <v>7928</v>
      </c>
      <c r="Q80" s="18">
        <f t="shared" si="11"/>
        <v>7928</v>
      </c>
      <c r="R80" s="18">
        <f t="shared" si="12"/>
        <v>7928</v>
      </c>
      <c r="S80" s="2">
        <f t="shared" si="7"/>
        <v>7928</v>
      </c>
      <c r="T80" s="2">
        <f t="shared" si="8"/>
        <v>0</v>
      </c>
      <c r="U80" s="7">
        <f t="shared" si="9"/>
        <v>0</v>
      </c>
    </row>
    <row r="81" spans="1:21">
      <c r="A81" s="135">
        <v>78</v>
      </c>
      <c r="B81" s="20" t="s">
        <v>1123</v>
      </c>
      <c r="C81" s="9" t="s">
        <v>1124</v>
      </c>
      <c r="D81" s="9" t="s">
        <v>1215</v>
      </c>
      <c r="E81" s="18" t="s">
        <v>1126</v>
      </c>
      <c r="F81" s="38">
        <v>282972306310</v>
      </c>
      <c r="G81" s="38">
        <v>914211005</v>
      </c>
      <c r="H81" s="39" t="s">
        <v>1138</v>
      </c>
      <c r="I81" s="40">
        <v>19.82</v>
      </c>
      <c r="J81" s="121">
        <v>400</v>
      </c>
      <c r="K81" s="121">
        <v>400</v>
      </c>
      <c r="L81" s="121">
        <v>400</v>
      </c>
      <c r="M81" s="121">
        <v>400</v>
      </c>
      <c r="N81" s="18"/>
      <c r="O81" s="148"/>
      <c r="P81" s="150">
        <f t="shared" si="10"/>
        <v>7928</v>
      </c>
      <c r="Q81" s="18">
        <f t="shared" si="11"/>
        <v>7928</v>
      </c>
      <c r="R81" s="18">
        <f t="shared" si="12"/>
        <v>7928</v>
      </c>
      <c r="S81" s="2">
        <f t="shared" si="7"/>
        <v>7928</v>
      </c>
      <c r="T81" s="2">
        <f t="shared" si="8"/>
        <v>0</v>
      </c>
      <c r="U81" s="7">
        <f t="shared" si="9"/>
        <v>0</v>
      </c>
    </row>
    <row r="82" spans="1:21">
      <c r="A82" s="20">
        <v>79</v>
      </c>
      <c r="B82" s="20" t="s">
        <v>1123</v>
      </c>
      <c r="C82" s="9" t="s">
        <v>1124</v>
      </c>
      <c r="D82" s="9" t="s">
        <v>1215</v>
      </c>
      <c r="E82" s="18" t="s">
        <v>1126</v>
      </c>
      <c r="F82" s="38">
        <v>282970906311</v>
      </c>
      <c r="G82" s="38">
        <v>914209003</v>
      </c>
      <c r="H82" s="122" t="s">
        <v>1139</v>
      </c>
      <c r="I82" s="40">
        <v>47.78</v>
      </c>
      <c r="J82" s="121">
        <v>400</v>
      </c>
      <c r="K82" s="121">
        <v>400</v>
      </c>
      <c r="L82" s="121">
        <v>400</v>
      </c>
      <c r="M82" s="121">
        <v>400</v>
      </c>
      <c r="N82" s="18"/>
      <c r="O82" s="148"/>
      <c r="P82" s="150">
        <f t="shared" si="10"/>
        <v>19112</v>
      </c>
      <c r="Q82" s="18">
        <f t="shared" si="11"/>
        <v>19112</v>
      </c>
      <c r="R82" s="18">
        <f t="shared" si="12"/>
        <v>19112</v>
      </c>
      <c r="S82" s="2">
        <f t="shared" si="7"/>
        <v>19112</v>
      </c>
      <c r="T82" s="2">
        <f t="shared" si="8"/>
        <v>0</v>
      </c>
      <c r="U82" s="7">
        <f t="shared" si="9"/>
        <v>0</v>
      </c>
    </row>
  </sheetData>
  <autoFilter ref="A3:U82" xr:uid="{ACD3029B-6037-4FC3-B842-73CF7F2169B9}">
    <filterColumn colId="4">
      <filters>
        <filter val="Tata Cub"/>
      </filters>
    </filterColumn>
  </autoFilter>
  <mergeCells count="2">
    <mergeCell ref="J2:O2"/>
    <mergeCell ref="P2:U2"/>
  </mergeCells>
  <pageMargins left="0.2" right="0.2" top="0.2" bottom="0.2" header="0.2" footer="0.2"/>
  <pageSetup paperSize="9" scale="60" fitToHeight="0" orientation="landscape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9140-90DD-465E-905D-A4F5F8CAE457}">
  <dimension ref="A1:S100"/>
  <sheetViews>
    <sheetView zoomScale="70" zoomScaleNormal="70" workbookViewId="0">
      <pane ySplit="3" topLeftCell="A4" activePane="bottomLeft" state="frozen"/>
      <selection pane="bottomLeft" activeCell="L80" sqref="L80"/>
    </sheetView>
  </sheetViews>
  <sheetFormatPr defaultColWidth="9.1796875" defaultRowHeight="14.5"/>
  <cols>
    <col min="1" max="1" width="5.54296875" bestFit="1" customWidth="1"/>
    <col min="2" max="2" width="7.81640625" customWidth="1"/>
    <col min="4" max="4" width="9.453125" bestFit="1" customWidth="1"/>
    <col min="5" max="5" width="15.1796875" style="3" bestFit="1" customWidth="1"/>
    <col min="6" max="6" width="15.54296875" bestFit="1" customWidth="1"/>
    <col min="7" max="7" width="12.81640625" bestFit="1" customWidth="1"/>
    <col min="8" max="8" width="54.81640625" bestFit="1" customWidth="1"/>
    <col min="9" max="9" width="15.1796875" style="24" bestFit="1" customWidth="1"/>
    <col min="10" max="10" width="12.1796875" customWidth="1"/>
    <col min="11" max="14" width="11.81640625" customWidth="1"/>
    <col min="15" max="16" width="14.81640625" bestFit="1" customWidth="1"/>
    <col min="17" max="17" width="11.81640625" customWidth="1"/>
    <col min="18" max="19" width="11.81640625" hidden="1" customWidth="1"/>
  </cols>
  <sheetData>
    <row r="1" spans="1:19" ht="15.5">
      <c r="A1" s="15" t="s">
        <v>988</v>
      </c>
      <c r="O1" s="25">
        <f>SUBTOTAL(9,O4:O100)/100000</f>
        <v>700.53986499999996</v>
      </c>
      <c r="P1" s="25">
        <f t="shared" ref="P1:S1" si="0">SUBTOTAL(9,P4:P100)/100000</f>
        <v>740.55008479999992</v>
      </c>
      <c r="Q1" s="25">
        <f t="shared" si="0"/>
        <v>741.12128760000019</v>
      </c>
      <c r="R1" s="25">
        <f t="shared" si="0"/>
        <v>0</v>
      </c>
      <c r="S1" s="25">
        <f t="shared" si="0"/>
        <v>0</v>
      </c>
    </row>
    <row r="2" spans="1:19" ht="16" thickBot="1">
      <c r="J2" s="339"/>
      <c r="K2" s="339"/>
      <c r="L2" s="339"/>
      <c r="M2" s="339"/>
      <c r="N2" s="339"/>
      <c r="O2" s="340"/>
      <c r="P2" s="340"/>
      <c r="Q2" s="340"/>
      <c r="R2" s="340"/>
      <c r="S2" s="340"/>
    </row>
    <row r="3" spans="1:19" ht="29.5" thickBot="1">
      <c r="A3" s="11" t="s">
        <v>301</v>
      </c>
      <c r="B3" s="12" t="s">
        <v>302</v>
      </c>
      <c r="C3" s="12" t="s">
        <v>303</v>
      </c>
      <c r="D3" s="12" t="s">
        <v>304</v>
      </c>
      <c r="E3" s="12" t="s">
        <v>293</v>
      </c>
      <c r="F3" s="13" t="s">
        <v>241</v>
      </c>
      <c r="G3" s="13" t="s">
        <v>242</v>
      </c>
      <c r="H3" s="13" t="s">
        <v>243</v>
      </c>
      <c r="I3" s="66" t="s">
        <v>315</v>
      </c>
      <c r="J3" s="151" t="s">
        <v>1239</v>
      </c>
      <c r="K3" s="151" t="s">
        <v>1238</v>
      </c>
      <c r="L3" s="151" t="s">
        <v>1237</v>
      </c>
      <c r="M3" s="151" t="s">
        <v>1236</v>
      </c>
      <c r="N3" s="151" t="s">
        <v>1286</v>
      </c>
      <c r="O3" s="152" t="str">
        <f t="shared" ref="O3:S3" si="1">J3</f>
        <v>Sep'22</v>
      </c>
      <c r="P3" s="152" t="str">
        <f t="shared" si="1"/>
        <v>Oct'22</v>
      </c>
      <c r="Q3" s="152" t="str">
        <f t="shared" si="1"/>
        <v>Nov'22</v>
      </c>
      <c r="R3" s="152" t="str">
        <f t="shared" si="1"/>
        <v>Dec'22</v>
      </c>
      <c r="S3" s="152" t="str">
        <f t="shared" si="1"/>
        <v>Jan'22</v>
      </c>
    </row>
    <row r="4" spans="1:19">
      <c r="A4" s="58">
        <v>1</v>
      </c>
      <c r="B4" s="58" t="s">
        <v>989</v>
      </c>
      <c r="C4" s="58" t="s">
        <v>990</v>
      </c>
      <c r="D4" s="58" t="s">
        <v>989</v>
      </c>
      <c r="E4" s="59" t="s">
        <v>991</v>
      </c>
      <c r="F4" s="67">
        <v>542472506301</v>
      </c>
      <c r="G4" s="60">
        <v>915404001</v>
      </c>
      <c r="H4" s="68" t="s">
        <v>992</v>
      </c>
      <c r="I4" s="69">
        <v>250.21</v>
      </c>
      <c r="J4" s="153">
        <v>6600</v>
      </c>
      <c r="K4" s="153">
        <v>6600</v>
      </c>
      <c r="L4" s="153">
        <v>6600</v>
      </c>
      <c r="M4" s="154"/>
      <c r="N4" s="154"/>
      <c r="O4" s="70">
        <f t="shared" ref="O4:O35" si="2">J4*I4</f>
        <v>1651386</v>
      </c>
      <c r="P4" s="70">
        <f t="shared" ref="P4:P35" si="3">K4*I4</f>
        <v>1651386</v>
      </c>
      <c r="Q4" s="70">
        <f t="shared" ref="Q4:Q35" si="4">L4*I4</f>
        <v>1651386</v>
      </c>
      <c r="R4" s="70">
        <f t="shared" ref="R4:R35" si="5">M4*I4</f>
        <v>0</v>
      </c>
      <c r="S4" s="70">
        <f t="shared" ref="S4:S35" si="6">N4*I4</f>
        <v>0</v>
      </c>
    </row>
    <row r="5" spans="1:19">
      <c r="A5" s="20">
        <v>2</v>
      </c>
      <c r="B5" s="58" t="s">
        <v>989</v>
      </c>
      <c r="C5" s="58" t="s">
        <v>990</v>
      </c>
      <c r="D5" s="58" t="s">
        <v>989</v>
      </c>
      <c r="E5" s="59" t="s">
        <v>991</v>
      </c>
      <c r="F5" s="22">
        <v>542472506302</v>
      </c>
      <c r="G5" s="9">
        <v>915404002</v>
      </c>
      <c r="H5" s="64" t="s">
        <v>993</v>
      </c>
      <c r="I5" s="69">
        <v>250.21</v>
      </c>
      <c r="J5" s="153">
        <v>6600</v>
      </c>
      <c r="K5" s="153">
        <v>6600</v>
      </c>
      <c r="L5" s="153">
        <v>6600</v>
      </c>
      <c r="M5" s="154"/>
      <c r="N5" s="154"/>
      <c r="O5" s="70">
        <f t="shared" si="2"/>
        <v>1651386</v>
      </c>
      <c r="P5" s="70">
        <f t="shared" si="3"/>
        <v>1651386</v>
      </c>
      <c r="Q5" s="70">
        <f t="shared" si="4"/>
        <v>1651386</v>
      </c>
      <c r="R5" s="70">
        <f t="shared" si="5"/>
        <v>0</v>
      </c>
      <c r="S5" s="70">
        <f t="shared" si="6"/>
        <v>0</v>
      </c>
    </row>
    <row r="6" spans="1:19">
      <c r="A6" s="20">
        <v>3</v>
      </c>
      <c r="B6" s="58" t="s">
        <v>989</v>
      </c>
      <c r="C6" s="58" t="s">
        <v>990</v>
      </c>
      <c r="D6" s="58" t="s">
        <v>989</v>
      </c>
      <c r="E6" s="59" t="s">
        <v>994</v>
      </c>
      <c r="F6" s="22">
        <v>542473506301</v>
      </c>
      <c r="G6" s="9">
        <v>915404003</v>
      </c>
      <c r="H6" s="64" t="s">
        <v>995</v>
      </c>
      <c r="I6" s="69">
        <v>233.24</v>
      </c>
      <c r="J6" s="153">
        <v>12000</v>
      </c>
      <c r="K6" s="153">
        <v>12000</v>
      </c>
      <c r="L6" s="153">
        <v>12000</v>
      </c>
      <c r="M6" s="154"/>
      <c r="N6" s="154"/>
      <c r="O6" s="70">
        <f t="shared" si="2"/>
        <v>2798880</v>
      </c>
      <c r="P6" s="70">
        <f t="shared" si="3"/>
        <v>2798880</v>
      </c>
      <c r="Q6" s="70">
        <f t="shared" si="4"/>
        <v>2798880</v>
      </c>
      <c r="R6" s="70">
        <f t="shared" si="5"/>
        <v>0</v>
      </c>
      <c r="S6" s="70">
        <f t="shared" si="6"/>
        <v>0</v>
      </c>
    </row>
    <row r="7" spans="1:19">
      <c r="A7" s="20">
        <v>4</v>
      </c>
      <c r="B7" s="58" t="s">
        <v>989</v>
      </c>
      <c r="C7" s="58" t="s">
        <v>990</v>
      </c>
      <c r="D7" s="58" t="s">
        <v>989</v>
      </c>
      <c r="E7" s="59" t="s">
        <v>994</v>
      </c>
      <c r="F7" s="22">
        <v>542473506302</v>
      </c>
      <c r="G7" s="9">
        <v>915404004</v>
      </c>
      <c r="H7" s="64" t="s">
        <v>996</v>
      </c>
      <c r="I7" s="69">
        <v>233.24</v>
      </c>
      <c r="J7" s="153">
        <v>12000</v>
      </c>
      <c r="K7" s="153">
        <v>12000</v>
      </c>
      <c r="L7" s="153">
        <v>12000</v>
      </c>
      <c r="M7" s="154"/>
      <c r="N7" s="154"/>
      <c r="O7" s="70">
        <f t="shared" si="2"/>
        <v>2798880</v>
      </c>
      <c r="P7" s="70">
        <f t="shared" si="3"/>
        <v>2798880</v>
      </c>
      <c r="Q7" s="70">
        <f t="shared" si="4"/>
        <v>2798880</v>
      </c>
      <c r="R7" s="70">
        <f t="shared" si="5"/>
        <v>0</v>
      </c>
      <c r="S7" s="70">
        <f t="shared" si="6"/>
        <v>0</v>
      </c>
    </row>
    <row r="8" spans="1:19">
      <c r="A8" s="20">
        <v>5</v>
      </c>
      <c r="B8" s="58" t="s">
        <v>989</v>
      </c>
      <c r="C8" s="58" t="s">
        <v>990</v>
      </c>
      <c r="D8" s="58" t="s">
        <v>989</v>
      </c>
      <c r="E8" s="59" t="s">
        <v>994</v>
      </c>
      <c r="F8" s="22">
        <v>542572506303</v>
      </c>
      <c r="G8" s="9">
        <v>916901008</v>
      </c>
      <c r="H8" s="64" t="s">
        <v>64</v>
      </c>
      <c r="I8" s="69">
        <v>301.67</v>
      </c>
      <c r="J8" s="153">
        <v>12000</v>
      </c>
      <c r="K8" s="153">
        <v>12000</v>
      </c>
      <c r="L8" s="153">
        <v>12000</v>
      </c>
      <c r="M8" s="154"/>
      <c r="N8" s="154"/>
      <c r="O8" s="70">
        <f t="shared" si="2"/>
        <v>3620040</v>
      </c>
      <c r="P8" s="70">
        <f t="shared" si="3"/>
        <v>3620040</v>
      </c>
      <c r="Q8" s="70">
        <f t="shared" si="4"/>
        <v>3620040</v>
      </c>
      <c r="R8" s="70">
        <f t="shared" si="5"/>
        <v>0</v>
      </c>
      <c r="S8" s="70">
        <f t="shared" si="6"/>
        <v>0</v>
      </c>
    </row>
    <row r="9" spans="1:19">
      <c r="A9" s="20">
        <v>6</v>
      </c>
      <c r="B9" s="58" t="s">
        <v>989</v>
      </c>
      <c r="C9" s="58" t="s">
        <v>990</v>
      </c>
      <c r="D9" s="58" t="s">
        <v>989</v>
      </c>
      <c r="E9" s="59" t="s">
        <v>994</v>
      </c>
      <c r="F9" s="22">
        <v>542572506304</v>
      </c>
      <c r="G9" s="9">
        <v>916901007</v>
      </c>
      <c r="H9" s="64" t="s">
        <v>66</v>
      </c>
      <c r="I9" s="69">
        <v>301.67</v>
      </c>
      <c r="J9" s="153">
        <v>12000</v>
      </c>
      <c r="K9" s="153">
        <v>12000</v>
      </c>
      <c r="L9" s="153">
        <v>12000</v>
      </c>
      <c r="M9" s="154"/>
      <c r="N9" s="154"/>
      <c r="O9" s="70">
        <f t="shared" si="2"/>
        <v>3620040</v>
      </c>
      <c r="P9" s="70">
        <f t="shared" si="3"/>
        <v>3620040</v>
      </c>
      <c r="Q9" s="70">
        <f t="shared" si="4"/>
        <v>3620040</v>
      </c>
      <c r="R9" s="70">
        <f t="shared" si="5"/>
        <v>0</v>
      </c>
      <c r="S9" s="70">
        <f t="shared" si="6"/>
        <v>0</v>
      </c>
    </row>
    <row r="10" spans="1:19">
      <c r="A10" s="20">
        <v>7</v>
      </c>
      <c r="B10" s="58" t="s">
        <v>989</v>
      </c>
      <c r="C10" s="58" t="s">
        <v>990</v>
      </c>
      <c r="D10" s="58" t="s">
        <v>989</v>
      </c>
      <c r="E10" s="59" t="s">
        <v>991</v>
      </c>
      <c r="F10" s="22">
        <v>542473506303</v>
      </c>
      <c r="G10" s="9">
        <v>915401003</v>
      </c>
      <c r="H10" s="64" t="s">
        <v>997</v>
      </c>
      <c r="I10" s="69">
        <v>236.56</v>
      </c>
      <c r="J10" s="153">
        <v>6600</v>
      </c>
      <c r="K10" s="153">
        <v>6600</v>
      </c>
      <c r="L10" s="153">
        <v>6600</v>
      </c>
      <c r="M10" s="154"/>
      <c r="N10" s="154"/>
      <c r="O10" s="70">
        <f t="shared" si="2"/>
        <v>1561296</v>
      </c>
      <c r="P10" s="70">
        <f t="shared" si="3"/>
        <v>1561296</v>
      </c>
      <c r="Q10" s="70">
        <f t="shared" si="4"/>
        <v>1561296</v>
      </c>
      <c r="R10" s="70">
        <f t="shared" si="5"/>
        <v>0</v>
      </c>
      <c r="S10" s="70">
        <f t="shared" si="6"/>
        <v>0</v>
      </c>
    </row>
    <row r="11" spans="1:19">
      <c r="A11" s="20">
        <v>8</v>
      </c>
      <c r="B11" s="58" t="s">
        <v>989</v>
      </c>
      <c r="C11" s="58" t="s">
        <v>990</v>
      </c>
      <c r="D11" s="58" t="s">
        <v>989</v>
      </c>
      <c r="E11" s="59" t="s">
        <v>991</v>
      </c>
      <c r="F11" s="22">
        <v>542473506304</v>
      </c>
      <c r="G11" s="9">
        <v>915401004</v>
      </c>
      <c r="H11" s="64" t="s">
        <v>998</v>
      </c>
      <c r="I11" s="69">
        <v>236.56</v>
      </c>
      <c r="J11" s="153">
        <v>6600</v>
      </c>
      <c r="K11" s="153">
        <v>6600</v>
      </c>
      <c r="L11" s="153">
        <v>6600</v>
      </c>
      <c r="M11" s="154"/>
      <c r="N11" s="154"/>
      <c r="O11" s="70">
        <f t="shared" si="2"/>
        <v>1561296</v>
      </c>
      <c r="P11" s="70">
        <f t="shared" si="3"/>
        <v>1561296</v>
      </c>
      <c r="Q11" s="70">
        <f t="shared" si="4"/>
        <v>1561296</v>
      </c>
      <c r="R11" s="70">
        <f t="shared" si="5"/>
        <v>0</v>
      </c>
      <c r="S11" s="70">
        <f t="shared" si="6"/>
        <v>0</v>
      </c>
    </row>
    <row r="12" spans="1:19">
      <c r="A12" s="20">
        <v>9</v>
      </c>
      <c r="B12" s="58" t="s">
        <v>989</v>
      </c>
      <c r="C12" s="58" t="s">
        <v>990</v>
      </c>
      <c r="D12" s="58" t="s">
        <v>989</v>
      </c>
      <c r="E12" s="59" t="s">
        <v>999</v>
      </c>
      <c r="F12" s="22">
        <v>542573506301</v>
      </c>
      <c r="G12" s="9">
        <v>916901015</v>
      </c>
      <c r="H12" s="64" t="s">
        <v>1000</v>
      </c>
      <c r="I12" s="69">
        <v>316.82</v>
      </c>
      <c r="J12" s="153">
        <v>5400</v>
      </c>
      <c r="K12" s="153">
        <v>5400</v>
      </c>
      <c r="L12" s="153">
        <v>5400</v>
      </c>
      <c r="M12" s="154"/>
      <c r="N12" s="154"/>
      <c r="O12" s="70">
        <f t="shared" si="2"/>
        <v>1710828</v>
      </c>
      <c r="P12" s="70">
        <f t="shared" si="3"/>
        <v>1710828</v>
      </c>
      <c r="Q12" s="70">
        <f t="shared" si="4"/>
        <v>1710828</v>
      </c>
      <c r="R12" s="70">
        <f t="shared" si="5"/>
        <v>0</v>
      </c>
      <c r="S12" s="70">
        <f t="shared" si="6"/>
        <v>0</v>
      </c>
    </row>
    <row r="13" spans="1:19">
      <c r="A13" s="20">
        <v>10</v>
      </c>
      <c r="B13" s="58" t="s">
        <v>989</v>
      </c>
      <c r="C13" s="58" t="s">
        <v>990</v>
      </c>
      <c r="D13" s="58" t="s">
        <v>989</v>
      </c>
      <c r="E13" s="59" t="s">
        <v>999</v>
      </c>
      <c r="F13" s="22">
        <v>542573506302</v>
      </c>
      <c r="G13" s="9">
        <v>916901016</v>
      </c>
      <c r="H13" s="64" t="s">
        <v>1001</v>
      </c>
      <c r="I13" s="69">
        <v>316.82</v>
      </c>
      <c r="J13" s="153">
        <v>5400</v>
      </c>
      <c r="K13" s="153">
        <v>5400</v>
      </c>
      <c r="L13" s="153">
        <v>5400</v>
      </c>
      <c r="M13" s="154"/>
      <c r="N13" s="154"/>
      <c r="O13" s="70">
        <f t="shared" si="2"/>
        <v>1710828</v>
      </c>
      <c r="P13" s="70">
        <f t="shared" si="3"/>
        <v>1710828</v>
      </c>
      <c r="Q13" s="70">
        <f t="shared" si="4"/>
        <v>1710828</v>
      </c>
      <c r="R13" s="70">
        <f t="shared" si="5"/>
        <v>0</v>
      </c>
      <c r="S13" s="70">
        <f t="shared" si="6"/>
        <v>0</v>
      </c>
    </row>
    <row r="14" spans="1:19">
      <c r="A14" s="20">
        <v>11</v>
      </c>
      <c r="B14" s="58" t="s">
        <v>989</v>
      </c>
      <c r="C14" s="58" t="s">
        <v>990</v>
      </c>
      <c r="D14" s="58" t="s">
        <v>989</v>
      </c>
      <c r="E14" s="59" t="s">
        <v>999</v>
      </c>
      <c r="F14" s="22">
        <v>542573506317</v>
      </c>
      <c r="G14" s="9">
        <v>916901020</v>
      </c>
      <c r="H14" s="64" t="s">
        <v>1002</v>
      </c>
      <c r="I14" s="69">
        <v>242.11</v>
      </c>
      <c r="J14" s="153">
        <v>5400</v>
      </c>
      <c r="K14" s="153">
        <v>5400</v>
      </c>
      <c r="L14" s="153">
        <v>5400</v>
      </c>
      <c r="M14" s="154"/>
      <c r="N14" s="154"/>
      <c r="O14" s="70">
        <f t="shared" si="2"/>
        <v>1307394</v>
      </c>
      <c r="P14" s="70">
        <f t="shared" si="3"/>
        <v>1307394</v>
      </c>
      <c r="Q14" s="70">
        <f t="shared" si="4"/>
        <v>1307394</v>
      </c>
      <c r="R14" s="70">
        <f t="shared" si="5"/>
        <v>0</v>
      </c>
      <c r="S14" s="70">
        <f t="shared" si="6"/>
        <v>0</v>
      </c>
    </row>
    <row r="15" spans="1:19">
      <c r="A15" s="20">
        <v>12</v>
      </c>
      <c r="B15" s="58" t="s">
        <v>989</v>
      </c>
      <c r="C15" s="58" t="s">
        <v>990</v>
      </c>
      <c r="D15" s="58" t="s">
        <v>989</v>
      </c>
      <c r="E15" s="59" t="s">
        <v>999</v>
      </c>
      <c r="F15" s="22">
        <v>542573506318</v>
      </c>
      <c r="G15" s="9">
        <v>916901021</v>
      </c>
      <c r="H15" s="64" t="s">
        <v>1003</v>
      </c>
      <c r="I15" s="69">
        <v>242.11</v>
      </c>
      <c r="J15" s="153">
        <v>5400</v>
      </c>
      <c r="K15" s="153">
        <v>5400</v>
      </c>
      <c r="L15" s="153">
        <v>5400</v>
      </c>
      <c r="M15" s="154"/>
      <c r="N15" s="154"/>
      <c r="O15" s="70">
        <f t="shared" si="2"/>
        <v>1307394</v>
      </c>
      <c r="P15" s="70">
        <f t="shared" si="3"/>
        <v>1307394</v>
      </c>
      <c r="Q15" s="70">
        <f t="shared" si="4"/>
        <v>1307394</v>
      </c>
      <c r="R15" s="70">
        <f t="shared" si="5"/>
        <v>0</v>
      </c>
      <c r="S15" s="70">
        <f t="shared" si="6"/>
        <v>0</v>
      </c>
    </row>
    <row r="16" spans="1:19">
      <c r="A16" s="20">
        <v>13</v>
      </c>
      <c r="B16" s="58" t="s">
        <v>989</v>
      </c>
      <c r="C16" s="58" t="s">
        <v>990</v>
      </c>
      <c r="D16" s="58" t="s">
        <v>989</v>
      </c>
      <c r="E16" s="59" t="s">
        <v>999</v>
      </c>
      <c r="F16" s="22">
        <v>545667107711</v>
      </c>
      <c r="G16" s="9">
        <v>914811001</v>
      </c>
      <c r="H16" s="64" t="s">
        <v>1004</v>
      </c>
      <c r="I16" s="69">
        <v>169.42</v>
      </c>
      <c r="J16" s="153">
        <v>1500</v>
      </c>
      <c r="K16" s="153">
        <v>2000</v>
      </c>
      <c r="L16" s="153">
        <v>2000</v>
      </c>
      <c r="M16" s="154"/>
      <c r="N16" s="154"/>
      <c r="O16" s="70">
        <f t="shared" si="2"/>
        <v>254129.99999999997</v>
      </c>
      <c r="P16" s="70">
        <f t="shared" si="3"/>
        <v>338840</v>
      </c>
      <c r="Q16" s="70">
        <f t="shared" si="4"/>
        <v>338840</v>
      </c>
      <c r="R16" s="70">
        <f t="shared" si="5"/>
        <v>0</v>
      </c>
      <c r="S16" s="70">
        <f t="shared" si="6"/>
        <v>0</v>
      </c>
    </row>
    <row r="17" spans="1:19">
      <c r="A17" s="20">
        <v>16</v>
      </c>
      <c r="B17" s="58" t="s">
        <v>989</v>
      </c>
      <c r="C17" s="58" t="s">
        <v>1005</v>
      </c>
      <c r="D17" s="58" t="s">
        <v>307</v>
      </c>
      <c r="E17" s="59" t="s">
        <v>1006</v>
      </c>
      <c r="F17" s="22" t="s">
        <v>1007</v>
      </c>
      <c r="G17" s="9">
        <v>918501006</v>
      </c>
      <c r="H17" s="64" t="s">
        <v>1008</v>
      </c>
      <c r="I17" s="69">
        <v>231.36</v>
      </c>
      <c r="J17" s="153">
        <v>1468</v>
      </c>
      <c r="K17" s="153">
        <v>1368</v>
      </c>
      <c r="L17" s="153">
        <v>1232</v>
      </c>
      <c r="M17" s="154"/>
      <c r="N17" s="154"/>
      <c r="O17" s="70">
        <f t="shared" si="2"/>
        <v>339636.48000000004</v>
      </c>
      <c r="P17" s="70">
        <f t="shared" si="3"/>
        <v>316500.48000000004</v>
      </c>
      <c r="Q17" s="70">
        <f t="shared" si="4"/>
        <v>285035.52000000002</v>
      </c>
      <c r="R17" s="70">
        <f t="shared" si="5"/>
        <v>0</v>
      </c>
      <c r="S17" s="70">
        <f t="shared" si="6"/>
        <v>0</v>
      </c>
    </row>
    <row r="18" spans="1:19">
      <c r="A18" s="20">
        <v>17</v>
      </c>
      <c r="B18" s="58" t="s">
        <v>989</v>
      </c>
      <c r="C18" s="58" t="s">
        <v>1005</v>
      </c>
      <c r="D18" s="58" t="s">
        <v>307</v>
      </c>
      <c r="E18" s="59" t="s">
        <v>1006</v>
      </c>
      <c r="F18" s="22" t="s">
        <v>1009</v>
      </c>
      <c r="G18" s="9">
        <v>918505005</v>
      </c>
      <c r="H18" s="64" t="s">
        <v>1010</v>
      </c>
      <c r="I18" s="69">
        <v>119.05</v>
      </c>
      <c r="J18" s="153">
        <v>1468</v>
      </c>
      <c r="K18" s="153">
        <v>1368</v>
      </c>
      <c r="L18" s="153">
        <v>1232</v>
      </c>
      <c r="M18" s="154"/>
      <c r="N18" s="154"/>
      <c r="O18" s="70">
        <f t="shared" si="2"/>
        <v>174765.4</v>
      </c>
      <c r="P18" s="70">
        <f t="shared" si="3"/>
        <v>162860.4</v>
      </c>
      <c r="Q18" s="70">
        <f t="shared" si="4"/>
        <v>146669.6</v>
      </c>
      <c r="R18" s="70">
        <f t="shared" si="5"/>
        <v>0</v>
      </c>
      <c r="S18" s="70">
        <f t="shared" si="6"/>
        <v>0</v>
      </c>
    </row>
    <row r="19" spans="1:19">
      <c r="A19" s="20">
        <v>18</v>
      </c>
      <c r="B19" s="58" t="s">
        <v>989</v>
      </c>
      <c r="C19" s="58" t="s">
        <v>1005</v>
      </c>
      <c r="D19" s="58" t="s">
        <v>307</v>
      </c>
      <c r="E19" s="59" t="s">
        <v>1006</v>
      </c>
      <c r="F19" s="22" t="s">
        <v>1011</v>
      </c>
      <c r="G19" s="9">
        <v>918505001</v>
      </c>
      <c r="H19" s="64" t="s">
        <v>1012</v>
      </c>
      <c r="I19" s="69">
        <v>297.08999999999997</v>
      </c>
      <c r="J19" s="153">
        <v>1468</v>
      </c>
      <c r="K19" s="153">
        <v>1368</v>
      </c>
      <c r="L19" s="153">
        <v>1232</v>
      </c>
      <c r="M19" s="154"/>
      <c r="N19" s="154"/>
      <c r="O19" s="70">
        <f t="shared" si="2"/>
        <v>436128.11999999994</v>
      </c>
      <c r="P19" s="70">
        <f t="shared" si="3"/>
        <v>406419.11999999994</v>
      </c>
      <c r="Q19" s="70">
        <f t="shared" si="4"/>
        <v>366014.87999999995</v>
      </c>
      <c r="R19" s="70">
        <f t="shared" si="5"/>
        <v>0</v>
      </c>
      <c r="S19" s="70">
        <f t="shared" si="6"/>
        <v>0</v>
      </c>
    </row>
    <row r="20" spans="1:19">
      <c r="A20" s="20">
        <v>19</v>
      </c>
      <c r="B20" s="58" t="s">
        <v>989</v>
      </c>
      <c r="C20" s="58" t="s">
        <v>1005</v>
      </c>
      <c r="D20" s="58" t="s">
        <v>307</v>
      </c>
      <c r="E20" s="59" t="s">
        <v>1006</v>
      </c>
      <c r="F20" s="22" t="s">
        <v>1013</v>
      </c>
      <c r="G20" s="9">
        <v>918501005</v>
      </c>
      <c r="H20" s="64" t="s">
        <v>1014</v>
      </c>
      <c r="I20" s="69">
        <v>231.36</v>
      </c>
      <c r="J20" s="153">
        <v>1468</v>
      </c>
      <c r="K20" s="153">
        <v>1368</v>
      </c>
      <c r="L20" s="153">
        <v>1232</v>
      </c>
      <c r="M20" s="154"/>
      <c r="N20" s="154"/>
      <c r="O20" s="70">
        <f t="shared" si="2"/>
        <v>339636.48000000004</v>
      </c>
      <c r="P20" s="70">
        <f t="shared" si="3"/>
        <v>316500.48000000004</v>
      </c>
      <c r="Q20" s="70">
        <f t="shared" si="4"/>
        <v>285035.52000000002</v>
      </c>
      <c r="R20" s="70">
        <f t="shared" si="5"/>
        <v>0</v>
      </c>
      <c r="S20" s="70">
        <f t="shared" si="6"/>
        <v>0</v>
      </c>
    </row>
    <row r="21" spans="1:19">
      <c r="A21" s="20">
        <v>20</v>
      </c>
      <c r="B21" s="58" t="s">
        <v>989</v>
      </c>
      <c r="C21" s="58" t="s">
        <v>1005</v>
      </c>
      <c r="D21" s="58" t="s">
        <v>307</v>
      </c>
      <c r="E21" s="59" t="s">
        <v>1006</v>
      </c>
      <c r="F21" s="22" t="s">
        <v>1015</v>
      </c>
      <c r="G21" s="9">
        <v>918505006</v>
      </c>
      <c r="H21" s="64" t="s">
        <v>1016</v>
      </c>
      <c r="I21" s="69">
        <v>119.05</v>
      </c>
      <c r="J21" s="153">
        <v>1468</v>
      </c>
      <c r="K21" s="153">
        <v>1368</v>
      </c>
      <c r="L21" s="153">
        <v>1232</v>
      </c>
      <c r="M21" s="154"/>
      <c r="N21" s="154"/>
      <c r="O21" s="70">
        <f t="shared" si="2"/>
        <v>174765.4</v>
      </c>
      <c r="P21" s="70">
        <f t="shared" si="3"/>
        <v>162860.4</v>
      </c>
      <c r="Q21" s="70">
        <f t="shared" si="4"/>
        <v>146669.6</v>
      </c>
      <c r="R21" s="70">
        <f t="shared" si="5"/>
        <v>0</v>
      </c>
      <c r="S21" s="70">
        <f t="shared" si="6"/>
        <v>0</v>
      </c>
    </row>
    <row r="22" spans="1:19">
      <c r="A22" s="20">
        <v>21</v>
      </c>
      <c r="B22" s="58" t="s">
        <v>989</v>
      </c>
      <c r="C22" s="58" t="s">
        <v>1005</v>
      </c>
      <c r="D22" s="58" t="s">
        <v>307</v>
      </c>
      <c r="E22" s="59" t="s">
        <v>1006</v>
      </c>
      <c r="F22" s="22" t="s">
        <v>1017</v>
      </c>
      <c r="G22" s="9">
        <v>918505002</v>
      </c>
      <c r="H22" s="64" t="s">
        <v>1018</v>
      </c>
      <c r="I22" s="69">
        <v>297.08999999999997</v>
      </c>
      <c r="J22" s="153">
        <v>1468</v>
      </c>
      <c r="K22" s="153">
        <v>1368</v>
      </c>
      <c r="L22" s="153">
        <v>1232</v>
      </c>
      <c r="M22" s="154"/>
      <c r="N22" s="154"/>
      <c r="O22" s="70">
        <f t="shared" si="2"/>
        <v>436128.11999999994</v>
      </c>
      <c r="P22" s="70">
        <f t="shared" si="3"/>
        <v>406419.11999999994</v>
      </c>
      <c r="Q22" s="70">
        <f t="shared" si="4"/>
        <v>366014.87999999995</v>
      </c>
      <c r="R22" s="70">
        <f t="shared" si="5"/>
        <v>0</v>
      </c>
      <c r="S22" s="70">
        <f t="shared" si="6"/>
        <v>0</v>
      </c>
    </row>
    <row r="23" spans="1:19">
      <c r="A23" s="20">
        <v>22</v>
      </c>
      <c r="B23" s="58" t="s">
        <v>989</v>
      </c>
      <c r="C23" s="58" t="s">
        <v>1005</v>
      </c>
      <c r="D23" s="58" t="s">
        <v>307</v>
      </c>
      <c r="E23" s="59" t="s">
        <v>1006</v>
      </c>
      <c r="F23" s="22" t="s">
        <v>1019</v>
      </c>
      <c r="G23" s="9">
        <v>918501007</v>
      </c>
      <c r="H23" s="64" t="s">
        <v>1020</v>
      </c>
      <c r="I23" s="69">
        <v>249.38</v>
      </c>
      <c r="J23" s="153">
        <v>1468</v>
      </c>
      <c r="K23" s="153">
        <v>1368</v>
      </c>
      <c r="L23" s="153">
        <v>1232</v>
      </c>
      <c r="M23" s="154"/>
      <c r="N23" s="154"/>
      <c r="O23" s="70">
        <f t="shared" si="2"/>
        <v>366089.83999999997</v>
      </c>
      <c r="P23" s="70">
        <f t="shared" si="3"/>
        <v>341151.83999999997</v>
      </c>
      <c r="Q23" s="70">
        <f t="shared" si="4"/>
        <v>307236.15999999997</v>
      </c>
      <c r="R23" s="70">
        <f t="shared" si="5"/>
        <v>0</v>
      </c>
      <c r="S23" s="70">
        <f t="shared" si="6"/>
        <v>0</v>
      </c>
    </row>
    <row r="24" spans="1:19">
      <c r="A24" s="20">
        <v>23</v>
      </c>
      <c r="B24" s="58" t="s">
        <v>989</v>
      </c>
      <c r="C24" s="58" t="s">
        <v>1005</v>
      </c>
      <c r="D24" s="58" t="s">
        <v>307</v>
      </c>
      <c r="E24" s="59" t="s">
        <v>1006</v>
      </c>
      <c r="F24" s="22" t="s">
        <v>1021</v>
      </c>
      <c r="G24" s="9">
        <v>918505007</v>
      </c>
      <c r="H24" s="64" t="s">
        <v>1022</v>
      </c>
      <c r="I24" s="69">
        <v>109.14</v>
      </c>
      <c r="J24" s="153">
        <v>1468</v>
      </c>
      <c r="K24" s="153">
        <v>1368</v>
      </c>
      <c r="L24" s="153">
        <v>1232</v>
      </c>
      <c r="M24" s="154"/>
      <c r="N24" s="154"/>
      <c r="O24" s="70">
        <f t="shared" si="2"/>
        <v>160217.51999999999</v>
      </c>
      <c r="P24" s="70">
        <f t="shared" si="3"/>
        <v>149303.51999999999</v>
      </c>
      <c r="Q24" s="70">
        <f t="shared" si="4"/>
        <v>134460.48000000001</v>
      </c>
      <c r="R24" s="70">
        <f t="shared" si="5"/>
        <v>0</v>
      </c>
      <c r="S24" s="70">
        <f t="shared" si="6"/>
        <v>0</v>
      </c>
    </row>
    <row r="25" spans="1:19">
      <c r="A25" s="20">
        <v>24</v>
      </c>
      <c r="B25" s="58" t="s">
        <v>989</v>
      </c>
      <c r="C25" s="58" t="s">
        <v>1005</v>
      </c>
      <c r="D25" s="58" t="s">
        <v>307</v>
      </c>
      <c r="E25" s="59" t="s">
        <v>1006</v>
      </c>
      <c r="F25" s="22" t="s">
        <v>1023</v>
      </c>
      <c r="G25" s="9">
        <v>918505003</v>
      </c>
      <c r="H25" s="64" t="s">
        <v>1024</v>
      </c>
      <c r="I25" s="69">
        <v>280.82</v>
      </c>
      <c r="J25" s="153">
        <v>1468</v>
      </c>
      <c r="K25" s="153">
        <v>1368</v>
      </c>
      <c r="L25" s="153">
        <v>1232</v>
      </c>
      <c r="M25" s="154"/>
      <c r="N25" s="154"/>
      <c r="O25" s="70">
        <f t="shared" si="2"/>
        <v>412243.76</v>
      </c>
      <c r="P25" s="70">
        <f t="shared" si="3"/>
        <v>384161.76</v>
      </c>
      <c r="Q25" s="70">
        <f t="shared" si="4"/>
        <v>345970.24</v>
      </c>
      <c r="R25" s="70">
        <f t="shared" si="5"/>
        <v>0</v>
      </c>
      <c r="S25" s="70">
        <f t="shared" si="6"/>
        <v>0</v>
      </c>
    </row>
    <row r="26" spans="1:19">
      <c r="A26" s="20">
        <v>25</v>
      </c>
      <c r="B26" s="58" t="s">
        <v>989</v>
      </c>
      <c r="C26" s="58" t="s">
        <v>1005</v>
      </c>
      <c r="D26" s="58" t="s">
        <v>307</v>
      </c>
      <c r="E26" s="59" t="s">
        <v>1006</v>
      </c>
      <c r="F26" s="22" t="s">
        <v>1025</v>
      </c>
      <c r="G26" s="9">
        <v>918501008</v>
      </c>
      <c r="H26" s="64" t="s">
        <v>1026</v>
      </c>
      <c r="I26" s="69">
        <v>249.38</v>
      </c>
      <c r="J26" s="153">
        <v>1468</v>
      </c>
      <c r="K26" s="153">
        <v>1368</v>
      </c>
      <c r="L26" s="153">
        <v>1232</v>
      </c>
      <c r="M26" s="154"/>
      <c r="N26" s="154"/>
      <c r="O26" s="70">
        <f t="shared" si="2"/>
        <v>366089.83999999997</v>
      </c>
      <c r="P26" s="70">
        <f t="shared" si="3"/>
        <v>341151.83999999997</v>
      </c>
      <c r="Q26" s="70">
        <f t="shared" si="4"/>
        <v>307236.15999999997</v>
      </c>
      <c r="R26" s="70">
        <f t="shared" si="5"/>
        <v>0</v>
      </c>
      <c r="S26" s="70">
        <f t="shared" si="6"/>
        <v>0</v>
      </c>
    </row>
    <row r="27" spans="1:19">
      <c r="A27" s="20">
        <v>26</v>
      </c>
      <c r="B27" s="58" t="s">
        <v>989</v>
      </c>
      <c r="C27" s="58" t="s">
        <v>1005</v>
      </c>
      <c r="D27" s="58" t="s">
        <v>307</v>
      </c>
      <c r="E27" s="59" t="s">
        <v>1006</v>
      </c>
      <c r="F27" s="22" t="s">
        <v>1027</v>
      </c>
      <c r="G27" s="9">
        <v>918505008</v>
      </c>
      <c r="H27" s="64" t="s">
        <v>1028</v>
      </c>
      <c r="I27" s="69">
        <v>109.14</v>
      </c>
      <c r="J27" s="153">
        <v>1468</v>
      </c>
      <c r="K27" s="153">
        <v>1368</v>
      </c>
      <c r="L27" s="153">
        <v>1232</v>
      </c>
      <c r="M27" s="154"/>
      <c r="N27" s="154"/>
      <c r="O27" s="70">
        <f t="shared" si="2"/>
        <v>160217.51999999999</v>
      </c>
      <c r="P27" s="70">
        <f t="shared" si="3"/>
        <v>149303.51999999999</v>
      </c>
      <c r="Q27" s="70">
        <f t="shared" si="4"/>
        <v>134460.48000000001</v>
      </c>
      <c r="R27" s="70">
        <f t="shared" si="5"/>
        <v>0</v>
      </c>
      <c r="S27" s="70">
        <f t="shared" si="6"/>
        <v>0</v>
      </c>
    </row>
    <row r="28" spans="1:19">
      <c r="A28" s="20">
        <v>27</v>
      </c>
      <c r="B28" s="58" t="s">
        <v>989</v>
      </c>
      <c r="C28" s="58" t="s">
        <v>1005</v>
      </c>
      <c r="D28" s="58" t="s">
        <v>307</v>
      </c>
      <c r="E28" s="59" t="s">
        <v>1006</v>
      </c>
      <c r="F28" s="22" t="s">
        <v>1029</v>
      </c>
      <c r="G28" s="9">
        <v>918505004</v>
      </c>
      <c r="H28" s="64" t="s">
        <v>1030</v>
      </c>
      <c r="I28" s="69">
        <v>280.82</v>
      </c>
      <c r="J28" s="153">
        <v>1468</v>
      </c>
      <c r="K28" s="153">
        <v>1368</v>
      </c>
      <c r="L28" s="153">
        <v>1232</v>
      </c>
      <c r="M28" s="154"/>
      <c r="N28" s="154"/>
      <c r="O28" s="70">
        <f t="shared" si="2"/>
        <v>412243.76</v>
      </c>
      <c r="P28" s="70">
        <f t="shared" si="3"/>
        <v>384161.76</v>
      </c>
      <c r="Q28" s="70">
        <f t="shared" si="4"/>
        <v>345970.24</v>
      </c>
      <c r="R28" s="70">
        <f t="shared" si="5"/>
        <v>0</v>
      </c>
      <c r="S28" s="70">
        <f t="shared" si="6"/>
        <v>0</v>
      </c>
    </row>
    <row r="29" spans="1:19">
      <c r="A29" s="20">
        <v>28</v>
      </c>
      <c r="B29" s="58" t="s">
        <v>989</v>
      </c>
      <c r="C29" s="58" t="s">
        <v>1005</v>
      </c>
      <c r="D29" s="58" t="s">
        <v>307</v>
      </c>
      <c r="E29" s="59" t="s">
        <v>1006</v>
      </c>
      <c r="F29" s="22" t="s">
        <v>1031</v>
      </c>
      <c r="G29" s="9">
        <v>918518001</v>
      </c>
      <c r="H29" s="64" t="s">
        <v>1032</v>
      </c>
      <c r="I29" s="69">
        <v>386.97</v>
      </c>
      <c r="J29" s="153">
        <v>1468</v>
      </c>
      <c r="K29" s="153">
        <v>1368</v>
      </c>
      <c r="L29" s="153">
        <v>1232</v>
      </c>
      <c r="M29" s="154"/>
      <c r="N29" s="154"/>
      <c r="O29" s="70">
        <f t="shared" si="2"/>
        <v>568071.96000000008</v>
      </c>
      <c r="P29" s="70">
        <f t="shared" si="3"/>
        <v>529374.96000000008</v>
      </c>
      <c r="Q29" s="70">
        <f t="shared" si="4"/>
        <v>476747.04000000004</v>
      </c>
      <c r="R29" s="70">
        <f t="shared" si="5"/>
        <v>0</v>
      </c>
      <c r="S29" s="70">
        <f t="shared" si="6"/>
        <v>0</v>
      </c>
    </row>
    <row r="30" spans="1:19">
      <c r="A30" s="20">
        <v>29</v>
      </c>
      <c r="B30" s="58" t="s">
        <v>989</v>
      </c>
      <c r="C30" s="58" t="s">
        <v>1005</v>
      </c>
      <c r="D30" s="58" t="s">
        <v>307</v>
      </c>
      <c r="E30" s="59" t="s">
        <v>1006</v>
      </c>
      <c r="F30" s="22" t="s">
        <v>1033</v>
      </c>
      <c r="G30" s="9">
        <v>918520001</v>
      </c>
      <c r="H30" s="64" t="s">
        <v>1034</v>
      </c>
      <c r="I30" s="69">
        <v>65.87</v>
      </c>
      <c r="J30" s="153">
        <v>1468</v>
      </c>
      <c r="K30" s="153">
        <v>1368</v>
      </c>
      <c r="L30" s="153">
        <v>1232</v>
      </c>
      <c r="M30" s="154"/>
      <c r="N30" s="154"/>
      <c r="O30" s="70">
        <f t="shared" si="2"/>
        <v>96697.16</v>
      </c>
      <c r="P30" s="70">
        <f t="shared" si="3"/>
        <v>90110.16</v>
      </c>
      <c r="Q30" s="70">
        <f t="shared" si="4"/>
        <v>81151.840000000011</v>
      </c>
      <c r="R30" s="70">
        <f t="shared" si="5"/>
        <v>0</v>
      </c>
      <c r="S30" s="70">
        <f t="shared" si="6"/>
        <v>0</v>
      </c>
    </row>
    <row r="31" spans="1:19">
      <c r="A31" s="20">
        <v>30</v>
      </c>
      <c r="B31" s="58" t="s">
        <v>989</v>
      </c>
      <c r="C31" s="58" t="s">
        <v>1005</v>
      </c>
      <c r="D31" s="58" t="s">
        <v>307</v>
      </c>
      <c r="E31" s="59" t="s">
        <v>1006</v>
      </c>
      <c r="F31" s="22" t="s">
        <v>1035</v>
      </c>
      <c r="G31" s="9">
        <v>918520002</v>
      </c>
      <c r="H31" s="64" t="s">
        <v>1036</v>
      </c>
      <c r="I31" s="69">
        <v>65.87</v>
      </c>
      <c r="J31" s="153">
        <v>1468</v>
      </c>
      <c r="K31" s="153">
        <v>1368</v>
      </c>
      <c r="L31" s="153">
        <v>1232</v>
      </c>
      <c r="M31" s="154"/>
      <c r="N31" s="154"/>
      <c r="O31" s="70">
        <f t="shared" si="2"/>
        <v>96697.16</v>
      </c>
      <c r="P31" s="70">
        <f t="shared" si="3"/>
        <v>90110.16</v>
      </c>
      <c r="Q31" s="70">
        <f t="shared" si="4"/>
        <v>81151.840000000011</v>
      </c>
      <c r="R31" s="70">
        <f t="shared" si="5"/>
        <v>0</v>
      </c>
      <c r="S31" s="70">
        <f t="shared" si="6"/>
        <v>0</v>
      </c>
    </row>
    <row r="32" spans="1:19">
      <c r="A32" s="20">
        <v>30</v>
      </c>
      <c r="B32" s="58" t="s">
        <v>989</v>
      </c>
      <c r="C32" s="58" t="s">
        <v>1005</v>
      </c>
      <c r="D32" s="58" t="s">
        <v>307</v>
      </c>
      <c r="E32" s="59" t="s">
        <v>1006</v>
      </c>
      <c r="F32" s="22" t="s">
        <v>1216</v>
      </c>
      <c r="G32" s="9">
        <v>918525002</v>
      </c>
      <c r="H32" s="64" t="s">
        <v>1217</v>
      </c>
      <c r="I32" s="69">
        <v>13.17</v>
      </c>
      <c r="J32" s="153">
        <v>8272</v>
      </c>
      <c r="K32" s="153">
        <v>7672</v>
      </c>
      <c r="L32" s="153">
        <v>7268</v>
      </c>
      <c r="M32" s="154"/>
      <c r="N32" s="154"/>
      <c r="O32" s="70">
        <f t="shared" si="2"/>
        <v>108942.24</v>
      </c>
      <c r="P32" s="70">
        <f t="shared" si="3"/>
        <v>101040.24</v>
      </c>
      <c r="Q32" s="70">
        <f t="shared" si="4"/>
        <v>95719.56</v>
      </c>
      <c r="R32" s="70">
        <f t="shared" si="5"/>
        <v>0</v>
      </c>
      <c r="S32" s="70">
        <f t="shared" si="6"/>
        <v>0</v>
      </c>
    </row>
    <row r="33" spans="1:19">
      <c r="A33" s="20">
        <v>30</v>
      </c>
      <c r="B33" s="58" t="s">
        <v>989</v>
      </c>
      <c r="C33" s="58" t="s">
        <v>1005</v>
      </c>
      <c r="D33" s="58" t="s">
        <v>307</v>
      </c>
      <c r="E33" s="59" t="s">
        <v>1006</v>
      </c>
      <c r="F33" s="22" t="s">
        <v>1218</v>
      </c>
      <c r="G33" s="9">
        <v>918525001</v>
      </c>
      <c r="H33" s="64" t="s">
        <v>1217</v>
      </c>
      <c r="I33" s="69">
        <v>13.67</v>
      </c>
      <c r="J33" s="153">
        <v>5336</v>
      </c>
      <c r="K33" s="153">
        <v>4936</v>
      </c>
      <c r="L33" s="153">
        <v>4804</v>
      </c>
      <c r="M33" s="154"/>
      <c r="N33" s="154"/>
      <c r="O33" s="70">
        <f t="shared" si="2"/>
        <v>72943.12</v>
      </c>
      <c r="P33" s="70">
        <f t="shared" si="3"/>
        <v>67475.12</v>
      </c>
      <c r="Q33" s="70">
        <f t="shared" si="4"/>
        <v>65670.679999999993</v>
      </c>
      <c r="R33" s="70">
        <f t="shared" si="5"/>
        <v>0</v>
      </c>
      <c r="S33" s="70">
        <f t="shared" si="6"/>
        <v>0</v>
      </c>
    </row>
    <row r="34" spans="1:19">
      <c r="A34" s="20">
        <v>33</v>
      </c>
      <c r="B34" s="58" t="s">
        <v>989</v>
      </c>
      <c r="C34" s="58" t="s">
        <v>1005</v>
      </c>
      <c r="D34" s="58" t="s">
        <v>307</v>
      </c>
      <c r="E34" s="59" t="s">
        <v>1006</v>
      </c>
      <c r="F34" s="22" t="s">
        <v>1037</v>
      </c>
      <c r="G34" s="9">
        <v>918501001</v>
      </c>
      <c r="H34" s="64" t="s">
        <v>1038</v>
      </c>
      <c r="I34" s="69">
        <v>312.26</v>
      </c>
      <c r="J34" s="153">
        <v>2936</v>
      </c>
      <c r="K34" s="153">
        <v>2736</v>
      </c>
      <c r="L34" s="153">
        <v>2464</v>
      </c>
      <c r="M34" s="154"/>
      <c r="N34" s="154"/>
      <c r="O34" s="70">
        <f t="shared" si="2"/>
        <v>916795.36</v>
      </c>
      <c r="P34" s="70">
        <f t="shared" si="3"/>
        <v>854343.36</v>
      </c>
      <c r="Q34" s="70">
        <f t="shared" si="4"/>
        <v>769408.64</v>
      </c>
      <c r="R34" s="70">
        <f t="shared" si="5"/>
        <v>0</v>
      </c>
      <c r="S34" s="70">
        <f t="shared" si="6"/>
        <v>0</v>
      </c>
    </row>
    <row r="35" spans="1:19">
      <c r="A35" s="20">
        <v>34</v>
      </c>
      <c r="B35" s="58" t="s">
        <v>989</v>
      </c>
      <c r="C35" s="58" t="s">
        <v>1005</v>
      </c>
      <c r="D35" s="58" t="s">
        <v>307</v>
      </c>
      <c r="E35" s="59" t="s">
        <v>1006</v>
      </c>
      <c r="F35" s="22" t="s">
        <v>1039</v>
      </c>
      <c r="G35" s="9">
        <v>918501003</v>
      </c>
      <c r="H35" s="64" t="s">
        <v>1040</v>
      </c>
      <c r="I35" s="69">
        <v>302.77999999999997</v>
      </c>
      <c r="J35" s="153">
        <v>2936</v>
      </c>
      <c r="K35" s="153">
        <v>2736</v>
      </c>
      <c r="L35" s="153">
        <v>2464</v>
      </c>
      <c r="M35" s="154"/>
      <c r="N35" s="154"/>
      <c r="O35" s="70">
        <f t="shared" si="2"/>
        <v>888962.08</v>
      </c>
      <c r="P35" s="70">
        <f t="shared" si="3"/>
        <v>828406.08</v>
      </c>
      <c r="Q35" s="70">
        <f t="shared" si="4"/>
        <v>746049.91999999993</v>
      </c>
      <c r="R35" s="70">
        <f t="shared" si="5"/>
        <v>0</v>
      </c>
      <c r="S35" s="70">
        <f t="shared" si="6"/>
        <v>0</v>
      </c>
    </row>
    <row r="36" spans="1:19">
      <c r="A36" s="20">
        <v>35</v>
      </c>
      <c r="B36" s="58" t="s">
        <v>989</v>
      </c>
      <c r="C36" s="58" t="s">
        <v>1005</v>
      </c>
      <c r="D36" s="58" t="s">
        <v>307</v>
      </c>
      <c r="E36" s="59" t="s">
        <v>1006</v>
      </c>
      <c r="F36" s="22" t="s">
        <v>1041</v>
      </c>
      <c r="G36" s="9">
        <v>918504026</v>
      </c>
      <c r="H36" s="64" t="s">
        <v>1042</v>
      </c>
      <c r="I36" s="69">
        <v>1213.01</v>
      </c>
      <c r="J36" s="153">
        <v>426</v>
      </c>
      <c r="K36" s="153">
        <v>153</v>
      </c>
      <c r="L36" s="153">
        <v>172</v>
      </c>
      <c r="M36" s="154"/>
      <c r="N36" s="154"/>
      <c r="O36" s="70">
        <f t="shared" ref="O36:O67" si="7">J36*I36</f>
        <v>516742.26</v>
      </c>
      <c r="P36" s="70">
        <f t="shared" ref="P36:P67" si="8">K36*I36</f>
        <v>185590.53</v>
      </c>
      <c r="Q36" s="70">
        <f t="shared" ref="Q36:Q67" si="9">L36*I36</f>
        <v>208637.72</v>
      </c>
      <c r="R36" s="70">
        <f t="shared" ref="R36:R67" si="10">M36*I36</f>
        <v>0</v>
      </c>
      <c r="S36" s="70">
        <f t="shared" ref="S36:S67" si="11">N36*I36</f>
        <v>0</v>
      </c>
    </row>
    <row r="37" spans="1:19">
      <c r="A37" s="20">
        <v>36</v>
      </c>
      <c r="B37" s="58" t="s">
        <v>989</v>
      </c>
      <c r="C37" s="58" t="s">
        <v>1005</v>
      </c>
      <c r="D37" s="58" t="s">
        <v>307</v>
      </c>
      <c r="E37" s="59" t="s">
        <v>1006</v>
      </c>
      <c r="F37" s="22" t="s">
        <v>1043</v>
      </c>
      <c r="G37" s="9">
        <v>918504025</v>
      </c>
      <c r="H37" s="64" t="s">
        <v>1044</v>
      </c>
      <c r="I37" s="69">
        <v>1213.01</v>
      </c>
      <c r="J37" s="153">
        <v>426</v>
      </c>
      <c r="K37" s="153">
        <v>153</v>
      </c>
      <c r="L37" s="153">
        <v>172</v>
      </c>
      <c r="M37" s="154"/>
      <c r="N37" s="154"/>
      <c r="O37" s="70">
        <f t="shared" si="7"/>
        <v>516742.26</v>
      </c>
      <c r="P37" s="70">
        <f t="shared" si="8"/>
        <v>185590.53</v>
      </c>
      <c r="Q37" s="70">
        <f t="shared" si="9"/>
        <v>208637.72</v>
      </c>
      <c r="R37" s="70">
        <f t="shared" si="10"/>
        <v>0</v>
      </c>
      <c r="S37" s="70">
        <f t="shared" si="11"/>
        <v>0</v>
      </c>
    </row>
    <row r="38" spans="1:19">
      <c r="A38" s="20">
        <v>37</v>
      </c>
      <c r="B38" s="58" t="s">
        <v>989</v>
      </c>
      <c r="C38" s="58" t="s">
        <v>1005</v>
      </c>
      <c r="D38" s="58" t="s">
        <v>307</v>
      </c>
      <c r="E38" s="59" t="s">
        <v>1006</v>
      </c>
      <c r="F38" s="22" t="s">
        <v>1045</v>
      </c>
      <c r="G38" s="9">
        <v>918504028</v>
      </c>
      <c r="H38" s="64" t="s">
        <v>1046</v>
      </c>
      <c r="I38" s="69">
        <v>849.43</v>
      </c>
      <c r="J38" s="153">
        <v>426</v>
      </c>
      <c r="K38" s="153">
        <v>153</v>
      </c>
      <c r="L38" s="153">
        <v>172</v>
      </c>
      <c r="M38" s="154"/>
      <c r="N38" s="154"/>
      <c r="O38" s="70">
        <f t="shared" si="7"/>
        <v>361857.18</v>
      </c>
      <c r="P38" s="70">
        <f t="shared" si="8"/>
        <v>129962.79</v>
      </c>
      <c r="Q38" s="70">
        <f t="shared" si="9"/>
        <v>146101.96</v>
      </c>
      <c r="R38" s="70">
        <f t="shared" si="10"/>
        <v>0</v>
      </c>
      <c r="S38" s="70">
        <f t="shared" si="11"/>
        <v>0</v>
      </c>
    </row>
    <row r="39" spans="1:19">
      <c r="A39" s="20">
        <v>38</v>
      </c>
      <c r="B39" s="58" t="s">
        <v>989</v>
      </c>
      <c r="C39" s="58" t="s">
        <v>1005</v>
      </c>
      <c r="D39" s="58" t="s">
        <v>307</v>
      </c>
      <c r="E39" s="59" t="s">
        <v>1006</v>
      </c>
      <c r="F39" s="22" t="s">
        <v>1047</v>
      </c>
      <c r="G39" s="9">
        <v>918504027</v>
      </c>
      <c r="H39" s="64" t="s">
        <v>1048</v>
      </c>
      <c r="I39" s="69">
        <v>849.43</v>
      </c>
      <c r="J39" s="153">
        <v>426</v>
      </c>
      <c r="K39" s="153">
        <v>153</v>
      </c>
      <c r="L39" s="153">
        <v>172</v>
      </c>
      <c r="M39" s="154"/>
      <c r="N39" s="154"/>
      <c r="O39" s="70">
        <f t="shared" si="7"/>
        <v>361857.18</v>
      </c>
      <c r="P39" s="70">
        <f t="shared" si="8"/>
        <v>129962.79</v>
      </c>
      <c r="Q39" s="70">
        <f t="shared" si="9"/>
        <v>146101.96</v>
      </c>
      <c r="R39" s="70">
        <f t="shared" si="10"/>
        <v>0</v>
      </c>
      <c r="S39" s="70">
        <f t="shared" si="11"/>
        <v>0</v>
      </c>
    </row>
    <row r="40" spans="1:19">
      <c r="A40" s="20">
        <v>39</v>
      </c>
      <c r="B40" s="58" t="s">
        <v>989</v>
      </c>
      <c r="C40" s="58" t="s">
        <v>1005</v>
      </c>
      <c r="D40" s="58" t="s">
        <v>307</v>
      </c>
      <c r="E40" s="59" t="s">
        <v>1006</v>
      </c>
      <c r="F40" s="22" t="s">
        <v>1049</v>
      </c>
      <c r="G40" s="9">
        <v>918504022</v>
      </c>
      <c r="H40" s="64" t="s">
        <v>1050</v>
      </c>
      <c r="I40" s="69">
        <v>961.69</v>
      </c>
      <c r="J40" s="153">
        <v>394</v>
      </c>
      <c r="K40" s="153">
        <v>529</v>
      </c>
      <c r="L40" s="153">
        <v>417</v>
      </c>
      <c r="M40" s="154"/>
      <c r="N40" s="154"/>
      <c r="O40" s="70">
        <f t="shared" si="7"/>
        <v>378905.86000000004</v>
      </c>
      <c r="P40" s="70">
        <f t="shared" si="8"/>
        <v>508734.01</v>
      </c>
      <c r="Q40" s="70">
        <f t="shared" si="9"/>
        <v>401024.73000000004</v>
      </c>
      <c r="R40" s="70">
        <f t="shared" si="10"/>
        <v>0</v>
      </c>
      <c r="S40" s="70">
        <f t="shared" si="11"/>
        <v>0</v>
      </c>
    </row>
    <row r="41" spans="1:19">
      <c r="A41" s="20">
        <v>40</v>
      </c>
      <c r="B41" s="58" t="s">
        <v>989</v>
      </c>
      <c r="C41" s="58" t="s">
        <v>1005</v>
      </c>
      <c r="D41" s="58" t="s">
        <v>307</v>
      </c>
      <c r="E41" s="59" t="s">
        <v>1006</v>
      </c>
      <c r="F41" s="22" t="s">
        <v>1051</v>
      </c>
      <c r="G41" s="9">
        <v>918504021</v>
      </c>
      <c r="H41" s="64" t="s">
        <v>1052</v>
      </c>
      <c r="I41" s="69">
        <v>961.69</v>
      </c>
      <c r="J41" s="153">
        <v>394</v>
      </c>
      <c r="K41" s="153">
        <v>529</v>
      </c>
      <c r="L41" s="153">
        <v>417</v>
      </c>
      <c r="M41" s="154"/>
      <c r="N41" s="154"/>
      <c r="O41" s="70">
        <f t="shared" si="7"/>
        <v>378905.86000000004</v>
      </c>
      <c r="P41" s="70">
        <f t="shared" si="8"/>
        <v>508734.01</v>
      </c>
      <c r="Q41" s="70">
        <f t="shared" si="9"/>
        <v>401024.73000000004</v>
      </c>
      <c r="R41" s="70">
        <f t="shared" si="10"/>
        <v>0</v>
      </c>
      <c r="S41" s="70">
        <f t="shared" si="11"/>
        <v>0</v>
      </c>
    </row>
    <row r="42" spans="1:19">
      <c r="A42" s="20">
        <v>41</v>
      </c>
      <c r="B42" s="58" t="s">
        <v>989</v>
      </c>
      <c r="C42" s="58" t="s">
        <v>1005</v>
      </c>
      <c r="D42" s="58" t="s">
        <v>307</v>
      </c>
      <c r="E42" s="59" t="s">
        <v>1006</v>
      </c>
      <c r="F42" s="22" t="s">
        <v>1053</v>
      </c>
      <c r="G42" s="9">
        <v>918504024</v>
      </c>
      <c r="H42" s="64" t="s">
        <v>1054</v>
      </c>
      <c r="I42" s="69">
        <v>716.22</v>
      </c>
      <c r="J42" s="153">
        <v>394</v>
      </c>
      <c r="K42" s="153">
        <v>529</v>
      </c>
      <c r="L42" s="153">
        <v>417</v>
      </c>
      <c r="M42" s="154"/>
      <c r="N42" s="154"/>
      <c r="O42" s="70">
        <f t="shared" si="7"/>
        <v>282190.68</v>
      </c>
      <c r="P42" s="70">
        <f t="shared" si="8"/>
        <v>378880.38</v>
      </c>
      <c r="Q42" s="70">
        <f t="shared" si="9"/>
        <v>298663.74</v>
      </c>
      <c r="R42" s="70">
        <f t="shared" si="10"/>
        <v>0</v>
      </c>
      <c r="S42" s="70">
        <f t="shared" si="11"/>
        <v>0</v>
      </c>
    </row>
    <row r="43" spans="1:19">
      <c r="A43" s="20">
        <v>42</v>
      </c>
      <c r="B43" s="58" t="s">
        <v>989</v>
      </c>
      <c r="C43" s="58" t="s">
        <v>1005</v>
      </c>
      <c r="D43" s="58" t="s">
        <v>307</v>
      </c>
      <c r="E43" s="59" t="s">
        <v>1006</v>
      </c>
      <c r="F43" s="22" t="s">
        <v>1055</v>
      </c>
      <c r="G43" s="9">
        <v>918504023</v>
      </c>
      <c r="H43" s="64" t="s">
        <v>1056</v>
      </c>
      <c r="I43" s="69">
        <v>716.22</v>
      </c>
      <c r="J43" s="153">
        <v>394</v>
      </c>
      <c r="K43" s="153">
        <v>529</v>
      </c>
      <c r="L43" s="153">
        <v>417</v>
      </c>
      <c r="M43" s="154"/>
      <c r="N43" s="154"/>
      <c r="O43" s="70">
        <f t="shared" si="7"/>
        <v>282190.68</v>
      </c>
      <c r="P43" s="70">
        <f t="shared" si="8"/>
        <v>378880.38</v>
      </c>
      <c r="Q43" s="70">
        <f t="shared" si="9"/>
        <v>298663.74</v>
      </c>
      <c r="R43" s="70">
        <f t="shared" si="10"/>
        <v>0</v>
      </c>
      <c r="S43" s="70">
        <f t="shared" si="11"/>
        <v>0</v>
      </c>
    </row>
    <row r="44" spans="1:19">
      <c r="A44" s="20">
        <v>43</v>
      </c>
      <c r="B44" s="58" t="s">
        <v>989</v>
      </c>
      <c r="C44" s="58" t="s">
        <v>1005</v>
      </c>
      <c r="D44" s="58" t="s">
        <v>307</v>
      </c>
      <c r="E44" s="59" t="s">
        <v>1006</v>
      </c>
      <c r="F44" s="22" t="s">
        <v>1057</v>
      </c>
      <c r="G44" s="9">
        <v>918504018</v>
      </c>
      <c r="H44" s="64" t="s">
        <v>1058</v>
      </c>
      <c r="I44" s="69">
        <v>1213.01</v>
      </c>
      <c r="J44" s="153">
        <v>648</v>
      </c>
      <c r="K44" s="153">
        <v>686</v>
      </c>
      <c r="L44" s="153">
        <v>643</v>
      </c>
      <c r="M44" s="154"/>
      <c r="N44" s="154"/>
      <c r="O44" s="70">
        <f t="shared" si="7"/>
        <v>786030.48</v>
      </c>
      <c r="P44" s="70">
        <f t="shared" si="8"/>
        <v>832124.86</v>
      </c>
      <c r="Q44" s="70">
        <f t="shared" si="9"/>
        <v>779965.43</v>
      </c>
      <c r="R44" s="70">
        <f t="shared" si="10"/>
        <v>0</v>
      </c>
      <c r="S44" s="70">
        <f t="shared" si="11"/>
        <v>0</v>
      </c>
    </row>
    <row r="45" spans="1:19">
      <c r="A45" s="20">
        <v>44</v>
      </c>
      <c r="B45" s="58" t="s">
        <v>989</v>
      </c>
      <c r="C45" s="58" t="s">
        <v>1005</v>
      </c>
      <c r="D45" s="58" t="s">
        <v>307</v>
      </c>
      <c r="E45" s="59" t="s">
        <v>1006</v>
      </c>
      <c r="F45" s="22" t="s">
        <v>1059</v>
      </c>
      <c r="G45" s="9">
        <v>918504017</v>
      </c>
      <c r="H45" s="64" t="s">
        <v>1060</v>
      </c>
      <c r="I45" s="69">
        <v>1213.01</v>
      </c>
      <c r="J45" s="153">
        <v>648</v>
      </c>
      <c r="K45" s="153">
        <v>686</v>
      </c>
      <c r="L45" s="153">
        <v>643</v>
      </c>
      <c r="M45" s="154"/>
      <c r="N45" s="154"/>
      <c r="O45" s="70">
        <f t="shared" si="7"/>
        <v>786030.48</v>
      </c>
      <c r="P45" s="70">
        <f t="shared" si="8"/>
        <v>832124.86</v>
      </c>
      <c r="Q45" s="70">
        <f t="shared" si="9"/>
        <v>779965.43</v>
      </c>
      <c r="R45" s="70">
        <f t="shared" si="10"/>
        <v>0</v>
      </c>
      <c r="S45" s="70">
        <f t="shared" si="11"/>
        <v>0</v>
      </c>
    </row>
    <row r="46" spans="1:19">
      <c r="A46" s="20">
        <v>45</v>
      </c>
      <c r="B46" s="58" t="s">
        <v>989</v>
      </c>
      <c r="C46" s="58" t="s">
        <v>1005</v>
      </c>
      <c r="D46" s="58" t="s">
        <v>307</v>
      </c>
      <c r="E46" s="59" t="s">
        <v>1006</v>
      </c>
      <c r="F46" s="22" t="s">
        <v>1061</v>
      </c>
      <c r="G46" s="9">
        <v>918504020</v>
      </c>
      <c r="H46" s="64" t="s">
        <v>1062</v>
      </c>
      <c r="I46" s="69">
        <v>849.43</v>
      </c>
      <c r="J46" s="153">
        <v>648</v>
      </c>
      <c r="K46" s="153">
        <v>686</v>
      </c>
      <c r="L46" s="153">
        <v>643</v>
      </c>
      <c r="M46" s="154"/>
      <c r="N46" s="154"/>
      <c r="O46" s="70">
        <f t="shared" si="7"/>
        <v>550430.64</v>
      </c>
      <c r="P46" s="70">
        <f t="shared" si="8"/>
        <v>582708.98</v>
      </c>
      <c r="Q46" s="70">
        <f t="shared" si="9"/>
        <v>546183.49</v>
      </c>
      <c r="R46" s="70">
        <f t="shared" si="10"/>
        <v>0</v>
      </c>
      <c r="S46" s="70">
        <f t="shared" si="11"/>
        <v>0</v>
      </c>
    </row>
    <row r="47" spans="1:19">
      <c r="A47" s="20">
        <v>46</v>
      </c>
      <c r="B47" s="58" t="s">
        <v>989</v>
      </c>
      <c r="C47" s="58" t="s">
        <v>1005</v>
      </c>
      <c r="D47" s="58" t="s">
        <v>307</v>
      </c>
      <c r="E47" s="59" t="s">
        <v>1006</v>
      </c>
      <c r="F47" s="22" t="s">
        <v>1063</v>
      </c>
      <c r="G47" s="9">
        <v>918504019</v>
      </c>
      <c r="H47" s="64" t="s">
        <v>1064</v>
      </c>
      <c r="I47" s="69">
        <v>849.43</v>
      </c>
      <c r="J47" s="153">
        <v>648</v>
      </c>
      <c r="K47" s="153">
        <v>686</v>
      </c>
      <c r="L47" s="153">
        <v>643</v>
      </c>
      <c r="M47" s="154"/>
      <c r="N47" s="154"/>
      <c r="O47" s="70">
        <f t="shared" si="7"/>
        <v>550430.64</v>
      </c>
      <c r="P47" s="70">
        <f t="shared" si="8"/>
        <v>582708.98</v>
      </c>
      <c r="Q47" s="70">
        <f t="shared" si="9"/>
        <v>546183.49</v>
      </c>
      <c r="R47" s="70">
        <f t="shared" si="10"/>
        <v>0</v>
      </c>
      <c r="S47" s="70">
        <f t="shared" si="11"/>
        <v>0</v>
      </c>
    </row>
    <row r="48" spans="1:19">
      <c r="A48" s="20">
        <v>47</v>
      </c>
      <c r="B48" s="58" t="s">
        <v>989</v>
      </c>
      <c r="C48" s="58" t="s">
        <v>1005</v>
      </c>
      <c r="D48" s="58" t="s">
        <v>307</v>
      </c>
      <c r="E48" s="59" t="s">
        <v>1006</v>
      </c>
      <c r="F48" s="22" t="s">
        <v>1065</v>
      </c>
      <c r="G48" s="9">
        <v>918503003</v>
      </c>
      <c r="H48" s="64" t="s">
        <v>1066</v>
      </c>
      <c r="I48" s="69">
        <v>107.47</v>
      </c>
      <c r="J48" s="153">
        <v>1468</v>
      </c>
      <c r="K48" s="153">
        <v>1368</v>
      </c>
      <c r="L48" s="153">
        <v>1232</v>
      </c>
      <c r="M48" s="154"/>
      <c r="N48" s="154"/>
      <c r="O48" s="70">
        <f t="shared" si="7"/>
        <v>157765.96</v>
      </c>
      <c r="P48" s="70">
        <f t="shared" si="8"/>
        <v>147018.96</v>
      </c>
      <c r="Q48" s="70">
        <f t="shared" si="9"/>
        <v>132403.04</v>
      </c>
      <c r="R48" s="70">
        <f t="shared" si="10"/>
        <v>0</v>
      </c>
      <c r="S48" s="70">
        <f t="shared" si="11"/>
        <v>0</v>
      </c>
    </row>
    <row r="49" spans="1:19">
      <c r="A49" s="20">
        <v>48</v>
      </c>
      <c r="B49" s="58" t="s">
        <v>989</v>
      </c>
      <c r="C49" s="58" t="s">
        <v>1005</v>
      </c>
      <c r="D49" s="58" t="s">
        <v>307</v>
      </c>
      <c r="E49" s="59" t="s">
        <v>1067</v>
      </c>
      <c r="F49" s="22" t="s">
        <v>1068</v>
      </c>
      <c r="G49" s="9">
        <v>912918001</v>
      </c>
      <c r="H49" s="64" t="s">
        <v>1032</v>
      </c>
      <c r="I49" s="69">
        <v>455.99</v>
      </c>
      <c r="J49" s="153">
        <v>1200</v>
      </c>
      <c r="K49" s="153">
        <v>1100</v>
      </c>
      <c r="L49" s="153">
        <v>1170</v>
      </c>
      <c r="M49" s="154"/>
      <c r="N49" s="154"/>
      <c r="O49" s="70">
        <f t="shared" si="7"/>
        <v>547188</v>
      </c>
      <c r="P49" s="70">
        <f t="shared" si="8"/>
        <v>501589</v>
      </c>
      <c r="Q49" s="70">
        <f t="shared" si="9"/>
        <v>533508.30000000005</v>
      </c>
      <c r="R49" s="70">
        <f t="shared" si="10"/>
        <v>0</v>
      </c>
      <c r="S49" s="70">
        <f t="shared" si="11"/>
        <v>0</v>
      </c>
    </row>
    <row r="50" spans="1:19">
      <c r="A50" s="20">
        <v>49</v>
      </c>
      <c r="B50" s="58" t="s">
        <v>989</v>
      </c>
      <c r="C50" s="58" t="s">
        <v>1005</v>
      </c>
      <c r="D50" s="58" t="s">
        <v>307</v>
      </c>
      <c r="E50" s="59" t="s">
        <v>1067</v>
      </c>
      <c r="F50" s="22" t="s">
        <v>1069</v>
      </c>
      <c r="G50" s="9">
        <v>912904004</v>
      </c>
      <c r="H50" s="64" t="s">
        <v>1070</v>
      </c>
      <c r="I50" s="69">
        <v>2457.0700000000002</v>
      </c>
      <c r="J50" s="153">
        <v>1000</v>
      </c>
      <c r="K50" s="153">
        <v>1000</v>
      </c>
      <c r="L50" s="153">
        <v>1020</v>
      </c>
      <c r="M50" s="154"/>
      <c r="N50" s="154"/>
      <c r="O50" s="70">
        <f t="shared" si="7"/>
        <v>2457070</v>
      </c>
      <c r="P50" s="70">
        <f t="shared" si="8"/>
        <v>2457070</v>
      </c>
      <c r="Q50" s="70">
        <f t="shared" si="9"/>
        <v>2506211.4000000004</v>
      </c>
      <c r="R50" s="70">
        <f t="shared" si="10"/>
        <v>0</v>
      </c>
      <c r="S50" s="70">
        <f t="shared" si="11"/>
        <v>0</v>
      </c>
    </row>
    <row r="51" spans="1:19">
      <c r="A51" s="20">
        <v>50</v>
      </c>
      <c r="B51" s="58" t="s">
        <v>989</v>
      </c>
      <c r="C51" s="58" t="s">
        <v>1005</v>
      </c>
      <c r="D51" s="58" t="s">
        <v>307</v>
      </c>
      <c r="E51" s="59" t="s">
        <v>1067</v>
      </c>
      <c r="F51" s="22" t="s">
        <v>1071</v>
      </c>
      <c r="G51" s="9">
        <v>912904003</v>
      </c>
      <c r="H51" s="64" t="s">
        <v>1072</v>
      </c>
      <c r="I51" s="69">
        <v>2457.0700000000002</v>
      </c>
      <c r="J51" s="153">
        <v>1000</v>
      </c>
      <c r="K51" s="153">
        <v>1000</v>
      </c>
      <c r="L51" s="153">
        <v>1020</v>
      </c>
      <c r="M51" s="154"/>
      <c r="N51" s="154"/>
      <c r="O51" s="70">
        <f t="shared" si="7"/>
        <v>2457070</v>
      </c>
      <c r="P51" s="70">
        <f t="shared" si="8"/>
        <v>2457070</v>
      </c>
      <c r="Q51" s="70">
        <f t="shared" si="9"/>
        <v>2506211.4000000004</v>
      </c>
      <c r="R51" s="70">
        <f t="shared" si="10"/>
        <v>0</v>
      </c>
      <c r="S51" s="70">
        <f t="shared" si="11"/>
        <v>0</v>
      </c>
    </row>
    <row r="52" spans="1:19">
      <c r="A52" s="20">
        <v>51</v>
      </c>
      <c r="B52" s="58" t="s">
        <v>989</v>
      </c>
      <c r="C52" s="58" t="s">
        <v>1005</v>
      </c>
      <c r="D52" s="58" t="s">
        <v>307</v>
      </c>
      <c r="E52" s="59" t="s">
        <v>1067</v>
      </c>
      <c r="F52" s="22" t="s">
        <v>1073</v>
      </c>
      <c r="G52" s="9">
        <v>912904006</v>
      </c>
      <c r="H52" s="64" t="s">
        <v>1070</v>
      </c>
      <c r="I52" s="69">
        <v>2496.25</v>
      </c>
      <c r="J52" s="153">
        <v>200</v>
      </c>
      <c r="K52" s="153">
        <v>100</v>
      </c>
      <c r="L52" s="153">
        <v>150</v>
      </c>
      <c r="M52" s="154"/>
      <c r="N52" s="154"/>
      <c r="O52" s="70">
        <f t="shared" si="7"/>
        <v>499250</v>
      </c>
      <c r="P52" s="70">
        <f t="shared" si="8"/>
        <v>249625</v>
      </c>
      <c r="Q52" s="70">
        <f t="shared" si="9"/>
        <v>374437.5</v>
      </c>
      <c r="R52" s="70">
        <f t="shared" si="10"/>
        <v>0</v>
      </c>
      <c r="S52" s="70">
        <f t="shared" si="11"/>
        <v>0</v>
      </c>
    </row>
    <row r="53" spans="1:19">
      <c r="A53" s="20">
        <v>52</v>
      </c>
      <c r="B53" s="58" t="s">
        <v>989</v>
      </c>
      <c r="C53" s="58" t="s">
        <v>1005</v>
      </c>
      <c r="D53" s="58" t="s">
        <v>307</v>
      </c>
      <c r="E53" s="59" t="s">
        <v>1067</v>
      </c>
      <c r="F53" s="22" t="s">
        <v>1074</v>
      </c>
      <c r="G53" s="9">
        <v>912904005</v>
      </c>
      <c r="H53" s="64" t="s">
        <v>1072</v>
      </c>
      <c r="I53" s="69">
        <v>2496.25</v>
      </c>
      <c r="J53" s="153">
        <v>200</v>
      </c>
      <c r="K53" s="153">
        <v>100</v>
      </c>
      <c r="L53" s="153">
        <v>150</v>
      </c>
      <c r="M53" s="154"/>
      <c r="N53" s="154"/>
      <c r="O53" s="70">
        <f t="shared" si="7"/>
        <v>499250</v>
      </c>
      <c r="P53" s="70">
        <f t="shared" si="8"/>
        <v>249625</v>
      </c>
      <c r="Q53" s="70">
        <f t="shared" si="9"/>
        <v>374437.5</v>
      </c>
      <c r="R53" s="70">
        <f t="shared" si="10"/>
        <v>0</v>
      </c>
      <c r="S53" s="70">
        <f t="shared" si="11"/>
        <v>0</v>
      </c>
    </row>
    <row r="54" spans="1:19">
      <c r="A54" s="20">
        <v>53</v>
      </c>
      <c r="B54" s="58" t="s">
        <v>989</v>
      </c>
      <c r="C54" s="58" t="s">
        <v>1005</v>
      </c>
      <c r="D54" s="58" t="s">
        <v>307</v>
      </c>
      <c r="E54" s="59" t="s">
        <v>1067</v>
      </c>
      <c r="F54" s="22" t="s">
        <v>1075</v>
      </c>
      <c r="G54" s="9">
        <v>912903002</v>
      </c>
      <c r="H54" s="64" t="s">
        <v>1076</v>
      </c>
      <c r="I54" s="69">
        <v>138.63999999999999</v>
      </c>
      <c r="J54" s="153">
        <v>1200</v>
      </c>
      <c r="K54" s="153">
        <v>1100</v>
      </c>
      <c r="L54" s="153">
        <v>1170</v>
      </c>
      <c r="M54" s="154"/>
      <c r="N54" s="154"/>
      <c r="O54" s="70">
        <f t="shared" si="7"/>
        <v>166367.99999999997</v>
      </c>
      <c r="P54" s="70">
        <f t="shared" si="8"/>
        <v>152503.99999999997</v>
      </c>
      <c r="Q54" s="70">
        <f t="shared" si="9"/>
        <v>162208.79999999999</v>
      </c>
      <c r="R54" s="70">
        <f t="shared" si="10"/>
        <v>0</v>
      </c>
      <c r="S54" s="70">
        <f t="shared" si="11"/>
        <v>0</v>
      </c>
    </row>
    <row r="55" spans="1:19">
      <c r="A55" s="20">
        <v>54</v>
      </c>
      <c r="B55" s="58" t="s">
        <v>989</v>
      </c>
      <c r="C55" s="58" t="s">
        <v>1005</v>
      </c>
      <c r="D55" s="58" t="s">
        <v>307</v>
      </c>
      <c r="E55" s="59" t="s">
        <v>1067</v>
      </c>
      <c r="F55" s="22" t="s">
        <v>1077</v>
      </c>
      <c r="G55" s="9">
        <v>912901001</v>
      </c>
      <c r="H55" s="64" t="s">
        <v>1038</v>
      </c>
      <c r="I55" s="69">
        <v>430.43</v>
      </c>
      <c r="J55" s="153">
        <v>2400</v>
      </c>
      <c r="K55" s="153">
        <v>2200</v>
      </c>
      <c r="L55" s="153">
        <v>2340</v>
      </c>
      <c r="M55" s="154"/>
      <c r="N55" s="154"/>
      <c r="O55" s="70">
        <f t="shared" si="7"/>
        <v>1033032</v>
      </c>
      <c r="P55" s="70">
        <f t="shared" si="8"/>
        <v>946946</v>
      </c>
      <c r="Q55" s="70">
        <f t="shared" si="9"/>
        <v>1007206.2000000001</v>
      </c>
      <c r="R55" s="70">
        <f t="shared" si="10"/>
        <v>0</v>
      </c>
      <c r="S55" s="70">
        <f t="shared" si="11"/>
        <v>0</v>
      </c>
    </row>
    <row r="56" spans="1:19">
      <c r="A56" s="20">
        <v>55</v>
      </c>
      <c r="B56" s="58" t="s">
        <v>989</v>
      </c>
      <c r="C56" s="58" t="s">
        <v>1005</v>
      </c>
      <c r="D56" s="58" t="s">
        <v>307</v>
      </c>
      <c r="E56" s="59" t="s">
        <v>1067</v>
      </c>
      <c r="F56" s="22" t="s">
        <v>1078</v>
      </c>
      <c r="G56" s="9">
        <v>912901002</v>
      </c>
      <c r="H56" s="64" t="s">
        <v>1040</v>
      </c>
      <c r="I56" s="69">
        <v>438.39</v>
      </c>
      <c r="J56" s="153">
        <v>2400</v>
      </c>
      <c r="K56" s="153">
        <v>2200</v>
      </c>
      <c r="L56" s="153">
        <v>2340</v>
      </c>
      <c r="M56" s="154"/>
      <c r="N56" s="154"/>
      <c r="O56" s="70">
        <f t="shared" si="7"/>
        <v>1052136</v>
      </c>
      <c r="P56" s="70">
        <f t="shared" si="8"/>
        <v>964458</v>
      </c>
      <c r="Q56" s="70">
        <f t="shared" si="9"/>
        <v>1025832.6</v>
      </c>
      <c r="R56" s="70">
        <f t="shared" si="10"/>
        <v>0</v>
      </c>
      <c r="S56" s="70">
        <f t="shared" si="11"/>
        <v>0</v>
      </c>
    </row>
    <row r="57" spans="1:19">
      <c r="A57" s="20">
        <v>56</v>
      </c>
      <c r="B57" s="58" t="s">
        <v>989</v>
      </c>
      <c r="C57" s="58" t="s">
        <v>1005</v>
      </c>
      <c r="D57" s="58" t="s">
        <v>307</v>
      </c>
      <c r="E57" s="59" t="s">
        <v>1067</v>
      </c>
      <c r="F57" s="22" t="s">
        <v>1079</v>
      </c>
      <c r="G57" s="9">
        <v>912901003</v>
      </c>
      <c r="H57" s="64" t="s">
        <v>1008</v>
      </c>
      <c r="I57" s="69">
        <v>257.94</v>
      </c>
      <c r="J57" s="153">
        <v>1200</v>
      </c>
      <c r="K57" s="153">
        <v>1100</v>
      </c>
      <c r="L57" s="153">
        <v>1170</v>
      </c>
      <c r="M57" s="154"/>
      <c r="N57" s="154"/>
      <c r="O57" s="70">
        <f t="shared" si="7"/>
        <v>309528</v>
      </c>
      <c r="P57" s="70">
        <f t="shared" si="8"/>
        <v>283734</v>
      </c>
      <c r="Q57" s="70">
        <f t="shared" si="9"/>
        <v>301789.8</v>
      </c>
      <c r="R57" s="70">
        <f t="shared" si="10"/>
        <v>0</v>
      </c>
      <c r="S57" s="70">
        <f t="shared" si="11"/>
        <v>0</v>
      </c>
    </row>
    <row r="58" spans="1:19">
      <c r="A58" s="20">
        <v>57</v>
      </c>
      <c r="B58" s="58" t="s">
        <v>989</v>
      </c>
      <c r="C58" s="58" t="s">
        <v>1005</v>
      </c>
      <c r="D58" s="58" t="s">
        <v>307</v>
      </c>
      <c r="E58" s="59" t="s">
        <v>1067</v>
      </c>
      <c r="F58" s="22" t="s">
        <v>1080</v>
      </c>
      <c r="G58" s="9">
        <v>912901004</v>
      </c>
      <c r="H58" s="64" t="s">
        <v>1014</v>
      </c>
      <c r="I58" s="69">
        <v>257.94</v>
      </c>
      <c r="J58" s="153">
        <v>1200</v>
      </c>
      <c r="K58" s="153">
        <v>1100</v>
      </c>
      <c r="L58" s="153">
        <v>1170</v>
      </c>
      <c r="M58" s="154"/>
      <c r="N58" s="154"/>
      <c r="O58" s="70">
        <f t="shared" si="7"/>
        <v>309528</v>
      </c>
      <c r="P58" s="70">
        <f t="shared" si="8"/>
        <v>283734</v>
      </c>
      <c r="Q58" s="70">
        <f t="shared" si="9"/>
        <v>301789.8</v>
      </c>
      <c r="R58" s="70">
        <f t="shared" si="10"/>
        <v>0</v>
      </c>
      <c r="S58" s="70">
        <f t="shared" si="11"/>
        <v>0</v>
      </c>
    </row>
    <row r="59" spans="1:19">
      <c r="A59" s="20">
        <v>58</v>
      </c>
      <c r="B59" s="58" t="s">
        <v>989</v>
      </c>
      <c r="C59" s="58" t="s">
        <v>1005</v>
      </c>
      <c r="D59" s="58" t="s">
        <v>307</v>
      </c>
      <c r="E59" s="59" t="s">
        <v>1067</v>
      </c>
      <c r="F59" s="22" t="s">
        <v>1081</v>
      </c>
      <c r="G59" s="9">
        <v>912901005</v>
      </c>
      <c r="H59" s="64" t="s">
        <v>1020</v>
      </c>
      <c r="I59" s="69">
        <v>302.11</v>
      </c>
      <c r="J59" s="153">
        <v>1200</v>
      </c>
      <c r="K59" s="153">
        <v>1100</v>
      </c>
      <c r="L59" s="153">
        <v>1170</v>
      </c>
      <c r="M59" s="154"/>
      <c r="N59" s="154"/>
      <c r="O59" s="70">
        <f t="shared" si="7"/>
        <v>362532</v>
      </c>
      <c r="P59" s="70">
        <f t="shared" si="8"/>
        <v>332321</v>
      </c>
      <c r="Q59" s="70">
        <f t="shared" si="9"/>
        <v>353468.7</v>
      </c>
      <c r="R59" s="70">
        <f t="shared" si="10"/>
        <v>0</v>
      </c>
      <c r="S59" s="70">
        <f t="shared" si="11"/>
        <v>0</v>
      </c>
    </row>
    <row r="60" spans="1:19">
      <c r="A60" s="20">
        <v>59</v>
      </c>
      <c r="B60" s="58" t="s">
        <v>989</v>
      </c>
      <c r="C60" s="58" t="s">
        <v>1005</v>
      </c>
      <c r="D60" s="58" t="s">
        <v>307</v>
      </c>
      <c r="E60" s="59" t="s">
        <v>1067</v>
      </c>
      <c r="F60" s="22" t="s">
        <v>1082</v>
      </c>
      <c r="G60" s="9">
        <v>912901006</v>
      </c>
      <c r="H60" s="64" t="s">
        <v>1026</v>
      </c>
      <c r="I60" s="69">
        <v>302.11</v>
      </c>
      <c r="J60" s="153">
        <v>1200</v>
      </c>
      <c r="K60" s="153">
        <v>1100</v>
      </c>
      <c r="L60" s="153">
        <v>1170</v>
      </c>
      <c r="M60" s="154"/>
      <c r="N60" s="154"/>
      <c r="O60" s="70">
        <f t="shared" si="7"/>
        <v>362532</v>
      </c>
      <c r="P60" s="70">
        <f t="shared" si="8"/>
        <v>332321</v>
      </c>
      <c r="Q60" s="70">
        <f t="shared" si="9"/>
        <v>353468.7</v>
      </c>
      <c r="R60" s="70">
        <f t="shared" si="10"/>
        <v>0</v>
      </c>
      <c r="S60" s="70">
        <f t="shared" si="11"/>
        <v>0</v>
      </c>
    </row>
    <row r="61" spans="1:19">
      <c r="A61" s="20">
        <v>60</v>
      </c>
      <c r="B61" s="58" t="s">
        <v>989</v>
      </c>
      <c r="C61" s="58" t="s">
        <v>1005</v>
      </c>
      <c r="D61" s="58" t="s">
        <v>307</v>
      </c>
      <c r="E61" s="59" t="s">
        <v>1067</v>
      </c>
      <c r="F61" s="22" t="s">
        <v>1083</v>
      </c>
      <c r="G61" s="9">
        <v>912905005</v>
      </c>
      <c r="H61" s="64" t="s">
        <v>1084</v>
      </c>
      <c r="I61" s="69">
        <v>136.85</v>
      </c>
      <c r="J61" s="153">
        <v>1200</v>
      </c>
      <c r="K61" s="153">
        <v>1100</v>
      </c>
      <c r="L61" s="153">
        <v>1170</v>
      </c>
      <c r="M61" s="154"/>
      <c r="N61" s="154"/>
      <c r="O61" s="70">
        <f t="shared" si="7"/>
        <v>164220</v>
      </c>
      <c r="P61" s="70">
        <f t="shared" si="8"/>
        <v>150535</v>
      </c>
      <c r="Q61" s="70">
        <f t="shared" si="9"/>
        <v>160114.5</v>
      </c>
      <c r="R61" s="70">
        <f t="shared" si="10"/>
        <v>0</v>
      </c>
      <c r="S61" s="70">
        <f t="shared" si="11"/>
        <v>0</v>
      </c>
    </row>
    <row r="62" spans="1:19">
      <c r="A62" s="20">
        <v>61</v>
      </c>
      <c r="B62" s="58" t="s">
        <v>989</v>
      </c>
      <c r="C62" s="58" t="s">
        <v>1005</v>
      </c>
      <c r="D62" s="58" t="s">
        <v>307</v>
      </c>
      <c r="E62" s="59" t="s">
        <v>1067</v>
      </c>
      <c r="F62" s="22" t="s">
        <v>1085</v>
      </c>
      <c r="G62" s="9">
        <v>912905006</v>
      </c>
      <c r="H62" s="64" t="s">
        <v>1086</v>
      </c>
      <c r="I62" s="69">
        <v>136.85</v>
      </c>
      <c r="J62" s="153">
        <v>1200</v>
      </c>
      <c r="K62" s="153">
        <v>1100</v>
      </c>
      <c r="L62" s="153">
        <v>1170</v>
      </c>
      <c r="M62" s="154"/>
      <c r="N62" s="154"/>
      <c r="O62" s="70">
        <f t="shared" si="7"/>
        <v>164220</v>
      </c>
      <c r="P62" s="70">
        <f t="shared" si="8"/>
        <v>150535</v>
      </c>
      <c r="Q62" s="70">
        <f t="shared" si="9"/>
        <v>160114.5</v>
      </c>
      <c r="R62" s="70">
        <f t="shared" si="10"/>
        <v>0</v>
      </c>
      <c r="S62" s="70">
        <f t="shared" si="11"/>
        <v>0</v>
      </c>
    </row>
    <row r="63" spans="1:19">
      <c r="A63" s="20">
        <v>62</v>
      </c>
      <c r="B63" s="58" t="s">
        <v>989</v>
      </c>
      <c r="C63" s="58" t="s">
        <v>1005</v>
      </c>
      <c r="D63" s="58" t="s">
        <v>307</v>
      </c>
      <c r="E63" s="59" t="s">
        <v>1067</v>
      </c>
      <c r="F63" s="22" t="s">
        <v>1087</v>
      </c>
      <c r="G63" s="9">
        <v>912905007</v>
      </c>
      <c r="H63" s="64" t="s">
        <v>1088</v>
      </c>
      <c r="I63" s="69">
        <v>122.42</v>
      </c>
      <c r="J63" s="153">
        <v>1200</v>
      </c>
      <c r="K63" s="153">
        <v>1100</v>
      </c>
      <c r="L63" s="153">
        <v>1170</v>
      </c>
      <c r="M63" s="154"/>
      <c r="N63" s="154"/>
      <c r="O63" s="70">
        <f t="shared" si="7"/>
        <v>146904</v>
      </c>
      <c r="P63" s="70">
        <f t="shared" si="8"/>
        <v>134662</v>
      </c>
      <c r="Q63" s="70">
        <f t="shared" si="9"/>
        <v>143231.4</v>
      </c>
      <c r="R63" s="70">
        <f t="shared" si="10"/>
        <v>0</v>
      </c>
      <c r="S63" s="70">
        <f t="shared" si="11"/>
        <v>0</v>
      </c>
    </row>
    <row r="64" spans="1:19">
      <c r="A64" s="20">
        <v>63</v>
      </c>
      <c r="B64" s="58" t="s">
        <v>989</v>
      </c>
      <c r="C64" s="58" t="s">
        <v>1005</v>
      </c>
      <c r="D64" s="58" t="s">
        <v>307</v>
      </c>
      <c r="E64" s="59" t="s">
        <v>1067</v>
      </c>
      <c r="F64" s="22" t="s">
        <v>1089</v>
      </c>
      <c r="G64" s="9">
        <v>912905008</v>
      </c>
      <c r="H64" s="64" t="s">
        <v>1090</v>
      </c>
      <c r="I64" s="69">
        <v>122.42</v>
      </c>
      <c r="J64" s="153">
        <v>1200</v>
      </c>
      <c r="K64" s="153">
        <v>1100</v>
      </c>
      <c r="L64" s="153">
        <v>1170</v>
      </c>
      <c r="M64" s="154"/>
      <c r="N64" s="154"/>
      <c r="O64" s="70">
        <f t="shared" si="7"/>
        <v>146904</v>
      </c>
      <c r="P64" s="70">
        <f t="shared" si="8"/>
        <v>134662</v>
      </c>
      <c r="Q64" s="70">
        <f t="shared" si="9"/>
        <v>143231.4</v>
      </c>
      <c r="R64" s="70">
        <f t="shared" si="10"/>
        <v>0</v>
      </c>
      <c r="S64" s="70">
        <f t="shared" si="11"/>
        <v>0</v>
      </c>
    </row>
    <row r="65" spans="1:19">
      <c r="A65" s="20">
        <v>64</v>
      </c>
      <c r="B65" s="58" t="s">
        <v>989</v>
      </c>
      <c r="C65" s="58" t="s">
        <v>1005</v>
      </c>
      <c r="D65" s="58" t="s">
        <v>307</v>
      </c>
      <c r="E65" s="59" t="s">
        <v>1067</v>
      </c>
      <c r="F65" s="22" t="s">
        <v>1091</v>
      </c>
      <c r="G65" s="9">
        <v>912905001</v>
      </c>
      <c r="H65" s="64" t="s">
        <v>1092</v>
      </c>
      <c r="I65" s="69">
        <v>1019.13</v>
      </c>
      <c r="J65" s="153">
        <v>1200</v>
      </c>
      <c r="K65" s="153">
        <v>1100</v>
      </c>
      <c r="L65" s="153">
        <v>1170</v>
      </c>
      <c r="M65" s="154"/>
      <c r="N65" s="154"/>
      <c r="O65" s="70">
        <f t="shared" si="7"/>
        <v>1222956</v>
      </c>
      <c r="P65" s="70">
        <f t="shared" si="8"/>
        <v>1121043</v>
      </c>
      <c r="Q65" s="70">
        <f t="shared" si="9"/>
        <v>1192382.1000000001</v>
      </c>
      <c r="R65" s="70">
        <f t="shared" si="10"/>
        <v>0</v>
      </c>
      <c r="S65" s="70">
        <f t="shared" si="11"/>
        <v>0</v>
      </c>
    </row>
    <row r="66" spans="1:19">
      <c r="A66" s="20">
        <v>65</v>
      </c>
      <c r="B66" s="58" t="s">
        <v>989</v>
      </c>
      <c r="C66" s="58" t="s">
        <v>1005</v>
      </c>
      <c r="D66" s="58" t="s">
        <v>307</v>
      </c>
      <c r="E66" s="59" t="s">
        <v>1067</v>
      </c>
      <c r="F66" s="22" t="s">
        <v>1093</v>
      </c>
      <c r="G66" s="9">
        <v>912905002</v>
      </c>
      <c r="H66" s="64" t="s">
        <v>1094</v>
      </c>
      <c r="I66" s="69">
        <v>1019.13</v>
      </c>
      <c r="J66" s="153">
        <v>1200</v>
      </c>
      <c r="K66" s="153">
        <v>1100</v>
      </c>
      <c r="L66" s="153">
        <v>1170</v>
      </c>
      <c r="M66" s="154"/>
      <c r="N66" s="154"/>
      <c r="O66" s="70">
        <f t="shared" si="7"/>
        <v>1222956</v>
      </c>
      <c r="P66" s="70">
        <f t="shared" si="8"/>
        <v>1121043</v>
      </c>
      <c r="Q66" s="70">
        <f t="shared" si="9"/>
        <v>1192382.1000000001</v>
      </c>
      <c r="R66" s="70">
        <f t="shared" si="10"/>
        <v>0</v>
      </c>
      <c r="S66" s="70">
        <f t="shared" si="11"/>
        <v>0</v>
      </c>
    </row>
    <row r="67" spans="1:19">
      <c r="A67" s="20">
        <v>66</v>
      </c>
      <c r="B67" s="58" t="s">
        <v>989</v>
      </c>
      <c r="C67" s="58" t="s">
        <v>1005</v>
      </c>
      <c r="D67" s="58" t="s">
        <v>307</v>
      </c>
      <c r="E67" s="59" t="s">
        <v>1067</v>
      </c>
      <c r="F67" s="22" t="s">
        <v>1095</v>
      </c>
      <c r="G67" s="9">
        <v>912905003</v>
      </c>
      <c r="H67" s="64" t="s">
        <v>1096</v>
      </c>
      <c r="I67" s="69">
        <v>959.11</v>
      </c>
      <c r="J67" s="153">
        <v>1200</v>
      </c>
      <c r="K67" s="153">
        <v>1100</v>
      </c>
      <c r="L67" s="153">
        <v>1170</v>
      </c>
      <c r="M67" s="154"/>
      <c r="N67" s="154"/>
      <c r="O67" s="70">
        <f t="shared" si="7"/>
        <v>1150932</v>
      </c>
      <c r="P67" s="70">
        <f t="shared" si="8"/>
        <v>1055021</v>
      </c>
      <c r="Q67" s="70">
        <f t="shared" si="9"/>
        <v>1122158.7</v>
      </c>
      <c r="R67" s="70">
        <f t="shared" si="10"/>
        <v>0</v>
      </c>
      <c r="S67" s="70">
        <f t="shared" si="11"/>
        <v>0</v>
      </c>
    </row>
    <row r="68" spans="1:19">
      <c r="A68" s="20">
        <v>67</v>
      </c>
      <c r="B68" s="58" t="s">
        <v>989</v>
      </c>
      <c r="C68" s="58" t="s">
        <v>1005</v>
      </c>
      <c r="D68" s="58" t="s">
        <v>307</v>
      </c>
      <c r="E68" s="59" t="s">
        <v>1067</v>
      </c>
      <c r="F68" s="22" t="s">
        <v>1097</v>
      </c>
      <c r="G68" s="9">
        <v>912905004</v>
      </c>
      <c r="H68" s="64" t="s">
        <v>1098</v>
      </c>
      <c r="I68" s="69">
        <v>959.11</v>
      </c>
      <c r="J68" s="153">
        <v>1200</v>
      </c>
      <c r="K68" s="153">
        <v>1100</v>
      </c>
      <c r="L68" s="153">
        <v>1170</v>
      </c>
      <c r="M68" s="154"/>
      <c r="N68" s="154"/>
      <c r="O68" s="70">
        <f t="shared" ref="O68:O100" si="12">J68*I68</f>
        <v>1150932</v>
      </c>
      <c r="P68" s="70">
        <f t="shared" ref="P68:P100" si="13">K68*I68</f>
        <v>1055021</v>
      </c>
      <c r="Q68" s="70">
        <f t="shared" ref="Q68:Q100" si="14">L68*I68</f>
        <v>1122158.7</v>
      </c>
      <c r="R68" s="70">
        <f t="shared" ref="R68:R100" si="15">M68*I68</f>
        <v>0</v>
      </c>
      <c r="S68" s="70">
        <f t="shared" ref="S68:S100" si="16">N68*I68</f>
        <v>0</v>
      </c>
    </row>
    <row r="69" spans="1:19">
      <c r="A69" s="20">
        <v>68</v>
      </c>
      <c r="B69" s="58" t="s">
        <v>989</v>
      </c>
      <c r="C69" s="58" t="s">
        <v>1005</v>
      </c>
      <c r="D69" s="58" t="s">
        <v>307</v>
      </c>
      <c r="E69" s="59" t="s">
        <v>1067</v>
      </c>
      <c r="F69" s="22" t="s">
        <v>1099</v>
      </c>
      <c r="G69" s="9">
        <v>912904001</v>
      </c>
      <c r="H69" s="64" t="s">
        <v>1100</v>
      </c>
      <c r="I69" s="69">
        <v>1371.48</v>
      </c>
      <c r="J69" s="153">
        <v>1200</v>
      </c>
      <c r="K69" s="153">
        <v>1100</v>
      </c>
      <c r="L69" s="153">
        <v>1170</v>
      </c>
      <c r="M69" s="154"/>
      <c r="N69" s="154"/>
      <c r="O69" s="70">
        <f t="shared" si="12"/>
        <v>1645776</v>
      </c>
      <c r="P69" s="70">
        <f t="shared" si="13"/>
        <v>1508628</v>
      </c>
      <c r="Q69" s="70">
        <f t="shared" si="14"/>
        <v>1604631.6</v>
      </c>
      <c r="R69" s="70">
        <f t="shared" si="15"/>
        <v>0</v>
      </c>
      <c r="S69" s="70">
        <f t="shared" si="16"/>
        <v>0</v>
      </c>
    </row>
    <row r="70" spans="1:19">
      <c r="A70" s="20">
        <v>69</v>
      </c>
      <c r="B70" s="58" t="s">
        <v>989</v>
      </c>
      <c r="C70" s="58" t="s">
        <v>1005</v>
      </c>
      <c r="D70" s="58" t="s">
        <v>307</v>
      </c>
      <c r="E70" s="59" t="s">
        <v>1067</v>
      </c>
      <c r="F70" s="22" t="s">
        <v>1101</v>
      </c>
      <c r="G70" s="9">
        <v>912904002</v>
      </c>
      <c r="H70" s="64" t="s">
        <v>1102</v>
      </c>
      <c r="I70" s="69">
        <v>1371.48</v>
      </c>
      <c r="J70" s="153">
        <v>1200</v>
      </c>
      <c r="K70" s="153">
        <v>1100</v>
      </c>
      <c r="L70" s="153">
        <v>1170</v>
      </c>
      <c r="M70" s="154"/>
      <c r="N70" s="154"/>
      <c r="O70" s="70">
        <f t="shared" si="12"/>
        <v>1645776</v>
      </c>
      <c r="P70" s="70">
        <f t="shared" si="13"/>
        <v>1508628</v>
      </c>
      <c r="Q70" s="70">
        <f t="shared" si="14"/>
        <v>1604631.6</v>
      </c>
      <c r="R70" s="70">
        <f t="shared" si="15"/>
        <v>0</v>
      </c>
      <c r="S70" s="70">
        <f t="shared" si="16"/>
        <v>0</v>
      </c>
    </row>
    <row r="71" spans="1:19">
      <c r="A71" s="20">
        <v>70</v>
      </c>
      <c r="B71" s="58" t="s">
        <v>989</v>
      </c>
      <c r="C71" s="58" t="s">
        <v>1005</v>
      </c>
      <c r="D71" s="58" t="s">
        <v>307</v>
      </c>
      <c r="E71" s="59" t="s">
        <v>1067</v>
      </c>
      <c r="F71" s="22" t="s">
        <v>1103</v>
      </c>
      <c r="G71" s="9">
        <v>912911001</v>
      </c>
      <c r="H71" s="64" t="s">
        <v>1034</v>
      </c>
      <c r="I71" s="69">
        <v>76.98</v>
      </c>
      <c r="J71" s="153">
        <v>1200</v>
      </c>
      <c r="K71" s="153">
        <v>1100</v>
      </c>
      <c r="L71" s="153">
        <v>1170</v>
      </c>
      <c r="M71" s="154"/>
      <c r="N71" s="154"/>
      <c r="O71" s="70">
        <f t="shared" si="12"/>
        <v>92376</v>
      </c>
      <c r="P71" s="70">
        <f t="shared" si="13"/>
        <v>84678</v>
      </c>
      <c r="Q71" s="70">
        <f t="shared" si="14"/>
        <v>90066.6</v>
      </c>
      <c r="R71" s="70">
        <f t="shared" si="15"/>
        <v>0</v>
      </c>
      <c r="S71" s="70">
        <f t="shared" si="16"/>
        <v>0</v>
      </c>
    </row>
    <row r="72" spans="1:19">
      <c r="A72" s="20">
        <v>71</v>
      </c>
      <c r="B72" s="58" t="s">
        <v>989</v>
      </c>
      <c r="C72" s="58" t="s">
        <v>1005</v>
      </c>
      <c r="D72" s="58" t="s">
        <v>307</v>
      </c>
      <c r="E72" s="59" t="s">
        <v>1067</v>
      </c>
      <c r="F72" s="22" t="s">
        <v>1104</v>
      </c>
      <c r="G72" s="9">
        <v>912911002</v>
      </c>
      <c r="H72" s="64" t="s">
        <v>1036</v>
      </c>
      <c r="I72" s="69">
        <v>76.98</v>
      </c>
      <c r="J72" s="153">
        <v>1200</v>
      </c>
      <c r="K72" s="153">
        <v>1100</v>
      </c>
      <c r="L72" s="153">
        <v>1170</v>
      </c>
      <c r="M72" s="154"/>
      <c r="N72" s="154"/>
      <c r="O72" s="70">
        <f t="shared" si="12"/>
        <v>92376</v>
      </c>
      <c r="P72" s="70">
        <f t="shared" si="13"/>
        <v>84678</v>
      </c>
      <c r="Q72" s="70">
        <f t="shared" si="14"/>
        <v>90066.6</v>
      </c>
      <c r="R72" s="70">
        <f t="shared" si="15"/>
        <v>0</v>
      </c>
      <c r="S72" s="70">
        <f t="shared" si="16"/>
        <v>0</v>
      </c>
    </row>
    <row r="73" spans="1:19">
      <c r="A73" s="20">
        <v>72</v>
      </c>
      <c r="B73" s="58" t="s">
        <v>989</v>
      </c>
      <c r="C73" s="58" t="s">
        <v>1105</v>
      </c>
      <c r="D73" s="58" t="s">
        <v>1106</v>
      </c>
      <c r="E73" s="59" t="s">
        <v>1107</v>
      </c>
      <c r="F73" s="22">
        <v>23545826</v>
      </c>
      <c r="G73" s="9">
        <v>919303001</v>
      </c>
      <c r="H73" s="64" t="s">
        <v>1108</v>
      </c>
      <c r="I73" s="69">
        <v>72.05</v>
      </c>
      <c r="J73" s="153">
        <v>3000</v>
      </c>
      <c r="K73" s="153">
        <v>4400</v>
      </c>
      <c r="L73" s="153">
        <v>4400</v>
      </c>
      <c r="M73" s="154"/>
      <c r="N73" s="154"/>
      <c r="O73" s="70">
        <f t="shared" si="12"/>
        <v>216150</v>
      </c>
      <c r="P73" s="70">
        <f t="shared" si="13"/>
        <v>317020</v>
      </c>
      <c r="Q73" s="70">
        <f t="shared" si="14"/>
        <v>317020</v>
      </c>
      <c r="R73" s="70">
        <f t="shared" si="15"/>
        <v>0</v>
      </c>
      <c r="S73" s="70">
        <f t="shared" si="16"/>
        <v>0</v>
      </c>
    </row>
    <row r="74" spans="1:19">
      <c r="A74" s="20">
        <v>73</v>
      </c>
      <c r="B74" s="58" t="s">
        <v>989</v>
      </c>
      <c r="C74" s="58" t="s">
        <v>1105</v>
      </c>
      <c r="D74" s="58" t="s">
        <v>1106</v>
      </c>
      <c r="E74" s="59" t="s">
        <v>1107</v>
      </c>
      <c r="F74" s="22">
        <v>23719115</v>
      </c>
      <c r="G74" s="9">
        <v>919301005</v>
      </c>
      <c r="H74" s="64" t="s">
        <v>1109</v>
      </c>
      <c r="I74" s="69">
        <v>177.21</v>
      </c>
      <c r="J74" s="153">
        <v>3000</v>
      </c>
      <c r="K74" s="153">
        <v>4400</v>
      </c>
      <c r="L74" s="153">
        <v>4400</v>
      </c>
      <c r="M74" s="154"/>
      <c r="N74" s="154"/>
      <c r="O74" s="70">
        <f t="shared" si="12"/>
        <v>531630</v>
      </c>
      <c r="P74" s="70">
        <f t="shared" si="13"/>
        <v>779724</v>
      </c>
      <c r="Q74" s="70">
        <f t="shared" si="14"/>
        <v>779724</v>
      </c>
      <c r="R74" s="70">
        <f t="shared" si="15"/>
        <v>0</v>
      </c>
      <c r="S74" s="70">
        <f t="shared" si="16"/>
        <v>0</v>
      </c>
    </row>
    <row r="75" spans="1:19">
      <c r="A75" s="20">
        <v>74</v>
      </c>
      <c r="B75" s="58" t="s">
        <v>989</v>
      </c>
      <c r="C75" s="58" t="s">
        <v>1105</v>
      </c>
      <c r="D75" s="58" t="s">
        <v>1106</v>
      </c>
      <c r="E75" s="59" t="s">
        <v>1107</v>
      </c>
      <c r="F75" s="22">
        <v>23719116</v>
      </c>
      <c r="G75" s="9">
        <v>919301006</v>
      </c>
      <c r="H75" s="64" t="s">
        <v>1109</v>
      </c>
      <c r="I75" s="69">
        <v>177.21</v>
      </c>
      <c r="J75" s="153">
        <v>3000</v>
      </c>
      <c r="K75" s="153">
        <v>4400</v>
      </c>
      <c r="L75" s="153">
        <v>4400</v>
      </c>
      <c r="M75" s="154"/>
      <c r="N75" s="154"/>
      <c r="O75" s="70">
        <f t="shared" si="12"/>
        <v>531630</v>
      </c>
      <c r="P75" s="70">
        <f t="shared" si="13"/>
        <v>779724</v>
      </c>
      <c r="Q75" s="70">
        <f t="shared" si="14"/>
        <v>779724</v>
      </c>
      <c r="R75" s="70">
        <f t="shared" si="15"/>
        <v>0</v>
      </c>
      <c r="S75" s="70">
        <f t="shared" si="16"/>
        <v>0</v>
      </c>
    </row>
    <row r="76" spans="1:19">
      <c r="A76" s="20">
        <v>75</v>
      </c>
      <c r="B76" s="58" t="s">
        <v>989</v>
      </c>
      <c r="C76" s="58" t="s">
        <v>1105</v>
      </c>
      <c r="D76" s="58" t="s">
        <v>1106</v>
      </c>
      <c r="E76" s="59" t="s">
        <v>1107</v>
      </c>
      <c r="F76" s="22">
        <v>23719117</v>
      </c>
      <c r="G76" s="9">
        <v>919301001</v>
      </c>
      <c r="H76" s="64" t="s">
        <v>1110</v>
      </c>
      <c r="I76" s="69">
        <v>257.14999999999998</v>
      </c>
      <c r="J76" s="153">
        <v>3000</v>
      </c>
      <c r="K76" s="153">
        <v>4400</v>
      </c>
      <c r="L76" s="153">
        <v>4400</v>
      </c>
      <c r="M76" s="154"/>
      <c r="N76" s="154"/>
      <c r="O76" s="70">
        <f t="shared" si="12"/>
        <v>771449.99999999988</v>
      </c>
      <c r="P76" s="70">
        <f t="shared" si="13"/>
        <v>1131460</v>
      </c>
      <c r="Q76" s="70">
        <f t="shared" si="14"/>
        <v>1131460</v>
      </c>
      <c r="R76" s="70">
        <f t="shared" si="15"/>
        <v>0</v>
      </c>
      <c r="S76" s="70">
        <f t="shared" si="16"/>
        <v>0</v>
      </c>
    </row>
    <row r="77" spans="1:19">
      <c r="A77" s="20">
        <v>76</v>
      </c>
      <c r="B77" s="58" t="s">
        <v>989</v>
      </c>
      <c r="C77" s="58" t="s">
        <v>1105</v>
      </c>
      <c r="D77" s="58" t="s">
        <v>1106</v>
      </c>
      <c r="E77" s="59" t="s">
        <v>1107</v>
      </c>
      <c r="F77" s="22">
        <v>23719118</v>
      </c>
      <c r="G77" s="9">
        <v>919301002</v>
      </c>
      <c r="H77" s="64" t="s">
        <v>1110</v>
      </c>
      <c r="I77" s="69">
        <v>257.14999999999998</v>
      </c>
      <c r="J77" s="153">
        <v>3000</v>
      </c>
      <c r="K77" s="153">
        <v>4400</v>
      </c>
      <c r="L77" s="153">
        <v>4400</v>
      </c>
      <c r="M77" s="154"/>
      <c r="N77" s="154"/>
      <c r="O77" s="70">
        <f t="shared" si="12"/>
        <v>771449.99999999988</v>
      </c>
      <c r="P77" s="70">
        <f t="shared" si="13"/>
        <v>1131460</v>
      </c>
      <c r="Q77" s="70">
        <f t="shared" si="14"/>
        <v>1131460</v>
      </c>
      <c r="R77" s="70">
        <f t="shared" si="15"/>
        <v>0</v>
      </c>
      <c r="S77" s="70">
        <f t="shared" si="16"/>
        <v>0</v>
      </c>
    </row>
    <row r="78" spans="1:19">
      <c r="A78" s="20">
        <v>77</v>
      </c>
      <c r="B78" s="58" t="s">
        <v>989</v>
      </c>
      <c r="C78" s="58" t="s">
        <v>1105</v>
      </c>
      <c r="D78" s="58" t="s">
        <v>1106</v>
      </c>
      <c r="E78" s="59" t="s">
        <v>1107</v>
      </c>
      <c r="F78" s="22">
        <v>23719119</v>
      </c>
      <c r="G78" s="9">
        <v>919301007</v>
      </c>
      <c r="H78" s="64" t="s">
        <v>1111</v>
      </c>
      <c r="I78" s="69">
        <v>166.37</v>
      </c>
      <c r="J78" s="153">
        <v>3000</v>
      </c>
      <c r="K78" s="153">
        <v>4400</v>
      </c>
      <c r="L78" s="153">
        <v>4400</v>
      </c>
      <c r="M78" s="154"/>
      <c r="N78" s="154"/>
      <c r="O78" s="70">
        <f t="shared" si="12"/>
        <v>499110</v>
      </c>
      <c r="P78" s="70">
        <f t="shared" si="13"/>
        <v>732028</v>
      </c>
      <c r="Q78" s="70">
        <f t="shared" si="14"/>
        <v>732028</v>
      </c>
      <c r="R78" s="70">
        <f t="shared" si="15"/>
        <v>0</v>
      </c>
      <c r="S78" s="70">
        <f t="shared" si="16"/>
        <v>0</v>
      </c>
    </row>
    <row r="79" spans="1:19">
      <c r="A79" s="20">
        <v>78</v>
      </c>
      <c r="B79" s="58" t="s">
        <v>989</v>
      </c>
      <c r="C79" s="58" t="s">
        <v>1105</v>
      </c>
      <c r="D79" s="58" t="s">
        <v>1106</v>
      </c>
      <c r="E79" s="59" t="s">
        <v>1107</v>
      </c>
      <c r="F79" s="22">
        <v>23719120</v>
      </c>
      <c r="G79" s="9">
        <v>919301008</v>
      </c>
      <c r="H79" s="64" t="s">
        <v>1111</v>
      </c>
      <c r="I79" s="69">
        <v>166.37</v>
      </c>
      <c r="J79" s="153">
        <v>3000</v>
      </c>
      <c r="K79" s="153">
        <v>4400</v>
      </c>
      <c r="L79" s="153">
        <v>4400</v>
      </c>
      <c r="M79" s="154"/>
      <c r="N79" s="154"/>
      <c r="O79" s="70">
        <f t="shared" si="12"/>
        <v>499110</v>
      </c>
      <c r="P79" s="70">
        <f t="shared" si="13"/>
        <v>732028</v>
      </c>
      <c r="Q79" s="70">
        <f t="shared" si="14"/>
        <v>732028</v>
      </c>
      <c r="R79" s="70">
        <f t="shared" si="15"/>
        <v>0</v>
      </c>
      <c r="S79" s="70">
        <f t="shared" si="16"/>
        <v>0</v>
      </c>
    </row>
    <row r="80" spans="1:19">
      <c r="A80" s="20">
        <v>79</v>
      </c>
      <c r="B80" s="58" t="s">
        <v>989</v>
      </c>
      <c r="C80" s="58" t="s">
        <v>1105</v>
      </c>
      <c r="D80" s="58" t="s">
        <v>1106</v>
      </c>
      <c r="E80" s="59" t="s">
        <v>1107</v>
      </c>
      <c r="F80" s="22">
        <v>23580746</v>
      </c>
      <c r="G80" s="9">
        <v>919301003</v>
      </c>
      <c r="H80" s="64" t="s">
        <v>1112</v>
      </c>
      <c r="I80" s="69">
        <v>250.98</v>
      </c>
      <c r="J80" s="153">
        <v>3000</v>
      </c>
      <c r="K80" s="153">
        <v>4400</v>
      </c>
      <c r="L80" s="153">
        <v>4400</v>
      </c>
      <c r="M80" s="154"/>
      <c r="N80" s="154"/>
      <c r="O80" s="70">
        <f t="shared" si="12"/>
        <v>752940</v>
      </c>
      <c r="P80" s="70">
        <f t="shared" si="13"/>
        <v>1104312</v>
      </c>
      <c r="Q80" s="70">
        <f t="shared" si="14"/>
        <v>1104312</v>
      </c>
      <c r="R80" s="70">
        <f t="shared" si="15"/>
        <v>0</v>
      </c>
      <c r="S80" s="70">
        <f t="shared" si="16"/>
        <v>0</v>
      </c>
    </row>
    <row r="81" spans="1:19">
      <c r="A81" s="20">
        <v>80</v>
      </c>
      <c r="B81" s="58" t="s">
        <v>989</v>
      </c>
      <c r="C81" s="58" t="s">
        <v>1105</v>
      </c>
      <c r="D81" s="58" t="s">
        <v>1106</v>
      </c>
      <c r="E81" s="59" t="s">
        <v>1107</v>
      </c>
      <c r="F81" s="22">
        <v>23580747</v>
      </c>
      <c r="G81" s="9">
        <v>919301004</v>
      </c>
      <c r="H81" s="64" t="s">
        <v>1112</v>
      </c>
      <c r="I81" s="69">
        <v>250.98</v>
      </c>
      <c r="J81" s="153">
        <v>3000</v>
      </c>
      <c r="K81" s="153">
        <v>4400</v>
      </c>
      <c r="L81" s="153">
        <v>4400</v>
      </c>
      <c r="M81" s="154"/>
      <c r="N81" s="154"/>
      <c r="O81" s="70">
        <f t="shared" si="12"/>
        <v>752940</v>
      </c>
      <c r="P81" s="70">
        <f t="shared" si="13"/>
        <v>1104312</v>
      </c>
      <c r="Q81" s="70">
        <f t="shared" si="14"/>
        <v>1104312</v>
      </c>
      <c r="R81" s="70">
        <f t="shared" si="15"/>
        <v>0</v>
      </c>
      <c r="S81" s="70">
        <f t="shared" si="16"/>
        <v>0</v>
      </c>
    </row>
    <row r="82" spans="1:19">
      <c r="A82" s="20">
        <v>81</v>
      </c>
      <c r="B82" s="58" t="s">
        <v>989</v>
      </c>
      <c r="C82" s="58" t="s">
        <v>1105</v>
      </c>
      <c r="D82" s="58" t="s">
        <v>1106</v>
      </c>
      <c r="E82" s="59" t="s">
        <v>1107</v>
      </c>
      <c r="F82" s="22">
        <v>23719121</v>
      </c>
      <c r="G82" s="9">
        <v>919318001</v>
      </c>
      <c r="H82" s="64" t="s">
        <v>1113</v>
      </c>
      <c r="I82" s="69">
        <v>248.45</v>
      </c>
      <c r="J82" s="153">
        <v>3000</v>
      </c>
      <c r="K82" s="153">
        <v>4400</v>
      </c>
      <c r="L82" s="153">
        <v>4400</v>
      </c>
      <c r="M82" s="154"/>
      <c r="N82" s="154"/>
      <c r="O82" s="70">
        <f t="shared" si="12"/>
        <v>745350</v>
      </c>
      <c r="P82" s="70">
        <f t="shared" si="13"/>
        <v>1093180</v>
      </c>
      <c r="Q82" s="70">
        <f t="shared" si="14"/>
        <v>1093180</v>
      </c>
      <c r="R82" s="70">
        <f t="shared" si="15"/>
        <v>0</v>
      </c>
      <c r="S82" s="70">
        <f t="shared" si="16"/>
        <v>0</v>
      </c>
    </row>
    <row r="83" spans="1:19">
      <c r="A83" s="20">
        <v>82</v>
      </c>
      <c r="B83" s="58" t="s">
        <v>989</v>
      </c>
      <c r="C83" s="58" t="s">
        <v>1105</v>
      </c>
      <c r="D83" s="58" t="s">
        <v>1106</v>
      </c>
      <c r="E83" s="59" t="s">
        <v>1107</v>
      </c>
      <c r="F83" s="22">
        <v>23572507</v>
      </c>
      <c r="G83" s="9">
        <v>919304001</v>
      </c>
      <c r="H83" s="64" t="s">
        <v>1114</v>
      </c>
      <c r="I83" s="69">
        <v>247.53</v>
      </c>
      <c r="J83" s="153">
        <v>3000</v>
      </c>
      <c r="K83" s="153">
        <v>4400</v>
      </c>
      <c r="L83" s="153">
        <v>4400</v>
      </c>
      <c r="M83" s="154"/>
      <c r="N83" s="154"/>
      <c r="O83" s="70">
        <f t="shared" si="12"/>
        <v>742590</v>
      </c>
      <c r="P83" s="70">
        <f t="shared" si="13"/>
        <v>1089132</v>
      </c>
      <c r="Q83" s="70">
        <f t="shared" si="14"/>
        <v>1089132</v>
      </c>
      <c r="R83" s="70">
        <f t="shared" si="15"/>
        <v>0</v>
      </c>
      <c r="S83" s="70">
        <f t="shared" si="16"/>
        <v>0</v>
      </c>
    </row>
    <row r="84" spans="1:19">
      <c r="A84" s="20">
        <v>83</v>
      </c>
      <c r="B84" s="58" t="s">
        <v>989</v>
      </c>
      <c r="C84" s="58" t="s">
        <v>1105</v>
      </c>
      <c r="D84" s="58" t="s">
        <v>1106</v>
      </c>
      <c r="E84" s="59" t="s">
        <v>1107</v>
      </c>
      <c r="F84" s="22">
        <v>23572508</v>
      </c>
      <c r="G84" s="9">
        <v>919304002</v>
      </c>
      <c r="H84" s="64" t="s">
        <v>1114</v>
      </c>
      <c r="I84" s="69">
        <v>247.53</v>
      </c>
      <c r="J84" s="153">
        <v>3000</v>
      </c>
      <c r="K84" s="153">
        <v>4400</v>
      </c>
      <c r="L84" s="153">
        <v>4400</v>
      </c>
      <c r="M84" s="154"/>
      <c r="N84" s="154"/>
      <c r="O84" s="70">
        <f t="shared" si="12"/>
        <v>742590</v>
      </c>
      <c r="P84" s="70">
        <f t="shared" si="13"/>
        <v>1089132</v>
      </c>
      <c r="Q84" s="70">
        <f t="shared" si="14"/>
        <v>1089132</v>
      </c>
      <c r="R84" s="70">
        <f t="shared" si="15"/>
        <v>0</v>
      </c>
      <c r="S84" s="70">
        <f t="shared" si="16"/>
        <v>0</v>
      </c>
    </row>
    <row r="85" spans="1:19">
      <c r="A85" s="20">
        <v>84</v>
      </c>
      <c r="B85" s="58" t="s">
        <v>989</v>
      </c>
      <c r="C85" s="58" t="s">
        <v>1105</v>
      </c>
      <c r="D85" s="58" t="s">
        <v>1106</v>
      </c>
      <c r="E85" s="59" t="s">
        <v>1107</v>
      </c>
      <c r="F85" s="22">
        <v>23572509</v>
      </c>
      <c r="G85" s="9">
        <v>919304003</v>
      </c>
      <c r="H85" s="64" t="s">
        <v>1115</v>
      </c>
      <c r="I85" s="69">
        <v>250.43</v>
      </c>
      <c r="J85" s="153">
        <v>3000</v>
      </c>
      <c r="K85" s="153">
        <v>4400</v>
      </c>
      <c r="L85" s="153">
        <v>4400</v>
      </c>
      <c r="M85" s="154"/>
      <c r="N85" s="154"/>
      <c r="O85" s="70">
        <f t="shared" si="12"/>
        <v>751290</v>
      </c>
      <c r="P85" s="70">
        <f t="shared" si="13"/>
        <v>1101892</v>
      </c>
      <c r="Q85" s="70">
        <f t="shared" si="14"/>
        <v>1101892</v>
      </c>
      <c r="R85" s="70">
        <f t="shared" si="15"/>
        <v>0</v>
      </c>
      <c r="S85" s="70">
        <f t="shared" si="16"/>
        <v>0</v>
      </c>
    </row>
    <row r="86" spans="1:19">
      <c r="A86" s="20">
        <v>85</v>
      </c>
      <c r="B86" s="58" t="s">
        <v>989</v>
      </c>
      <c r="C86" s="58" t="s">
        <v>1105</v>
      </c>
      <c r="D86" s="58" t="s">
        <v>1106</v>
      </c>
      <c r="E86" s="59" t="s">
        <v>1107</v>
      </c>
      <c r="F86" s="22">
        <v>23572510</v>
      </c>
      <c r="G86" s="9">
        <v>919304004</v>
      </c>
      <c r="H86" s="64" t="s">
        <v>1115</v>
      </c>
      <c r="I86" s="69">
        <v>250.43</v>
      </c>
      <c r="J86" s="153">
        <v>3000</v>
      </c>
      <c r="K86" s="153">
        <v>4400</v>
      </c>
      <c r="L86" s="153">
        <v>4400</v>
      </c>
      <c r="M86" s="154"/>
      <c r="N86" s="154"/>
      <c r="O86" s="70">
        <f t="shared" si="12"/>
        <v>751290</v>
      </c>
      <c r="P86" s="70">
        <f t="shared" si="13"/>
        <v>1101892</v>
      </c>
      <c r="Q86" s="70">
        <f t="shared" si="14"/>
        <v>1101892</v>
      </c>
      <c r="R86" s="70">
        <f t="shared" si="15"/>
        <v>0</v>
      </c>
      <c r="S86" s="70">
        <f t="shared" si="16"/>
        <v>0</v>
      </c>
    </row>
    <row r="87" spans="1:19">
      <c r="A87" s="20">
        <v>86</v>
      </c>
      <c r="B87" s="58" t="s">
        <v>989</v>
      </c>
      <c r="C87" s="58" t="s">
        <v>1105</v>
      </c>
      <c r="D87" s="58" t="s">
        <v>1106</v>
      </c>
      <c r="E87" s="59" t="s">
        <v>1107</v>
      </c>
      <c r="F87" s="22">
        <v>23604959</v>
      </c>
      <c r="G87" s="9">
        <v>919305009</v>
      </c>
      <c r="H87" s="64" t="s">
        <v>1116</v>
      </c>
      <c r="I87" s="69">
        <v>108.88</v>
      </c>
      <c r="J87" s="153">
        <v>511</v>
      </c>
      <c r="K87" s="153">
        <v>155</v>
      </c>
      <c r="L87" s="153">
        <v>90</v>
      </c>
      <c r="M87" s="154"/>
      <c r="N87" s="154"/>
      <c r="O87" s="70">
        <f t="shared" si="12"/>
        <v>55637.68</v>
      </c>
      <c r="P87" s="70">
        <f t="shared" si="13"/>
        <v>16876.399999999998</v>
      </c>
      <c r="Q87" s="70">
        <f t="shared" si="14"/>
        <v>9799.1999999999989</v>
      </c>
      <c r="R87" s="70">
        <f t="shared" si="15"/>
        <v>0</v>
      </c>
      <c r="S87" s="70">
        <f t="shared" si="16"/>
        <v>0</v>
      </c>
    </row>
    <row r="88" spans="1:19">
      <c r="A88" s="20">
        <v>87</v>
      </c>
      <c r="B88" s="58" t="s">
        <v>989</v>
      </c>
      <c r="C88" s="58" t="s">
        <v>1105</v>
      </c>
      <c r="D88" s="58" t="s">
        <v>1106</v>
      </c>
      <c r="E88" s="59" t="s">
        <v>1107</v>
      </c>
      <c r="F88" s="22">
        <v>23604960</v>
      </c>
      <c r="G88" s="9">
        <v>919305010</v>
      </c>
      <c r="H88" s="64" t="s">
        <v>1116</v>
      </c>
      <c r="I88" s="69">
        <v>108.88</v>
      </c>
      <c r="J88" s="153">
        <v>511</v>
      </c>
      <c r="K88" s="153">
        <v>155</v>
      </c>
      <c r="L88" s="153">
        <v>90</v>
      </c>
      <c r="M88" s="154"/>
      <c r="N88" s="154"/>
      <c r="O88" s="70">
        <f t="shared" si="12"/>
        <v>55637.68</v>
      </c>
      <c r="P88" s="70">
        <f t="shared" si="13"/>
        <v>16876.399999999998</v>
      </c>
      <c r="Q88" s="70">
        <f t="shared" si="14"/>
        <v>9799.1999999999989</v>
      </c>
      <c r="R88" s="70">
        <f t="shared" si="15"/>
        <v>0</v>
      </c>
      <c r="S88" s="70">
        <f t="shared" si="16"/>
        <v>0</v>
      </c>
    </row>
    <row r="89" spans="1:19">
      <c r="A89" s="20">
        <v>88</v>
      </c>
      <c r="B89" s="58" t="s">
        <v>989</v>
      </c>
      <c r="C89" s="58" t="s">
        <v>1105</v>
      </c>
      <c r="D89" s="58" t="s">
        <v>1106</v>
      </c>
      <c r="E89" s="59" t="s">
        <v>1107</v>
      </c>
      <c r="F89" s="22">
        <v>23627263</v>
      </c>
      <c r="G89" s="9">
        <v>919305001</v>
      </c>
      <c r="H89" s="64" t="s">
        <v>1116</v>
      </c>
      <c r="I89" s="69">
        <v>247.99</v>
      </c>
      <c r="J89" s="153">
        <v>2489</v>
      </c>
      <c r="K89" s="153">
        <v>4245</v>
      </c>
      <c r="L89" s="153">
        <v>4310</v>
      </c>
      <c r="M89" s="154"/>
      <c r="N89" s="154"/>
      <c r="O89" s="70">
        <f t="shared" si="12"/>
        <v>617247.11</v>
      </c>
      <c r="P89" s="70">
        <f t="shared" si="13"/>
        <v>1052717.55</v>
      </c>
      <c r="Q89" s="70">
        <f t="shared" si="14"/>
        <v>1068836.9000000001</v>
      </c>
      <c r="R89" s="70">
        <f t="shared" si="15"/>
        <v>0</v>
      </c>
      <c r="S89" s="70">
        <f t="shared" si="16"/>
        <v>0</v>
      </c>
    </row>
    <row r="90" spans="1:19">
      <c r="A90" s="20">
        <v>89</v>
      </c>
      <c r="B90" s="58" t="s">
        <v>989</v>
      </c>
      <c r="C90" s="58" t="s">
        <v>1105</v>
      </c>
      <c r="D90" s="58" t="s">
        <v>1106</v>
      </c>
      <c r="E90" s="59" t="s">
        <v>1107</v>
      </c>
      <c r="F90" s="22">
        <v>23627264</v>
      </c>
      <c r="G90" s="9">
        <v>919305002</v>
      </c>
      <c r="H90" s="64" t="s">
        <v>1116</v>
      </c>
      <c r="I90" s="69">
        <v>247.99</v>
      </c>
      <c r="J90" s="153">
        <v>2489</v>
      </c>
      <c r="K90" s="153">
        <v>4245</v>
      </c>
      <c r="L90" s="153">
        <v>4310</v>
      </c>
      <c r="M90" s="154"/>
      <c r="N90" s="154"/>
      <c r="O90" s="70">
        <f t="shared" si="12"/>
        <v>617247.11</v>
      </c>
      <c r="P90" s="70">
        <f t="shared" si="13"/>
        <v>1052717.55</v>
      </c>
      <c r="Q90" s="70">
        <f t="shared" si="14"/>
        <v>1068836.9000000001</v>
      </c>
      <c r="R90" s="70">
        <f t="shared" si="15"/>
        <v>0</v>
      </c>
      <c r="S90" s="70">
        <f t="shared" si="16"/>
        <v>0</v>
      </c>
    </row>
    <row r="91" spans="1:19">
      <c r="A91" s="20">
        <v>90</v>
      </c>
      <c r="B91" s="58" t="s">
        <v>989</v>
      </c>
      <c r="C91" s="58" t="s">
        <v>1105</v>
      </c>
      <c r="D91" s="58" t="s">
        <v>1106</v>
      </c>
      <c r="E91" s="59" t="s">
        <v>1107</v>
      </c>
      <c r="F91" s="22">
        <v>23604961</v>
      </c>
      <c r="G91" s="9">
        <v>919305011</v>
      </c>
      <c r="H91" s="64" t="s">
        <v>1117</v>
      </c>
      <c r="I91" s="69">
        <v>107.85</v>
      </c>
      <c r="J91" s="153">
        <v>511</v>
      </c>
      <c r="K91" s="153">
        <v>155</v>
      </c>
      <c r="L91" s="153">
        <v>90</v>
      </c>
      <c r="M91" s="154"/>
      <c r="N91" s="154"/>
      <c r="O91" s="70">
        <f t="shared" si="12"/>
        <v>55111.35</v>
      </c>
      <c r="P91" s="70">
        <f t="shared" si="13"/>
        <v>16716.75</v>
      </c>
      <c r="Q91" s="70">
        <f t="shared" si="14"/>
        <v>9706.5</v>
      </c>
      <c r="R91" s="70">
        <f t="shared" si="15"/>
        <v>0</v>
      </c>
      <c r="S91" s="70">
        <f t="shared" si="16"/>
        <v>0</v>
      </c>
    </row>
    <row r="92" spans="1:19">
      <c r="A92" s="20">
        <v>91</v>
      </c>
      <c r="B92" s="58" t="s">
        <v>989</v>
      </c>
      <c r="C92" s="58" t="s">
        <v>1105</v>
      </c>
      <c r="D92" s="58" t="s">
        <v>1106</v>
      </c>
      <c r="E92" s="59" t="s">
        <v>1107</v>
      </c>
      <c r="F92" s="22">
        <v>23604962</v>
      </c>
      <c r="G92" s="9">
        <v>919305012</v>
      </c>
      <c r="H92" s="64" t="s">
        <v>1117</v>
      </c>
      <c r="I92" s="69">
        <v>107.85</v>
      </c>
      <c r="J92" s="153">
        <v>511</v>
      </c>
      <c r="K92" s="153">
        <v>155</v>
      </c>
      <c r="L92" s="153">
        <v>90</v>
      </c>
      <c r="M92" s="154"/>
      <c r="N92" s="154"/>
      <c r="O92" s="70">
        <f t="shared" si="12"/>
        <v>55111.35</v>
      </c>
      <c r="P92" s="70">
        <f t="shared" si="13"/>
        <v>16716.75</v>
      </c>
      <c r="Q92" s="70">
        <f t="shared" si="14"/>
        <v>9706.5</v>
      </c>
      <c r="R92" s="70">
        <f t="shared" si="15"/>
        <v>0</v>
      </c>
      <c r="S92" s="70">
        <f t="shared" si="16"/>
        <v>0</v>
      </c>
    </row>
    <row r="93" spans="1:19">
      <c r="A93" s="20">
        <v>92</v>
      </c>
      <c r="B93" s="58" t="s">
        <v>989</v>
      </c>
      <c r="C93" s="58" t="s">
        <v>1105</v>
      </c>
      <c r="D93" s="58" t="s">
        <v>1106</v>
      </c>
      <c r="E93" s="59" t="s">
        <v>1107</v>
      </c>
      <c r="F93" s="22">
        <v>23684283</v>
      </c>
      <c r="G93" s="9">
        <v>919305003</v>
      </c>
      <c r="H93" s="64" t="s">
        <v>1117</v>
      </c>
      <c r="I93" s="69">
        <v>245.33</v>
      </c>
      <c r="J93" s="153">
        <v>2489</v>
      </c>
      <c r="K93" s="153">
        <v>4245</v>
      </c>
      <c r="L93" s="153">
        <v>4310</v>
      </c>
      <c r="M93" s="154"/>
      <c r="N93" s="154"/>
      <c r="O93" s="70">
        <f t="shared" si="12"/>
        <v>610626.37</v>
      </c>
      <c r="P93" s="70">
        <f t="shared" si="13"/>
        <v>1041425.8500000001</v>
      </c>
      <c r="Q93" s="70">
        <f t="shared" si="14"/>
        <v>1057372.3</v>
      </c>
      <c r="R93" s="70">
        <f t="shared" si="15"/>
        <v>0</v>
      </c>
      <c r="S93" s="70">
        <f t="shared" si="16"/>
        <v>0</v>
      </c>
    </row>
    <row r="94" spans="1:19">
      <c r="A94" s="20">
        <v>93</v>
      </c>
      <c r="B94" s="58" t="s">
        <v>989</v>
      </c>
      <c r="C94" s="58" t="s">
        <v>1105</v>
      </c>
      <c r="D94" s="58" t="s">
        <v>1106</v>
      </c>
      <c r="E94" s="59" t="s">
        <v>1107</v>
      </c>
      <c r="F94" s="22">
        <v>23684284</v>
      </c>
      <c r="G94" s="9">
        <v>919305004</v>
      </c>
      <c r="H94" s="64" t="s">
        <v>1117</v>
      </c>
      <c r="I94" s="69">
        <v>245.33</v>
      </c>
      <c r="J94" s="153">
        <v>2489</v>
      </c>
      <c r="K94" s="153">
        <v>4245</v>
      </c>
      <c r="L94" s="153">
        <v>4310</v>
      </c>
      <c r="M94" s="154"/>
      <c r="N94" s="154"/>
      <c r="O94" s="70">
        <f t="shared" si="12"/>
        <v>610626.37</v>
      </c>
      <c r="P94" s="70">
        <f t="shared" si="13"/>
        <v>1041425.8500000001</v>
      </c>
      <c r="Q94" s="70">
        <f t="shared" si="14"/>
        <v>1057372.3</v>
      </c>
      <c r="R94" s="70">
        <f t="shared" si="15"/>
        <v>0</v>
      </c>
      <c r="S94" s="70">
        <f t="shared" si="16"/>
        <v>0</v>
      </c>
    </row>
    <row r="95" spans="1:19">
      <c r="A95" s="20">
        <v>94</v>
      </c>
      <c r="B95" s="58" t="s">
        <v>989</v>
      </c>
      <c r="C95" s="58" t="s">
        <v>1105</v>
      </c>
      <c r="D95" s="58" t="s">
        <v>1106</v>
      </c>
      <c r="E95" s="59" t="s">
        <v>1107</v>
      </c>
      <c r="F95" s="22">
        <v>23544541</v>
      </c>
      <c r="G95" s="9">
        <v>919305005</v>
      </c>
      <c r="H95" s="64" t="s">
        <v>1118</v>
      </c>
      <c r="I95" s="69">
        <v>50.66</v>
      </c>
      <c r="J95" s="153">
        <v>3000</v>
      </c>
      <c r="K95" s="153">
        <v>4400</v>
      </c>
      <c r="L95" s="153">
        <v>4400</v>
      </c>
      <c r="M95" s="154"/>
      <c r="N95" s="154"/>
      <c r="O95" s="70">
        <f t="shared" si="12"/>
        <v>151980</v>
      </c>
      <c r="P95" s="70">
        <f t="shared" si="13"/>
        <v>222903.99999999997</v>
      </c>
      <c r="Q95" s="70">
        <f t="shared" si="14"/>
        <v>222903.99999999997</v>
      </c>
      <c r="R95" s="70">
        <f t="shared" si="15"/>
        <v>0</v>
      </c>
      <c r="S95" s="70">
        <f t="shared" si="16"/>
        <v>0</v>
      </c>
    </row>
    <row r="96" spans="1:19">
      <c r="A96" s="20">
        <v>95</v>
      </c>
      <c r="B96" s="58" t="s">
        <v>989</v>
      </c>
      <c r="C96" s="58" t="s">
        <v>1105</v>
      </c>
      <c r="D96" s="58" t="s">
        <v>1106</v>
      </c>
      <c r="E96" s="59" t="s">
        <v>1107</v>
      </c>
      <c r="F96" s="22">
        <v>23544542</v>
      </c>
      <c r="G96" s="9">
        <v>919305006</v>
      </c>
      <c r="H96" s="64" t="s">
        <v>1118</v>
      </c>
      <c r="I96" s="69">
        <v>50.66</v>
      </c>
      <c r="J96" s="153">
        <v>3000</v>
      </c>
      <c r="K96" s="153">
        <v>4400</v>
      </c>
      <c r="L96" s="153">
        <v>4400</v>
      </c>
      <c r="M96" s="154"/>
      <c r="N96" s="154"/>
      <c r="O96" s="70">
        <f t="shared" si="12"/>
        <v>151980</v>
      </c>
      <c r="P96" s="70">
        <f t="shared" si="13"/>
        <v>222903.99999999997</v>
      </c>
      <c r="Q96" s="70">
        <f t="shared" si="14"/>
        <v>222903.99999999997</v>
      </c>
      <c r="R96" s="70">
        <f t="shared" si="15"/>
        <v>0</v>
      </c>
      <c r="S96" s="70">
        <f t="shared" si="16"/>
        <v>0</v>
      </c>
    </row>
    <row r="97" spans="1:19">
      <c r="A97" s="20">
        <v>96</v>
      </c>
      <c r="B97" s="58" t="s">
        <v>989</v>
      </c>
      <c r="C97" s="58" t="s">
        <v>1105</v>
      </c>
      <c r="D97" s="58" t="s">
        <v>1106</v>
      </c>
      <c r="E97" s="59" t="s">
        <v>1107</v>
      </c>
      <c r="F97" s="22">
        <v>23544543</v>
      </c>
      <c r="G97" s="9">
        <v>919305007</v>
      </c>
      <c r="H97" s="64" t="s">
        <v>1119</v>
      </c>
      <c r="I97" s="69">
        <v>48.81</v>
      </c>
      <c r="J97" s="153">
        <v>3000</v>
      </c>
      <c r="K97" s="153">
        <v>4400</v>
      </c>
      <c r="L97" s="153">
        <v>4400</v>
      </c>
      <c r="M97" s="154"/>
      <c r="N97" s="154"/>
      <c r="O97" s="70">
        <f t="shared" si="12"/>
        <v>146430</v>
      </c>
      <c r="P97" s="70">
        <f t="shared" si="13"/>
        <v>214764</v>
      </c>
      <c r="Q97" s="70">
        <f t="shared" si="14"/>
        <v>214764</v>
      </c>
      <c r="R97" s="70">
        <f t="shared" si="15"/>
        <v>0</v>
      </c>
      <c r="S97" s="70">
        <f t="shared" si="16"/>
        <v>0</v>
      </c>
    </row>
    <row r="98" spans="1:19">
      <c r="A98" s="20">
        <v>97</v>
      </c>
      <c r="B98" s="58" t="s">
        <v>989</v>
      </c>
      <c r="C98" s="58" t="s">
        <v>1105</v>
      </c>
      <c r="D98" s="58" t="s">
        <v>1106</v>
      </c>
      <c r="E98" s="59" t="s">
        <v>1107</v>
      </c>
      <c r="F98" s="22">
        <v>23544544</v>
      </c>
      <c r="G98" s="9">
        <v>919305008</v>
      </c>
      <c r="H98" s="64" t="s">
        <v>1119</v>
      </c>
      <c r="I98" s="69">
        <v>48.81</v>
      </c>
      <c r="J98" s="153">
        <v>3000</v>
      </c>
      <c r="K98" s="153">
        <v>4400</v>
      </c>
      <c r="L98" s="153">
        <v>4400</v>
      </c>
      <c r="M98" s="154"/>
      <c r="N98" s="154"/>
      <c r="O98" s="70">
        <f t="shared" si="12"/>
        <v>146430</v>
      </c>
      <c r="P98" s="70">
        <f t="shared" si="13"/>
        <v>214764</v>
      </c>
      <c r="Q98" s="70">
        <f t="shared" si="14"/>
        <v>214764</v>
      </c>
      <c r="R98" s="70">
        <f t="shared" si="15"/>
        <v>0</v>
      </c>
      <c r="S98" s="70">
        <f t="shared" si="16"/>
        <v>0</v>
      </c>
    </row>
    <row r="99" spans="1:19">
      <c r="A99" s="20">
        <v>98</v>
      </c>
      <c r="B99" s="58" t="s">
        <v>989</v>
      </c>
      <c r="C99" s="58" t="s">
        <v>1105</v>
      </c>
      <c r="D99" s="58" t="s">
        <v>1106</v>
      </c>
      <c r="E99" s="59" t="s">
        <v>1107</v>
      </c>
      <c r="F99" s="22">
        <v>23546684</v>
      </c>
      <c r="G99" s="9">
        <v>919308001</v>
      </c>
      <c r="H99" s="64" t="s">
        <v>1120</v>
      </c>
      <c r="I99" s="69">
        <v>137.91</v>
      </c>
      <c r="J99" s="153">
        <v>3000</v>
      </c>
      <c r="K99" s="153">
        <v>4400</v>
      </c>
      <c r="L99" s="153">
        <v>4400</v>
      </c>
      <c r="M99" s="154"/>
      <c r="N99" s="154"/>
      <c r="O99" s="70">
        <f t="shared" si="12"/>
        <v>413730</v>
      </c>
      <c r="P99" s="70">
        <f t="shared" si="13"/>
        <v>606804</v>
      </c>
      <c r="Q99" s="70">
        <f t="shared" si="14"/>
        <v>606804</v>
      </c>
      <c r="R99" s="70">
        <f t="shared" si="15"/>
        <v>0</v>
      </c>
      <c r="S99" s="70">
        <f t="shared" si="16"/>
        <v>0</v>
      </c>
    </row>
    <row r="100" spans="1:19">
      <c r="A100" s="20">
        <v>99</v>
      </c>
      <c r="B100" s="58" t="s">
        <v>989</v>
      </c>
      <c r="C100" s="58" t="s">
        <v>1105</v>
      </c>
      <c r="D100" s="58" t="s">
        <v>1106</v>
      </c>
      <c r="E100" s="59" t="s">
        <v>1107</v>
      </c>
      <c r="F100" s="22">
        <v>23546687</v>
      </c>
      <c r="G100" s="9">
        <v>919308002</v>
      </c>
      <c r="H100" s="64" t="s">
        <v>1120</v>
      </c>
      <c r="I100" s="69">
        <v>137.91</v>
      </c>
      <c r="J100" s="153">
        <v>3000</v>
      </c>
      <c r="K100" s="153">
        <v>4400</v>
      </c>
      <c r="L100" s="153">
        <v>4400</v>
      </c>
      <c r="M100" s="154"/>
      <c r="N100" s="154"/>
      <c r="O100" s="70">
        <f t="shared" si="12"/>
        <v>413730</v>
      </c>
      <c r="P100" s="70">
        <f t="shared" si="13"/>
        <v>606804</v>
      </c>
      <c r="Q100" s="70">
        <f t="shared" si="14"/>
        <v>606804</v>
      </c>
      <c r="R100" s="70">
        <f t="shared" si="15"/>
        <v>0</v>
      </c>
      <c r="S100" s="70">
        <f t="shared" si="16"/>
        <v>0</v>
      </c>
    </row>
  </sheetData>
  <autoFilter ref="A3:S100" xr:uid="{6AE2289D-05C0-48A7-A879-67DD4A642918}"/>
  <mergeCells count="2">
    <mergeCell ref="J2:N2"/>
    <mergeCell ref="O2:S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3729-7246-4F19-B5D6-6CF3EA007575}">
  <sheetPr>
    <pageSetUpPr fitToPage="1"/>
  </sheetPr>
  <dimension ref="A1:U793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L614" sqref="L614"/>
    </sheetView>
  </sheetViews>
  <sheetFormatPr defaultColWidth="9.1796875" defaultRowHeight="14.5"/>
  <cols>
    <col min="1" max="1" width="5.54296875" bestFit="1" customWidth="1"/>
    <col min="2" max="2" width="6.1796875" bestFit="1" customWidth="1"/>
    <col min="3" max="3" width="20.81640625" bestFit="1" customWidth="1"/>
    <col min="4" max="4" width="15.1796875" bestFit="1" customWidth="1"/>
    <col min="5" max="5" width="23.54296875" style="3" bestFit="1" customWidth="1"/>
    <col min="6" max="6" width="15.54296875" bestFit="1" customWidth="1"/>
    <col min="7" max="7" width="12.81640625" bestFit="1" customWidth="1"/>
    <col min="8" max="8" width="2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1284</v>
      </c>
      <c r="P1" s="8">
        <f t="shared" ref="P1:U1" si="0">SUBTOTAL(9,P4:P793)/100000</f>
        <v>4537.6821791000011</v>
      </c>
      <c r="Q1" s="8">
        <f t="shared" si="0"/>
        <v>4624.2325728000005</v>
      </c>
      <c r="R1" s="8">
        <f t="shared" si="0"/>
        <v>4588.7698423999991</v>
      </c>
      <c r="S1" s="8">
        <f t="shared" si="0"/>
        <v>1834.189675099999</v>
      </c>
      <c r="T1" s="8">
        <f t="shared" si="0"/>
        <v>1271.5326650999998</v>
      </c>
      <c r="U1" s="8">
        <f t="shared" si="0"/>
        <v>1151.7161227999998</v>
      </c>
    </row>
    <row r="2" spans="1:21" ht="16" thickBot="1">
      <c r="J2" s="333" t="s">
        <v>314</v>
      </c>
      <c r="K2" s="334"/>
      <c r="L2" s="334"/>
      <c r="M2" s="334"/>
      <c r="N2" s="334"/>
      <c r="O2" s="335"/>
      <c r="P2" s="336" t="s">
        <v>318</v>
      </c>
      <c r="Q2" s="337"/>
      <c r="R2" s="337"/>
      <c r="S2" s="337"/>
      <c r="T2" s="337"/>
      <c r="U2" s="338"/>
    </row>
    <row r="3" spans="1:21" ht="29">
      <c r="A3" s="46" t="s">
        <v>301</v>
      </c>
      <c r="B3" s="47" t="s">
        <v>302</v>
      </c>
      <c r="C3" s="47" t="s">
        <v>303</v>
      </c>
      <c r="D3" s="47" t="s">
        <v>304</v>
      </c>
      <c r="E3" s="47" t="s">
        <v>293</v>
      </c>
      <c r="F3" s="48" t="s">
        <v>241</v>
      </c>
      <c r="G3" s="48" t="s">
        <v>242</v>
      </c>
      <c r="H3" s="48" t="s">
        <v>243</v>
      </c>
      <c r="I3" s="51" t="s">
        <v>315</v>
      </c>
      <c r="J3" s="16" t="s">
        <v>1239</v>
      </c>
      <c r="K3" s="17" t="s">
        <v>1238</v>
      </c>
      <c r="L3" s="17" t="s">
        <v>1237</v>
      </c>
      <c r="M3" s="17" t="s">
        <v>1236</v>
      </c>
      <c r="N3" s="17" t="s">
        <v>1241</v>
      </c>
      <c r="O3" s="17" t="s">
        <v>1285</v>
      </c>
      <c r="P3" s="49" t="s">
        <v>1239</v>
      </c>
      <c r="Q3" s="49" t="s">
        <v>1238</v>
      </c>
      <c r="R3" s="49" t="s">
        <v>1237</v>
      </c>
      <c r="S3" s="49" t="s">
        <v>1236</v>
      </c>
      <c r="T3" s="49" t="s">
        <v>1241</v>
      </c>
      <c r="U3" s="49" t="s">
        <v>1285</v>
      </c>
    </row>
    <row r="4" spans="1:21">
      <c r="A4" s="55">
        <v>1</v>
      </c>
      <c r="B4" s="55" t="s">
        <v>320</v>
      </c>
      <c r="C4" s="55" t="s">
        <v>321</v>
      </c>
      <c r="D4" s="55" t="s">
        <v>322</v>
      </c>
      <c r="E4" s="75" t="s">
        <v>323</v>
      </c>
      <c r="F4" s="55" t="s">
        <v>324</v>
      </c>
      <c r="G4" s="55">
        <v>915717015</v>
      </c>
      <c r="H4" s="55" t="s">
        <v>325</v>
      </c>
      <c r="I4" s="55">
        <v>221.66</v>
      </c>
      <c r="J4" s="111">
        <v>2497</v>
      </c>
      <c r="K4" s="111">
        <v>1975</v>
      </c>
      <c r="L4" s="111">
        <v>2800</v>
      </c>
      <c r="M4" s="111">
        <v>1718</v>
      </c>
      <c r="N4" s="111">
        <v>2045</v>
      </c>
      <c r="O4" s="111">
        <v>2182</v>
      </c>
      <c r="P4" s="2">
        <f t="shared" ref="P4" si="1">J4*I4</f>
        <v>553485.02</v>
      </c>
      <c r="Q4" s="2">
        <f t="shared" ref="Q4" si="2">K4*I4</f>
        <v>437778.5</v>
      </c>
      <c r="R4" s="2">
        <f t="shared" ref="R4" si="3">L4*I4</f>
        <v>620648</v>
      </c>
      <c r="S4" s="2">
        <f t="shared" ref="S4" si="4">M4*I4</f>
        <v>380811.88</v>
      </c>
      <c r="T4" s="2">
        <f t="shared" ref="T4" si="5">N4*I4</f>
        <v>453294.7</v>
      </c>
      <c r="U4" s="2">
        <f t="shared" ref="U4" si="6">O4*I4</f>
        <v>483662.12</v>
      </c>
    </row>
    <row r="5" spans="1:21">
      <c r="A5" s="55">
        <v>2</v>
      </c>
      <c r="B5" s="55" t="s">
        <v>320</v>
      </c>
      <c r="C5" s="55" t="s">
        <v>321</v>
      </c>
      <c r="D5" s="55" t="s">
        <v>322</v>
      </c>
      <c r="E5" s="75" t="s">
        <v>323</v>
      </c>
      <c r="F5" s="55" t="s">
        <v>326</v>
      </c>
      <c r="G5" s="55">
        <v>915717014</v>
      </c>
      <c r="H5" s="55" t="s">
        <v>327</v>
      </c>
      <c r="I5" s="55">
        <v>221.66</v>
      </c>
      <c r="J5" s="111">
        <v>2497</v>
      </c>
      <c r="K5" s="111">
        <v>1975</v>
      </c>
      <c r="L5" s="111">
        <v>2800</v>
      </c>
      <c r="M5" s="111">
        <v>1718</v>
      </c>
      <c r="N5" s="111">
        <v>2045</v>
      </c>
      <c r="O5" s="111">
        <v>2182</v>
      </c>
      <c r="P5" s="2">
        <f t="shared" ref="P5:P68" si="7">J5*I5</f>
        <v>553485.02</v>
      </c>
      <c r="Q5" s="2">
        <f t="shared" ref="Q5:Q68" si="8">K5*I5</f>
        <v>437778.5</v>
      </c>
      <c r="R5" s="2">
        <f t="shared" ref="R5:R68" si="9">L5*I5</f>
        <v>620648</v>
      </c>
      <c r="S5" s="2">
        <f t="shared" ref="S5:S68" si="10">M5*I5</f>
        <v>380811.88</v>
      </c>
      <c r="T5" s="2">
        <f t="shared" ref="T5:T68" si="11">N5*I5</f>
        <v>453294.7</v>
      </c>
      <c r="U5" s="2">
        <f t="shared" ref="U5:U68" si="12">O5*I5</f>
        <v>483662.12</v>
      </c>
    </row>
    <row r="6" spans="1:21">
      <c r="A6" s="55">
        <v>3</v>
      </c>
      <c r="B6" s="55" t="s">
        <v>320</v>
      </c>
      <c r="C6" s="55" t="s">
        <v>321</v>
      </c>
      <c r="D6" s="55" t="s">
        <v>322</v>
      </c>
      <c r="E6" s="75" t="s">
        <v>323</v>
      </c>
      <c r="F6" s="55" t="s">
        <v>328</v>
      </c>
      <c r="G6" s="55">
        <v>915717013</v>
      </c>
      <c r="H6" s="55" t="s">
        <v>329</v>
      </c>
      <c r="I6" s="55">
        <v>246.89</v>
      </c>
      <c r="J6" s="111">
        <v>2497</v>
      </c>
      <c r="K6" s="111">
        <v>1975</v>
      </c>
      <c r="L6" s="111">
        <v>2800</v>
      </c>
      <c r="M6" s="111">
        <v>1718</v>
      </c>
      <c r="N6" s="111">
        <v>2045</v>
      </c>
      <c r="O6" s="111">
        <v>2182</v>
      </c>
      <c r="P6" s="2">
        <f t="shared" si="7"/>
        <v>616484.32999999996</v>
      </c>
      <c r="Q6" s="2">
        <f t="shared" si="8"/>
        <v>487607.75</v>
      </c>
      <c r="R6" s="2">
        <f t="shared" si="9"/>
        <v>691292</v>
      </c>
      <c r="S6" s="2">
        <f t="shared" si="10"/>
        <v>424157.01999999996</v>
      </c>
      <c r="T6" s="2">
        <f t="shared" si="11"/>
        <v>504890.05</v>
      </c>
      <c r="U6" s="2">
        <f t="shared" si="12"/>
        <v>538713.98</v>
      </c>
    </row>
    <row r="7" spans="1:21">
      <c r="A7" s="55">
        <v>4</v>
      </c>
      <c r="B7" s="55" t="s">
        <v>320</v>
      </c>
      <c r="C7" s="55" t="s">
        <v>321</v>
      </c>
      <c r="D7" s="55" t="s">
        <v>322</v>
      </c>
      <c r="E7" s="75" t="s">
        <v>323</v>
      </c>
      <c r="F7" s="55" t="s">
        <v>330</v>
      </c>
      <c r="G7" s="55">
        <v>914503002</v>
      </c>
      <c r="H7" s="55" t="s">
        <v>331</v>
      </c>
      <c r="I7" s="55">
        <v>31.43</v>
      </c>
      <c r="J7" s="111">
        <v>2497</v>
      </c>
      <c r="K7" s="111">
        <v>1975</v>
      </c>
      <c r="L7" s="111">
        <v>2800</v>
      </c>
      <c r="M7" s="111">
        <v>1718</v>
      </c>
      <c r="N7" s="111">
        <v>2045</v>
      </c>
      <c r="O7" s="111">
        <v>2182</v>
      </c>
      <c r="P7" s="2">
        <f t="shared" si="7"/>
        <v>78480.710000000006</v>
      </c>
      <c r="Q7" s="2">
        <f t="shared" si="8"/>
        <v>62074.25</v>
      </c>
      <c r="R7" s="2">
        <f t="shared" si="9"/>
        <v>88004</v>
      </c>
      <c r="S7" s="2">
        <f t="shared" si="10"/>
        <v>53996.74</v>
      </c>
      <c r="T7" s="2">
        <f t="shared" si="11"/>
        <v>64274.35</v>
      </c>
      <c r="U7" s="2">
        <f t="shared" si="12"/>
        <v>68580.259999999995</v>
      </c>
    </row>
    <row r="8" spans="1:21">
      <c r="A8" s="55">
        <v>5</v>
      </c>
      <c r="B8" s="55" t="s">
        <v>320</v>
      </c>
      <c r="C8" s="55" t="s">
        <v>321</v>
      </c>
      <c r="D8" s="55" t="s">
        <v>322</v>
      </c>
      <c r="E8" s="75" t="s">
        <v>323</v>
      </c>
      <c r="F8" s="55" t="s">
        <v>332</v>
      </c>
      <c r="G8" s="55">
        <v>915704001</v>
      </c>
      <c r="H8" s="55" t="s">
        <v>333</v>
      </c>
      <c r="I8" s="55">
        <v>329.81</v>
      </c>
      <c r="J8" s="111">
        <v>2497</v>
      </c>
      <c r="K8" s="111">
        <v>1975</v>
      </c>
      <c r="L8" s="111">
        <v>2800</v>
      </c>
      <c r="M8" s="111">
        <v>1718</v>
      </c>
      <c r="N8" s="111">
        <v>2045</v>
      </c>
      <c r="O8" s="111">
        <v>2182</v>
      </c>
      <c r="P8" s="2">
        <f t="shared" si="7"/>
        <v>823535.57</v>
      </c>
      <c r="Q8" s="2">
        <f t="shared" si="8"/>
        <v>651374.75</v>
      </c>
      <c r="R8" s="2">
        <f t="shared" si="9"/>
        <v>923468</v>
      </c>
      <c r="S8" s="2">
        <f t="shared" si="10"/>
        <v>566613.57999999996</v>
      </c>
      <c r="T8" s="2">
        <f t="shared" si="11"/>
        <v>674461.45</v>
      </c>
      <c r="U8" s="2">
        <f t="shared" si="12"/>
        <v>719645.42</v>
      </c>
    </row>
    <row r="9" spans="1:21">
      <c r="A9" s="55">
        <v>6</v>
      </c>
      <c r="B9" s="55" t="s">
        <v>320</v>
      </c>
      <c r="C9" s="55" t="s">
        <v>321</v>
      </c>
      <c r="D9" s="55" t="s">
        <v>322</v>
      </c>
      <c r="E9" s="75" t="s">
        <v>323</v>
      </c>
      <c r="F9" s="55" t="s">
        <v>334</v>
      </c>
      <c r="G9" s="55">
        <v>915704002</v>
      </c>
      <c r="H9" s="55" t="s">
        <v>335</v>
      </c>
      <c r="I9" s="55">
        <v>329.71999999999997</v>
      </c>
      <c r="J9" s="111">
        <v>2497</v>
      </c>
      <c r="K9" s="111">
        <v>1975</v>
      </c>
      <c r="L9" s="111">
        <v>2800</v>
      </c>
      <c r="M9" s="111">
        <v>1718</v>
      </c>
      <c r="N9" s="111">
        <v>2045</v>
      </c>
      <c r="O9" s="111">
        <v>2182</v>
      </c>
      <c r="P9" s="2">
        <f t="shared" si="7"/>
        <v>823310.84</v>
      </c>
      <c r="Q9" s="2">
        <f t="shared" si="8"/>
        <v>651196.99999999988</v>
      </c>
      <c r="R9" s="2">
        <f t="shared" si="9"/>
        <v>923215.99999999988</v>
      </c>
      <c r="S9" s="2">
        <f t="shared" si="10"/>
        <v>566458.96</v>
      </c>
      <c r="T9" s="2">
        <f t="shared" si="11"/>
        <v>674277.39999999991</v>
      </c>
      <c r="U9" s="2">
        <f t="shared" si="12"/>
        <v>719449.03999999992</v>
      </c>
    </row>
    <row r="10" spans="1:21">
      <c r="A10" s="55">
        <v>7</v>
      </c>
      <c r="B10" s="55" t="s">
        <v>320</v>
      </c>
      <c r="C10" s="55" t="s">
        <v>321</v>
      </c>
      <c r="D10" s="55" t="s">
        <v>322</v>
      </c>
      <c r="E10" s="75" t="s">
        <v>323</v>
      </c>
      <c r="F10" s="55" t="s">
        <v>336</v>
      </c>
      <c r="G10" s="55">
        <v>915717006</v>
      </c>
      <c r="H10" s="55" t="s">
        <v>337</v>
      </c>
      <c r="I10" s="55">
        <v>241.11</v>
      </c>
      <c r="J10" s="111">
        <v>2497</v>
      </c>
      <c r="K10" s="111">
        <v>1975</v>
      </c>
      <c r="L10" s="111">
        <v>2800</v>
      </c>
      <c r="M10" s="111">
        <v>1718</v>
      </c>
      <c r="N10" s="111">
        <v>2045</v>
      </c>
      <c r="O10" s="111">
        <v>2182</v>
      </c>
      <c r="P10" s="2">
        <f t="shared" si="7"/>
        <v>602051.67000000004</v>
      </c>
      <c r="Q10" s="2">
        <f t="shared" si="8"/>
        <v>476192.25</v>
      </c>
      <c r="R10" s="2">
        <f t="shared" si="9"/>
        <v>675108</v>
      </c>
      <c r="S10" s="2">
        <f t="shared" si="10"/>
        <v>414226.98000000004</v>
      </c>
      <c r="T10" s="2">
        <f t="shared" si="11"/>
        <v>493069.95</v>
      </c>
      <c r="U10" s="2">
        <f t="shared" si="12"/>
        <v>526102.02</v>
      </c>
    </row>
    <row r="11" spans="1:21">
      <c r="A11" s="55">
        <v>8</v>
      </c>
      <c r="B11" s="55" t="s">
        <v>320</v>
      </c>
      <c r="C11" s="55" t="s">
        <v>321</v>
      </c>
      <c r="D11" s="55" t="s">
        <v>322</v>
      </c>
      <c r="E11" s="75" t="s">
        <v>323</v>
      </c>
      <c r="F11" s="55" t="s">
        <v>338</v>
      </c>
      <c r="G11" s="55">
        <v>915704003</v>
      </c>
      <c r="H11" s="55" t="s">
        <v>339</v>
      </c>
      <c r="I11" s="55">
        <v>267.14</v>
      </c>
      <c r="J11" s="111">
        <v>2497</v>
      </c>
      <c r="K11" s="111">
        <v>1975</v>
      </c>
      <c r="L11" s="111">
        <v>2800</v>
      </c>
      <c r="M11" s="111">
        <v>1718</v>
      </c>
      <c r="N11" s="111">
        <v>2045</v>
      </c>
      <c r="O11" s="111">
        <v>2182</v>
      </c>
      <c r="P11" s="2">
        <f t="shared" si="7"/>
        <v>667048.57999999996</v>
      </c>
      <c r="Q11" s="2">
        <f t="shared" si="8"/>
        <v>527601.5</v>
      </c>
      <c r="R11" s="2">
        <f t="shared" si="9"/>
        <v>747992</v>
      </c>
      <c r="S11" s="2">
        <f t="shared" si="10"/>
        <v>458946.51999999996</v>
      </c>
      <c r="T11" s="2">
        <f t="shared" si="11"/>
        <v>546301.29999999993</v>
      </c>
      <c r="U11" s="2">
        <f t="shared" si="12"/>
        <v>582899.48</v>
      </c>
    </row>
    <row r="12" spans="1:21">
      <c r="A12" s="55">
        <v>9</v>
      </c>
      <c r="B12" s="55" t="s">
        <v>320</v>
      </c>
      <c r="C12" s="55" t="s">
        <v>321</v>
      </c>
      <c r="D12" s="55" t="s">
        <v>322</v>
      </c>
      <c r="E12" s="75" t="s">
        <v>323</v>
      </c>
      <c r="F12" s="55" t="s">
        <v>340</v>
      </c>
      <c r="G12" s="55">
        <v>915704004</v>
      </c>
      <c r="H12" s="55" t="s">
        <v>341</v>
      </c>
      <c r="I12" s="55">
        <v>267.14</v>
      </c>
      <c r="J12" s="111">
        <v>2497</v>
      </c>
      <c r="K12" s="111">
        <v>1975</v>
      </c>
      <c r="L12" s="111">
        <v>2800</v>
      </c>
      <c r="M12" s="111">
        <v>1718</v>
      </c>
      <c r="N12" s="111">
        <v>2045</v>
      </c>
      <c r="O12" s="111">
        <v>2182</v>
      </c>
      <c r="P12" s="2">
        <f t="shared" si="7"/>
        <v>667048.57999999996</v>
      </c>
      <c r="Q12" s="2">
        <f t="shared" si="8"/>
        <v>527601.5</v>
      </c>
      <c r="R12" s="2">
        <f t="shared" si="9"/>
        <v>747992</v>
      </c>
      <c r="S12" s="2">
        <f t="shared" si="10"/>
        <v>458946.51999999996</v>
      </c>
      <c r="T12" s="2">
        <f t="shared" si="11"/>
        <v>546301.29999999993</v>
      </c>
      <c r="U12" s="2">
        <f t="shared" si="12"/>
        <v>582899.48</v>
      </c>
    </row>
    <row r="13" spans="1:21">
      <c r="A13" s="55">
        <v>10</v>
      </c>
      <c r="B13" s="55" t="s">
        <v>320</v>
      </c>
      <c r="C13" s="55" t="s">
        <v>321</v>
      </c>
      <c r="D13" s="55" t="s">
        <v>322</v>
      </c>
      <c r="E13" s="75" t="s">
        <v>323</v>
      </c>
      <c r="F13" s="55" t="s">
        <v>342</v>
      </c>
      <c r="G13" s="55">
        <v>915717001</v>
      </c>
      <c r="H13" s="55" t="s">
        <v>343</v>
      </c>
      <c r="I13" s="55">
        <v>153.69</v>
      </c>
      <c r="J13" s="111">
        <v>2497</v>
      </c>
      <c r="K13" s="111">
        <v>1975</v>
      </c>
      <c r="L13" s="111">
        <v>2800</v>
      </c>
      <c r="M13" s="111">
        <v>1718</v>
      </c>
      <c r="N13" s="111">
        <v>2045</v>
      </c>
      <c r="O13" s="111">
        <v>2182</v>
      </c>
      <c r="P13" s="2">
        <f t="shared" si="7"/>
        <v>383763.93</v>
      </c>
      <c r="Q13" s="2">
        <f t="shared" si="8"/>
        <v>303537.75</v>
      </c>
      <c r="R13" s="2">
        <f t="shared" si="9"/>
        <v>430332</v>
      </c>
      <c r="S13" s="2">
        <f t="shared" si="10"/>
        <v>264039.42</v>
      </c>
      <c r="T13" s="2">
        <f t="shared" si="11"/>
        <v>314296.05</v>
      </c>
      <c r="U13" s="2">
        <f t="shared" si="12"/>
        <v>335351.58</v>
      </c>
    </row>
    <row r="14" spans="1:21">
      <c r="A14" s="55">
        <v>11</v>
      </c>
      <c r="B14" s="55" t="s">
        <v>320</v>
      </c>
      <c r="C14" s="55" t="s">
        <v>321</v>
      </c>
      <c r="D14" s="55" t="s">
        <v>322</v>
      </c>
      <c r="E14" s="75" t="s">
        <v>344</v>
      </c>
      <c r="F14" s="55" t="s">
        <v>345</v>
      </c>
      <c r="G14" s="55">
        <v>919103001</v>
      </c>
      <c r="H14" s="55" t="s">
        <v>331</v>
      </c>
      <c r="I14" s="55">
        <v>36.65</v>
      </c>
      <c r="J14" s="111">
        <v>4608</v>
      </c>
      <c r="K14" s="111">
        <v>4113</v>
      </c>
      <c r="L14" s="111">
        <v>5856</v>
      </c>
      <c r="M14" s="111">
        <v>3279</v>
      </c>
      <c r="N14" s="111">
        <v>2492</v>
      </c>
      <c r="O14" s="111">
        <v>3406</v>
      </c>
      <c r="P14" s="2">
        <f t="shared" si="7"/>
        <v>168883.19999999998</v>
      </c>
      <c r="Q14" s="2">
        <f t="shared" si="8"/>
        <v>150741.44999999998</v>
      </c>
      <c r="R14" s="2">
        <f t="shared" si="9"/>
        <v>214622.4</v>
      </c>
      <c r="S14" s="2">
        <f t="shared" si="10"/>
        <v>120175.34999999999</v>
      </c>
      <c r="T14" s="2">
        <f t="shared" si="11"/>
        <v>91331.8</v>
      </c>
      <c r="U14" s="2">
        <f t="shared" si="12"/>
        <v>124829.9</v>
      </c>
    </row>
    <row r="15" spans="1:21">
      <c r="A15" s="55">
        <v>12</v>
      </c>
      <c r="B15" s="55" t="s">
        <v>320</v>
      </c>
      <c r="C15" s="55" t="s">
        <v>321</v>
      </c>
      <c r="D15" s="55" t="s">
        <v>322</v>
      </c>
      <c r="E15" s="75" t="s">
        <v>344</v>
      </c>
      <c r="F15" s="55" t="s">
        <v>346</v>
      </c>
      <c r="G15" s="55">
        <v>919101004</v>
      </c>
      <c r="H15" s="55" t="s">
        <v>347</v>
      </c>
      <c r="I15" s="55">
        <v>222.11</v>
      </c>
      <c r="J15" s="111">
        <v>4608</v>
      </c>
      <c r="K15" s="111">
        <v>4113</v>
      </c>
      <c r="L15" s="111">
        <v>5856</v>
      </c>
      <c r="M15" s="111">
        <v>3279</v>
      </c>
      <c r="N15" s="111">
        <v>2492</v>
      </c>
      <c r="O15" s="111">
        <v>3406</v>
      </c>
      <c r="P15" s="2">
        <f t="shared" si="7"/>
        <v>1023482.8800000001</v>
      </c>
      <c r="Q15" s="2">
        <f t="shared" si="8"/>
        <v>913538.43</v>
      </c>
      <c r="R15" s="2">
        <f t="shared" si="9"/>
        <v>1300676.1600000001</v>
      </c>
      <c r="S15" s="2">
        <f t="shared" si="10"/>
        <v>728298.69000000006</v>
      </c>
      <c r="T15" s="2">
        <f t="shared" si="11"/>
        <v>553498.12</v>
      </c>
      <c r="U15" s="2">
        <f t="shared" si="12"/>
        <v>756506.66</v>
      </c>
    </row>
    <row r="16" spans="1:21">
      <c r="A16" s="55">
        <v>13</v>
      </c>
      <c r="B16" s="55" t="s">
        <v>320</v>
      </c>
      <c r="C16" s="55" t="s">
        <v>321</v>
      </c>
      <c r="D16" s="55" t="s">
        <v>322</v>
      </c>
      <c r="E16" s="75" t="s">
        <v>344</v>
      </c>
      <c r="F16" s="55" t="s">
        <v>348</v>
      </c>
      <c r="G16" s="55">
        <v>919101003</v>
      </c>
      <c r="H16" s="55" t="s">
        <v>347</v>
      </c>
      <c r="I16" s="55">
        <v>222.11</v>
      </c>
      <c r="J16" s="111">
        <v>4608</v>
      </c>
      <c r="K16" s="111">
        <v>4113</v>
      </c>
      <c r="L16" s="111">
        <v>5856</v>
      </c>
      <c r="M16" s="111">
        <v>3279</v>
      </c>
      <c r="N16" s="111">
        <v>2492</v>
      </c>
      <c r="O16" s="111">
        <v>3406</v>
      </c>
      <c r="P16" s="2">
        <f t="shared" si="7"/>
        <v>1023482.8800000001</v>
      </c>
      <c r="Q16" s="2">
        <f t="shared" si="8"/>
        <v>913538.43</v>
      </c>
      <c r="R16" s="2">
        <f t="shared" si="9"/>
        <v>1300676.1600000001</v>
      </c>
      <c r="S16" s="2">
        <f t="shared" si="10"/>
        <v>728298.69000000006</v>
      </c>
      <c r="T16" s="2">
        <f t="shared" si="11"/>
        <v>553498.12</v>
      </c>
      <c r="U16" s="2">
        <f t="shared" si="12"/>
        <v>756506.66</v>
      </c>
    </row>
    <row r="17" spans="1:21">
      <c r="A17" s="55">
        <v>14</v>
      </c>
      <c r="B17" s="55" t="s">
        <v>320</v>
      </c>
      <c r="C17" s="55" t="s">
        <v>321</v>
      </c>
      <c r="D17" s="55" t="s">
        <v>322</v>
      </c>
      <c r="E17" s="75" t="s">
        <v>344</v>
      </c>
      <c r="F17" s="55" t="s">
        <v>349</v>
      </c>
      <c r="G17" s="55">
        <v>919104002</v>
      </c>
      <c r="H17" s="55" t="s">
        <v>333</v>
      </c>
      <c r="I17" s="55">
        <v>353.28</v>
      </c>
      <c r="J17" s="111">
        <v>4608</v>
      </c>
      <c r="K17" s="111">
        <v>4113</v>
      </c>
      <c r="L17" s="111">
        <v>5856</v>
      </c>
      <c r="M17" s="111">
        <v>3279</v>
      </c>
      <c r="N17" s="111">
        <v>2492</v>
      </c>
      <c r="O17" s="111">
        <v>3406</v>
      </c>
      <c r="P17" s="2">
        <f t="shared" si="7"/>
        <v>1627914.2399999998</v>
      </c>
      <c r="Q17" s="2">
        <f t="shared" si="8"/>
        <v>1453040.6399999999</v>
      </c>
      <c r="R17" s="2">
        <f t="shared" si="9"/>
        <v>2068807.6799999999</v>
      </c>
      <c r="S17" s="2">
        <f t="shared" si="10"/>
        <v>1158405.1199999999</v>
      </c>
      <c r="T17" s="2">
        <f t="shared" si="11"/>
        <v>880373.75999999989</v>
      </c>
      <c r="U17" s="2">
        <f t="shared" si="12"/>
        <v>1203271.6799999999</v>
      </c>
    </row>
    <row r="18" spans="1:21">
      <c r="A18" s="55">
        <v>15</v>
      </c>
      <c r="B18" s="55" t="s">
        <v>320</v>
      </c>
      <c r="C18" s="55" t="s">
        <v>321</v>
      </c>
      <c r="D18" s="55" t="s">
        <v>322</v>
      </c>
      <c r="E18" s="75" t="s">
        <v>344</v>
      </c>
      <c r="F18" s="55" t="s">
        <v>350</v>
      </c>
      <c r="G18" s="55">
        <v>919104001</v>
      </c>
      <c r="H18" s="55" t="s">
        <v>335</v>
      </c>
      <c r="I18" s="55">
        <v>353.43</v>
      </c>
      <c r="J18" s="111">
        <v>4608</v>
      </c>
      <c r="K18" s="111">
        <v>4113</v>
      </c>
      <c r="L18" s="111">
        <v>5856</v>
      </c>
      <c r="M18" s="111">
        <v>3279</v>
      </c>
      <c r="N18" s="111">
        <v>2492</v>
      </c>
      <c r="O18" s="111">
        <v>3406</v>
      </c>
      <c r="P18" s="2">
        <f t="shared" si="7"/>
        <v>1628605.4399999999</v>
      </c>
      <c r="Q18" s="2">
        <f t="shared" si="8"/>
        <v>1453657.59</v>
      </c>
      <c r="R18" s="2">
        <f t="shared" si="9"/>
        <v>2069686.08</v>
      </c>
      <c r="S18" s="2">
        <f t="shared" si="10"/>
        <v>1158896.97</v>
      </c>
      <c r="T18" s="2">
        <f t="shared" si="11"/>
        <v>880747.56</v>
      </c>
      <c r="U18" s="2">
        <f t="shared" si="12"/>
        <v>1203782.58</v>
      </c>
    </row>
    <row r="19" spans="1:21">
      <c r="A19" s="55">
        <v>16</v>
      </c>
      <c r="B19" s="55" t="s">
        <v>320</v>
      </c>
      <c r="C19" s="55" t="s">
        <v>321</v>
      </c>
      <c r="D19" s="55" t="s">
        <v>322</v>
      </c>
      <c r="E19" s="75" t="s">
        <v>344</v>
      </c>
      <c r="F19" s="55" t="s">
        <v>351</v>
      </c>
      <c r="G19" s="55">
        <v>919101002</v>
      </c>
      <c r="H19" s="55" t="s">
        <v>337</v>
      </c>
      <c r="I19" s="55">
        <v>215.73999999999998</v>
      </c>
      <c r="J19" s="111">
        <v>4608</v>
      </c>
      <c r="K19" s="111">
        <v>4113</v>
      </c>
      <c r="L19" s="111">
        <v>5856</v>
      </c>
      <c r="M19" s="111">
        <v>3279</v>
      </c>
      <c r="N19" s="111">
        <v>2492</v>
      </c>
      <c r="O19" s="111">
        <v>3406</v>
      </c>
      <c r="P19" s="2">
        <f t="shared" si="7"/>
        <v>994129.91999999993</v>
      </c>
      <c r="Q19" s="2">
        <f t="shared" si="8"/>
        <v>887338.61999999988</v>
      </c>
      <c r="R19" s="2">
        <f t="shared" si="9"/>
        <v>1263373.44</v>
      </c>
      <c r="S19" s="2">
        <f t="shared" si="10"/>
        <v>707411.46</v>
      </c>
      <c r="T19" s="2">
        <f t="shared" si="11"/>
        <v>537624.07999999996</v>
      </c>
      <c r="U19" s="2">
        <f t="shared" si="12"/>
        <v>734810.44</v>
      </c>
    </row>
    <row r="20" spans="1:21">
      <c r="A20" s="55">
        <v>17</v>
      </c>
      <c r="B20" s="55" t="s">
        <v>320</v>
      </c>
      <c r="C20" s="55" t="s">
        <v>321</v>
      </c>
      <c r="D20" s="55" t="s">
        <v>322</v>
      </c>
      <c r="E20" s="75" t="s">
        <v>344</v>
      </c>
      <c r="F20" s="55" t="s">
        <v>352</v>
      </c>
      <c r="G20" s="55">
        <v>919101001</v>
      </c>
      <c r="H20" s="55" t="s">
        <v>353</v>
      </c>
      <c r="I20" s="55">
        <v>216</v>
      </c>
      <c r="J20" s="111">
        <v>4608</v>
      </c>
      <c r="K20" s="111">
        <v>4113</v>
      </c>
      <c r="L20" s="111">
        <v>5856</v>
      </c>
      <c r="M20" s="111">
        <v>3279</v>
      </c>
      <c r="N20" s="111">
        <v>2492</v>
      </c>
      <c r="O20" s="111">
        <v>3406</v>
      </c>
      <c r="P20" s="2">
        <f t="shared" si="7"/>
        <v>995328</v>
      </c>
      <c r="Q20" s="2">
        <f t="shared" si="8"/>
        <v>888408</v>
      </c>
      <c r="R20" s="2">
        <f t="shared" si="9"/>
        <v>1264896</v>
      </c>
      <c r="S20" s="2">
        <f t="shared" si="10"/>
        <v>708264</v>
      </c>
      <c r="T20" s="2">
        <f t="shared" si="11"/>
        <v>538272</v>
      </c>
      <c r="U20" s="2">
        <f t="shared" si="12"/>
        <v>735696</v>
      </c>
    </row>
    <row r="21" spans="1:21">
      <c r="A21" s="55">
        <v>18</v>
      </c>
      <c r="B21" s="55" t="s">
        <v>320</v>
      </c>
      <c r="C21" s="55" t="s">
        <v>321</v>
      </c>
      <c r="D21" s="55" t="s">
        <v>322</v>
      </c>
      <c r="E21" s="75" t="s">
        <v>344</v>
      </c>
      <c r="F21" s="55" t="s">
        <v>354</v>
      </c>
      <c r="G21" s="55">
        <v>919104004</v>
      </c>
      <c r="H21" s="55" t="s">
        <v>339</v>
      </c>
      <c r="I21" s="55">
        <v>319.14999999999998</v>
      </c>
      <c r="J21" s="111">
        <v>4608</v>
      </c>
      <c r="K21" s="111">
        <v>4113</v>
      </c>
      <c r="L21" s="111">
        <v>5856</v>
      </c>
      <c r="M21" s="111">
        <v>3279</v>
      </c>
      <c r="N21" s="111">
        <v>2492</v>
      </c>
      <c r="O21" s="111">
        <v>3406</v>
      </c>
      <c r="P21" s="2">
        <f t="shared" si="7"/>
        <v>1470643.2</v>
      </c>
      <c r="Q21" s="2">
        <f t="shared" si="8"/>
        <v>1312663.95</v>
      </c>
      <c r="R21" s="2">
        <f t="shared" si="9"/>
        <v>1868942.4</v>
      </c>
      <c r="S21" s="2">
        <f t="shared" si="10"/>
        <v>1046492.85</v>
      </c>
      <c r="T21" s="2">
        <f t="shared" si="11"/>
        <v>795321.79999999993</v>
      </c>
      <c r="U21" s="2">
        <f t="shared" si="12"/>
        <v>1087024.8999999999</v>
      </c>
    </row>
    <row r="22" spans="1:21">
      <c r="A22" s="55">
        <v>19</v>
      </c>
      <c r="B22" s="55" t="s">
        <v>320</v>
      </c>
      <c r="C22" s="55" t="s">
        <v>321</v>
      </c>
      <c r="D22" s="55" t="s">
        <v>322</v>
      </c>
      <c r="E22" s="75" t="s">
        <v>344</v>
      </c>
      <c r="F22" s="55" t="s">
        <v>355</v>
      </c>
      <c r="G22" s="55">
        <v>919104003</v>
      </c>
      <c r="H22" s="55" t="s">
        <v>341</v>
      </c>
      <c r="I22" s="55">
        <v>318.02000000000004</v>
      </c>
      <c r="J22" s="111">
        <v>4608</v>
      </c>
      <c r="K22" s="111">
        <v>4113</v>
      </c>
      <c r="L22" s="111">
        <v>5856</v>
      </c>
      <c r="M22" s="111">
        <v>3279</v>
      </c>
      <c r="N22" s="111">
        <v>2492</v>
      </c>
      <c r="O22" s="111">
        <v>3406</v>
      </c>
      <c r="P22" s="2">
        <f t="shared" si="7"/>
        <v>1465436.1600000001</v>
      </c>
      <c r="Q22" s="2">
        <f t="shared" si="8"/>
        <v>1308016.2600000002</v>
      </c>
      <c r="R22" s="2">
        <f t="shared" si="9"/>
        <v>1862325.12</v>
      </c>
      <c r="S22" s="2">
        <f t="shared" si="10"/>
        <v>1042787.5800000001</v>
      </c>
      <c r="T22" s="2">
        <f t="shared" si="11"/>
        <v>792505.84000000008</v>
      </c>
      <c r="U22" s="2">
        <f t="shared" si="12"/>
        <v>1083176.1200000001</v>
      </c>
    </row>
    <row r="23" spans="1:21">
      <c r="A23" s="55">
        <v>20</v>
      </c>
      <c r="B23" s="55" t="s">
        <v>320</v>
      </c>
      <c r="C23" s="55" t="s">
        <v>321</v>
      </c>
      <c r="D23" s="55" t="s">
        <v>322</v>
      </c>
      <c r="E23" s="75" t="s">
        <v>344</v>
      </c>
      <c r="F23" s="55" t="s">
        <v>356</v>
      </c>
      <c r="G23" s="55">
        <v>919126001</v>
      </c>
      <c r="H23" s="55" t="s">
        <v>357</v>
      </c>
      <c r="I23" s="55">
        <v>25.64</v>
      </c>
      <c r="J23" s="111">
        <v>4608</v>
      </c>
      <c r="K23" s="111">
        <v>4113</v>
      </c>
      <c r="L23" s="111">
        <v>5856</v>
      </c>
      <c r="M23" s="111">
        <v>3279</v>
      </c>
      <c r="N23" s="111">
        <v>2492</v>
      </c>
      <c r="O23" s="111">
        <v>3406</v>
      </c>
      <c r="P23" s="2">
        <f t="shared" si="7"/>
        <v>118149.12</v>
      </c>
      <c r="Q23" s="2">
        <f t="shared" si="8"/>
        <v>105457.32</v>
      </c>
      <c r="R23" s="2">
        <f t="shared" si="9"/>
        <v>150147.84</v>
      </c>
      <c r="S23" s="2">
        <f t="shared" si="10"/>
        <v>84073.56</v>
      </c>
      <c r="T23" s="2">
        <f t="shared" si="11"/>
        <v>63894.880000000005</v>
      </c>
      <c r="U23" s="2">
        <f t="shared" si="12"/>
        <v>87329.84</v>
      </c>
    </row>
    <row r="24" spans="1:21">
      <c r="A24" s="55">
        <v>21</v>
      </c>
      <c r="B24" s="55" t="s">
        <v>320</v>
      </c>
      <c r="C24" s="55" t="s">
        <v>321</v>
      </c>
      <c r="D24" s="55" t="s">
        <v>322</v>
      </c>
      <c r="E24" s="75" t="s">
        <v>344</v>
      </c>
      <c r="F24" s="55" t="s">
        <v>358</v>
      </c>
      <c r="G24" s="55">
        <v>919126002</v>
      </c>
      <c r="H24" s="55" t="s">
        <v>359</v>
      </c>
      <c r="I24" s="55">
        <v>25.64</v>
      </c>
      <c r="J24" s="111">
        <v>4608</v>
      </c>
      <c r="K24" s="111">
        <v>4113</v>
      </c>
      <c r="L24" s="111">
        <v>5856</v>
      </c>
      <c r="M24" s="111">
        <v>3279</v>
      </c>
      <c r="N24" s="111">
        <v>2492</v>
      </c>
      <c r="O24" s="111">
        <v>3406</v>
      </c>
      <c r="P24" s="2">
        <f t="shared" si="7"/>
        <v>118149.12</v>
      </c>
      <c r="Q24" s="2">
        <f t="shared" si="8"/>
        <v>105457.32</v>
      </c>
      <c r="R24" s="2">
        <f t="shared" si="9"/>
        <v>150147.84</v>
      </c>
      <c r="S24" s="2">
        <f t="shared" si="10"/>
        <v>84073.56</v>
      </c>
      <c r="T24" s="2">
        <f t="shared" si="11"/>
        <v>63894.880000000005</v>
      </c>
      <c r="U24" s="2">
        <f t="shared" si="12"/>
        <v>87329.84</v>
      </c>
    </row>
    <row r="25" spans="1:21">
      <c r="A25" s="55">
        <v>22</v>
      </c>
      <c r="B25" s="55" t="s">
        <v>320</v>
      </c>
      <c r="C25" s="55" t="s">
        <v>321</v>
      </c>
      <c r="D25" s="55" t="s">
        <v>322</v>
      </c>
      <c r="E25" s="75" t="s">
        <v>344</v>
      </c>
      <c r="F25" s="55" t="s">
        <v>360</v>
      </c>
      <c r="G25" s="55">
        <v>919110002</v>
      </c>
      <c r="H25" s="55" t="s">
        <v>361</v>
      </c>
      <c r="I25" s="55">
        <v>202.75</v>
      </c>
      <c r="J25" s="111">
        <v>4608</v>
      </c>
      <c r="K25" s="111">
        <v>4113</v>
      </c>
      <c r="L25" s="111">
        <v>5856</v>
      </c>
      <c r="M25" s="111">
        <v>3279</v>
      </c>
      <c r="N25" s="111">
        <v>2492</v>
      </c>
      <c r="O25" s="111">
        <v>3406</v>
      </c>
      <c r="P25" s="2">
        <f t="shared" si="7"/>
        <v>934272</v>
      </c>
      <c r="Q25" s="2">
        <f t="shared" si="8"/>
        <v>833910.75</v>
      </c>
      <c r="R25" s="2">
        <f t="shared" si="9"/>
        <v>1187304</v>
      </c>
      <c r="S25" s="2">
        <f t="shared" si="10"/>
        <v>664817.25</v>
      </c>
      <c r="T25" s="2">
        <f t="shared" si="11"/>
        <v>505253</v>
      </c>
      <c r="U25" s="2">
        <f t="shared" si="12"/>
        <v>690566.5</v>
      </c>
    </row>
    <row r="26" spans="1:21">
      <c r="A26" s="55">
        <v>23</v>
      </c>
      <c r="B26" s="55" t="s">
        <v>320</v>
      </c>
      <c r="C26" s="55" t="s">
        <v>321</v>
      </c>
      <c r="D26" s="55" t="s">
        <v>322</v>
      </c>
      <c r="E26" s="75" t="s">
        <v>362</v>
      </c>
      <c r="F26" s="55" t="s">
        <v>363</v>
      </c>
      <c r="G26" s="55">
        <v>917226002</v>
      </c>
      <c r="H26" s="55" t="s">
        <v>364</v>
      </c>
      <c r="I26" s="55">
        <v>63.43</v>
      </c>
      <c r="J26" s="111">
        <v>5301</v>
      </c>
      <c r="K26" s="111">
        <v>4444</v>
      </c>
      <c r="L26" s="111">
        <v>6912</v>
      </c>
      <c r="M26" s="111">
        <v>4114</v>
      </c>
      <c r="N26" s="111">
        <v>5163</v>
      </c>
      <c r="O26" s="111">
        <v>5346</v>
      </c>
      <c r="P26" s="2">
        <f t="shared" si="7"/>
        <v>336242.43</v>
      </c>
      <c r="Q26" s="2">
        <f t="shared" si="8"/>
        <v>281882.92</v>
      </c>
      <c r="R26" s="2">
        <f t="shared" si="9"/>
        <v>438428.15999999997</v>
      </c>
      <c r="S26" s="2">
        <f t="shared" si="10"/>
        <v>260951.02</v>
      </c>
      <c r="T26" s="2">
        <f t="shared" si="11"/>
        <v>327489.09000000003</v>
      </c>
      <c r="U26" s="2">
        <f t="shared" si="12"/>
        <v>339096.77999999997</v>
      </c>
    </row>
    <row r="27" spans="1:21">
      <c r="A27" s="55">
        <v>24</v>
      </c>
      <c r="B27" s="55" t="s">
        <v>320</v>
      </c>
      <c r="C27" s="55" t="s">
        <v>321</v>
      </c>
      <c r="D27" s="55" t="s">
        <v>322</v>
      </c>
      <c r="E27" s="75" t="s">
        <v>362</v>
      </c>
      <c r="F27" s="55" t="s">
        <v>365</v>
      </c>
      <c r="G27" s="55">
        <v>917226001</v>
      </c>
      <c r="H27" s="55" t="s">
        <v>366</v>
      </c>
      <c r="I27" s="55">
        <v>63.43</v>
      </c>
      <c r="J27" s="111">
        <v>5301</v>
      </c>
      <c r="K27" s="111">
        <v>4444</v>
      </c>
      <c r="L27" s="111">
        <v>6912</v>
      </c>
      <c r="M27" s="111">
        <v>4114</v>
      </c>
      <c r="N27" s="111">
        <v>5163</v>
      </c>
      <c r="O27" s="111">
        <v>5346</v>
      </c>
      <c r="P27" s="2">
        <f t="shared" si="7"/>
        <v>336242.43</v>
      </c>
      <c r="Q27" s="2">
        <f t="shared" si="8"/>
        <v>281882.92</v>
      </c>
      <c r="R27" s="2">
        <f t="shared" si="9"/>
        <v>438428.15999999997</v>
      </c>
      <c r="S27" s="2">
        <f t="shared" si="10"/>
        <v>260951.02</v>
      </c>
      <c r="T27" s="2">
        <f t="shared" si="11"/>
        <v>327489.09000000003</v>
      </c>
      <c r="U27" s="2">
        <f t="shared" si="12"/>
        <v>339096.77999999997</v>
      </c>
    </row>
    <row r="28" spans="1:21">
      <c r="A28" s="55">
        <v>25</v>
      </c>
      <c r="B28" s="55" t="s">
        <v>320</v>
      </c>
      <c r="C28" s="55" t="s">
        <v>321</v>
      </c>
      <c r="D28" s="55" t="s">
        <v>322</v>
      </c>
      <c r="E28" s="75" t="s">
        <v>362</v>
      </c>
      <c r="F28" s="55" t="s">
        <v>367</v>
      </c>
      <c r="G28" s="55">
        <v>917203001</v>
      </c>
      <c r="H28" s="55" t="s">
        <v>368</v>
      </c>
      <c r="I28" s="55">
        <v>41.68</v>
      </c>
      <c r="J28" s="111">
        <v>5301</v>
      </c>
      <c r="K28" s="111">
        <v>4444</v>
      </c>
      <c r="L28" s="111">
        <v>6912</v>
      </c>
      <c r="M28" s="111">
        <v>4114</v>
      </c>
      <c r="N28" s="111">
        <v>5163</v>
      </c>
      <c r="O28" s="111">
        <v>5346</v>
      </c>
      <c r="P28" s="2">
        <f t="shared" si="7"/>
        <v>220945.68</v>
      </c>
      <c r="Q28" s="2">
        <f t="shared" si="8"/>
        <v>185225.92</v>
      </c>
      <c r="R28" s="2">
        <f t="shared" si="9"/>
        <v>288092.15999999997</v>
      </c>
      <c r="S28" s="2">
        <f t="shared" si="10"/>
        <v>171471.52</v>
      </c>
      <c r="T28" s="2">
        <f t="shared" si="11"/>
        <v>215193.84</v>
      </c>
      <c r="U28" s="2">
        <f t="shared" si="12"/>
        <v>222821.28</v>
      </c>
    </row>
    <row r="29" spans="1:21">
      <c r="A29" s="55">
        <v>26</v>
      </c>
      <c r="B29" s="55" t="s">
        <v>320</v>
      </c>
      <c r="C29" s="55" t="s">
        <v>321</v>
      </c>
      <c r="D29" s="55" t="s">
        <v>322</v>
      </c>
      <c r="E29" s="75" t="s">
        <v>362</v>
      </c>
      <c r="F29" s="55" t="s">
        <v>369</v>
      </c>
      <c r="G29" s="55">
        <v>917204002</v>
      </c>
      <c r="H29" s="55" t="s">
        <v>370</v>
      </c>
      <c r="I29" s="55">
        <v>456.04</v>
      </c>
      <c r="J29" s="111">
        <v>5301</v>
      </c>
      <c r="K29" s="111">
        <v>4444</v>
      </c>
      <c r="L29" s="111">
        <v>6912</v>
      </c>
      <c r="M29" s="111">
        <v>4114</v>
      </c>
      <c r="N29" s="111">
        <v>5163</v>
      </c>
      <c r="O29" s="111">
        <v>5346</v>
      </c>
      <c r="P29" s="2">
        <f t="shared" si="7"/>
        <v>2417468.04</v>
      </c>
      <c r="Q29" s="2">
        <f t="shared" si="8"/>
        <v>2026641.76</v>
      </c>
      <c r="R29" s="2">
        <f t="shared" si="9"/>
        <v>3152148.48</v>
      </c>
      <c r="S29" s="2">
        <f t="shared" si="10"/>
        <v>1876148.56</v>
      </c>
      <c r="T29" s="2">
        <f t="shared" si="11"/>
        <v>2354534.52</v>
      </c>
      <c r="U29" s="2">
        <f t="shared" si="12"/>
        <v>2437989.8400000003</v>
      </c>
    </row>
    <row r="30" spans="1:21">
      <c r="A30" s="55">
        <v>27</v>
      </c>
      <c r="B30" s="55" t="s">
        <v>320</v>
      </c>
      <c r="C30" s="55" t="s">
        <v>321</v>
      </c>
      <c r="D30" s="55" t="s">
        <v>322</v>
      </c>
      <c r="E30" s="75" t="s">
        <v>362</v>
      </c>
      <c r="F30" s="55" t="s">
        <v>371</v>
      </c>
      <c r="G30" s="55">
        <v>917204001</v>
      </c>
      <c r="H30" s="55" t="s">
        <v>370</v>
      </c>
      <c r="I30" s="55">
        <v>456.04</v>
      </c>
      <c r="J30" s="111">
        <v>5301</v>
      </c>
      <c r="K30" s="111">
        <v>4444</v>
      </c>
      <c r="L30" s="111">
        <v>6912</v>
      </c>
      <c r="M30" s="111">
        <v>4114</v>
      </c>
      <c r="N30" s="111">
        <v>5163</v>
      </c>
      <c r="O30" s="111">
        <v>5346</v>
      </c>
      <c r="P30" s="2">
        <f t="shared" si="7"/>
        <v>2417468.04</v>
      </c>
      <c r="Q30" s="2">
        <f t="shared" si="8"/>
        <v>2026641.76</v>
      </c>
      <c r="R30" s="2">
        <f t="shared" si="9"/>
        <v>3152148.48</v>
      </c>
      <c r="S30" s="2">
        <f t="shared" si="10"/>
        <v>1876148.56</v>
      </c>
      <c r="T30" s="2">
        <f t="shared" si="11"/>
        <v>2354534.52</v>
      </c>
      <c r="U30" s="2">
        <f t="shared" si="12"/>
        <v>2437989.8400000003</v>
      </c>
    </row>
    <row r="31" spans="1:21">
      <c r="A31" s="55">
        <v>28</v>
      </c>
      <c r="B31" s="55" t="s">
        <v>320</v>
      </c>
      <c r="C31" s="55" t="s">
        <v>321</v>
      </c>
      <c r="D31" s="55" t="s">
        <v>322</v>
      </c>
      <c r="E31" s="75" t="s">
        <v>362</v>
      </c>
      <c r="F31" s="55" t="s">
        <v>372</v>
      </c>
      <c r="G31" s="55">
        <v>917201002</v>
      </c>
      <c r="H31" s="55" t="s">
        <v>373</v>
      </c>
      <c r="I31" s="55">
        <v>251.78</v>
      </c>
      <c r="J31" s="111">
        <v>5301</v>
      </c>
      <c r="K31" s="111">
        <v>4444</v>
      </c>
      <c r="L31" s="111">
        <v>6912</v>
      </c>
      <c r="M31" s="111">
        <v>4114</v>
      </c>
      <c r="N31" s="111">
        <v>5163</v>
      </c>
      <c r="O31" s="111">
        <v>5346</v>
      </c>
      <c r="P31" s="2">
        <f t="shared" si="7"/>
        <v>1334685.78</v>
      </c>
      <c r="Q31" s="2">
        <f t="shared" si="8"/>
        <v>1118910.32</v>
      </c>
      <c r="R31" s="2">
        <f t="shared" si="9"/>
        <v>1740303.3600000001</v>
      </c>
      <c r="S31" s="2">
        <f t="shared" si="10"/>
        <v>1035822.92</v>
      </c>
      <c r="T31" s="2">
        <f t="shared" si="11"/>
        <v>1299940.1399999999</v>
      </c>
      <c r="U31" s="2">
        <f t="shared" si="12"/>
        <v>1346015.8800000001</v>
      </c>
    </row>
    <row r="32" spans="1:21">
      <c r="A32" s="55">
        <v>29</v>
      </c>
      <c r="B32" s="55" t="s">
        <v>320</v>
      </c>
      <c r="C32" s="55" t="s">
        <v>321</v>
      </c>
      <c r="D32" s="55" t="s">
        <v>322</v>
      </c>
      <c r="E32" s="75" t="s">
        <v>362</v>
      </c>
      <c r="F32" s="55" t="s">
        <v>374</v>
      </c>
      <c r="G32" s="55">
        <v>917201001</v>
      </c>
      <c r="H32" s="55" t="s">
        <v>375</v>
      </c>
      <c r="I32" s="55">
        <v>251.78</v>
      </c>
      <c r="J32" s="111">
        <v>5301</v>
      </c>
      <c r="K32" s="111">
        <v>4444</v>
      </c>
      <c r="L32" s="111">
        <v>6912</v>
      </c>
      <c r="M32" s="111">
        <v>4114</v>
      </c>
      <c r="N32" s="111">
        <v>5163</v>
      </c>
      <c r="O32" s="111">
        <v>5346</v>
      </c>
      <c r="P32" s="2">
        <f t="shared" si="7"/>
        <v>1334685.78</v>
      </c>
      <c r="Q32" s="2">
        <f t="shared" si="8"/>
        <v>1118910.32</v>
      </c>
      <c r="R32" s="2">
        <f t="shared" si="9"/>
        <v>1740303.3600000001</v>
      </c>
      <c r="S32" s="2">
        <f t="shared" si="10"/>
        <v>1035822.92</v>
      </c>
      <c r="T32" s="2">
        <f t="shared" si="11"/>
        <v>1299940.1399999999</v>
      </c>
      <c r="U32" s="2">
        <f t="shared" si="12"/>
        <v>1346015.8800000001</v>
      </c>
    </row>
    <row r="33" spans="1:21">
      <c r="A33" s="55">
        <v>30</v>
      </c>
      <c r="B33" s="55" t="s">
        <v>320</v>
      </c>
      <c r="C33" s="55" t="s">
        <v>321</v>
      </c>
      <c r="D33" s="55" t="s">
        <v>322</v>
      </c>
      <c r="E33" s="75" t="s">
        <v>362</v>
      </c>
      <c r="F33" s="55" t="s">
        <v>376</v>
      </c>
      <c r="G33" s="55">
        <v>917204004</v>
      </c>
      <c r="H33" s="55" t="s">
        <v>377</v>
      </c>
      <c r="I33" s="55">
        <v>365.92</v>
      </c>
      <c r="J33" s="111">
        <v>5301</v>
      </c>
      <c r="K33" s="111">
        <v>4444</v>
      </c>
      <c r="L33" s="111">
        <v>6912</v>
      </c>
      <c r="M33" s="111">
        <v>4114</v>
      </c>
      <c r="N33" s="111">
        <v>5163</v>
      </c>
      <c r="O33" s="111">
        <v>5346</v>
      </c>
      <c r="P33" s="2">
        <f t="shared" si="7"/>
        <v>1939741.9200000002</v>
      </c>
      <c r="Q33" s="2">
        <f t="shared" si="8"/>
        <v>1626148.48</v>
      </c>
      <c r="R33" s="2">
        <f t="shared" si="9"/>
        <v>2529239.04</v>
      </c>
      <c r="S33" s="2">
        <f t="shared" si="10"/>
        <v>1505394.8800000001</v>
      </c>
      <c r="T33" s="2">
        <f t="shared" si="11"/>
        <v>1889244.9600000002</v>
      </c>
      <c r="U33" s="2">
        <f t="shared" si="12"/>
        <v>1956208.32</v>
      </c>
    </row>
    <row r="34" spans="1:21">
      <c r="A34" s="55">
        <v>31</v>
      </c>
      <c r="B34" s="55" t="s">
        <v>320</v>
      </c>
      <c r="C34" s="55" t="s">
        <v>321</v>
      </c>
      <c r="D34" s="55" t="s">
        <v>322</v>
      </c>
      <c r="E34" s="75" t="s">
        <v>362</v>
      </c>
      <c r="F34" s="55" t="s">
        <v>378</v>
      </c>
      <c r="G34" s="55">
        <v>917204003</v>
      </c>
      <c r="H34" s="55" t="s">
        <v>377</v>
      </c>
      <c r="I34" s="55">
        <v>365.92</v>
      </c>
      <c r="J34" s="111">
        <v>5301</v>
      </c>
      <c r="K34" s="111">
        <v>4444</v>
      </c>
      <c r="L34" s="111">
        <v>6912</v>
      </c>
      <c r="M34" s="111">
        <v>4114</v>
      </c>
      <c r="N34" s="111">
        <v>5163</v>
      </c>
      <c r="O34" s="111">
        <v>5346</v>
      </c>
      <c r="P34" s="2">
        <f t="shared" si="7"/>
        <v>1939741.9200000002</v>
      </c>
      <c r="Q34" s="2">
        <f t="shared" si="8"/>
        <v>1626148.48</v>
      </c>
      <c r="R34" s="2">
        <f t="shared" si="9"/>
        <v>2529239.04</v>
      </c>
      <c r="S34" s="2">
        <f t="shared" si="10"/>
        <v>1505394.8800000001</v>
      </c>
      <c r="T34" s="2">
        <f t="shared" si="11"/>
        <v>1889244.9600000002</v>
      </c>
      <c r="U34" s="2">
        <f t="shared" si="12"/>
        <v>1956208.32</v>
      </c>
    </row>
    <row r="35" spans="1:21">
      <c r="A35" s="55">
        <v>32</v>
      </c>
      <c r="B35" s="55" t="s">
        <v>320</v>
      </c>
      <c r="C35" s="55" t="s">
        <v>321</v>
      </c>
      <c r="D35" s="55" t="s">
        <v>322</v>
      </c>
      <c r="E35" s="75" t="s">
        <v>362</v>
      </c>
      <c r="F35" s="55" t="s">
        <v>379</v>
      </c>
      <c r="G35" s="55">
        <v>917201004</v>
      </c>
      <c r="H35" s="55" t="s">
        <v>380</v>
      </c>
      <c r="I35" s="55">
        <v>239.53</v>
      </c>
      <c r="J35" s="111">
        <v>5301</v>
      </c>
      <c r="K35" s="111">
        <v>4444</v>
      </c>
      <c r="L35" s="111">
        <v>6912</v>
      </c>
      <c r="M35" s="111">
        <v>4114</v>
      </c>
      <c r="N35" s="111">
        <v>5163</v>
      </c>
      <c r="O35" s="111">
        <v>5346</v>
      </c>
      <c r="P35" s="2">
        <f t="shared" si="7"/>
        <v>1269748.53</v>
      </c>
      <c r="Q35" s="2">
        <f t="shared" si="8"/>
        <v>1064471.32</v>
      </c>
      <c r="R35" s="2">
        <f t="shared" si="9"/>
        <v>1655631.36</v>
      </c>
      <c r="S35" s="2">
        <f t="shared" si="10"/>
        <v>985426.42</v>
      </c>
      <c r="T35" s="2">
        <f t="shared" si="11"/>
        <v>1236693.3899999999</v>
      </c>
      <c r="U35" s="2">
        <f t="shared" si="12"/>
        <v>1280527.3800000001</v>
      </c>
    </row>
    <row r="36" spans="1:21">
      <c r="A36" s="55">
        <v>33</v>
      </c>
      <c r="B36" s="55" t="s">
        <v>320</v>
      </c>
      <c r="C36" s="55" t="s">
        <v>321</v>
      </c>
      <c r="D36" s="55" t="s">
        <v>322</v>
      </c>
      <c r="E36" s="75" t="s">
        <v>362</v>
      </c>
      <c r="F36" s="55" t="s">
        <v>381</v>
      </c>
      <c r="G36" s="55">
        <v>917201003</v>
      </c>
      <c r="H36" s="55" t="s">
        <v>380</v>
      </c>
      <c r="I36" s="55">
        <v>239.53</v>
      </c>
      <c r="J36" s="111">
        <v>5301</v>
      </c>
      <c r="K36" s="111">
        <v>4444</v>
      </c>
      <c r="L36" s="111">
        <v>6912</v>
      </c>
      <c r="M36" s="111">
        <v>4114</v>
      </c>
      <c r="N36" s="111">
        <v>5163</v>
      </c>
      <c r="O36" s="111">
        <v>5346</v>
      </c>
      <c r="P36" s="2">
        <f t="shared" si="7"/>
        <v>1269748.53</v>
      </c>
      <c r="Q36" s="2">
        <f t="shared" si="8"/>
        <v>1064471.32</v>
      </c>
      <c r="R36" s="2">
        <f t="shared" si="9"/>
        <v>1655631.36</v>
      </c>
      <c r="S36" s="2">
        <f t="shared" si="10"/>
        <v>985426.42</v>
      </c>
      <c r="T36" s="2">
        <f t="shared" si="11"/>
        <v>1236693.3899999999</v>
      </c>
      <c r="U36" s="2">
        <f t="shared" si="12"/>
        <v>1280527.3800000001</v>
      </c>
    </row>
    <row r="37" spans="1:21">
      <c r="A37" s="55">
        <v>34</v>
      </c>
      <c r="B37" s="55" t="s">
        <v>320</v>
      </c>
      <c r="C37" s="55" t="s">
        <v>321</v>
      </c>
      <c r="D37" s="55" t="s">
        <v>322</v>
      </c>
      <c r="E37" s="75" t="s">
        <v>362</v>
      </c>
      <c r="F37" s="55" t="s">
        <v>382</v>
      </c>
      <c r="G37" s="55">
        <v>917218001</v>
      </c>
      <c r="H37" s="55" t="s">
        <v>383</v>
      </c>
      <c r="I37" s="55">
        <v>206.91</v>
      </c>
      <c r="J37" s="111">
        <v>5301</v>
      </c>
      <c r="K37" s="111">
        <v>4444</v>
      </c>
      <c r="L37" s="111">
        <v>6912</v>
      </c>
      <c r="M37" s="111">
        <v>4114</v>
      </c>
      <c r="N37" s="111">
        <v>5163</v>
      </c>
      <c r="O37" s="111">
        <v>5346</v>
      </c>
      <c r="P37" s="2">
        <f t="shared" si="7"/>
        <v>1096829.9099999999</v>
      </c>
      <c r="Q37" s="2">
        <f t="shared" si="8"/>
        <v>919508.04</v>
      </c>
      <c r="R37" s="2">
        <f t="shared" si="9"/>
        <v>1430161.92</v>
      </c>
      <c r="S37" s="2">
        <f t="shared" si="10"/>
        <v>851227.74</v>
      </c>
      <c r="T37" s="2">
        <f t="shared" si="11"/>
        <v>1068276.33</v>
      </c>
      <c r="U37" s="2">
        <f t="shared" si="12"/>
        <v>1106140.8599999999</v>
      </c>
    </row>
    <row r="38" spans="1:21">
      <c r="A38" s="55">
        <v>35</v>
      </c>
      <c r="B38" s="55" t="s">
        <v>320</v>
      </c>
      <c r="C38" s="55" t="s">
        <v>321</v>
      </c>
      <c r="D38" s="55" t="s">
        <v>322</v>
      </c>
      <c r="E38" s="75" t="s">
        <v>384</v>
      </c>
      <c r="F38" s="55" t="s">
        <v>385</v>
      </c>
      <c r="G38" s="55">
        <v>918703001</v>
      </c>
      <c r="H38" s="55" t="s">
        <v>386</v>
      </c>
      <c r="I38" s="55">
        <v>74.150000000000006</v>
      </c>
      <c r="J38" s="111">
        <v>100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2">
        <f t="shared" si="7"/>
        <v>7415.0000000000009</v>
      </c>
      <c r="Q38" s="2">
        <f t="shared" si="8"/>
        <v>0</v>
      </c>
      <c r="R38" s="2">
        <f t="shared" si="9"/>
        <v>0</v>
      </c>
      <c r="S38" s="2">
        <f t="shared" si="10"/>
        <v>0</v>
      </c>
      <c r="T38" s="2">
        <f t="shared" si="11"/>
        <v>0</v>
      </c>
      <c r="U38" s="2">
        <f t="shared" si="12"/>
        <v>0</v>
      </c>
    </row>
    <row r="39" spans="1:21">
      <c r="A39" s="55">
        <v>36</v>
      </c>
      <c r="B39" s="55" t="s">
        <v>320</v>
      </c>
      <c r="C39" s="55" t="s">
        <v>321</v>
      </c>
      <c r="D39" s="55" t="s">
        <v>322</v>
      </c>
      <c r="E39" s="75" t="s">
        <v>387</v>
      </c>
      <c r="F39" s="55" t="s">
        <v>388</v>
      </c>
      <c r="G39" s="55">
        <v>917920002</v>
      </c>
      <c r="H39" s="55" t="s">
        <v>389</v>
      </c>
      <c r="I39" s="55">
        <v>14.67</v>
      </c>
      <c r="J39" s="111">
        <v>3394</v>
      </c>
      <c r="K39" s="111">
        <v>3136</v>
      </c>
      <c r="L39" s="111">
        <v>4152</v>
      </c>
      <c r="M39" s="111">
        <v>2622</v>
      </c>
      <c r="N39" s="111">
        <v>3624</v>
      </c>
      <c r="O39" s="111">
        <v>3916</v>
      </c>
      <c r="P39" s="2">
        <f t="shared" si="7"/>
        <v>49789.98</v>
      </c>
      <c r="Q39" s="2">
        <f t="shared" si="8"/>
        <v>46005.120000000003</v>
      </c>
      <c r="R39" s="2">
        <f t="shared" si="9"/>
        <v>60909.84</v>
      </c>
      <c r="S39" s="2">
        <f t="shared" si="10"/>
        <v>38464.74</v>
      </c>
      <c r="T39" s="2">
        <f t="shared" si="11"/>
        <v>53164.08</v>
      </c>
      <c r="U39" s="2">
        <f t="shared" si="12"/>
        <v>57447.72</v>
      </c>
    </row>
    <row r="40" spans="1:21">
      <c r="A40" s="55">
        <v>37</v>
      </c>
      <c r="B40" s="55" t="s">
        <v>320</v>
      </c>
      <c r="C40" s="55" t="s">
        <v>321</v>
      </c>
      <c r="D40" s="55" t="s">
        <v>322</v>
      </c>
      <c r="E40" s="75" t="s">
        <v>387</v>
      </c>
      <c r="F40" s="55" t="s">
        <v>390</v>
      </c>
      <c r="G40" s="55">
        <v>917920003</v>
      </c>
      <c r="H40" s="55" t="s">
        <v>391</v>
      </c>
      <c r="I40" s="55">
        <v>14.67</v>
      </c>
      <c r="J40" s="111">
        <v>3394</v>
      </c>
      <c r="K40" s="111">
        <v>3136</v>
      </c>
      <c r="L40" s="111">
        <v>4152</v>
      </c>
      <c r="M40" s="111">
        <v>2622</v>
      </c>
      <c r="N40" s="111">
        <v>3624</v>
      </c>
      <c r="O40" s="111">
        <v>3916</v>
      </c>
      <c r="P40" s="2">
        <f t="shared" si="7"/>
        <v>49789.98</v>
      </c>
      <c r="Q40" s="2">
        <f t="shared" si="8"/>
        <v>46005.120000000003</v>
      </c>
      <c r="R40" s="2">
        <f t="shared" si="9"/>
        <v>60909.84</v>
      </c>
      <c r="S40" s="2">
        <f t="shared" si="10"/>
        <v>38464.74</v>
      </c>
      <c r="T40" s="2">
        <f t="shared" si="11"/>
        <v>53164.08</v>
      </c>
      <c r="U40" s="2">
        <f t="shared" si="12"/>
        <v>57447.72</v>
      </c>
    </row>
    <row r="41" spans="1:21">
      <c r="A41" s="55">
        <v>38</v>
      </c>
      <c r="B41" s="55" t="s">
        <v>320</v>
      </c>
      <c r="C41" s="55" t="s">
        <v>321</v>
      </c>
      <c r="D41" s="55" t="s">
        <v>322</v>
      </c>
      <c r="E41" s="75" t="s">
        <v>387</v>
      </c>
      <c r="F41" s="55" t="s">
        <v>392</v>
      </c>
      <c r="G41" s="55">
        <v>917901004</v>
      </c>
      <c r="H41" s="55" t="s">
        <v>347</v>
      </c>
      <c r="I41" s="55">
        <v>233.56</v>
      </c>
      <c r="J41" s="111">
        <v>3394</v>
      </c>
      <c r="K41" s="111">
        <v>3136</v>
      </c>
      <c r="L41" s="111">
        <v>4152</v>
      </c>
      <c r="M41" s="111">
        <v>2622</v>
      </c>
      <c r="N41" s="111">
        <v>3624</v>
      </c>
      <c r="O41" s="111">
        <v>3916</v>
      </c>
      <c r="P41" s="2">
        <f t="shared" si="7"/>
        <v>792702.64</v>
      </c>
      <c r="Q41" s="2">
        <f t="shared" si="8"/>
        <v>732444.16000000003</v>
      </c>
      <c r="R41" s="2">
        <f t="shared" si="9"/>
        <v>969741.12</v>
      </c>
      <c r="S41" s="2">
        <f t="shared" si="10"/>
        <v>612394.31999999995</v>
      </c>
      <c r="T41" s="2">
        <f t="shared" si="11"/>
        <v>846421.44000000006</v>
      </c>
      <c r="U41" s="2">
        <f t="shared" si="12"/>
        <v>914620.96</v>
      </c>
    </row>
    <row r="42" spans="1:21">
      <c r="A42" s="55">
        <v>39</v>
      </c>
      <c r="B42" s="55" t="s">
        <v>320</v>
      </c>
      <c r="C42" s="55" t="s">
        <v>321</v>
      </c>
      <c r="D42" s="55" t="s">
        <v>322</v>
      </c>
      <c r="E42" s="75" t="s">
        <v>387</v>
      </c>
      <c r="F42" s="55" t="s">
        <v>393</v>
      </c>
      <c r="G42" s="55">
        <v>917901003</v>
      </c>
      <c r="H42" s="55" t="s">
        <v>347</v>
      </c>
      <c r="I42" s="55">
        <v>233.56</v>
      </c>
      <c r="J42" s="111">
        <v>3394</v>
      </c>
      <c r="K42" s="111">
        <v>3136</v>
      </c>
      <c r="L42" s="111">
        <v>4152</v>
      </c>
      <c r="M42" s="111">
        <v>2622</v>
      </c>
      <c r="N42" s="111">
        <v>3624</v>
      </c>
      <c r="O42" s="111">
        <v>3916</v>
      </c>
      <c r="P42" s="2">
        <f t="shared" si="7"/>
        <v>792702.64</v>
      </c>
      <c r="Q42" s="2">
        <f t="shared" si="8"/>
        <v>732444.16000000003</v>
      </c>
      <c r="R42" s="2">
        <f t="shared" si="9"/>
        <v>969741.12</v>
      </c>
      <c r="S42" s="2">
        <f t="shared" si="10"/>
        <v>612394.31999999995</v>
      </c>
      <c r="T42" s="2">
        <f t="shared" si="11"/>
        <v>846421.44000000006</v>
      </c>
      <c r="U42" s="2">
        <f t="shared" si="12"/>
        <v>914620.96</v>
      </c>
    </row>
    <row r="43" spans="1:21">
      <c r="A43" s="55">
        <v>40</v>
      </c>
      <c r="B43" s="55" t="s">
        <v>320</v>
      </c>
      <c r="C43" s="55" t="s">
        <v>321</v>
      </c>
      <c r="D43" s="55" t="s">
        <v>322</v>
      </c>
      <c r="E43" s="75" t="s">
        <v>387</v>
      </c>
      <c r="F43" s="55" t="s">
        <v>394</v>
      </c>
      <c r="G43" s="55">
        <v>917904002</v>
      </c>
      <c r="H43" s="55" t="s">
        <v>333</v>
      </c>
      <c r="I43" s="55">
        <v>374.53</v>
      </c>
      <c r="J43" s="111">
        <v>3394</v>
      </c>
      <c r="K43" s="111">
        <v>3136</v>
      </c>
      <c r="L43" s="111">
        <v>4152</v>
      </c>
      <c r="M43" s="111">
        <v>2622</v>
      </c>
      <c r="N43" s="111">
        <v>3624</v>
      </c>
      <c r="O43" s="111">
        <v>3916</v>
      </c>
      <c r="P43" s="2">
        <f t="shared" si="7"/>
        <v>1271154.8199999998</v>
      </c>
      <c r="Q43" s="2">
        <f t="shared" si="8"/>
        <v>1174526.0799999998</v>
      </c>
      <c r="R43" s="2">
        <f t="shared" si="9"/>
        <v>1555048.5599999998</v>
      </c>
      <c r="S43" s="2">
        <f t="shared" si="10"/>
        <v>982017.65999999992</v>
      </c>
      <c r="T43" s="2">
        <f t="shared" si="11"/>
        <v>1357296.72</v>
      </c>
      <c r="U43" s="2">
        <f t="shared" si="12"/>
        <v>1466659.48</v>
      </c>
    </row>
    <row r="44" spans="1:21">
      <c r="A44" s="55">
        <v>41</v>
      </c>
      <c r="B44" s="55" t="s">
        <v>320</v>
      </c>
      <c r="C44" s="55" t="s">
        <v>321</v>
      </c>
      <c r="D44" s="55" t="s">
        <v>322</v>
      </c>
      <c r="E44" s="75" t="s">
        <v>387</v>
      </c>
      <c r="F44" s="55" t="s">
        <v>395</v>
      </c>
      <c r="G44" s="55">
        <v>917904001</v>
      </c>
      <c r="H44" s="55" t="s">
        <v>335</v>
      </c>
      <c r="I44" s="55">
        <v>374.53</v>
      </c>
      <c r="J44" s="111">
        <v>3394</v>
      </c>
      <c r="K44" s="111">
        <v>3136</v>
      </c>
      <c r="L44" s="111">
        <v>4152</v>
      </c>
      <c r="M44" s="111">
        <v>2622</v>
      </c>
      <c r="N44" s="111">
        <v>3624</v>
      </c>
      <c r="O44" s="111">
        <v>3916</v>
      </c>
      <c r="P44" s="2">
        <f t="shared" si="7"/>
        <v>1271154.8199999998</v>
      </c>
      <c r="Q44" s="2">
        <f t="shared" si="8"/>
        <v>1174526.0799999998</v>
      </c>
      <c r="R44" s="2">
        <f t="shared" si="9"/>
        <v>1555048.5599999998</v>
      </c>
      <c r="S44" s="2">
        <f t="shared" si="10"/>
        <v>982017.65999999992</v>
      </c>
      <c r="T44" s="2">
        <f t="shared" si="11"/>
        <v>1357296.72</v>
      </c>
      <c r="U44" s="2">
        <f t="shared" si="12"/>
        <v>1466659.48</v>
      </c>
    </row>
    <row r="45" spans="1:21">
      <c r="A45" s="55">
        <v>42</v>
      </c>
      <c r="B45" s="55" t="s">
        <v>320</v>
      </c>
      <c r="C45" s="55" t="s">
        <v>321</v>
      </c>
      <c r="D45" s="55" t="s">
        <v>322</v>
      </c>
      <c r="E45" s="75" t="s">
        <v>387</v>
      </c>
      <c r="F45" s="55" t="s">
        <v>396</v>
      </c>
      <c r="G45" s="55">
        <v>917901002</v>
      </c>
      <c r="H45" s="55" t="s">
        <v>337</v>
      </c>
      <c r="I45" s="55">
        <v>239.69</v>
      </c>
      <c r="J45" s="111">
        <v>3394</v>
      </c>
      <c r="K45" s="111">
        <v>3136</v>
      </c>
      <c r="L45" s="111">
        <v>4152</v>
      </c>
      <c r="M45" s="111">
        <v>2622</v>
      </c>
      <c r="N45" s="111">
        <v>3624</v>
      </c>
      <c r="O45" s="111">
        <v>3916</v>
      </c>
      <c r="P45" s="2">
        <f t="shared" si="7"/>
        <v>813507.86</v>
      </c>
      <c r="Q45" s="2">
        <f t="shared" si="8"/>
        <v>751667.84</v>
      </c>
      <c r="R45" s="2">
        <f t="shared" si="9"/>
        <v>995192.88</v>
      </c>
      <c r="S45" s="2">
        <f t="shared" si="10"/>
        <v>628467.18000000005</v>
      </c>
      <c r="T45" s="2">
        <f t="shared" si="11"/>
        <v>868636.55999999994</v>
      </c>
      <c r="U45" s="2">
        <f t="shared" si="12"/>
        <v>938626.04</v>
      </c>
    </row>
    <row r="46" spans="1:21">
      <c r="A46" s="55">
        <v>43</v>
      </c>
      <c r="B46" s="55" t="s">
        <v>320</v>
      </c>
      <c r="C46" s="55" t="s">
        <v>321</v>
      </c>
      <c r="D46" s="55" t="s">
        <v>322</v>
      </c>
      <c r="E46" s="75" t="s">
        <v>387</v>
      </c>
      <c r="F46" s="55" t="s">
        <v>397</v>
      </c>
      <c r="G46" s="55">
        <v>917901001</v>
      </c>
      <c r="H46" s="55" t="s">
        <v>353</v>
      </c>
      <c r="I46" s="55">
        <v>239.69</v>
      </c>
      <c r="J46" s="111">
        <v>3394</v>
      </c>
      <c r="K46" s="111">
        <v>3136</v>
      </c>
      <c r="L46" s="111">
        <v>4152</v>
      </c>
      <c r="M46" s="111">
        <v>2622</v>
      </c>
      <c r="N46" s="111">
        <v>3624</v>
      </c>
      <c r="O46" s="111">
        <v>3916</v>
      </c>
      <c r="P46" s="2">
        <f t="shared" si="7"/>
        <v>813507.86</v>
      </c>
      <c r="Q46" s="2">
        <f t="shared" si="8"/>
        <v>751667.84</v>
      </c>
      <c r="R46" s="2">
        <f t="shared" si="9"/>
        <v>995192.88</v>
      </c>
      <c r="S46" s="2">
        <f t="shared" si="10"/>
        <v>628467.18000000005</v>
      </c>
      <c r="T46" s="2">
        <f t="shared" si="11"/>
        <v>868636.55999999994</v>
      </c>
      <c r="U46" s="2">
        <f t="shared" si="12"/>
        <v>938626.04</v>
      </c>
    </row>
    <row r="47" spans="1:21">
      <c r="A47" s="55">
        <v>44</v>
      </c>
      <c r="B47" s="55" t="s">
        <v>320</v>
      </c>
      <c r="C47" s="55" t="s">
        <v>321</v>
      </c>
      <c r="D47" s="55" t="s">
        <v>322</v>
      </c>
      <c r="E47" s="75" t="s">
        <v>387</v>
      </c>
      <c r="F47" s="55" t="s">
        <v>398</v>
      </c>
      <c r="G47" s="55">
        <v>917904003</v>
      </c>
      <c r="H47" s="55" t="s">
        <v>339</v>
      </c>
      <c r="I47" s="55">
        <v>384.84</v>
      </c>
      <c r="J47" s="111">
        <v>3394</v>
      </c>
      <c r="K47" s="111">
        <v>3136</v>
      </c>
      <c r="L47" s="111">
        <v>4152</v>
      </c>
      <c r="M47" s="111">
        <v>2622</v>
      </c>
      <c r="N47" s="111">
        <v>3624</v>
      </c>
      <c r="O47" s="111">
        <v>3916</v>
      </c>
      <c r="P47" s="2">
        <f t="shared" si="7"/>
        <v>1306146.96</v>
      </c>
      <c r="Q47" s="2">
        <f t="shared" si="8"/>
        <v>1206858.24</v>
      </c>
      <c r="R47" s="2">
        <f t="shared" si="9"/>
        <v>1597855.68</v>
      </c>
      <c r="S47" s="2">
        <f t="shared" si="10"/>
        <v>1009050.48</v>
      </c>
      <c r="T47" s="2">
        <f t="shared" si="11"/>
        <v>1394660.16</v>
      </c>
      <c r="U47" s="2">
        <f t="shared" si="12"/>
        <v>1507033.44</v>
      </c>
    </row>
    <row r="48" spans="1:21">
      <c r="A48" s="55">
        <v>45</v>
      </c>
      <c r="B48" s="55" t="s">
        <v>320</v>
      </c>
      <c r="C48" s="55" t="s">
        <v>321</v>
      </c>
      <c r="D48" s="55" t="s">
        <v>322</v>
      </c>
      <c r="E48" s="75" t="s">
        <v>387</v>
      </c>
      <c r="F48" s="55" t="s">
        <v>399</v>
      </c>
      <c r="G48" s="55">
        <v>917904004</v>
      </c>
      <c r="H48" s="55" t="s">
        <v>341</v>
      </c>
      <c r="I48" s="55">
        <v>384.84</v>
      </c>
      <c r="J48" s="111">
        <v>3394</v>
      </c>
      <c r="K48" s="111">
        <v>3136</v>
      </c>
      <c r="L48" s="111">
        <v>4152</v>
      </c>
      <c r="M48" s="111">
        <v>2622</v>
      </c>
      <c r="N48" s="111">
        <v>3624</v>
      </c>
      <c r="O48" s="111">
        <v>3916</v>
      </c>
      <c r="P48" s="2">
        <f t="shared" si="7"/>
        <v>1306146.96</v>
      </c>
      <c r="Q48" s="2">
        <f t="shared" si="8"/>
        <v>1206858.24</v>
      </c>
      <c r="R48" s="2">
        <f t="shared" si="9"/>
        <v>1597855.68</v>
      </c>
      <c r="S48" s="2">
        <f t="shared" si="10"/>
        <v>1009050.48</v>
      </c>
      <c r="T48" s="2">
        <f t="shared" si="11"/>
        <v>1394660.16</v>
      </c>
      <c r="U48" s="2">
        <f t="shared" si="12"/>
        <v>1507033.44</v>
      </c>
    </row>
    <row r="49" spans="1:21">
      <c r="A49" s="55">
        <v>46</v>
      </c>
      <c r="B49" s="55" t="s">
        <v>320</v>
      </c>
      <c r="C49" s="55" t="s">
        <v>321</v>
      </c>
      <c r="D49" s="55" t="s">
        <v>322</v>
      </c>
      <c r="E49" s="75" t="s">
        <v>387</v>
      </c>
      <c r="F49" s="55" t="s">
        <v>400</v>
      </c>
      <c r="G49" s="55">
        <v>917918001</v>
      </c>
      <c r="H49" s="55" t="s">
        <v>343</v>
      </c>
      <c r="I49" s="55">
        <v>214.98</v>
      </c>
      <c r="J49" s="111">
        <v>3394</v>
      </c>
      <c r="K49" s="111">
        <v>3136</v>
      </c>
      <c r="L49" s="111">
        <v>4152</v>
      </c>
      <c r="M49" s="111">
        <v>2622</v>
      </c>
      <c r="N49" s="111">
        <v>3624</v>
      </c>
      <c r="O49" s="111">
        <v>3916</v>
      </c>
      <c r="P49" s="2">
        <f t="shared" si="7"/>
        <v>729642.12</v>
      </c>
      <c r="Q49" s="2">
        <f t="shared" si="8"/>
        <v>674177.27999999991</v>
      </c>
      <c r="R49" s="2">
        <f t="shared" si="9"/>
        <v>892596.96</v>
      </c>
      <c r="S49" s="2">
        <f t="shared" si="10"/>
        <v>563677.55999999994</v>
      </c>
      <c r="T49" s="2">
        <f t="shared" si="11"/>
        <v>779087.52</v>
      </c>
      <c r="U49" s="2">
        <f t="shared" si="12"/>
        <v>841861.67999999993</v>
      </c>
    </row>
    <row r="50" spans="1:21">
      <c r="A50" s="55">
        <v>47</v>
      </c>
      <c r="B50" s="55" t="s">
        <v>320</v>
      </c>
      <c r="C50" s="55" t="s">
        <v>401</v>
      </c>
      <c r="D50" s="55" t="s">
        <v>402</v>
      </c>
      <c r="E50" s="75" t="s">
        <v>403</v>
      </c>
      <c r="F50" s="55" t="s">
        <v>404</v>
      </c>
      <c r="G50" s="55">
        <v>914503003</v>
      </c>
      <c r="H50" s="55" t="s">
        <v>405</v>
      </c>
      <c r="I50" s="55">
        <v>36.01</v>
      </c>
      <c r="J50" s="111">
        <v>10500</v>
      </c>
      <c r="K50" s="111">
        <v>5600</v>
      </c>
      <c r="L50" s="111">
        <v>10500</v>
      </c>
      <c r="M50" s="111">
        <v>9500</v>
      </c>
      <c r="N50" s="111">
        <v>11500</v>
      </c>
      <c r="O50" s="111">
        <v>11500</v>
      </c>
      <c r="P50" s="2">
        <f t="shared" si="7"/>
        <v>378105</v>
      </c>
      <c r="Q50" s="2">
        <f t="shared" si="8"/>
        <v>201656</v>
      </c>
      <c r="R50" s="2">
        <f t="shared" si="9"/>
        <v>378105</v>
      </c>
      <c r="S50" s="2">
        <f t="shared" si="10"/>
        <v>342095</v>
      </c>
      <c r="T50" s="2">
        <f t="shared" si="11"/>
        <v>414115</v>
      </c>
      <c r="U50" s="2">
        <f t="shared" si="12"/>
        <v>414115</v>
      </c>
    </row>
    <row r="51" spans="1:21">
      <c r="A51" s="55">
        <v>48</v>
      </c>
      <c r="B51" s="55" t="s">
        <v>320</v>
      </c>
      <c r="C51" s="55" t="s">
        <v>401</v>
      </c>
      <c r="D51" s="55" t="s">
        <v>402</v>
      </c>
      <c r="E51" s="75" t="s">
        <v>403</v>
      </c>
      <c r="F51" s="55" t="s">
        <v>406</v>
      </c>
      <c r="G51" s="55">
        <v>915704005</v>
      </c>
      <c r="H51" s="55" t="s">
        <v>407</v>
      </c>
      <c r="I51" s="55">
        <v>697.72</v>
      </c>
      <c r="J51" s="111">
        <v>10500</v>
      </c>
      <c r="K51" s="111">
        <v>5600</v>
      </c>
      <c r="L51" s="111">
        <v>10500</v>
      </c>
      <c r="M51" s="111">
        <v>9500</v>
      </c>
      <c r="N51" s="111">
        <v>11500</v>
      </c>
      <c r="O51" s="111">
        <v>11500</v>
      </c>
      <c r="P51" s="2">
        <f t="shared" si="7"/>
        <v>7326060</v>
      </c>
      <c r="Q51" s="2">
        <f t="shared" si="8"/>
        <v>3907232</v>
      </c>
      <c r="R51" s="2">
        <f t="shared" si="9"/>
        <v>7326060</v>
      </c>
      <c r="S51" s="2">
        <f t="shared" si="10"/>
        <v>6628340</v>
      </c>
      <c r="T51" s="2">
        <f t="shared" si="11"/>
        <v>8023780</v>
      </c>
      <c r="U51" s="2">
        <f t="shared" si="12"/>
        <v>8023780</v>
      </c>
    </row>
    <row r="52" spans="1:21">
      <c r="A52" s="55">
        <v>49</v>
      </c>
      <c r="B52" s="55" t="s">
        <v>320</v>
      </c>
      <c r="C52" s="55" t="s">
        <v>401</v>
      </c>
      <c r="D52" s="55" t="s">
        <v>402</v>
      </c>
      <c r="E52" s="75" t="s">
        <v>403</v>
      </c>
      <c r="F52" s="55" t="s">
        <v>408</v>
      </c>
      <c r="G52" s="55">
        <v>915704006</v>
      </c>
      <c r="H52" s="55" t="s">
        <v>409</v>
      </c>
      <c r="I52" s="55">
        <v>688.72</v>
      </c>
      <c r="J52" s="111">
        <v>10500</v>
      </c>
      <c r="K52" s="111">
        <v>5600</v>
      </c>
      <c r="L52" s="111">
        <v>10500</v>
      </c>
      <c r="M52" s="111">
        <v>9500</v>
      </c>
      <c r="N52" s="111">
        <v>11500</v>
      </c>
      <c r="O52" s="111">
        <v>11500</v>
      </c>
      <c r="P52" s="2">
        <f t="shared" si="7"/>
        <v>7231560</v>
      </c>
      <c r="Q52" s="2">
        <f t="shared" si="8"/>
        <v>3856832</v>
      </c>
      <c r="R52" s="2">
        <f t="shared" si="9"/>
        <v>7231560</v>
      </c>
      <c r="S52" s="2">
        <f t="shared" si="10"/>
        <v>6542840</v>
      </c>
      <c r="T52" s="2">
        <f t="shared" si="11"/>
        <v>7920280</v>
      </c>
      <c r="U52" s="2">
        <f t="shared" si="12"/>
        <v>7920280</v>
      </c>
    </row>
    <row r="53" spans="1:21">
      <c r="A53" s="55">
        <v>50</v>
      </c>
      <c r="B53" s="55" t="s">
        <v>320</v>
      </c>
      <c r="C53" s="55" t="s">
        <v>410</v>
      </c>
      <c r="D53" s="55" t="s">
        <v>322</v>
      </c>
      <c r="E53" s="75" t="s">
        <v>411</v>
      </c>
      <c r="F53" s="55" t="s">
        <v>412</v>
      </c>
      <c r="G53" s="55">
        <v>919203001</v>
      </c>
      <c r="H53" s="55" t="s">
        <v>413</v>
      </c>
      <c r="I53" s="55">
        <v>39.22</v>
      </c>
      <c r="J53" s="111">
        <v>13000</v>
      </c>
      <c r="K53" s="111">
        <v>12000</v>
      </c>
      <c r="L53" s="111">
        <v>12000</v>
      </c>
      <c r="M53" s="111">
        <v>12000</v>
      </c>
      <c r="N53" s="111">
        <v>11000</v>
      </c>
      <c r="O53" s="111">
        <v>11000</v>
      </c>
      <c r="P53" s="2">
        <f t="shared" si="7"/>
        <v>509860</v>
      </c>
      <c r="Q53" s="2">
        <f t="shared" si="8"/>
        <v>470640</v>
      </c>
      <c r="R53" s="2">
        <f t="shared" si="9"/>
        <v>470640</v>
      </c>
      <c r="S53" s="2">
        <f t="shared" si="10"/>
        <v>470640</v>
      </c>
      <c r="T53" s="2">
        <f t="shared" si="11"/>
        <v>431420</v>
      </c>
      <c r="U53" s="2">
        <f t="shared" si="12"/>
        <v>431420</v>
      </c>
    </row>
    <row r="54" spans="1:21">
      <c r="A54" s="55">
        <v>51</v>
      </c>
      <c r="B54" s="55" t="s">
        <v>320</v>
      </c>
      <c r="C54" s="55" t="s">
        <v>414</v>
      </c>
      <c r="D54" s="55" t="s">
        <v>322</v>
      </c>
      <c r="E54" s="75" t="s">
        <v>415</v>
      </c>
      <c r="F54" s="55" t="s">
        <v>336</v>
      </c>
      <c r="G54" s="55">
        <v>915717006</v>
      </c>
      <c r="H54" s="55" t="s">
        <v>1225</v>
      </c>
      <c r="I54" s="55">
        <v>229.02</v>
      </c>
      <c r="J54" s="111">
        <v>217</v>
      </c>
      <c r="K54" s="111">
        <v>168</v>
      </c>
      <c r="L54" s="111">
        <v>169</v>
      </c>
      <c r="M54" s="111">
        <v>168</v>
      </c>
      <c r="N54" s="111">
        <v>168</v>
      </c>
      <c r="O54" s="111">
        <v>169</v>
      </c>
      <c r="P54" s="2">
        <f t="shared" si="7"/>
        <v>49697.340000000004</v>
      </c>
      <c r="Q54" s="2">
        <f t="shared" si="8"/>
        <v>38475.360000000001</v>
      </c>
      <c r="R54" s="2">
        <f t="shared" si="9"/>
        <v>38704.380000000005</v>
      </c>
      <c r="S54" s="2">
        <f t="shared" si="10"/>
        <v>38475.360000000001</v>
      </c>
      <c r="T54" s="2">
        <f t="shared" si="11"/>
        <v>38475.360000000001</v>
      </c>
      <c r="U54" s="2">
        <f t="shared" si="12"/>
        <v>38704.380000000005</v>
      </c>
    </row>
    <row r="55" spans="1:21">
      <c r="A55" s="55">
        <v>52</v>
      </c>
      <c r="B55" s="55" t="s">
        <v>320</v>
      </c>
      <c r="C55" s="55" t="s">
        <v>414</v>
      </c>
      <c r="D55" s="55" t="s">
        <v>322</v>
      </c>
      <c r="E55" s="75" t="s">
        <v>415</v>
      </c>
      <c r="F55" s="55" t="s">
        <v>416</v>
      </c>
      <c r="G55" s="55">
        <v>915717009</v>
      </c>
      <c r="H55" s="55" t="s">
        <v>417</v>
      </c>
      <c r="I55" s="55">
        <v>205.39</v>
      </c>
      <c r="J55" s="111">
        <v>88</v>
      </c>
      <c r="K55" s="111">
        <v>101</v>
      </c>
      <c r="L55" s="111">
        <v>101</v>
      </c>
      <c r="M55" s="111">
        <v>101</v>
      </c>
      <c r="N55" s="111">
        <v>101</v>
      </c>
      <c r="O55" s="111">
        <v>101</v>
      </c>
      <c r="P55" s="2">
        <f t="shared" si="7"/>
        <v>18074.32</v>
      </c>
      <c r="Q55" s="2">
        <f t="shared" si="8"/>
        <v>20744.39</v>
      </c>
      <c r="R55" s="2">
        <f t="shared" si="9"/>
        <v>20744.39</v>
      </c>
      <c r="S55" s="2">
        <f t="shared" si="10"/>
        <v>20744.39</v>
      </c>
      <c r="T55" s="2">
        <f t="shared" si="11"/>
        <v>20744.39</v>
      </c>
      <c r="U55" s="2">
        <f t="shared" si="12"/>
        <v>20744.39</v>
      </c>
    </row>
    <row r="56" spans="1:21">
      <c r="A56" s="55">
        <v>53</v>
      </c>
      <c r="B56" s="55" t="s">
        <v>320</v>
      </c>
      <c r="C56" s="55" t="s">
        <v>414</v>
      </c>
      <c r="D56" s="55" t="s">
        <v>322</v>
      </c>
      <c r="E56" s="75" t="s">
        <v>415</v>
      </c>
      <c r="F56" s="55" t="s">
        <v>418</v>
      </c>
      <c r="G56" s="55">
        <v>915717008</v>
      </c>
      <c r="H56" s="55" t="s">
        <v>419</v>
      </c>
      <c r="I56" s="55">
        <v>212.47</v>
      </c>
      <c r="J56" s="111">
        <v>92</v>
      </c>
      <c r="K56" s="111">
        <v>92</v>
      </c>
      <c r="L56" s="111">
        <v>92</v>
      </c>
      <c r="M56" s="111">
        <v>92</v>
      </c>
      <c r="N56" s="111">
        <v>92</v>
      </c>
      <c r="O56" s="111">
        <v>92</v>
      </c>
      <c r="P56" s="2">
        <f t="shared" si="7"/>
        <v>19547.240000000002</v>
      </c>
      <c r="Q56" s="2">
        <f t="shared" si="8"/>
        <v>19547.240000000002</v>
      </c>
      <c r="R56" s="2">
        <f t="shared" si="9"/>
        <v>19547.240000000002</v>
      </c>
      <c r="S56" s="2">
        <f t="shared" si="10"/>
        <v>19547.240000000002</v>
      </c>
      <c r="T56" s="2">
        <f t="shared" si="11"/>
        <v>19547.240000000002</v>
      </c>
      <c r="U56" s="2">
        <f t="shared" si="12"/>
        <v>19547.240000000002</v>
      </c>
    </row>
    <row r="57" spans="1:21">
      <c r="A57" s="55">
        <v>54</v>
      </c>
      <c r="B57" s="55" t="s">
        <v>320</v>
      </c>
      <c r="C57" s="55" t="s">
        <v>414</v>
      </c>
      <c r="D57" s="55" t="s">
        <v>322</v>
      </c>
      <c r="E57" s="75" t="s">
        <v>415</v>
      </c>
      <c r="F57" s="55" t="s">
        <v>342</v>
      </c>
      <c r="G57" s="55">
        <v>915717001</v>
      </c>
      <c r="H57" s="55" t="s">
        <v>1226</v>
      </c>
      <c r="I57" s="55">
        <v>142.19</v>
      </c>
      <c r="J57" s="111">
        <v>61</v>
      </c>
      <c r="K57" s="111">
        <v>65</v>
      </c>
      <c r="L57" s="111">
        <v>65</v>
      </c>
      <c r="M57" s="111">
        <v>66</v>
      </c>
      <c r="N57" s="111">
        <v>65</v>
      </c>
      <c r="O57" s="111">
        <v>65</v>
      </c>
      <c r="P57" s="2">
        <f t="shared" si="7"/>
        <v>8673.59</v>
      </c>
      <c r="Q57" s="2">
        <f t="shared" si="8"/>
        <v>9242.35</v>
      </c>
      <c r="R57" s="2">
        <f t="shared" si="9"/>
        <v>9242.35</v>
      </c>
      <c r="S57" s="2">
        <f t="shared" si="10"/>
        <v>9384.5399999999991</v>
      </c>
      <c r="T57" s="2">
        <f t="shared" si="11"/>
        <v>9242.35</v>
      </c>
      <c r="U57" s="2">
        <f t="shared" si="12"/>
        <v>9242.35</v>
      </c>
    </row>
    <row r="58" spans="1:21">
      <c r="A58" s="55">
        <v>55</v>
      </c>
      <c r="B58" s="55" t="s">
        <v>320</v>
      </c>
      <c r="C58" s="55" t="s">
        <v>414</v>
      </c>
      <c r="D58" s="55" t="s">
        <v>322</v>
      </c>
      <c r="E58" s="75" t="s">
        <v>420</v>
      </c>
      <c r="F58" s="55" t="s">
        <v>421</v>
      </c>
      <c r="G58" s="55">
        <v>916801013</v>
      </c>
      <c r="H58" s="55" t="s">
        <v>422</v>
      </c>
      <c r="I58" s="55">
        <v>345.46</v>
      </c>
      <c r="J58" s="111">
        <v>86</v>
      </c>
      <c r="K58" s="111">
        <v>86</v>
      </c>
      <c r="L58" s="111">
        <v>85</v>
      </c>
      <c r="M58" s="111">
        <v>86</v>
      </c>
      <c r="N58" s="111">
        <v>86</v>
      </c>
      <c r="O58" s="111">
        <v>86</v>
      </c>
      <c r="P58" s="2">
        <f t="shared" si="7"/>
        <v>29709.559999999998</v>
      </c>
      <c r="Q58" s="2">
        <f t="shared" si="8"/>
        <v>29709.559999999998</v>
      </c>
      <c r="R58" s="2">
        <f t="shared" si="9"/>
        <v>29364.1</v>
      </c>
      <c r="S58" s="2">
        <f t="shared" si="10"/>
        <v>29709.559999999998</v>
      </c>
      <c r="T58" s="2">
        <f t="shared" si="11"/>
        <v>29709.559999999998</v>
      </c>
      <c r="U58" s="2">
        <f t="shared" si="12"/>
        <v>29709.559999999998</v>
      </c>
    </row>
    <row r="59" spans="1:21">
      <c r="A59" s="55">
        <v>56</v>
      </c>
      <c r="B59" s="55" t="s">
        <v>320</v>
      </c>
      <c r="C59" s="55" t="s">
        <v>414</v>
      </c>
      <c r="D59" s="55" t="s">
        <v>322</v>
      </c>
      <c r="E59" s="75" t="s">
        <v>415</v>
      </c>
      <c r="F59" s="55" t="s">
        <v>423</v>
      </c>
      <c r="G59" s="55">
        <v>915717007</v>
      </c>
      <c r="H59" s="55" t="s">
        <v>424</v>
      </c>
      <c r="I59" s="55">
        <v>232.47000000000003</v>
      </c>
      <c r="J59" s="111">
        <v>58</v>
      </c>
      <c r="K59" s="111">
        <v>80</v>
      </c>
      <c r="L59" s="111">
        <v>80</v>
      </c>
      <c r="M59" s="111">
        <v>80</v>
      </c>
      <c r="N59" s="111">
        <v>80</v>
      </c>
      <c r="O59" s="111">
        <v>80</v>
      </c>
      <c r="P59" s="2">
        <f t="shared" si="7"/>
        <v>13483.260000000002</v>
      </c>
      <c r="Q59" s="2">
        <f t="shared" si="8"/>
        <v>18597.600000000002</v>
      </c>
      <c r="R59" s="2">
        <f t="shared" si="9"/>
        <v>18597.600000000002</v>
      </c>
      <c r="S59" s="2">
        <f t="shared" si="10"/>
        <v>18597.600000000002</v>
      </c>
      <c r="T59" s="2">
        <f t="shared" si="11"/>
        <v>18597.600000000002</v>
      </c>
      <c r="U59" s="2">
        <f t="shared" si="12"/>
        <v>18597.600000000002</v>
      </c>
    </row>
    <row r="60" spans="1:21">
      <c r="A60" s="55">
        <v>57</v>
      </c>
      <c r="B60" s="55" t="s">
        <v>320</v>
      </c>
      <c r="C60" s="55" t="s">
        <v>414</v>
      </c>
      <c r="D60" s="55" t="s">
        <v>322</v>
      </c>
      <c r="E60" s="75" t="s">
        <v>420</v>
      </c>
      <c r="F60" s="55" t="s">
        <v>425</v>
      </c>
      <c r="G60" s="55">
        <v>916801011</v>
      </c>
      <c r="H60" s="55" t="s">
        <v>426</v>
      </c>
      <c r="I60" s="55">
        <v>319.94</v>
      </c>
      <c r="J60" s="111">
        <v>41</v>
      </c>
      <c r="K60" s="111">
        <v>41</v>
      </c>
      <c r="L60" s="111">
        <v>41</v>
      </c>
      <c r="M60" s="111">
        <v>41</v>
      </c>
      <c r="N60" s="111">
        <v>41</v>
      </c>
      <c r="O60" s="111">
        <v>41</v>
      </c>
      <c r="P60" s="2">
        <f t="shared" si="7"/>
        <v>13117.539999999999</v>
      </c>
      <c r="Q60" s="2">
        <f t="shared" si="8"/>
        <v>13117.539999999999</v>
      </c>
      <c r="R60" s="2">
        <f t="shared" si="9"/>
        <v>13117.539999999999</v>
      </c>
      <c r="S60" s="2">
        <f t="shared" si="10"/>
        <v>13117.539999999999</v>
      </c>
      <c r="T60" s="2">
        <f t="shared" si="11"/>
        <v>13117.539999999999</v>
      </c>
      <c r="U60" s="2">
        <f t="shared" si="12"/>
        <v>13117.539999999999</v>
      </c>
    </row>
    <row r="61" spans="1:21">
      <c r="A61" s="55">
        <v>58</v>
      </c>
      <c r="B61" s="55" t="s">
        <v>320</v>
      </c>
      <c r="C61" s="55" t="s">
        <v>414</v>
      </c>
      <c r="D61" s="55" t="s">
        <v>322</v>
      </c>
      <c r="E61" s="75" t="s">
        <v>420</v>
      </c>
      <c r="F61" s="55" t="s">
        <v>427</v>
      </c>
      <c r="G61" s="55">
        <v>916801012</v>
      </c>
      <c r="H61" s="55" t="s">
        <v>428</v>
      </c>
      <c r="I61" s="55">
        <v>317.74</v>
      </c>
      <c r="J61" s="111">
        <v>43</v>
      </c>
      <c r="K61" s="111">
        <v>43</v>
      </c>
      <c r="L61" s="111">
        <v>43</v>
      </c>
      <c r="M61" s="111">
        <v>42</v>
      </c>
      <c r="N61" s="111">
        <v>43</v>
      </c>
      <c r="O61" s="111">
        <v>43</v>
      </c>
      <c r="P61" s="2">
        <f t="shared" si="7"/>
        <v>13662.82</v>
      </c>
      <c r="Q61" s="2">
        <f t="shared" si="8"/>
        <v>13662.82</v>
      </c>
      <c r="R61" s="2">
        <f t="shared" si="9"/>
        <v>13662.82</v>
      </c>
      <c r="S61" s="2">
        <f t="shared" si="10"/>
        <v>13345.08</v>
      </c>
      <c r="T61" s="2">
        <f t="shared" si="11"/>
        <v>13662.82</v>
      </c>
      <c r="U61" s="2">
        <f t="shared" si="12"/>
        <v>13662.82</v>
      </c>
    </row>
    <row r="62" spans="1:21">
      <c r="A62" s="55">
        <v>59</v>
      </c>
      <c r="B62" s="55" t="s">
        <v>320</v>
      </c>
      <c r="C62" s="55" t="s">
        <v>414</v>
      </c>
      <c r="D62" s="55" t="s">
        <v>322</v>
      </c>
      <c r="E62" s="75" t="s">
        <v>415</v>
      </c>
      <c r="F62" s="55" t="s">
        <v>332</v>
      </c>
      <c r="G62" s="55">
        <v>915704001</v>
      </c>
      <c r="H62" s="55" t="s">
        <v>429</v>
      </c>
      <c r="I62" s="55">
        <v>310.27999999999997</v>
      </c>
      <c r="J62" s="111">
        <v>25</v>
      </c>
      <c r="K62" s="111">
        <v>25</v>
      </c>
      <c r="L62" s="111">
        <v>25</v>
      </c>
      <c r="M62" s="111">
        <v>26</v>
      </c>
      <c r="N62" s="111">
        <v>25</v>
      </c>
      <c r="O62" s="111">
        <v>25</v>
      </c>
      <c r="P62" s="2">
        <f t="shared" si="7"/>
        <v>7756.9999999999991</v>
      </c>
      <c r="Q62" s="2">
        <f t="shared" si="8"/>
        <v>7756.9999999999991</v>
      </c>
      <c r="R62" s="2">
        <f t="shared" si="9"/>
        <v>7756.9999999999991</v>
      </c>
      <c r="S62" s="2">
        <f t="shared" si="10"/>
        <v>8067.2799999999988</v>
      </c>
      <c r="T62" s="2">
        <f t="shared" si="11"/>
        <v>7756.9999999999991</v>
      </c>
      <c r="U62" s="2">
        <f t="shared" si="12"/>
        <v>7756.9999999999991</v>
      </c>
    </row>
    <row r="63" spans="1:21">
      <c r="A63" s="55">
        <v>60</v>
      </c>
      <c r="B63" s="55" t="s">
        <v>320</v>
      </c>
      <c r="C63" s="55" t="s">
        <v>414</v>
      </c>
      <c r="D63" s="55" t="s">
        <v>322</v>
      </c>
      <c r="E63" s="75" t="s">
        <v>415</v>
      </c>
      <c r="F63" s="55" t="s">
        <v>334</v>
      </c>
      <c r="G63" s="55">
        <v>915704002</v>
      </c>
      <c r="H63" s="55" t="s">
        <v>430</v>
      </c>
      <c r="I63" s="55">
        <v>310.27999999999997</v>
      </c>
      <c r="J63" s="111">
        <v>25</v>
      </c>
      <c r="K63" s="111">
        <v>25</v>
      </c>
      <c r="L63" s="111">
        <v>25</v>
      </c>
      <c r="M63" s="111">
        <v>0</v>
      </c>
      <c r="N63" s="111">
        <v>25</v>
      </c>
      <c r="O63" s="111">
        <v>25</v>
      </c>
      <c r="P63" s="2">
        <f t="shared" si="7"/>
        <v>7756.9999999999991</v>
      </c>
      <c r="Q63" s="2">
        <f t="shared" si="8"/>
        <v>7756.9999999999991</v>
      </c>
      <c r="R63" s="2">
        <f t="shared" si="9"/>
        <v>7756.9999999999991</v>
      </c>
      <c r="S63" s="2">
        <f t="shared" si="10"/>
        <v>0</v>
      </c>
      <c r="T63" s="2">
        <f t="shared" si="11"/>
        <v>7756.9999999999991</v>
      </c>
      <c r="U63" s="2">
        <f t="shared" si="12"/>
        <v>7756.9999999999991</v>
      </c>
    </row>
    <row r="64" spans="1:21">
      <c r="A64" s="55">
        <v>61</v>
      </c>
      <c r="B64" s="55" t="s">
        <v>320</v>
      </c>
      <c r="C64" s="55" t="s">
        <v>414</v>
      </c>
      <c r="D64" s="55" t="s">
        <v>322</v>
      </c>
      <c r="E64" s="75" t="s">
        <v>420</v>
      </c>
      <c r="F64" s="55" t="s">
        <v>431</v>
      </c>
      <c r="G64" s="55">
        <v>916805009</v>
      </c>
      <c r="H64" s="55" t="s">
        <v>432</v>
      </c>
      <c r="I64" s="55">
        <v>59.77</v>
      </c>
      <c r="J64" s="111">
        <v>22</v>
      </c>
      <c r="K64" s="111">
        <v>21</v>
      </c>
      <c r="L64" s="111">
        <v>22</v>
      </c>
      <c r="M64" s="111">
        <v>22</v>
      </c>
      <c r="N64" s="111">
        <v>22</v>
      </c>
      <c r="O64" s="111">
        <v>22</v>
      </c>
      <c r="P64" s="2">
        <f t="shared" si="7"/>
        <v>1314.94</v>
      </c>
      <c r="Q64" s="2">
        <f t="shared" si="8"/>
        <v>1255.17</v>
      </c>
      <c r="R64" s="2">
        <f t="shared" si="9"/>
        <v>1314.94</v>
      </c>
      <c r="S64" s="2">
        <f t="shared" si="10"/>
        <v>1314.94</v>
      </c>
      <c r="T64" s="2">
        <f t="shared" si="11"/>
        <v>1314.94</v>
      </c>
      <c r="U64" s="2">
        <f t="shared" si="12"/>
        <v>1314.94</v>
      </c>
    </row>
    <row r="65" spans="1:21">
      <c r="A65" s="55">
        <v>62</v>
      </c>
      <c r="B65" s="55" t="s">
        <v>320</v>
      </c>
      <c r="C65" s="55" t="s">
        <v>414</v>
      </c>
      <c r="D65" s="55" t="s">
        <v>322</v>
      </c>
      <c r="E65" s="75" t="s">
        <v>433</v>
      </c>
      <c r="F65" s="55" t="s">
        <v>434</v>
      </c>
      <c r="G65" s="55">
        <v>919110001</v>
      </c>
      <c r="H65" s="55" t="s">
        <v>435</v>
      </c>
      <c r="I65" s="55">
        <v>177.19</v>
      </c>
      <c r="J65" s="111">
        <v>13</v>
      </c>
      <c r="K65" s="111">
        <v>24</v>
      </c>
      <c r="L65" s="111">
        <v>25</v>
      </c>
      <c r="M65" s="111">
        <v>24</v>
      </c>
      <c r="N65" s="111">
        <v>24</v>
      </c>
      <c r="O65" s="111">
        <v>24</v>
      </c>
      <c r="P65" s="2">
        <f t="shared" si="7"/>
        <v>2303.4699999999998</v>
      </c>
      <c r="Q65" s="2">
        <f t="shared" si="8"/>
        <v>4252.5599999999995</v>
      </c>
      <c r="R65" s="2">
        <f t="shared" si="9"/>
        <v>4429.75</v>
      </c>
      <c r="S65" s="2">
        <f t="shared" si="10"/>
        <v>4252.5599999999995</v>
      </c>
      <c r="T65" s="2">
        <f t="shared" si="11"/>
        <v>4252.5599999999995</v>
      </c>
      <c r="U65" s="2">
        <f t="shared" si="12"/>
        <v>4252.5599999999995</v>
      </c>
    </row>
    <row r="66" spans="1:21">
      <c r="A66" s="55">
        <v>63</v>
      </c>
      <c r="B66" s="55" t="s">
        <v>320</v>
      </c>
      <c r="C66" s="55" t="s">
        <v>414</v>
      </c>
      <c r="D66" s="55" t="s">
        <v>322</v>
      </c>
      <c r="E66" s="75" t="s">
        <v>420</v>
      </c>
      <c r="F66" s="55" t="s">
        <v>436</v>
      </c>
      <c r="G66" s="55">
        <v>916805013</v>
      </c>
      <c r="H66" s="55" t="s">
        <v>437</v>
      </c>
      <c r="I66" s="55">
        <v>59.949999999999996</v>
      </c>
      <c r="J66" s="111">
        <v>15</v>
      </c>
      <c r="K66" s="111">
        <v>14</v>
      </c>
      <c r="L66" s="111">
        <v>15</v>
      </c>
      <c r="M66" s="111">
        <v>15</v>
      </c>
      <c r="N66" s="111">
        <v>14</v>
      </c>
      <c r="O66" s="111">
        <v>15</v>
      </c>
      <c r="P66" s="2">
        <f t="shared" si="7"/>
        <v>899.24999999999989</v>
      </c>
      <c r="Q66" s="2">
        <f t="shared" si="8"/>
        <v>839.3</v>
      </c>
      <c r="R66" s="2">
        <f t="shared" si="9"/>
        <v>899.24999999999989</v>
      </c>
      <c r="S66" s="2">
        <f t="shared" si="10"/>
        <v>899.24999999999989</v>
      </c>
      <c r="T66" s="2">
        <f t="shared" si="11"/>
        <v>839.3</v>
      </c>
      <c r="U66" s="2">
        <f t="shared" si="12"/>
        <v>899.24999999999989</v>
      </c>
    </row>
    <row r="67" spans="1:21">
      <c r="A67" s="55">
        <v>64</v>
      </c>
      <c r="B67" s="55" t="s">
        <v>320</v>
      </c>
      <c r="C67" s="55" t="s">
        <v>414</v>
      </c>
      <c r="D67" s="55" t="s">
        <v>322</v>
      </c>
      <c r="E67" s="75" t="s">
        <v>420</v>
      </c>
      <c r="F67" s="55" t="s">
        <v>438</v>
      </c>
      <c r="G67" s="55">
        <v>913702003</v>
      </c>
      <c r="H67" s="55" t="s">
        <v>439</v>
      </c>
      <c r="I67" s="55">
        <v>283.59999999999997</v>
      </c>
      <c r="J67" s="111">
        <v>20</v>
      </c>
      <c r="K67" s="111">
        <v>19</v>
      </c>
      <c r="L67" s="111">
        <v>20</v>
      </c>
      <c r="M67" s="111">
        <v>20</v>
      </c>
      <c r="N67" s="111">
        <v>19</v>
      </c>
      <c r="O67" s="111">
        <v>20</v>
      </c>
      <c r="P67" s="2">
        <f t="shared" si="7"/>
        <v>5671.9999999999991</v>
      </c>
      <c r="Q67" s="2">
        <f t="shared" si="8"/>
        <v>5388.4</v>
      </c>
      <c r="R67" s="2">
        <f t="shared" si="9"/>
        <v>5671.9999999999991</v>
      </c>
      <c r="S67" s="2">
        <f t="shared" si="10"/>
        <v>5671.9999999999991</v>
      </c>
      <c r="T67" s="2">
        <f t="shared" si="11"/>
        <v>5388.4</v>
      </c>
      <c r="U67" s="2">
        <f t="shared" si="12"/>
        <v>5671.9999999999991</v>
      </c>
    </row>
    <row r="68" spans="1:21">
      <c r="A68" s="55">
        <v>65</v>
      </c>
      <c r="B68" s="55" t="s">
        <v>320</v>
      </c>
      <c r="C68" s="55" t="s">
        <v>414</v>
      </c>
      <c r="D68" s="55" t="s">
        <v>322</v>
      </c>
      <c r="E68" s="75" t="s">
        <v>415</v>
      </c>
      <c r="F68" s="55" t="s">
        <v>338</v>
      </c>
      <c r="G68" s="55">
        <v>915704003</v>
      </c>
      <c r="H68" s="55" t="s">
        <v>440</v>
      </c>
      <c r="I68" s="55">
        <v>251.66</v>
      </c>
      <c r="J68" s="111">
        <v>8</v>
      </c>
      <c r="K68" s="111">
        <v>8</v>
      </c>
      <c r="L68" s="111">
        <v>8</v>
      </c>
      <c r="M68" s="111">
        <v>8</v>
      </c>
      <c r="N68" s="111">
        <v>8</v>
      </c>
      <c r="O68" s="111">
        <v>7</v>
      </c>
      <c r="P68" s="2">
        <f t="shared" si="7"/>
        <v>2013.28</v>
      </c>
      <c r="Q68" s="2">
        <f t="shared" si="8"/>
        <v>2013.28</v>
      </c>
      <c r="R68" s="2">
        <f t="shared" si="9"/>
        <v>2013.28</v>
      </c>
      <c r="S68" s="2">
        <f t="shared" si="10"/>
        <v>2013.28</v>
      </c>
      <c r="T68" s="2">
        <f t="shared" si="11"/>
        <v>2013.28</v>
      </c>
      <c r="U68" s="2">
        <f t="shared" si="12"/>
        <v>1761.62</v>
      </c>
    </row>
    <row r="69" spans="1:21">
      <c r="A69" s="55">
        <v>66</v>
      </c>
      <c r="B69" s="55" t="s">
        <v>320</v>
      </c>
      <c r="C69" s="55" t="s">
        <v>414</v>
      </c>
      <c r="D69" s="55" t="s">
        <v>322</v>
      </c>
      <c r="E69" s="75" t="s">
        <v>433</v>
      </c>
      <c r="F69" s="55" t="s">
        <v>350</v>
      </c>
      <c r="G69" s="55">
        <v>919104001</v>
      </c>
      <c r="H69" s="55" t="s">
        <v>430</v>
      </c>
      <c r="I69" s="55">
        <v>347.52</v>
      </c>
      <c r="J69" s="111">
        <v>18</v>
      </c>
      <c r="K69" s="111">
        <v>16</v>
      </c>
      <c r="L69" s="111">
        <v>16</v>
      </c>
      <c r="M69" s="111">
        <v>16</v>
      </c>
      <c r="N69" s="111">
        <v>15</v>
      </c>
      <c r="O69" s="111">
        <v>16</v>
      </c>
      <c r="P69" s="2">
        <f t="shared" ref="P69:P132" si="13">J69*I69</f>
        <v>6255.36</v>
      </c>
      <c r="Q69" s="2">
        <f t="shared" ref="Q69:Q132" si="14">K69*I69</f>
        <v>5560.32</v>
      </c>
      <c r="R69" s="2">
        <f t="shared" ref="R69:R132" si="15">L69*I69</f>
        <v>5560.32</v>
      </c>
      <c r="S69" s="2">
        <f t="shared" ref="S69:S132" si="16">M69*I69</f>
        <v>5560.32</v>
      </c>
      <c r="T69" s="2">
        <f t="shared" ref="T69:T132" si="17">N69*I69</f>
        <v>5212.7999999999993</v>
      </c>
      <c r="U69" s="2">
        <f t="shared" ref="U69:U132" si="18">O69*I69</f>
        <v>5560.32</v>
      </c>
    </row>
    <row r="70" spans="1:21">
      <c r="A70" s="55">
        <v>67</v>
      </c>
      <c r="B70" s="55" t="s">
        <v>320</v>
      </c>
      <c r="C70" s="55" t="s">
        <v>414</v>
      </c>
      <c r="D70" s="55" t="s">
        <v>322</v>
      </c>
      <c r="E70" s="75" t="s">
        <v>420</v>
      </c>
      <c r="F70" s="55" t="s">
        <v>441</v>
      </c>
      <c r="G70" s="55">
        <v>916805017</v>
      </c>
      <c r="H70" s="55" t="s">
        <v>442</v>
      </c>
      <c r="I70" s="55">
        <v>58.7</v>
      </c>
      <c r="J70" s="111">
        <v>14</v>
      </c>
      <c r="K70" s="111">
        <v>14</v>
      </c>
      <c r="L70" s="111">
        <v>14</v>
      </c>
      <c r="M70" s="111">
        <v>14</v>
      </c>
      <c r="N70" s="111">
        <v>14</v>
      </c>
      <c r="O70" s="111">
        <v>15</v>
      </c>
      <c r="P70" s="2">
        <f t="shared" si="13"/>
        <v>821.80000000000007</v>
      </c>
      <c r="Q70" s="2">
        <f t="shared" si="14"/>
        <v>821.80000000000007</v>
      </c>
      <c r="R70" s="2">
        <f t="shared" si="15"/>
        <v>821.80000000000007</v>
      </c>
      <c r="S70" s="2">
        <f t="shared" si="16"/>
        <v>821.80000000000007</v>
      </c>
      <c r="T70" s="2">
        <f t="shared" si="17"/>
        <v>821.80000000000007</v>
      </c>
      <c r="U70" s="2">
        <f t="shared" si="18"/>
        <v>880.5</v>
      </c>
    </row>
    <row r="71" spans="1:21">
      <c r="A71" s="55">
        <v>68</v>
      </c>
      <c r="B71" s="55" t="s">
        <v>320</v>
      </c>
      <c r="C71" s="55" t="s">
        <v>414</v>
      </c>
      <c r="D71" s="55" t="s">
        <v>322</v>
      </c>
      <c r="E71" s="75" t="s">
        <v>415</v>
      </c>
      <c r="F71" s="55" t="s">
        <v>340</v>
      </c>
      <c r="G71" s="55">
        <v>915704004</v>
      </c>
      <c r="H71" s="55" t="s">
        <v>443</v>
      </c>
      <c r="I71" s="55">
        <v>251.66</v>
      </c>
      <c r="J71" s="111">
        <v>7</v>
      </c>
      <c r="K71" s="111">
        <v>8</v>
      </c>
      <c r="L71" s="111">
        <v>7</v>
      </c>
      <c r="M71" s="111">
        <v>8</v>
      </c>
      <c r="N71" s="111">
        <v>8</v>
      </c>
      <c r="O71" s="111">
        <v>7</v>
      </c>
      <c r="P71" s="2">
        <f t="shared" si="13"/>
        <v>1761.62</v>
      </c>
      <c r="Q71" s="2">
        <f t="shared" si="14"/>
        <v>2013.28</v>
      </c>
      <c r="R71" s="2">
        <f t="shared" si="15"/>
        <v>1761.62</v>
      </c>
      <c r="S71" s="2">
        <f t="shared" si="16"/>
        <v>2013.28</v>
      </c>
      <c r="T71" s="2">
        <f t="shared" si="17"/>
        <v>2013.28</v>
      </c>
      <c r="U71" s="2">
        <f t="shared" si="18"/>
        <v>1761.62</v>
      </c>
    </row>
    <row r="72" spans="1:21">
      <c r="A72" s="55">
        <v>69</v>
      </c>
      <c r="B72" s="55" t="s">
        <v>320</v>
      </c>
      <c r="C72" s="55" t="s">
        <v>414</v>
      </c>
      <c r="D72" s="55" t="s">
        <v>322</v>
      </c>
      <c r="E72" s="75" t="s">
        <v>420</v>
      </c>
      <c r="F72" s="55">
        <v>8200733142</v>
      </c>
      <c r="G72" s="55">
        <v>913704012</v>
      </c>
      <c r="H72" s="55" t="s">
        <v>430</v>
      </c>
      <c r="I72" s="55">
        <v>217.55</v>
      </c>
      <c r="J72" s="111">
        <v>0</v>
      </c>
      <c r="K72" s="111">
        <v>6</v>
      </c>
      <c r="L72" s="111">
        <v>6</v>
      </c>
      <c r="M72" s="111">
        <v>7</v>
      </c>
      <c r="N72" s="111">
        <v>6</v>
      </c>
      <c r="O72" s="111">
        <v>7</v>
      </c>
      <c r="P72" s="2">
        <f t="shared" si="13"/>
        <v>0</v>
      </c>
      <c r="Q72" s="2">
        <f t="shared" si="14"/>
        <v>1305.3000000000002</v>
      </c>
      <c r="R72" s="2">
        <f t="shared" si="15"/>
        <v>1305.3000000000002</v>
      </c>
      <c r="S72" s="2">
        <f t="shared" si="16"/>
        <v>1522.8500000000001</v>
      </c>
      <c r="T72" s="2">
        <f t="shared" si="17"/>
        <v>1305.3000000000002</v>
      </c>
      <c r="U72" s="2">
        <f t="shared" si="18"/>
        <v>1522.8500000000001</v>
      </c>
    </row>
    <row r="73" spans="1:21">
      <c r="A73" s="55">
        <v>70</v>
      </c>
      <c r="B73" s="55" t="s">
        <v>320</v>
      </c>
      <c r="C73" s="55" t="s">
        <v>414</v>
      </c>
      <c r="D73" s="55" t="s">
        <v>322</v>
      </c>
      <c r="E73" s="75" t="s">
        <v>1220</v>
      </c>
      <c r="F73" s="55" t="s">
        <v>382</v>
      </c>
      <c r="G73" s="55">
        <v>917218001</v>
      </c>
      <c r="H73" s="55" t="s">
        <v>444</v>
      </c>
      <c r="I73" s="55">
        <v>185.13</v>
      </c>
      <c r="J73" s="111">
        <v>8</v>
      </c>
      <c r="K73" s="111">
        <v>17</v>
      </c>
      <c r="L73" s="111">
        <v>18</v>
      </c>
      <c r="M73" s="111">
        <v>17</v>
      </c>
      <c r="N73" s="111">
        <v>17</v>
      </c>
      <c r="O73" s="111">
        <v>18</v>
      </c>
      <c r="P73" s="2">
        <f t="shared" si="13"/>
        <v>1481.04</v>
      </c>
      <c r="Q73" s="2">
        <f t="shared" si="14"/>
        <v>3147.21</v>
      </c>
      <c r="R73" s="2">
        <f t="shared" si="15"/>
        <v>3332.34</v>
      </c>
      <c r="S73" s="2">
        <f t="shared" si="16"/>
        <v>3147.21</v>
      </c>
      <c r="T73" s="2">
        <f t="shared" si="17"/>
        <v>3147.21</v>
      </c>
      <c r="U73" s="2">
        <f t="shared" si="18"/>
        <v>3332.34</v>
      </c>
    </row>
    <row r="74" spans="1:21">
      <c r="A74" s="55">
        <v>71</v>
      </c>
      <c r="B74" s="55" t="s">
        <v>320</v>
      </c>
      <c r="C74" s="55" t="s">
        <v>414</v>
      </c>
      <c r="D74" s="55" t="s">
        <v>322</v>
      </c>
      <c r="E74" s="75" t="s">
        <v>420</v>
      </c>
      <c r="F74" s="55">
        <v>8200733140</v>
      </c>
      <c r="G74" s="55">
        <v>913704011</v>
      </c>
      <c r="H74" s="55" t="s">
        <v>429</v>
      </c>
      <c r="I74" s="55">
        <v>217.54999999999998</v>
      </c>
      <c r="J74" s="111">
        <v>0</v>
      </c>
      <c r="K74" s="111">
        <v>4</v>
      </c>
      <c r="L74" s="111">
        <v>9</v>
      </c>
      <c r="M74" s="111">
        <v>9</v>
      </c>
      <c r="N74" s="111">
        <v>9</v>
      </c>
      <c r="O74" s="111">
        <v>9</v>
      </c>
      <c r="P74" s="2">
        <f t="shared" si="13"/>
        <v>0</v>
      </c>
      <c r="Q74" s="2">
        <f t="shared" si="14"/>
        <v>870.19999999999993</v>
      </c>
      <c r="R74" s="2">
        <f t="shared" si="15"/>
        <v>1957.9499999999998</v>
      </c>
      <c r="S74" s="2">
        <f t="shared" si="16"/>
        <v>1957.9499999999998</v>
      </c>
      <c r="T74" s="2">
        <f t="shared" si="17"/>
        <v>1957.9499999999998</v>
      </c>
      <c r="U74" s="2">
        <f t="shared" si="18"/>
        <v>1957.9499999999998</v>
      </c>
    </row>
    <row r="75" spans="1:21">
      <c r="A75" s="55">
        <v>72</v>
      </c>
      <c r="B75" s="55" t="s">
        <v>320</v>
      </c>
      <c r="C75" s="55" t="s">
        <v>414</v>
      </c>
      <c r="D75" s="55" t="s">
        <v>322</v>
      </c>
      <c r="E75" s="75" t="s">
        <v>1234</v>
      </c>
      <c r="F75" s="55" t="s">
        <v>326</v>
      </c>
      <c r="G75" s="55">
        <v>915717014</v>
      </c>
      <c r="H75" s="55" t="s">
        <v>1233</v>
      </c>
      <c r="I75" s="55">
        <v>208.03</v>
      </c>
      <c r="J75" s="111">
        <v>18</v>
      </c>
      <c r="K75" s="111">
        <v>18</v>
      </c>
      <c r="L75" s="111">
        <v>18</v>
      </c>
      <c r="M75" s="111">
        <v>18</v>
      </c>
      <c r="N75" s="111">
        <v>18</v>
      </c>
      <c r="O75" s="111">
        <v>17</v>
      </c>
      <c r="P75" s="2">
        <f t="shared" si="13"/>
        <v>3744.54</v>
      </c>
      <c r="Q75" s="2">
        <f t="shared" si="14"/>
        <v>3744.54</v>
      </c>
      <c r="R75" s="2">
        <f t="shared" si="15"/>
        <v>3744.54</v>
      </c>
      <c r="S75" s="2">
        <f t="shared" si="16"/>
        <v>3744.54</v>
      </c>
      <c r="T75" s="2">
        <f t="shared" si="17"/>
        <v>3744.54</v>
      </c>
      <c r="U75" s="2">
        <f t="shared" si="18"/>
        <v>3536.51</v>
      </c>
    </row>
    <row r="76" spans="1:21">
      <c r="A76" s="55">
        <v>73</v>
      </c>
      <c r="B76" s="55" t="s">
        <v>320</v>
      </c>
      <c r="C76" s="55" t="s">
        <v>414</v>
      </c>
      <c r="D76" s="55" t="s">
        <v>322</v>
      </c>
      <c r="E76" s="75" t="s">
        <v>1220</v>
      </c>
      <c r="F76" s="55" t="s">
        <v>371</v>
      </c>
      <c r="G76" s="55">
        <v>917204001</v>
      </c>
      <c r="H76" s="55" t="s">
        <v>1229</v>
      </c>
      <c r="I76" s="55">
        <v>419.3</v>
      </c>
      <c r="J76" s="111">
        <v>11</v>
      </c>
      <c r="K76" s="111">
        <v>18</v>
      </c>
      <c r="L76" s="111">
        <v>17</v>
      </c>
      <c r="M76" s="111">
        <v>18</v>
      </c>
      <c r="N76" s="111">
        <v>17</v>
      </c>
      <c r="O76" s="111">
        <v>18</v>
      </c>
      <c r="P76" s="2">
        <f t="shared" si="13"/>
        <v>4612.3</v>
      </c>
      <c r="Q76" s="2">
        <f t="shared" si="14"/>
        <v>7547.4000000000005</v>
      </c>
      <c r="R76" s="2">
        <f t="shared" si="15"/>
        <v>7128.1</v>
      </c>
      <c r="S76" s="2">
        <f t="shared" si="16"/>
        <v>7547.4000000000005</v>
      </c>
      <c r="T76" s="2">
        <f t="shared" si="17"/>
        <v>7128.1</v>
      </c>
      <c r="U76" s="2">
        <f t="shared" si="18"/>
        <v>7547.4000000000005</v>
      </c>
    </row>
    <row r="77" spans="1:21">
      <c r="A77" s="55">
        <v>74</v>
      </c>
      <c r="B77" s="55" t="s">
        <v>320</v>
      </c>
      <c r="C77" s="55" t="s">
        <v>414</v>
      </c>
      <c r="D77" s="55" t="s">
        <v>322</v>
      </c>
      <c r="E77" s="75" t="s">
        <v>1234</v>
      </c>
      <c r="F77" s="55" t="s">
        <v>328</v>
      </c>
      <c r="G77" s="55">
        <v>915717013</v>
      </c>
      <c r="H77" s="55" t="s">
        <v>1235</v>
      </c>
      <c r="I77" s="55">
        <v>227.31</v>
      </c>
      <c r="J77" s="111">
        <v>21</v>
      </c>
      <c r="K77" s="111">
        <v>14</v>
      </c>
      <c r="L77" s="111">
        <v>15</v>
      </c>
      <c r="M77" s="111">
        <v>15</v>
      </c>
      <c r="N77" s="111">
        <v>14</v>
      </c>
      <c r="O77" s="111">
        <v>15</v>
      </c>
      <c r="P77" s="2">
        <f t="shared" si="13"/>
        <v>4773.51</v>
      </c>
      <c r="Q77" s="2">
        <f t="shared" si="14"/>
        <v>3182.34</v>
      </c>
      <c r="R77" s="2">
        <f t="shared" si="15"/>
        <v>3409.65</v>
      </c>
      <c r="S77" s="2">
        <f t="shared" si="16"/>
        <v>3409.65</v>
      </c>
      <c r="T77" s="2">
        <f t="shared" si="17"/>
        <v>3182.34</v>
      </c>
      <c r="U77" s="2">
        <f t="shared" si="18"/>
        <v>3409.65</v>
      </c>
    </row>
    <row r="78" spans="1:21">
      <c r="A78" s="55">
        <v>75</v>
      </c>
      <c r="B78" s="55" t="s">
        <v>320</v>
      </c>
      <c r="C78" s="55" t="s">
        <v>414</v>
      </c>
      <c r="D78" s="55" t="s">
        <v>322</v>
      </c>
      <c r="E78" s="75" t="s">
        <v>433</v>
      </c>
      <c r="F78" s="55" t="s">
        <v>349</v>
      </c>
      <c r="G78" s="55">
        <v>919104002</v>
      </c>
      <c r="H78" s="55" t="s">
        <v>429</v>
      </c>
      <c r="I78" s="55">
        <v>347.52</v>
      </c>
      <c r="J78" s="111">
        <v>20</v>
      </c>
      <c r="K78" s="111">
        <v>19</v>
      </c>
      <c r="L78" s="111">
        <v>19</v>
      </c>
      <c r="M78" s="111">
        <v>19</v>
      </c>
      <c r="N78" s="111">
        <v>19</v>
      </c>
      <c r="O78" s="111">
        <v>19</v>
      </c>
      <c r="P78" s="2">
        <f t="shared" si="13"/>
        <v>6950.4</v>
      </c>
      <c r="Q78" s="2">
        <f t="shared" si="14"/>
        <v>6602.8799999999992</v>
      </c>
      <c r="R78" s="2">
        <f t="shared" si="15"/>
        <v>6602.8799999999992</v>
      </c>
      <c r="S78" s="2">
        <f t="shared" si="16"/>
        <v>6602.8799999999992</v>
      </c>
      <c r="T78" s="2">
        <f t="shared" si="17"/>
        <v>6602.8799999999992</v>
      </c>
      <c r="U78" s="2">
        <f t="shared" si="18"/>
        <v>6602.8799999999992</v>
      </c>
    </row>
    <row r="79" spans="1:21">
      <c r="A79" s="55">
        <v>76</v>
      </c>
      <c r="B79" s="55" t="s">
        <v>320</v>
      </c>
      <c r="C79" s="55" t="s">
        <v>414</v>
      </c>
      <c r="D79" s="55" t="s">
        <v>322</v>
      </c>
      <c r="E79" s="75" t="s">
        <v>433</v>
      </c>
      <c r="F79" s="55" t="s">
        <v>355</v>
      </c>
      <c r="G79" s="55">
        <v>919104003</v>
      </c>
      <c r="H79" s="55" t="s">
        <v>443</v>
      </c>
      <c r="I79" s="55">
        <v>314.42</v>
      </c>
      <c r="J79" s="111">
        <v>10</v>
      </c>
      <c r="K79" s="111">
        <v>9</v>
      </c>
      <c r="L79" s="111">
        <v>8</v>
      </c>
      <c r="M79" s="111">
        <v>9</v>
      </c>
      <c r="N79" s="111">
        <v>8</v>
      </c>
      <c r="O79" s="111">
        <v>9</v>
      </c>
      <c r="P79" s="2">
        <f t="shared" si="13"/>
        <v>3144.2000000000003</v>
      </c>
      <c r="Q79" s="2">
        <f t="shared" si="14"/>
        <v>2829.78</v>
      </c>
      <c r="R79" s="2">
        <f t="shared" si="15"/>
        <v>2515.36</v>
      </c>
      <c r="S79" s="2">
        <f t="shared" si="16"/>
        <v>2829.78</v>
      </c>
      <c r="T79" s="2">
        <f t="shared" si="17"/>
        <v>2515.36</v>
      </c>
      <c r="U79" s="2">
        <f t="shared" si="18"/>
        <v>2829.78</v>
      </c>
    </row>
    <row r="80" spans="1:21">
      <c r="A80" s="55">
        <v>77</v>
      </c>
      <c r="B80" s="55" t="s">
        <v>320</v>
      </c>
      <c r="C80" s="55" t="s">
        <v>414</v>
      </c>
      <c r="D80" s="55" t="s">
        <v>322</v>
      </c>
      <c r="E80" s="75" t="s">
        <v>445</v>
      </c>
      <c r="F80" s="55" t="s">
        <v>446</v>
      </c>
      <c r="G80" s="55">
        <v>915810001</v>
      </c>
      <c r="H80" s="55" t="s">
        <v>444</v>
      </c>
      <c r="I80" s="55">
        <v>155.74</v>
      </c>
      <c r="J80" s="111">
        <v>0</v>
      </c>
      <c r="K80" s="111">
        <v>5</v>
      </c>
      <c r="L80" s="111">
        <v>5</v>
      </c>
      <c r="M80" s="111">
        <v>6</v>
      </c>
      <c r="N80" s="111">
        <v>6</v>
      </c>
      <c r="O80" s="111">
        <v>6</v>
      </c>
      <c r="P80" s="2">
        <f t="shared" si="13"/>
        <v>0</v>
      </c>
      <c r="Q80" s="2">
        <f t="shared" si="14"/>
        <v>778.7</v>
      </c>
      <c r="R80" s="2">
        <f t="shared" si="15"/>
        <v>778.7</v>
      </c>
      <c r="S80" s="2">
        <f t="shared" si="16"/>
        <v>934.44</v>
      </c>
      <c r="T80" s="2">
        <f t="shared" si="17"/>
        <v>934.44</v>
      </c>
      <c r="U80" s="2">
        <f t="shared" si="18"/>
        <v>934.44</v>
      </c>
    </row>
    <row r="81" spans="1:21">
      <c r="A81" s="55">
        <v>78</v>
      </c>
      <c r="B81" s="55" t="s">
        <v>320</v>
      </c>
      <c r="C81" s="55" t="s">
        <v>414</v>
      </c>
      <c r="D81" s="55" t="s">
        <v>322</v>
      </c>
      <c r="E81" s="75" t="s">
        <v>1234</v>
      </c>
      <c r="F81" s="55" t="s">
        <v>324</v>
      </c>
      <c r="G81" s="55">
        <v>915717015</v>
      </c>
      <c r="H81" s="55" t="s">
        <v>1233</v>
      </c>
      <c r="I81" s="55">
        <v>212.46999999999997</v>
      </c>
      <c r="J81" s="111">
        <v>15</v>
      </c>
      <c r="K81" s="111">
        <v>16</v>
      </c>
      <c r="L81" s="111">
        <v>15</v>
      </c>
      <c r="M81" s="111">
        <v>16</v>
      </c>
      <c r="N81" s="111">
        <v>16</v>
      </c>
      <c r="O81" s="111">
        <v>16</v>
      </c>
      <c r="P81" s="2">
        <f t="shared" si="13"/>
        <v>3187.0499999999997</v>
      </c>
      <c r="Q81" s="2">
        <f t="shared" si="14"/>
        <v>3399.5199999999995</v>
      </c>
      <c r="R81" s="2">
        <f t="shared" si="15"/>
        <v>3187.0499999999997</v>
      </c>
      <c r="S81" s="2">
        <f t="shared" si="16"/>
        <v>3399.5199999999995</v>
      </c>
      <c r="T81" s="2">
        <f t="shared" si="17"/>
        <v>3399.5199999999995</v>
      </c>
      <c r="U81" s="2">
        <f t="shared" si="18"/>
        <v>3399.5199999999995</v>
      </c>
    </row>
    <row r="82" spans="1:21">
      <c r="A82" s="55">
        <v>79</v>
      </c>
      <c r="B82" s="55" t="s">
        <v>320</v>
      </c>
      <c r="C82" s="55" t="s">
        <v>414</v>
      </c>
      <c r="D82" s="55" t="s">
        <v>322</v>
      </c>
      <c r="E82" s="75" t="s">
        <v>445</v>
      </c>
      <c r="F82" s="55" t="s">
        <v>447</v>
      </c>
      <c r="G82" s="55">
        <v>914502002</v>
      </c>
      <c r="H82" s="55" t="s">
        <v>444</v>
      </c>
      <c r="I82" s="55">
        <v>144.74</v>
      </c>
      <c r="J82" s="111">
        <v>5</v>
      </c>
      <c r="K82" s="111">
        <v>8</v>
      </c>
      <c r="L82" s="111">
        <v>8</v>
      </c>
      <c r="M82" s="111">
        <v>7</v>
      </c>
      <c r="N82" s="111">
        <v>8</v>
      </c>
      <c r="O82" s="111">
        <v>8</v>
      </c>
      <c r="P82" s="2">
        <f t="shared" si="13"/>
        <v>723.7</v>
      </c>
      <c r="Q82" s="2">
        <f t="shared" si="14"/>
        <v>1157.92</v>
      </c>
      <c r="R82" s="2">
        <f t="shared" si="15"/>
        <v>1157.92</v>
      </c>
      <c r="S82" s="2">
        <f t="shared" si="16"/>
        <v>1013.1800000000001</v>
      </c>
      <c r="T82" s="2">
        <f t="shared" si="17"/>
        <v>1157.92</v>
      </c>
      <c r="U82" s="2">
        <f t="shared" si="18"/>
        <v>1157.92</v>
      </c>
    </row>
    <row r="83" spans="1:21">
      <c r="A83" s="55">
        <v>80</v>
      </c>
      <c r="B83" s="55" t="s">
        <v>320</v>
      </c>
      <c r="C83" s="55" t="s">
        <v>414</v>
      </c>
      <c r="D83" s="55" t="s">
        <v>322</v>
      </c>
      <c r="E83" s="75" t="s">
        <v>433</v>
      </c>
      <c r="F83" s="55" t="s">
        <v>352</v>
      </c>
      <c r="G83" s="55">
        <v>919101001</v>
      </c>
      <c r="H83" s="55" t="s">
        <v>1232</v>
      </c>
      <c r="I83" s="55">
        <v>208.63</v>
      </c>
      <c r="J83" s="111">
        <v>10</v>
      </c>
      <c r="K83" s="111">
        <v>9</v>
      </c>
      <c r="L83" s="111">
        <v>9</v>
      </c>
      <c r="M83" s="111">
        <v>10</v>
      </c>
      <c r="N83" s="111">
        <v>9</v>
      </c>
      <c r="O83" s="111">
        <v>10</v>
      </c>
      <c r="P83" s="2">
        <f t="shared" si="13"/>
        <v>2086.3000000000002</v>
      </c>
      <c r="Q83" s="2">
        <f t="shared" si="14"/>
        <v>1877.67</v>
      </c>
      <c r="R83" s="2">
        <f t="shared" si="15"/>
        <v>1877.67</v>
      </c>
      <c r="S83" s="2">
        <f t="shared" si="16"/>
        <v>2086.3000000000002</v>
      </c>
      <c r="T83" s="2">
        <f t="shared" si="17"/>
        <v>1877.67</v>
      </c>
      <c r="U83" s="2">
        <f t="shared" si="18"/>
        <v>2086.3000000000002</v>
      </c>
    </row>
    <row r="84" spans="1:21">
      <c r="A84" s="55">
        <v>81</v>
      </c>
      <c r="B84" s="55" t="s">
        <v>320</v>
      </c>
      <c r="C84" s="55" t="s">
        <v>414</v>
      </c>
      <c r="D84" s="55" t="s">
        <v>322</v>
      </c>
      <c r="E84" s="75" t="s">
        <v>420</v>
      </c>
      <c r="F84" s="55" t="s">
        <v>448</v>
      </c>
      <c r="G84" s="55">
        <v>916805010</v>
      </c>
      <c r="H84" s="55" t="s">
        <v>449</v>
      </c>
      <c r="I84" s="55">
        <v>50.75</v>
      </c>
      <c r="J84" s="111">
        <v>5</v>
      </c>
      <c r="K84" s="111">
        <v>6</v>
      </c>
      <c r="L84" s="111">
        <v>6</v>
      </c>
      <c r="M84" s="111">
        <v>5</v>
      </c>
      <c r="N84" s="111">
        <v>6</v>
      </c>
      <c r="O84" s="111">
        <v>5</v>
      </c>
      <c r="P84" s="2">
        <f t="shared" si="13"/>
        <v>253.75</v>
      </c>
      <c r="Q84" s="2">
        <f t="shared" si="14"/>
        <v>304.5</v>
      </c>
      <c r="R84" s="2">
        <f t="shared" si="15"/>
        <v>304.5</v>
      </c>
      <c r="S84" s="2">
        <f t="shared" si="16"/>
        <v>253.75</v>
      </c>
      <c r="T84" s="2">
        <f t="shared" si="17"/>
        <v>304.5</v>
      </c>
      <c r="U84" s="2">
        <f t="shared" si="18"/>
        <v>253.75</v>
      </c>
    </row>
    <row r="85" spans="1:21">
      <c r="A85" s="55">
        <v>82</v>
      </c>
      <c r="B85" s="55" t="s">
        <v>320</v>
      </c>
      <c r="C85" s="55" t="s">
        <v>414</v>
      </c>
      <c r="D85" s="55" t="s">
        <v>322</v>
      </c>
      <c r="E85" s="75" t="s">
        <v>450</v>
      </c>
      <c r="F85" s="55" t="s">
        <v>451</v>
      </c>
      <c r="G85" s="55">
        <v>918701001</v>
      </c>
      <c r="H85" s="55" t="s">
        <v>452</v>
      </c>
      <c r="I85" s="55">
        <v>295.97000000000003</v>
      </c>
      <c r="J85" s="111">
        <v>3</v>
      </c>
      <c r="K85" s="111">
        <v>6</v>
      </c>
      <c r="L85" s="111">
        <v>5</v>
      </c>
      <c r="M85" s="111">
        <v>6</v>
      </c>
      <c r="N85" s="111">
        <v>6</v>
      </c>
      <c r="O85" s="111">
        <v>5</v>
      </c>
      <c r="P85" s="2">
        <f t="shared" si="13"/>
        <v>887.91000000000008</v>
      </c>
      <c r="Q85" s="2">
        <f t="shared" si="14"/>
        <v>1775.8200000000002</v>
      </c>
      <c r="R85" s="2">
        <f t="shared" si="15"/>
        <v>1479.8500000000001</v>
      </c>
      <c r="S85" s="2">
        <f t="shared" si="16"/>
        <v>1775.8200000000002</v>
      </c>
      <c r="T85" s="2">
        <f t="shared" si="17"/>
        <v>1775.8200000000002</v>
      </c>
      <c r="U85" s="2">
        <f t="shared" si="18"/>
        <v>1479.8500000000001</v>
      </c>
    </row>
    <row r="86" spans="1:21">
      <c r="A86" s="55">
        <v>83</v>
      </c>
      <c r="B86" s="55" t="s">
        <v>320</v>
      </c>
      <c r="C86" s="55" t="s">
        <v>414</v>
      </c>
      <c r="D86" s="55" t="s">
        <v>322</v>
      </c>
      <c r="E86" s="75" t="s">
        <v>1221</v>
      </c>
      <c r="F86" s="55" t="s">
        <v>394</v>
      </c>
      <c r="G86" s="55">
        <v>917904002</v>
      </c>
      <c r="H86" s="55" t="s">
        <v>429</v>
      </c>
      <c r="I86" s="55">
        <v>345.49</v>
      </c>
      <c r="J86" s="111">
        <v>31</v>
      </c>
      <c r="K86" s="111">
        <v>28</v>
      </c>
      <c r="L86" s="111">
        <v>28</v>
      </c>
      <c r="M86" s="111">
        <v>28</v>
      </c>
      <c r="N86" s="111">
        <v>29</v>
      </c>
      <c r="O86" s="111">
        <v>28</v>
      </c>
      <c r="P86" s="2">
        <f t="shared" si="13"/>
        <v>10710.19</v>
      </c>
      <c r="Q86" s="2">
        <f t="shared" si="14"/>
        <v>9673.7200000000012</v>
      </c>
      <c r="R86" s="2">
        <f t="shared" si="15"/>
        <v>9673.7200000000012</v>
      </c>
      <c r="S86" s="2">
        <f t="shared" si="16"/>
        <v>9673.7200000000012</v>
      </c>
      <c r="T86" s="2">
        <f t="shared" si="17"/>
        <v>10019.210000000001</v>
      </c>
      <c r="U86" s="2">
        <f t="shared" si="18"/>
        <v>9673.7200000000012</v>
      </c>
    </row>
    <row r="87" spans="1:21">
      <c r="A87" s="55">
        <v>84</v>
      </c>
      <c r="B87" s="55" t="s">
        <v>320</v>
      </c>
      <c r="C87" s="55" t="s">
        <v>414</v>
      </c>
      <c r="D87" s="55" t="s">
        <v>322</v>
      </c>
      <c r="E87" s="75" t="s">
        <v>433</v>
      </c>
      <c r="F87" s="55" t="s">
        <v>354</v>
      </c>
      <c r="G87" s="55">
        <v>919104004</v>
      </c>
      <c r="H87" s="55" t="s">
        <v>440</v>
      </c>
      <c r="I87" s="55">
        <v>311.62</v>
      </c>
      <c r="J87" s="111">
        <v>7</v>
      </c>
      <c r="K87" s="111">
        <v>8</v>
      </c>
      <c r="L87" s="111">
        <v>8</v>
      </c>
      <c r="M87" s="111">
        <v>9</v>
      </c>
      <c r="N87" s="111">
        <v>8</v>
      </c>
      <c r="O87" s="111">
        <v>8</v>
      </c>
      <c r="P87" s="2">
        <f t="shared" si="13"/>
        <v>2181.34</v>
      </c>
      <c r="Q87" s="2">
        <f t="shared" si="14"/>
        <v>2492.96</v>
      </c>
      <c r="R87" s="2">
        <f t="shared" si="15"/>
        <v>2492.96</v>
      </c>
      <c r="S87" s="2">
        <f t="shared" si="16"/>
        <v>2804.58</v>
      </c>
      <c r="T87" s="2">
        <f t="shared" si="17"/>
        <v>2492.96</v>
      </c>
      <c r="U87" s="2">
        <f t="shared" si="18"/>
        <v>2492.96</v>
      </c>
    </row>
    <row r="88" spans="1:21">
      <c r="A88" s="55">
        <v>85</v>
      </c>
      <c r="B88" s="55" t="s">
        <v>320</v>
      </c>
      <c r="C88" s="55" t="s">
        <v>414</v>
      </c>
      <c r="D88" s="55" t="s">
        <v>322</v>
      </c>
      <c r="E88" s="75" t="s">
        <v>433</v>
      </c>
      <c r="F88" s="55" t="s">
        <v>348</v>
      </c>
      <c r="G88" s="55">
        <v>919101003</v>
      </c>
      <c r="H88" s="55" t="s">
        <v>1228</v>
      </c>
      <c r="I88" s="55">
        <v>218.06</v>
      </c>
      <c r="J88" s="111">
        <v>7</v>
      </c>
      <c r="K88" s="111">
        <v>8</v>
      </c>
      <c r="L88" s="111">
        <v>7</v>
      </c>
      <c r="M88" s="111">
        <v>8</v>
      </c>
      <c r="N88" s="111">
        <v>7</v>
      </c>
      <c r="O88" s="111">
        <v>8</v>
      </c>
      <c r="P88" s="2">
        <f t="shared" si="13"/>
        <v>1526.42</v>
      </c>
      <c r="Q88" s="2">
        <f t="shared" si="14"/>
        <v>1744.48</v>
      </c>
      <c r="R88" s="2">
        <f t="shared" si="15"/>
        <v>1526.42</v>
      </c>
      <c r="S88" s="2">
        <f t="shared" si="16"/>
        <v>1744.48</v>
      </c>
      <c r="T88" s="2">
        <f t="shared" si="17"/>
        <v>1526.42</v>
      </c>
      <c r="U88" s="2">
        <f t="shared" si="18"/>
        <v>1744.48</v>
      </c>
    </row>
    <row r="89" spans="1:21">
      <c r="A89" s="55">
        <v>86</v>
      </c>
      <c r="B89" s="55" t="s">
        <v>320</v>
      </c>
      <c r="C89" s="55" t="s">
        <v>414</v>
      </c>
      <c r="D89" s="55" t="s">
        <v>322</v>
      </c>
      <c r="E89" s="75" t="s">
        <v>433</v>
      </c>
      <c r="F89" s="55" t="s">
        <v>351</v>
      </c>
      <c r="G89" s="55">
        <v>919101002</v>
      </c>
      <c r="H89" s="55" t="s">
        <v>1231</v>
      </c>
      <c r="I89" s="55">
        <v>208.63</v>
      </c>
      <c r="J89" s="111">
        <v>9</v>
      </c>
      <c r="K89" s="111">
        <v>9</v>
      </c>
      <c r="L89" s="111">
        <v>9</v>
      </c>
      <c r="M89" s="111">
        <v>9</v>
      </c>
      <c r="N89" s="111">
        <v>9</v>
      </c>
      <c r="O89" s="111">
        <v>9</v>
      </c>
      <c r="P89" s="2">
        <f t="shared" si="13"/>
        <v>1877.67</v>
      </c>
      <c r="Q89" s="2">
        <f t="shared" si="14"/>
        <v>1877.67</v>
      </c>
      <c r="R89" s="2">
        <f t="shared" si="15"/>
        <v>1877.67</v>
      </c>
      <c r="S89" s="2">
        <f t="shared" si="16"/>
        <v>1877.67</v>
      </c>
      <c r="T89" s="2">
        <f t="shared" si="17"/>
        <v>1877.67</v>
      </c>
      <c r="U89" s="2">
        <f t="shared" si="18"/>
        <v>1877.67</v>
      </c>
    </row>
    <row r="90" spans="1:21">
      <c r="A90" s="55">
        <v>87</v>
      </c>
      <c r="B90" s="55" t="s">
        <v>320</v>
      </c>
      <c r="C90" s="55" t="s">
        <v>414</v>
      </c>
      <c r="D90" s="55" t="s">
        <v>322</v>
      </c>
      <c r="E90" s="75" t="s">
        <v>453</v>
      </c>
      <c r="F90" s="55" t="s">
        <v>454</v>
      </c>
      <c r="G90" s="55">
        <v>916110001</v>
      </c>
      <c r="H90" s="55" t="s">
        <v>455</v>
      </c>
      <c r="I90" s="55">
        <v>136.17000000000002</v>
      </c>
      <c r="J90" s="111">
        <v>7</v>
      </c>
      <c r="K90" s="111">
        <v>7</v>
      </c>
      <c r="L90" s="111">
        <v>6</v>
      </c>
      <c r="M90" s="111">
        <v>7</v>
      </c>
      <c r="N90" s="111">
        <v>7</v>
      </c>
      <c r="O90" s="111">
        <v>7</v>
      </c>
      <c r="P90" s="2">
        <f t="shared" si="13"/>
        <v>953.19</v>
      </c>
      <c r="Q90" s="2">
        <f t="shared" si="14"/>
        <v>953.19</v>
      </c>
      <c r="R90" s="2">
        <f t="shared" si="15"/>
        <v>817.0200000000001</v>
      </c>
      <c r="S90" s="2">
        <f t="shared" si="16"/>
        <v>953.19</v>
      </c>
      <c r="T90" s="2">
        <f t="shared" si="17"/>
        <v>953.19</v>
      </c>
      <c r="U90" s="2">
        <f t="shared" si="18"/>
        <v>953.19</v>
      </c>
    </row>
    <row r="91" spans="1:21">
      <c r="A91" s="55">
        <v>88</v>
      </c>
      <c r="B91" s="55" t="s">
        <v>320</v>
      </c>
      <c r="C91" s="55" t="s">
        <v>414</v>
      </c>
      <c r="D91" s="55" t="s">
        <v>322</v>
      </c>
      <c r="E91" s="75" t="s">
        <v>420</v>
      </c>
      <c r="F91" s="55" t="s">
        <v>456</v>
      </c>
      <c r="G91" s="55">
        <v>913704013</v>
      </c>
      <c r="H91" s="55" t="s">
        <v>440</v>
      </c>
      <c r="I91" s="55">
        <v>210.29</v>
      </c>
      <c r="J91" s="111">
        <v>3</v>
      </c>
      <c r="K91" s="111">
        <v>5</v>
      </c>
      <c r="L91" s="111">
        <v>5</v>
      </c>
      <c r="M91" s="111">
        <v>5</v>
      </c>
      <c r="N91" s="111">
        <v>4</v>
      </c>
      <c r="O91" s="111">
        <v>5</v>
      </c>
      <c r="P91" s="2">
        <f t="shared" si="13"/>
        <v>630.87</v>
      </c>
      <c r="Q91" s="2">
        <f t="shared" si="14"/>
        <v>1051.45</v>
      </c>
      <c r="R91" s="2">
        <f t="shared" si="15"/>
        <v>1051.45</v>
      </c>
      <c r="S91" s="2">
        <f t="shared" si="16"/>
        <v>1051.45</v>
      </c>
      <c r="T91" s="2">
        <f t="shared" si="17"/>
        <v>841.16</v>
      </c>
      <c r="U91" s="2">
        <f t="shared" si="18"/>
        <v>1051.45</v>
      </c>
    </row>
    <row r="92" spans="1:21">
      <c r="A92" s="55">
        <v>89</v>
      </c>
      <c r="B92" s="55" t="s">
        <v>320</v>
      </c>
      <c r="C92" s="55" t="s">
        <v>414</v>
      </c>
      <c r="D92" s="55" t="s">
        <v>322</v>
      </c>
      <c r="E92" s="75" t="s">
        <v>1220</v>
      </c>
      <c r="F92" s="55" t="s">
        <v>376</v>
      </c>
      <c r="G92" s="55">
        <v>917204004</v>
      </c>
      <c r="H92" s="55" t="s">
        <v>1229</v>
      </c>
      <c r="I92" s="55">
        <v>333.52</v>
      </c>
      <c r="J92" s="111">
        <v>6</v>
      </c>
      <c r="K92" s="111">
        <v>13</v>
      </c>
      <c r="L92" s="111">
        <v>12</v>
      </c>
      <c r="M92" s="111">
        <v>12</v>
      </c>
      <c r="N92" s="111">
        <v>12</v>
      </c>
      <c r="O92" s="111">
        <v>13</v>
      </c>
      <c r="P92" s="2">
        <f t="shared" si="13"/>
        <v>2001.12</v>
      </c>
      <c r="Q92" s="2">
        <f t="shared" si="14"/>
        <v>4335.76</v>
      </c>
      <c r="R92" s="2">
        <f t="shared" si="15"/>
        <v>4002.24</v>
      </c>
      <c r="S92" s="2">
        <f t="shared" si="16"/>
        <v>4002.24</v>
      </c>
      <c r="T92" s="2">
        <f t="shared" si="17"/>
        <v>4002.24</v>
      </c>
      <c r="U92" s="2">
        <f t="shared" si="18"/>
        <v>4335.76</v>
      </c>
    </row>
    <row r="93" spans="1:21">
      <c r="A93" s="55">
        <v>90</v>
      </c>
      <c r="B93" s="55" t="s">
        <v>320</v>
      </c>
      <c r="C93" s="55" t="s">
        <v>414</v>
      </c>
      <c r="D93" s="55" t="s">
        <v>322</v>
      </c>
      <c r="E93" s="75" t="s">
        <v>1220</v>
      </c>
      <c r="F93" s="55" t="s">
        <v>369</v>
      </c>
      <c r="G93" s="55">
        <v>917204002</v>
      </c>
      <c r="H93" s="55" t="s">
        <v>1229</v>
      </c>
      <c r="I93" s="55">
        <v>419.3</v>
      </c>
      <c r="J93" s="111">
        <v>19</v>
      </c>
      <c r="K93" s="111">
        <v>19</v>
      </c>
      <c r="L93" s="111">
        <v>19</v>
      </c>
      <c r="M93" s="111">
        <v>19</v>
      </c>
      <c r="N93" s="111">
        <v>19</v>
      </c>
      <c r="O93" s="111">
        <v>19</v>
      </c>
      <c r="P93" s="2">
        <f t="shared" si="13"/>
        <v>7966.7</v>
      </c>
      <c r="Q93" s="2">
        <f t="shared" si="14"/>
        <v>7966.7</v>
      </c>
      <c r="R93" s="2">
        <f t="shared" si="15"/>
        <v>7966.7</v>
      </c>
      <c r="S93" s="2">
        <f t="shared" si="16"/>
        <v>7966.7</v>
      </c>
      <c r="T93" s="2">
        <f t="shared" si="17"/>
        <v>7966.7</v>
      </c>
      <c r="U93" s="2">
        <f t="shared" si="18"/>
        <v>7966.7</v>
      </c>
    </row>
    <row r="94" spans="1:21">
      <c r="A94" s="55">
        <v>91</v>
      </c>
      <c r="B94" s="55" t="s">
        <v>320</v>
      </c>
      <c r="C94" s="55" t="s">
        <v>414</v>
      </c>
      <c r="D94" s="55" t="s">
        <v>322</v>
      </c>
      <c r="E94" s="75" t="s">
        <v>433</v>
      </c>
      <c r="F94" s="55" t="s">
        <v>356</v>
      </c>
      <c r="G94" s="55">
        <v>919126001</v>
      </c>
      <c r="H94" s="55" t="s">
        <v>1230</v>
      </c>
      <c r="I94" s="55">
        <v>26.27</v>
      </c>
      <c r="J94" s="111">
        <v>10</v>
      </c>
      <c r="K94" s="111">
        <v>0</v>
      </c>
      <c r="L94" s="111">
        <v>0</v>
      </c>
      <c r="M94" s="111">
        <v>10</v>
      </c>
      <c r="N94" s="111">
        <v>0</v>
      </c>
      <c r="O94" s="111">
        <v>0</v>
      </c>
      <c r="P94" s="2">
        <f t="shared" si="13"/>
        <v>262.7</v>
      </c>
      <c r="Q94" s="2">
        <f t="shared" si="14"/>
        <v>0</v>
      </c>
      <c r="R94" s="2">
        <f t="shared" si="15"/>
        <v>0</v>
      </c>
      <c r="S94" s="2">
        <f t="shared" si="16"/>
        <v>262.7</v>
      </c>
      <c r="T94" s="2">
        <f t="shared" si="17"/>
        <v>0</v>
      </c>
      <c r="U94" s="2">
        <f t="shared" si="18"/>
        <v>0</v>
      </c>
    </row>
    <row r="95" spans="1:21">
      <c r="A95" s="55">
        <v>92</v>
      </c>
      <c r="B95" s="55" t="s">
        <v>320</v>
      </c>
      <c r="C95" s="55" t="s">
        <v>414</v>
      </c>
      <c r="D95" s="55" t="s">
        <v>322</v>
      </c>
      <c r="E95" s="75" t="s">
        <v>450</v>
      </c>
      <c r="F95" s="55" t="s">
        <v>457</v>
      </c>
      <c r="G95" s="55">
        <v>918701003</v>
      </c>
      <c r="H95" s="55" t="s">
        <v>458</v>
      </c>
      <c r="I95" s="55">
        <v>273.04000000000002</v>
      </c>
      <c r="J95" s="111">
        <v>4</v>
      </c>
      <c r="K95" s="111">
        <v>5</v>
      </c>
      <c r="L95" s="111">
        <v>4</v>
      </c>
      <c r="M95" s="111">
        <v>4</v>
      </c>
      <c r="N95" s="111">
        <v>4</v>
      </c>
      <c r="O95" s="111">
        <v>5</v>
      </c>
      <c r="P95" s="2">
        <f t="shared" si="13"/>
        <v>1092.1600000000001</v>
      </c>
      <c r="Q95" s="2">
        <f t="shared" si="14"/>
        <v>1365.2</v>
      </c>
      <c r="R95" s="2">
        <f t="shared" si="15"/>
        <v>1092.1600000000001</v>
      </c>
      <c r="S95" s="2">
        <f t="shared" si="16"/>
        <v>1092.1600000000001</v>
      </c>
      <c r="T95" s="2">
        <f t="shared" si="17"/>
        <v>1092.1600000000001</v>
      </c>
      <c r="U95" s="2">
        <f t="shared" si="18"/>
        <v>1365.2</v>
      </c>
    </row>
    <row r="96" spans="1:21">
      <c r="A96" s="55">
        <v>93</v>
      </c>
      <c r="B96" s="55" t="s">
        <v>320</v>
      </c>
      <c r="C96" s="55" t="s">
        <v>414</v>
      </c>
      <c r="D96" s="55" t="s">
        <v>322</v>
      </c>
      <c r="E96" s="75" t="s">
        <v>1220</v>
      </c>
      <c r="F96" s="55" t="s">
        <v>378</v>
      </c>
      <c r="G96" s="55">
        <v>917204003</v>
      </c>
      <c r="H96" s="55" t="s">
        <v>1229</v>
      </c>
      <c r="I96" s="55">
        <v>333.52</v>
      </c>
      <c r="J96" s="111">
        <v>11</v>
      </c>
      <c r="K96" s="111">
        <v>11</v>
      </c>
      <c r="L96" s="111">
        <v>11</v>
      </c>
      <c r="M96" s="111">
        <v>11</v>
      </c>
      <c r="N96" s="111">
        <v>11</v>
      </c>
      <c r="O96" s="111">
        <v>11</v>
      </c>
      <c r="P96" s="2">
        <f t="shared" si="13"/>
        <v>3668.72</v>
      </c>
      <c r="Q96" s="2">
        <f t="shared" si="14"/>
        <v>3668.72</v>
      </c>
      <c r="R96" s="2">
        <f t="shared" si="15"/>
        <v>3668.72</v>
      </c>
      <c r="S96" s="2">
        <f t="shared" si="16"/>
        <v>3668.72</v>
      </c>
      <c r="T96" s="2">
        <f t="shared" si="17"/>
        <v>3668.72</v>
      </c>
      <c r="U96" s="2">
        <f t="shared" si="18"/>
        <v>3668.72</v>
      </c>
    </row>
    <row r="97" spans="1:21">
      <c r="A97" s="55">
        <v>94</v>
      </c>
      <c r="B97" s="55" t="s">
        <v>320</v>
      </c>
      <c r="C97" s="55" t="s">
        <v>414</v>
      </c>
      <c r="D97" s="55" t="s">
        <v>322</v>
      </c>
      <c r="E97" s="75" t="s">
        <v>420</v>
      </c>
      <c r="F97" s="55">
        <v>8200760255</v>
      </c>
      <c r="G97" s="55">
        <v>913705029</v>
      </c>
      <c r="H97" s="55" t="s">
        <v>459</v>
      </c>
      <c r="I97" s="55">
        <v>60.01</v>
      </c>
      <c r="J97" s="111">
        <v>4</v>
      </c>
      <c r="K97" s="111">
        <v>4</v>
      </c>
      <c r="L97" s="111">
        <v>3</v>
      </c>
      <c r="M97" s="111">
        <v>4</v>
      </c>
      <c r="N97" s="111">
        <v>4</v>
      </c>
      <c r="O97" s="111">
        <v>3</v>
      </c>
      <c r="P97" s="2">
        <f t="shared" si="13"/>
        <v>240.04</v>
      </c>
      <c r="Q97" s="2">
        <f t="shared" si="14"/>
        <v>240.04</v>
      </c>
      <c r="R97" s="2">
        <f t="shared" si="15"/>
        <v>180.03</v>
      </c>
      <c r="S97" s="2">
        <f t="shared" si="16"/>
        <v>240.04</v>
      </c>
      <c r="T97" s="2">
        <f t="shared" si="17"/>
        <v>240.04</v>
      </c>
      <c r="U97" s="2">
        <f t="shared" si="18"/>
        <v>180.03</v>
      </c>
    </row>
    <row r="98" spans="1:21">
      <c r="A98" s="55">
        <v>95</v>
      </c>
      <c r="B98" s="55" t="s">
        <v>320</v>
      </c>
      <c r="C98" s="55" t="s">
        <v>414</v>
      </c>
      <c r="D98" s="55" t="s">
        <v>322</v>
      </c>
      <c r="E98" s="75" t="s">
        <v>420</v>
      </c>
      <c r="F98" s="55" t="s">
        <v>460</v>
      </c>
      <c r="G98" s="55">
        <v>913703003</v>
      </c>
      <c r="H98" s="55" t="s">
        <v>461</v>
      </c>
      <c r="I98" s="55">
        <v>98.6</v>
      </c>
      <c r="J98" s="111">
        <v>0</v>
      </c>
      <c r="K98" s="111">
        <v>3</v>
      </c>
      <c r="L98" s="111">
        <v>5</v>
      </c>
      <c r="M98" s="111">
        <v>4</v>
      </c>
      <c r="N98" s="111">
        <v>4</v>
      </c>
      <c r="O98" s="111">
        <v>4</v>
      </c>
      <c r="P98" s="2">
        <f t="shared" si="13"/>
        <v>0</v>
      </c>
      <c r="Q98" s="2">
        <f t="shared" si="14"/>
        <v>295.79999999999995</v>
      </c>
      <c r="R98" s="2">
        <f t="shared" si="15"/>
        <v>493</v>
      </c>
      <c r="S98" s="2">
        <f t="shared" si="16"/>
        <v>394.4</v>
      </c>
      <c r="T98" s="2">
        <f t="shared" si="17"/>
        <v>394.4</v>
      </c>
      <c r="U98" s="2">
        <f t="shared" si="18"/>
        <v>394.4</v>
      </c>
    </row>
    <row r="99" spans="1:21">
      <c r="A99" s="55">
        <v>96</v>
      </c>
      <c r="B99" s="55" t="s">
        <v>320</v>
      </c>
      <c r="C99" s="55" t="s">
        <v>414</v>
      </c>
      <c r="D99" s="55" t="s">
        <v>322</v>
      </c>
      <c r="E99" s="75" t="s">
        <v>433</v>
      </c>
      <c r="F99" s="55" t="s">
        <v>346</v>
      </c>
      <c r="G99" s="55">
        <v>919101004</v>
      </c>
      <c r="H99" s="55" t="s">
        <v>1228</v>
      </c>
      <c r="I99" s="55">
        <v>218.06</v>
      </c>
      <c r="J99" s="111">
        <v>6</v>
      </c>
      <c r="K99" s="111">
        <v>7</v>
      </c>
      <c r="L99" s="111">
        <v>7</v>
      </c>
      <c r="M99" s="111">
        <v>7</v>
      </c>
      <c r="N99" s="111">
        <v>8</v>
      </c>
      <c r="O99" s="111">
        <v>7</v>
      </c>
      <c r="P99" s="2">
        <f t="shared" si="13"/>
        <v>1308.3600000000001</v>
      </c>
      <c r="Q99" s="2">
        <f t="shared" si="14"/>
        <v>1526.42</v>
      </c>
      <c r="R99" s="2">
        <f t="shared" si="15"/>
        <v>1526.42</v>
      </c>
      <c r="S99" s="2">
        <f t="shared" si="16"/>
        <v>1526.42</v>
      </c>
      <c r="T99" s="2">
        <f t="shared" si="17"/>
        <v>1744.48</v>
      </c>
      <c r="U99" s="2">
        <f t="shared" si="18"/>
        <v>1526.42</v>
      </c>
    </row>
    <row r="100" spans="1:21">
      <c r="A100" s="55">
        <v>97</v>
      </c>
      <c r="B100" s="55" t="s">
        <v>320</v>
      </c>
      <c r="C100" s="55" t="s">
        <v>414</v>
      </c>
      <c r="D100" s="55" t="s">
        <v>322</v>
      </c>
      <c r="E100" s="75" t="s">
        <v>433</v>
      </c>
      <c r="F100" s="55" t="s">
        <v>358</v>
      </c>
      <c r="G100" s="55">
        <v>919126002</v>
      </c>
      <c r="H100" s="55" t="s">
        <v>1227</v>
      </c>
      <c r="I100" s="55">
        <v>26.27</v>
      </c>
      <c r="J100" s="111">
        <v>0</v>
      </c>
      <c r="K100" s="111">
        <v>0</v>
      </c>
      <c r="L100" s="111">
        <v>0</v>
      </c>
      <c r="M100" s="111">
        <v>10</v>
      </c>
      <c r="N100" s="111">
        <v>0</v>
      </c>
      <c r="O100" s="111">
        <v>0</v>
      </c>
      <c r="P100" s="2">
        <f t="shared" si="13"/>
        <v>0</v>
      </c>
      <c r="Q100" s="2">
        <f t="shared" si="14"/>
        <v>0</v>
      </c>
      <c r="R100" s="2">
        <f t="shared" si="15"/>
        <v>0</v>
      </c>
      <c r="S100" s="2">
        <f t="shared" si="16"/>
        <v>262.7</v>
      </c>
      <c r="T100" s="2">
        <f t="shared" si="17"/>
        <v>0</v>
      </c>
      <c r="U100" s="2">
        <f t="shared" si="18"/>
        <v>0</v>
      </c>
    </row>
    <row r="101" spans="1:21">
      <c r="A101" s="55">
        <v>98</v>
      </c>
      <c r="B101" s="55" t="s">
        <v>320</v>
      </c>
      <c r="C101" s="55" t="s">
        <v>414</v>
      </c>
      <c r="D101" s="55" t="s">
        <v>322</v>
      </c>
      <c r="E101" s="75" t="s">
        <v>453</v>
      </c>
      <c r="F101" s="55" t="s">
        <v>462</v>
      </c>
      <c r="G101" s="55">
        <v>916103001</v>
      </c>
      <c r="H101" s="55" t="s">
        <v>463</v>
      </c>
      <c r="I101" s="55">
        <v>48.25</v>
      </c>
      <c r="J101" s="111">
        <v>10</v>
      </c>
      <c r="K101" s="111">
        <v>0</v>
      </c>
      <c r="L101" s="111">
        <v>0</v>
      </c>
      <c r="M101" s="111">
        <v>10</v>
      </c>
      <c r="N101" s="111">
        <v>0</v>
      </c>
      <c r="O101" s="111">
        <v>0</v>
      </c>
      <c r="P101" s="2">
        <f t="shared" si="13"/>
        <v>482.5</v>
      </c>
      <c r="Q101" s="2">
        <f t="shared" si="14"/>
        <v>0</v>
      </c>
      <c r="R101" s="2">
        <f t="shared" si="15"/>
        <v>0</v>
      </c>
      <c r="S101" s="2">
        <f t="shared" si="16"/>
        <v>482.5</v>
      </c>
      <c r="T101" s="2">
        <f t="shared" si="17"/>
        <v>0</v>
      </c>
      <c r="U101" s="2">
        <f t="shared" si="18"/>
        <v>0</v>
      </c>
    </row>
    <row r="102" spans="1:21">
      <c r="A102" s="55">
        <v>99</v>
      </c>
      <c r="B102" s="55" t="s">
        <v>320</v>
      </c>
      <c r="C102" s="55" t="s">
        <v>414</v>
      </c>
      <c r="D102" s="55" t="s">
        <v>322</v>
      </c>
      <c r="E102" s="75" t="s">
        <v>1221</v>
      </c>
      <c r="F102" s="55" t="s">
        <v>395</v>
      </c>
      <c r="G102" s="55">
        <v>917904001</v>
      </c>
      <c r="H102" s="55" t="s">
        <v>430</v>
      </c>
      <c r="I102" s="55">
        <v>345.48999999999995</v>
      </c>
      <c r="J102" s="111">
        <v>13</v>
      </c>
      <c r="K102" s="111">
        <v>13</v>
      </c>
      <c r="L102" s="111">
        <v>14</v>
      </c>
      <c r="M102" s="111">
        <v>13</v>
      </c>
      <c r="N102" s="111">
        <v>13</v>
      </c>
      <c r="O102" s="111">
        <v>14</v>
      </c>
      <c r="P102" s="2">
        <f t="shared" si="13"/>
        <v>4491.369999999999</v>
      </c>
      <c r="Q102" s="2">
        <f t="shared" si="14"/>
        <v>4491.369999999999</v>
      </c>
      <c r="R102" s="2">
        <f t="shared" si="15"/>
        <v>4836.8599999999997</v>
      </c>
      <c r="S102" s="2">
        <f t="shared" si="16"/>
        <v>4491.369999999999</v>
      </c>
      <c r="T102" s="2">
        <f t="shared" si="17"/>
        <v>4491.369999999999</v>
      </c>
      <c r="U102" s="2">
        <f t="shared" si="18"/>
        <v>4836.8599999999997</v>
      </c>
    </row>
    <row r="103" spans="1:21">
      <c r="A103" s="55">
        <v>100</v>
      </c>
      <c r="B103" s="55" t="s">
        <v>320</v>
      </c>
      <c r="C103" s="55" t="s">
        <v>414</v>
      </c>
      <c r="D103" s="55" t="s">
        <v>322</v>
      </c>
      <c r="E103" s="75" t="s">
        <v>420</v>
      </c>
      <c r="F103" s="55">
        <v>8200760256</v>
      </c>
      <c r="G103" s="55">
        <v>913705030</v>
      </c>
      <c r="H103" s="55" t="s">
        <v>464</v>
      </c>
      <c r="I103" s="55">
        <v>60.01</v>
      </c>
      <c r="J103" s="111">
        <v>2</v>
      </c>
      <c r="K103" s="111">
        <v>2</v>
      </c>
      <c r="L103" s="111">
        <v>1</v>
      </c>
      <c r="M103" s="111">
        <v>2</v>
      </c>
      <c r="N103" s="111">
        <v>1</v>
      </c>
      <c r="O103" s="111">
        <v>2</v>
      </c>
      <c r="P103" s="2">
        <f t="shared" si="13"/>
        <v>120.02</v>
      </c>
      <c r="Q103" s="2">
        <f t="shared" si="14"/>
        <v>120.02</v>
      </c>
      <c r="R103" s="2">
        <f t="shared" si="15"/>
        <v>60.01</v>
      </c>
      <c r="S103" s="2">
        <f t="shared" si="16"/>
        <v>120.02</v>
      </c>
      <c r="T103" s="2">
        <f t="shared" si="17"/>
        <v>60.01</v>
      </c>
      <c r="U103" s="2">
        <f t="shared" si="18"/>
        <v>120.02</v>
      </c>
    </row>
    <row r="104" spans="1:21">
      <c r="A104" s="55">
        <v>101</v>
      </c>
      <c r="B104" s="55" t="s">
        <v>320</v>
      </c>
      <c r="C104" s="55" t="s">
        <v>414</v>
      </c>
      <c r="D104" s="55" t="s">
        <v>322</v>
      </c>
      <c r="E104" s="75" t="s">
        <v>445</v>
      </c>
      <c r="F104" s="55" t="s">
        <v>465</v>
      </c>
      <c r="G104" s="55">
        <v>914501023</v>
      </c>
      <c r="H104" s="55" t="s">
        <v>466</v>
      </c>
      <c r="I104" s="55">
        <v>111.57</v>
      </c>
      <c r="J104" s="111">
        <v>4</v>
      </c>
      <c r="K104" s="111">
        <v>3</v>
      </c>
      <c r="L104" s="111">
        <v>4</v>
      </c>
      <c r="M104" s="111">
        <v>4</v>
      </c>
      <c r="N104" s="111">
        <v>3</v>
      </c>
      <c r="O104" s="111">
        <v>4</v>
      </c>
      <c r="P104" s="2">
        <f t="shared" si="13"/>
        <v>446.28</v>
      </c>
      <c r="Q104" s="2">
        <f t="shared" si="14"/>
        <v>334.71</v>
      </c>
      <c r="R104" s="2">
        <f t="shared" si="15"/>
        <v>446.28</v>
      </c>
      <c r="S104" s="2">
        <f t="shared" si="16"/>
        <v>446.28</v>
      </c>
      <c r="T104" s="2">
        <f t="shared" si="17"/>
        <v>334.71</v>
      </c>
      <c r="U104" s="2">
        <f t="shared" si="18"/>
        <v>446.28</v>
      </c>
    </row>
    <row r="105" spans="1:21">
      <c r="A105" s="55">
        <v>102</v>
      </c>
      <c r="B105" s="55" t="s">
        <v>320</v>
      </c>
      <c r="C105" s="55" t="s">
        <v>414</v>
      </c>
      <c r="D105" s="55" t="s">
        <v>322</v>
      </c>
      <c r="E105" s="75" t="s">
        <v>420</v>
      </c>
      <c r="F105" s="55" t="s">
        <v>467</v>
      </c>
      <c r="G105" s="55">
        <v>913705031</v>
      </c>
      <c r="H105" s="55" t="s">
        <v>437</v>
      </c>
      <c r="I105" s="55">
        <v>48.25</v>
      </c>
      <c r="J105" s="111">
        <v>0</v>
      </c>
      <c r="K105" s="111">
        <v>10</v>
      </c>
      <c r="L105" s="111">
        <v>0</v>
      </c>
      <c r="M105" s="111">
        <v>0</v>
      </c>
      <c r="N105" s="111">
        <v>10</v>
      </c>
      <c r="O105" s="111">
        <v>0</v>
      </c>
      <c r="P105" s="2">
        <f t="shared" si="13"/>
        <v>0</v>
      </c>
      <c r="Q105" s="2">
        <f t="shared" si="14"/>
        <v>482.5</v>
      </c>
      <c r="R105" s="2">
        <f t="shared" si="15"/>
        <v>0</v>
      </c>
      <c r="S105" s="2">
        <f t="shared" si="16"/>
        <v>0</v>
      </c>
      <c r="T105" s="2">
        <f t="shared" si="17"/>
        <v>482.5</v>
      </c>
      <c r="U105" s="2">
        <f t="shared" si="18"/>
        <v>0</v>
      </c>
    </row>
    <row r="106" spans="1:21">
      <c r="A106" s="55">
        <v>103</v>
      </c>
      <c r="B106" s="55" t="s">
        <v>320</v>
      </c>
      <c r="C106" s="55" t="s">
        <v>414</v>
      </c>
      <c r="D106" s="55" t="s">
        <v>322</v>
      </c>
      <c r="E106" s="75" t="s">
        <v>420</v>
      </c>
      <c r="F106" s="55" t="s">
        <v>468</v>
      </c>
      <c r="G106" s="55">
        <v>913704014</v>
      </c>
      <c r="H106" s="55" t="s">
        <v>443</v>
      </c>
      <c r="I106" s="55">
        <v>210.29</v>
      </c>
      <c r="J106" s="111">
        <v>0</v>
      </c>
      <c r="K106" s="111">
        <v>4</v>
      </c>
      <c r="L106" s="111">
        <v>4</v>
      </c>
      <c r="M106" s="111">
        <v>3</v>
      </c>
      <c r="N106" s="111">
        <v>4</v>
      </c>
      <c r="O106" s="111">
        <v>4</v>
      </c>
      <c r="P106" s="2">
        <f t="shared" si="13"/>
        <v>0</v>
      </c>
      <c r="Q106" s="2">
        <f t="shared" si="14"/>
        <v>841.16</v>
      </c>
      <c r="R106" s="2">
        <f t="shared" si="15"/>
        <v>841.16</v>
      </c>
      <c r="S106" s="2">
        <f t="shared" si="16"/>
        <v>630.87</v>
      </c>
      <c r="T106" s="2">
        <f t="shared" si="17"/>
        <v>841.16</v>
      </c>
      <c r="U106" s="2">
        <f t="shared" si="18"/>
        <v>841.16</v>
      </c>
    </row>
    <row r="107" spans="1:21">
      <c r="A107" s="55">
        <v>104</v>
      </c>
      <c r="B107" s="55" t="s">
        <v>320</v>
      </c>
      <c r="C107" s="55" t="s">
        <v>414</v>
      </c>
      <c r="D107" s="55" t="s">
        <v>322</v>
      </c>
      <c r="E107" s="75" t="s">
        <v>1221</v>
      </c>
      <c r="F107" s="55" t="s">
        <v>400</v>
      </c>
      <c r="G107" s="55">
        <v>917918001</v>
      </c>
      <c r="H107" s="55" t="s">
        <v>1226</v>
      </c>
      <c r="I107" s="55">
        <v>168.04000000000002</v>
      </c>
      <c r="J107" s="111">
        <v>9</v>
      </c>
      <c r="K107" s="111">
        <v>9</v>
      </c>
      <c r="L107" s="111">
        <v>8</v>
      </c>
      <c r="M107" s="111">
        <v>9</v>
      </c>
      <c r="N107" s="111">
        <v>9</v>
      </c>
      <c r="O107" s="111">
        <v>8</v>
      </c>
      <c r="P107" s="2">
        <f t="shared" si="13"/>
        <v>1512.3600000000001</v>
      </c>
      <c r="Q107" s="2">
        <f t="shared" si="14"/>
        <v>1512.3600000000001</v>
      </c>
      <c r="R107" s="2">
        <f t="shared" si="15"/>
        <v>1344.3200000000002</v>
      </c>
      <c r="S107" s="2">
        <f t="shared" si="16"/>
        <v>1512.3600000000001</v>
      </c>
      <c r="T107" s="2">
        <f t="shared" si="17"/>
        <v>1512.3600000000001</v>
      </c>
      <c r="U107" s="2">
        <f t="shared" si="18"/>
        <v>1344.3200000000002</v>
      </c>
    </row>
    <row r="108" spans="1:21">
      <c r="A108" s="55">
        <v>105</v>
      </c>
      <c r="B108" s="55" t="s">
        <v>320</v>
      </c>
      <c r="C108" s="55" t="s">
        <v>414</v>
      </c>
      <c r="D108" s="55" t="s">
        <v>322</v>
      </c>
      <c r="E108" s="75" t="s">
        <v>1220</v>
      </c>
      <c r="F108" s="55" t="s">
        <v>367</v>
      </c>
      <c r="G108" s="55">
        <v>917203001</v>
      </c>
      <c r="H108" s="55" t="s">
        <v>463</v>
      </c>
      <c r="I108" s="55">
        <v>38.520000000000003</v>
      </c>
      <c r="J108" s="111">
        <v>0</v>
      </c>
      <c r="K108" s="111">
        <v>0</v>
      </c>
      <c r="L108" s="111">
        <v>10</v>
      </c>
      <c r="M108" s="111">
        <v>0</v>
      </c>
      <c r="N108" s="111">
        <v>0</v>
      </c>
      <c r="O108" s="111">
        <v>0</v>
      </c>
      <c r="P108" s="2">
        <f t="shared" si="13"/>
        <v>0</v>
      </c>
      <c r="Q108" s="2">
        <f t="shared" si="14"/>
        <v>0</v>
      </c>
      <c r="R108" s="2">
        <f t="shared" si="15"/>
        <v>385.20000000000005</v>
      </c>
      <c r="S108" s="2">
        <f t="shared" si="16"/>
        <v>0</v>
      </c>
      <c r="T108" s="2">
        <f t="shared" si="17"/>
        <v>0</v>
      </c>
      <c r="U108" s="2">
        <f t="shared" si="18"/>
        <v>0</v>
      </c>
    </row>
    <row r="109" spans="1:21">
      <c r="A109" s="55">
        <v>106</v>
      </c>
      <c r="B109" s="55" t="s">
        <v>320</v>
      </c>
      <c r="C109" s="55" t="s">
        <v>414</v>
      </c>
      <c r="D109" s="55" t="s">
        <v>322</v>
      </c>
      <c r="E109" s="75" t="s">
        <v>1221</v>
      </c>
      <c r="F109" s="55" t="s">
        <v>397</v>
      </c>
      <c r="G109" s="55">
        <v>917901001</v>
      </c>
      <c r="H109" s="55" t="s">
        <v>424</v>
      </c>
      <c r="I109" s="55">
        <v>218.32</v>
      </c>
      <c r="J109" s="111">
        <v>1</v>
      </c>
      <c r="K109" s="111">
        <v>3</v>
      </c>
      <c r="L109" s="111">
        <v>3</v>
      </c>
      <c r="M109" s="111">
        <v>3</v>
      </c>
      <c r="N109" s="111">
        <v>3</v>
      </c>
      <c r="O109" s="111">
        <v>3</v>
      </c>
      <c r="P109" s="2">
        <f t="shared" si="13"/>
        <v>218.32</v>
      </c>
      <c r="Q109" s="2">
        <f t="shared" si="14"/>
        <v>654.96</v>
      </c>
      <c r="R109" s="2">
        <f t="shared" si="15"/>
        <v>654.96</v>
      </c>
      <c r="S109" s="2">
        <f t="shared" si="16"/>
        <v>654.96</v>
      </c>
      <c r="T109" s="2">
        <f t="shared" si="17"/>
        <v>654.96</v>
      </c>
      <c r="U109" s="2">
        <f t="shared" si="18"/>
        <v>654.96</v>
      </c>
    </row>
    <row r="110" spans="1:21">
      <c r="A110" s="55">
        <v>107</v>
      </c>
      <c r="B110" s="55" t="s">
        <v>320</v>
      </c>
      <c r="C110" s="55" t="s">
        <v>414</v>
      </c>
      <c r="D110" s="55" t="s">
        <v>322</v>
      </c>
      <c r="E110" s="75" t="s">
        <v>450</v>
      </c>
      <c r="F110" s="55" t="s">
        <v>469</v>
      </c>
      <c r="G110" s="55">
        <v>918722002</v>
      </c>
      <c r="H110" s="55" t="s">
        <v>470</v>
      </c>
      <c r="I110" s="55">
        <v>79.08</v>
      </c>
      <c r="J110" s="111">
        <v>1</v>
      </c>
      <c r="K110" s="111">
        <v>1</v>
      </c>
      <c r="L110" s="111">
        <v>1</v>
      </c>
      <c r="M110" s="111">
        <v>1</v>
      </c>
      <c r="N110" s="111">
        <v>1</v>
      </c>
      <c r="O110" s="111">
        <v>1</v>
      </c>
      <c r="P110" s="2">
        <f t="shared" si="13"/>
        <v>79.08</v>
      </c>
      <c r="Q110" s="2">
        <f t="shared" si="14"/>
        <v>79.08</v>
      </c>
      <c r="R110" s="2">
        <f t="shared" si="15"/>
        <v>79.08</v>
      </c>
      <c r="S110" s="2">
        <f t="shared" si="16"/>
        <v>79.08</v>
      </c>
      <c r="T110" s="2">
        <f t="shared" si="17"/>
        <v>79.08</v>
      </c>
      <c r="U110" s="2">
        <f t="shared" si="18"/>
        <v>79.08</v>
      </c>
    </row>
    <row r="111" spans="1:21">
      <c r="A111" s="55">
        <v>108</v>
      </c>
      <c r="B111" s="55" t="s">
        <v>320</v>
      </c>
      <c r="C111" s="55" t="s">
        <v>414</v>
      </c>
      <c r="D111" s="55" t="s">
        <v>322</v>
      </c>
      <c r="E111" s="75" t="s">
        <v>433</v>
      </c>
      <c r="F111" s="55" t="s">
        <v>345</v>
      </c>
      <c r="G111" s="55">
        <v>919103001</v>
      </c>
      <c r="H111" s="55" t="s">
        <v>1222</v>
      </c>
      <c r="I111" s="55">
        <v>35.630000000000003</v>
      </c>
      <c r="J111" s="111">
        <v>10</v>
      </c>
      <c r="K111" s="111">
        <v>0</v>
      </c>
      <c r="L111" s="111">
        <v>10</v>
      </c>
      <c r="M111" s="111">
        <v>0</v>
      </c>
      <c r="N111" s="111">
        <v>10</v>
      </c>
      <c r="O111" s="111">
        <v>10</v>
      </c>
      <c r="P111" s="2">
        <f t="shared" si="13"/>
        <v>356.3</v>
      </c>
      <c r="Q111" s="2">
        <f t="shared" si="14"/>
        <v>0</v>
      </c>
      <c r="R111" s="2">
        <f t="shared" si="15"/>
        <v>356.3</v>
      </c>
      <c r="S111" s="2">
        <f t="shared" si="16"/>
        <v>0</v>
      </c>
      <c r="T111" s="2">
        <f t="shared" si="17"/>
        <v>356.3</v>
      </c>
      <c r="U111" s="2">
        <f t="shared" si="18"/>
        <v>356.3</v>
      </c>
    </row>
    <row r="112" spans="1:21">
      <c r="A112" s="55">
        <v>109</v>
      </c>
      <c r="B112" s="55" t="s">
        <v>320</v>
      </c>
      <c r="C112" s="55" t="s">
        <v>414</v>
      </c>
      <c r="D112" s="55" t="s">
        <v>322</v>
      </c>
      <c r="E112" s="75" t="s">
        <v>450</v>
      </c>
      <c r="F112" s="55" t="s">
        <v>471</v>
      </c>
      <c r="G112" s="55">
        <v>918723001</v>
      </c>
      <c r="H112" s="55" t="s">
        <v>472</v>
      </c>
      <c r="I112" s="55">
        <v>78.44</v>
      </c>
      <c r="J112" s="111">
        <v>0</v>
      </c>
      <c r="K112" s="111">
        <v>1</v>
      </c>
      <c r="L112" s="111">
        <v>1</v>
      </c>
      <c r="M112" s="111">
        <v>0</v>
      </c>
      <c r="N112" s="111">
        <v>1</v>
      </c>
      <c r="O112" s="111">
        <v>1</v>
      </c>
      <c r="P112" s="2">
        <f t="shared" si="13"/>
        <v>0</v>
      </c>
      <c r="Q112" s="2">
        <f t="shared" si="14"/>
        <v>78.44</v>
      </c>
      <c r="R112" s="2">
        <f t="shared" si="15"/>
        <v>78.44</v>
      </c>
      <c r="S112" s="2">
        <f t="shared" si="16"/>
        <v>0</v>
      </c>
      <c r="T112" s="2">
        <f t="shared" si="17"/>
        <v>78.44</v>
      </c>
      <c r="U112" s="2">
        <f t="shared" si="18"/>
        <v>78.44</v>
      </c>
    </row>
    <row r="113" spans="1:21">
      <c r="A113" s="55">
        <v>110</v>
      </c>
      <c r="B113" s="55" t="s">
        <v>320</v>
      </c>
      <c r="C113" s="55" t="s">
        <v>414</v>
      </c>
      <c r="D113" s="55" t="s">
        <v>322</v>
      </c>
      <c r="E113" s="75" t="s">
        <v>420</v>
      </c>
      <c r="F113" s="55" t="s">
        <v>473</v>
      </c>
      <c r="G113" s="55">
        <v>916805011</v>
      </c>
      <c r="H113" s="55" t="s">
        <v>474</v>
      </c>
      <c r="I113" s="55">
        <v>63.429999999999993</v>
      </c>
      <c r="J113" s="111">
        <v>0</v>
      </c>
      <c r="K113" s="111">
        <v>0</v>
      </c>
      <c r="L113" s="111">
        <v>0</v>
      </c>
      <c r="M113" s="111">
        <v>0</v>
      </c>
      <c r="N113" s="111">
        <v>10</v>
      </c>
      <c r="O113" s="111">
        <v>0</v>
      </c>
      <c r="P113" s="2">
        <f t="shared" si="13"/>
        <v>0</v>
      </c>
      <c r="Q113" s="2">
        <f t="shared" si="14"/>
        <v>0</v>
      </c>
      <c r="R113" s="2">
        <f t="shared" si="15"/>
        <v>0</v>
      </c>
      <c r="S113" s="2">
        <f t="shared" si="16"/>
        <v>0</v>
      </c>
      <c r="T113" s="2">
        <f t="shared" si="17"/>
        <v>634.29999999999995</v>
      </c>
      <c r="U113" s="2">
        <f t="shared" si="18"/>
        <v>0</v>
      </c>
    </row>
    <row r="114" spans="1:21">
      <c r="A114" s="55">
        <v>111</v>
      </c>
      <c r="B114" s="55" t="s">
        <v>320</v>
      </c>
      <c r="C114" s="55" t="s">
        <v>414</v>
      </c>
      <c r="D114" s="55" t="s">
        <v>322</v>
      </c>
      <c r="E114" s="75" t="s">
        <v>475</v>
      </c>
      <c r="F114" s="55" t="s">
        <v>476</v>
      </c>
      <c r="G114" s="55">
        <v>916805018</v>
      </c>
      <c r="H114" s="55" t="s">
        <v>477</v>
      </c>
      <c r="I114" s="55">
        <v>63.42</v>
      </c>
      <c r="J114" s="111">
        <v>0</v>
      </c>
      <c r="K114" s="111">
        <v>0</v>
      </c>
      <c r="L114" s="111">
        <v>1</v>
      </c>
      <c r="M114" s="111">
        <v>1</v>
      </c>
      <c r="N114" s="111">
        <v>1</v>
      </c>
      <c r="O114" s="111">
        <v>1</v>
      </c>
      <c r="P114" s="2">
        <f t="shared" si="13"/>
        <v>0</v>
      </c>
      <c r="Q114" s="2">
        <f t="shared" si="14"/>
        <v>0</v>
      </c>
      <c r="R114" s="2">
        <f t="shared" si="15"/>
        <v>63.42</v>
      </c>
      <c r="S114" s="2">
        <f t="shared" si="16"/>
        <v>63.42</v>
      </c>
      <c r="T114" s="2">
        <f t="shared" si="17"/>
        <v>63.42</v>
      </c>
      <c r="U114" s="2">
        <f t="shared" si="18"/>
        <v>63.42</v>
      </c>
    </row>
    <row r="115" spans="1:21">
      <c r="A115" s="55">
        <v>112</v>
      </c>
      <c r="B115" s="55" t="s">
        <v>320</v>
      </c>
      <c r="C115" s="55" t="s">
        <v>414</v>
      </c>
      <c r="D115" s="55" t="s">
        <v>322</v>
      </c>
      <c r="E115" s="75" t="s">
        <v>450</v>
      </c>
      <c r="F115" s="55" t="s">
        <v>478</v>
      </c>
      <c r="G115" s="55">
        <v>918705005</v>
      </c>
      <c r="H115" s="55" t="s">
        <v>479</v>
      </c>
      <c r="I115" s="55">
        <v>139.87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1</v>
      </c>
      <c r="P115" s="2">
        <f t="shared" si="13"/>
        <v>0</v>
      </c>
      <c r="Q115" s="2">
        <f t="shared" si="14"/>
        <v>0</v>
      </c>
      <c r="R115" s="2">
        <f t="shared" si="15"/>
        <v>0</v>
      </c>
      <c r="S115" s="2">
        <f t="shared" si="16"/>
        <v>0</v>
      </c>
      <c r="T115" s="2">
        <f t="shared" si="17"/>
        <v>0</v>
      </c>
      <c r="U115" s="2">
        <f t="shared" si="18"/>
        <v>139.87</v>
      </c>
    </row>
    <row r="116" spans="1:21">
      <c r="A116" s="55">
        <v>113</v>
      </c>
      <c r="B116" s="55" t="s">
        <v>320</v>
      </c>
      <c r="C116" s="55" t="s">
        <v>414</v>
      </c>
      <c r="D116" s="55" t="s">
        <v>322</v>
      </c>
      <c r="E116" s="75" t="s">
        <v>1221</v>
      </c>
      <c r="F116" s="55" t="s">
        <v>396</v>
      </c>
      <c r="G116" s="55">
        <v>917901002</v>
      </c>
      <c r="H116" s="55" t="s">
        <v>1225</v>
      </c>
      <c r="I116" s="55">
        <v>218.32</v>
      </c>
      <c r="J116" s="111">
        <v>3</v>
      </c>
      <c r="K116" s="111">
        <v>4</v>
      </c>
      <c r="L116" s="111">
        <v>5</v>
      </c>
      <c r="M116" s="111">
        <v>4</v>
      </c>
      <c r="N116" s="111">
        <v>5</v>
      </c>
      <c r="O116" s="111">
        <v>4</v>
      </c>
      <c r="P116" s="2">
        <f t="shared" si="13"/>
        <v>654.96</v>
      </c>
      <c r="Q116" s="2">
        <f t="shared" si="14"/>
        <v>873.28</v>
      </c>
      <c r="R116" s="2">
        <f t="shared" si="15"/>
        <v>1091.5999999999999</v>
      </c>
      <c r="S116" s="2">
        <f t="shared" si="16"/>
        <v>873.28</v>
      </c>
      <c r="T116" s="2">
        <f t="shared" si="17"/>
        <v>1091.5999999999999</v>
      </c>
      <c r="U116" s="2">
        <f t="shared" si="18"/>
        <v>873.28</v>
      </c>
    </row>
    <row r="117" spans="1:21">
      <c r="A117" s="55">
        <v>114</v>
      </c>
      <c r="B117" s="55" t="s">
        <v>320</v>
      </c>
      <c r="C117" s="55" t="s">
        <v>414</v>
      </c>
      <c r="D117" s="55" t="s">
        <v>322</v>
      </c>
      <c r="E117" s="75" t="s">
        <v>1220</v>
      </c>
      <c r="F117" s="55" t="s">
        <v>372</v>
      </c>
      <c r="G117" s="55">
        <v>917201002</v>
      </c>
      <c r="H117" s="55" t="s">
        <v>1219</v>
      </c>
      <c r="I117" s="55">
        <v>230.56</v>
      </c>
      <c r="J117" s="111">
        <v>0</v>
      </c>
      <c r="K117" s="111">
        <v>0</v>
      </c>
      <c r="L117" s="111">
        <v>0</v>
      </c>
      <c r="M117" s="111">
        <v>3</v>
      </c>
      <c r="N117" s="111">
        <v>3</v>
      </c>
      <c r="O117" s="111">
        <v>4</v>
      </c>
      <c r="P117" s="2">
        <f t="shared" si="13"/>
        <v>0</v>
      </c>
      <c r="Q117" s="2">
        <f t="shared" si="14"/>
        <v>0</v>
      </c>
      <c r="R117" s="2">
        <f t="shared" si="15"/>
        <v>0</v>
      </c>
      <c r="S117" s="2">
        <f t="shared" si="16"/>
        <v>691.68000000000006</v>
      </c>
      <c r="T117" s="2">
        <f t="shared" si="17"/>
        <v>691.68000000000006</v>
      </c>
      <c r="U117" s="2">
        <f t="shared" si="18"/>
        <v>922.24</v>
      </c>
    </row>
    <row r="118" spans="1:21">
      <c r="A118" s="55">
        <v>115</v>
      </c>
      <c r="B118" s="55" t="s">
        <v>320</v>
      </c>
      <c r="C118" s="55" t="s">
        <v>414</v>
      </c>
      <c r="D118" s="55" t="s">
        <v>322</v>
      </c>
      <c r="E118" s="75" t="s">
        <v>450</v>
      </c>
      <c r="F118" s="55" t="s">
        <v>480</v>
      </c>
      <c r="G118" s="55">
        <v>918705004</v>
      </c>
      <c r="H118" s="55" t="s">
        <v>481</v>
      </c>
      <c r="I118" s="55">
        <v>111.02</v>
      </c>
      <c r="J118" s="111">
        <v>0</v>
      </c>
      <c r="K118" s="111">
        <v>0</v>
      </c>
      <c r="L118" s="111">
        <v>1</v>
      </c>
      <c r="M118" s="111">
        <v>0</v>
      </c>
      <c r="N118" s="111">
        <v>1</v>
      </c>
      <c r="O118" s="111">
        <v>1</v>
      </c>
      <c r="P118" s="2">
        <f t="shared" si="13"/>
        <v>0</v>
      </c>
      <c r="Q118" s="2">
        <f t="shared" si="14"/>
        <v>0</v>
      </c>
      <c r="R118" s="2">
        <f t="shared" si="15"/>
        <v>111.02</v>
      </c>
      <c r="S118" s="2">
        <f t="shared" si="16"/>
        <v>0</v>
      </c>
      <c r="T118" s="2">
        <f t="shared" si="17"/>
        <v>111.02</v>
      </c>
      <c r="U118" s="2">
        <f t="shared" si="18"/>
        <v>111.02</v>
      </c>
    </row>
    <row r="119" spans="1:21">
      <c r="A119" s="55">
        <v>116</v>
      </c>
      <c r="B119" s="55" t="s">
        <v>320</v>
      </c>
      <c r="C119" s="55" t="s">
        <v>414</v>
      </c>
      <c r="D119" s="55" t="s">
        <v>322</v>
      </c>
      <c r="E119" s="75" t="s">
        <v>450</v>
      </c>
      <c r="F119" s="55" t="s">
        <v>482</v>
      </c>
      <c r="G119" s="55">
        <v>918705008</v>
      </c>
      <c r="H119" s="55" t="s">
        <v>483</v>
      </c>
      <c r="I119" s="55">
        <v>114.34</v>
      </c>
      <c r="J119" s="111">
        <v>0</v>
      </c>
      <c r="K119" s="111">
        <v>0</v>
      </c>
      <c r="L119" s="111">
        <v>0</v>
      </c>
      <c r="M119" s="111">
        <v>0</v>
      </c>
      <c r="N119" s="111">
        <v>1</v>
      </c>
      <c r="O119" s="111">
        <v>1</v>
      </c>
      <c r="P119" s="2">
        <f t="shared" si="13"/>
        <v>0</v>
      </c>
      <c r="Q119" s="2">
        <f t="shared" si="14"/>
        <v>0</v>
      </c>
      <c r="R119" s="2">
        <f t="shared" si="15"/>
        <v>0</v>
      </c>
      <c r="S119" s="2">
        <f t="shared" si="16"/>
        <v>0</v>
      </c>
      <c r="T119" s="2">
        <f t="shared" si="17"/>
        <v>114.34</v>
      </c>
      <c r="U119" s="2">
        <f t="shared" si="18"/>
        <v>114.34</v>
      </c>
    </row>
    <row r="120" spans="1:21">
      <c r="A120" s="55">
        <v>117</v>
      </c>
      <c r="B120" s="55" t="s">
        <v>320</v>
      </c>
      <c r="C120" s="55" t="s">
        <v>414</v>
      </c>
      <c r="D120" s="55" t="s">
        <v>322</v>
      </c>
      <c r="E120" s="75" t="s">
        <v>1220</v>
      </c>
      <c r="F120" s="55" t="s">
        <v>379</v>
      </c>
      <c r="G120" s="55">
        <v>917201004</v>
      </c>
      <c r="H120" s="55" t="s">
        <v>1224</v>
      </c>
      <c r="I120" s="55">
        <v>220.14</v>
      </c>
      <c r="J120" s="111">
        <v>3</v>
      </c>
      <c r="K120" s="111">
        <v>4</v>
      </c>
      <c r="L120" s="111">
        <v>3</v>
      </c>
      <c r="M120" s="111">
        <v>4</v>
      </c>
      <c r="N120" s="111">
        <v>3</v>
      </c>
      <c r="O120" s="111">
        <v>4</v>
      </c>
      <c r="P120" s="2">
        <f t="shared" si="13"/>
        <v>660.42</v>
      </c>
      <c r="Q120" s="2">
        <f t="shared" si="14"/>
        <v>880.56</v>
      </c>
      <c r="R120" s="2">
        <f t="shared" si="15"/>
        <v>660.42</v>
      </c>
      <c r="S120" s="2">
        <f t="shared" si="16"/>
        <v>880.56</v>
      </c>
      <c r="T120" s="2">
        <f t="shared" si="17"/>
        <v>660.42</v>
      </c>
      <c r="U120" s="2">
        <f t="shared" si="18"/>
        <v>880.56</v>
      </c>
    </row>
    <row r="121" spans="1:21">
      <c r="A121" s="55">
        <v>118</v>
      </c>
      <c r="B121" s="55" t="s">
        <v>320</v>
      </c>
      <c r="C121" s="55" t="s">
        <v>414</v>
      </c>
      <c r="D121" s="55" t="s">
        <v>322</v>
      </c>
      <c r="E121" s="75" t="s">
        <v>450</v>
      </c>
      <c r="F121" s="55" t="s">
        <v>484</v>
      </c>
      <c r="G121" s="55">
        <v>918711004</v>
      </c>
      <c r="H121" s="55" t="s">
        <v>485</v>
      </c>
      <c r="I121" s="55">
        <v>117.39</v>
      </c>
      <c r="J121" s="111">
        <v>0</v>
      </c>
      <c r="K121" s="111">
        <v>1</v>
      </c>
      <c r="L121" s="111">
        <v>0</v>
      </c>
      <c r="M121" s="111">
        <v>1</v>
      </c>
      <c r="N121" s="111">
        <v>0</v>
      </c>
      <c r="O121" s="111">
        <v>0</v>
      </c>
      <c r="P121" s="2">
        <f t="shared" si="13"/>
        <v>0</v>
      </c>
      <c r="Q121" s="2">
        <f t="shared" si="14"/>
        <v>117.39</v>
      </c>
      <c r="R121" s="2">
        <f t="shared" si="15"/>
        <v>0</v>
      </c>
      <c r="S121" s="2">
        <f t="shared" si="16"/>
        <v>117.39</v>
      </c>
      <c r="T121" s="2">
        <f t="shared" si="17"/>
        <v>0</v>
      </c>
      <c r="U121" s="2">
        <f t="shared" si="18"/>
        <v>0</v>
      </c>
    </row>
    <row r="122" spans="1:21">
      <c r="A122" s="55">
        <v>119</v>
      </c>
      <c r="B122" s="55" t="s">
        <v>320</v>
      </c>
      <c r="C122" s="55" t="s">
        <v>414</v>
      </c>
      <c r="D122" s="55" t="s">
        <v>322</v>
      </c>
      <c r="E122" s="75" t="s">
        <v>450</v>
      </c>
      <c r="F122" s="55" t="s">
        <v>486</v>
      </c>
      <c r="G122" s="55">
        <v>918710001</v>
      </c>
      <c r="H122" s="55" t="s">
        <v>439</v>
      </c>
      <c r="I122" s="55">
        <v>283.21999999999997</v>
      </c>
      <c r="J122" s="111">
        <v>1</v>
      </c>
      <c r="K122" s="111">
        <v>2</v>
      </c>
      <c r="L122" s="111">
        <v>2</v>
      </c>
      <c r="M122" s="111">
        <v>1</v>
      </c>
      <c r="N122" s="111">
        <v>2</v>
      </c>
      <c r="O122" s="111">
        <v>1</v>
      </c>
      <c r="P122" s="2">
        <f t="shared" si="13"/>
        <v>283.21999999999997</v>
      </c>
      <c r="Q122" s="2">
        <f t="shared" si="14"/>
        <v>566.43999999999994</v>
      </c>
      <c r="R122" s="2">
        <f t="shared" si="15"/>
        <v>566.43999999999994</v>
      </c>
      <c r="S122" s="2">
        <f t="shared" si="16"/>
        <v>283.21999999999997</v>
      </c>
      <c r="T122" s="2">
        <f t="shared" si="17"/>
        <v>566.43999999999994</v>
      </c>
      <c r="U122" s="2">
        <f t="shared" si="18"/>
        <v>283.21999999999997</v>
      </c>
    </row>
    <row r="123" spans="1:21">
      <c r="A123" s="55">
        <v>120</v>
      </c>
      <c r="B123" s="55" t="s">
        <v>320</v>
      </c>
      <c r="C123" s="55" t="s">
        <v>414</v>
      </c>
      <c r="D123" s="55" t="s">
        <v>322</v>
      </c>
      <c r="E123" s="75" t="s">
        <v>1221</v>
      </c>
      <c r="F123" s="55" t="s">
        <v>392</v>
      </c>
      <c r="G123" s="55">
        <v>917901004</v>
      </c>
      <c r="H123" s="55" t="s">
        <v>419</v>
      </c>
      <c r="I123" s="55">
        <v>212.96</v>
      </c>
      <c r="J123" s="111">
        <v>0</v>
      </c>
      <c r="K123" s="111">
        <v>0</v>
      </c>
      <c r="L123" s="111">
        <v>1</v>
      </c>
      <c r="M123" s="111">
        <v>2</v>
      </c>
      <c r="N123" s="111">
        <v>3</v>
      </c>
      <c r="O123" s="111">
        <v>2</v>
      </c>
      <c r="P123" s="2">
        <f t="shared" si="13"/>
        <v>0</v>
      </c>
      <c r="Q123" s="2">
        <f t="shared" si="14"/>
        <v>0</v>
      </c>
      <c r="R123" s="2">
        <f t="shared" si="15"/>
        <v>212.96</v>
      </c>
      <c r="S123" s="2">
        <f t="shared" si="16"/>
        <v>425.92</v>
      </c>
      <c r="T123" s="2">
        <f t="shared" si="17"/>
        <v>638.88</v>
      </c>
      <c r="U123" s="2">
        <f t="shared" si="18"/>
        <v>425.92</v>
      </c>
    </row>
    <row r="124" spans="1:21">
      <c r="A124" s="55">
        <v>121</v>
      </c>
      <c r="B124" s="55" t="s">
        <v>320</v>
      </c>
      <c r="C124" s="55" t="s">
        <v>414</v>
      </c>
      <c r="D124" s="55" t="s">
        <v>322</v>
      </c>
      <c r="E124" s="75" t="s">
        <v>450</v>
      </c>
      <c r="F124" s="55" t="s">
        <v>487</v>
      </c>
      <c r="G124" s="55">
        <v>918704002</v>
      </c>
      <c r="H124" s="55" t="s">
        <v>488</v>
      </c>
      <c r="I124" s="55">
        <v>484.97</v>
      </c>
      <c r="J124" s="111">
        <v>0</v>
      </c>
      <c r="K124" s="111">
        <v>1</v>
      </c>
      <c r="L124" s="111">
        <v>2</v>
      </c>
      <c r="M124" s="111">
        <v>2</v>
      </c>
      <c r="N124" s="111">
        <v>2</v>
      </c>
      <c r="O124" s="111">
        <v>1</v>
      </c>
      <c r="P124" s="2">
        <f t="shared" si="13"/>
        <v>0</v>
      </c>
      <c r="Q124" s="2">
        <f t="shared" si="14"/>
        <v>484.97</v>
      </c>
      <c r="R124" s="2">
        <f t="shared" si="15"/>
        <v>969.94</v>
      </c>
      <c r="S124" s="2">
        <f t="shared" si="16"/>
        <v>969.94</v>
      </c>
      <c r="T124" s="2">
        <f t="shared" si="17"/>
        <v>969.94</v>
      </c>
      <c r="U124" s="2">
        <f t="shared" si="18"/>
        <v>484.97</v>
      </c>
    </row>
    <row r="125" spans="1:21">
      <c r="A125" s="55">
        <v>122</v>
      </c>
      <c r="B125" s="55" t="s">
        <v>320</v>
      </c>
      <c r="C125" s="55" t="s">
        <v>414</v>
      </c>
      <c r="D125" s="55" t="s">
        <v>322</v>
      </c>
      <c r="E125" s="75" t="s">
        <v>450</v>
      </c>
      <c r="F125" s="55" t="s">
        <v>489</v>
      </c>
      <c r="G125" s="55">
        <v>918705002</v>
      </c>
      <c r="H125" s="55" t="s">
        <v>490</v>
      </c>
      <c r="I125" s="55">
        <v>92.76</v>
      </c>
      <c r="J125" s="111">
        <v>0</v>
      </c>
      <c r="K125" s="111">
        <v>0</v>
      </c>
      <c r="L125" s="111">
        <v>1</v>
      </c>
      <c r="M125" s="111">
        <v>0</v>
      </c>
      <c r="N125" s="111">
        <v>1</v>
      </c>
      <c r="O125" s="111">
        <v>1</v>
      </c>
      <c r="P125" s="2">
        <f t="shared" si="13"/>
        <v>0</v>
      </c>
      <c r="Q125" s="2">
        <f t="shared" si="14"/>
        <v>0</v>
      </c>
      <c r="R125" s="2">
        <f t="shared" si="15"/>
        <v>92.76</v>
      </c>
      <c r="S125" s="2">
        <f t="shared" si="16"/>
        <v>0</v>
      </c>
      <c r="T125" s="2">
        <f t="shared" si="17"/>
        <v>92.76</v>
      </c>
      <c r="U125" s="2">
        <f t="shared" si="18"/>
        <v>92.76</v>
      </c>
    </row>
    <row r="126" spans="1:21">
      <c r="A126" s="55">
        <v>123</v>
      </c>
      <c r="B126" s="55" t="s">
        <v>320</v>
      </c>
      <c r="C126" s="55" t="s">
        <v>414</v>
      </c>
      <c r="D126" s="55" t="s">
        <v>322</v>
      </c>
      <c r="E126" s="75" t="s">
        <v>450</v>
      </c>
      <c r="F126" s="55" t="s">
        <v>491</v>
      </c>
      <c r="G126" s="55">
        <v>918704001</v>
      </c>
      <c r="H126" s="55" t="s">
        <v>492</v>
      </c>
      <c r="I126" s="55">
        <v>438.06</v>
      </c>
      <c r="J126" s="111">
        <v>1</v>
      </c>
      <c r="K126" s="111">
        <v>1</v>
      </c>
      <c r="L126" s="111">
        <v>1</v>
      </c>
      <c r="M126" s="111">
        <v>1</v>
      </c>
      <c r="N126" s="111">
        <v>1</v>
      </c>
      <c r="O126" s="111">
        <v>2</v>
      </c>
      <c r="P126" s="2">
        <f t="shared" si="13"/>
        <v>438.06</v>
      </c>
      <c r="Q126" s="2">
        <f t="shared" si="14"/>
        <v>438.06</v>
      </c>
      <c r="R126" s="2">
        <f t="shared" si="15"/>
        <v>438.06</v>
      </c>
      <c r="S126" s="2">
        <f t="shared" si="16"/>
        <v>438.06</v>
      </c>
      <c r="T126" s="2">
        <f t="shared" si="17"/>
        <v>438.06</v>
      </c>
      <c r="U126" s="2">
        <f t="shared" si="18"/>
        <v>876.12</v>
      </c>
    </row>
    <row r="127" spans="1:21">
      <c r="A127" s="55">
        <v>124</v>
      </c>
      <c r="B127" s="55" t="s">
        <v>320</v>
      </c>
      <c r="C127" s="55" t="s">
        <v>414</v>
      </c>
      <c r="D127" s="55" t="s">
        <v>322</v>
      </c>
      <c r="E127" s="75" t="s">
        <v>420</v>
      </c>
      <c r="F127" s="55" t="s">
        <v>493</v>
      </c>
      <c r="G127" s="55">
        <v>916805012</v>
      </c>
      <c r="H127" s="55" t="s">
        <v>494</v>
      </c>
      <c r="I127" s="55">
        <v>63.43</v>
      </c>
      <c r="J127" s="111">
        <v>0</v>
      </c>
      <c r="K127" s="111">
        <v>1</v>
      </c>
      <c r="L127" s="111">
        <v>1</v>
      </c>
      <c r="M127" s="111">
        <v>1</v>
      </c>
      <c r="N127" s="111">
        <v>1</v>
      </c>
      <c r="O127" s="111">
        <v>2</v>
      </c>
      <c r="P127" s="2">
        <f t="shared" si="13"/>
        <v>0</v>
      </c>
      <c r="Q127" s="2">
        <f t="shared" si="14"/>
        <v>63.43</v>
      </c>
      <c r="R127" s="2">
        <f t="shared" si="15"/>
        <v>63.43</v>
      </c>
      <c r="S127" s="2">
        <f t="shared" si="16"/>
        <v>63.43</v>
      </c>
      <c r="T127" s="2">
        <f t="shared" si="17"/>
        <v>63.43</v>
      </c>
      <c r="U127" s="2">
        <f t="shared" si="18"/>
        <v>126.86</v>
      </c>
    </row>
    <row r="128" spans="1:21">
      <c r="A128" s="55">
        <v>125</v>
      </c>
      <c r="B128" s="55" t="s">
        <v>320</v>
      </c>
      <c r="C128" s="55" t="s">
        <v>414</v>
      </c>
      <c r="D128" s="55" t="s">
        <v>322</v>
      </c>
      <c r="E128" s="75" t="s">
        <v>475</v>
      </c>
      <c r="F128" s="55" t="s">
        <v>495</v>
      </c>
      <c r="G128" s="55">
        <v>916805019</v>
      </c>
      <c r="H128" s="55" t="s">
        <v>496</v>
      </c>
      <c r="I128" s="55">
        <v>63.42</v>
      </c>
      <c r="J128" s="111">
        <v>0</v>
      </c>
      <c r="K128" s="111">
        <v>0</v>
      </c>
      <c r="L128" s="111">
        <v>2</v>
      </c>
      <c r="M128" s="111">
        <v>1</v>
      </c>
      <c r="N128" s="111">
        <v>2</v>
      </c>
      <c r="O128" s="111">
        <v>2</v>
      </c>
      <c r="P128" s="2">
        <f t="shared" si="13"/>
        <v>0</v>
      </c>
      <c r="Q128" s="2">
        <f t="shared" si="14"/>
        <v>0</v>
      </c>
      <c r="R128" s="2">
        <f t="shared" si="15"/>
        <v>126.84</v>
      </c>
      <c r="S128" s="2">
        <f t="shared" si="16"/>
        <v>63.42</v>
      </c>
      <c r="T128" s="2">
        <f t="shared" si="17"/>
        <v>126.84</v>
      </c>
      <c r="U128" s="2">
        <f t="shared" si="18"/>
        <v>126.84</v>
      </c>
    </row>
    <row r="129" spans="1:21">
      <c r="A129" s="55">
        <v>126</v>
      </c>
      <c r="B129" s="55" t="s">
        <v>320</v>
      </c>
      <c r="C129" s="55" t="s">
        <v>414</v>
      </c>
      <c r="D129" s="55" t="s">
        <v>322</v>
      </c>
      <c r="E129" s="75" t="s">
        <v>450</v>
      </c>
      <c r="F129" s="55" t="s">
        <v>497</v>
      </c>
      <c r="G129" s="55">
        <v>918705006</v>
      </c>
      <c r="H129" s="55" t="s">
        <v>498</v>
      </c>
      <c r="I129" s="55">
        <v>139.87</v>
      </c>
      <c r="J129" s="111">
        <v>0</v>
      </c>
      <c r="K129" s="111">
        <v>1</v>
      </c>
      <c r="L129" s="111">
        <v>2</v>
      </c>
      <c r="M129" s="111">
        <v>1</v>
      </c>
      <c r="N129" s="111">
        <v>2</v>
      </c>
      <c r="O129" s="111">
        <v>2</v>
      </c>
      <c r="P129" s="2">
        <f t="shared" si="13"/>
        <v>0</v>
      </c>
      <c r="Q129" s="2">
        <f t="shared" si="14"/>
        <v>139.87</v>
      </c>
      <c r="R129" s="2">
        <f t="shared" si="15"/>
        <v>279.74</v>
      </c>
      <c r="S129" s="2">
        <f t="shared" si="16"/>
        <v>139.87</v>
      </c>
      <c r="T129" s="2">
        <f t="shared" si="17"/>
        <v>279.74</v>
      </c>
      <c r="U129" s="2">
        <f t="shared" si="18"/>
        <v>279.74</v>
      </c>
    </row>
    <row r="130" spans="1:21">
      <c r="A130" s="55">
        <v>127</v>
      </c>
      <c r="B130" s="55" t="s">
        <v>320</v>
      </c>
      <c r="C130" s="55" t="s">
        <v>414</v>
      </c>
      <c r="D130" s="55" t="s">
        <v>322</v>
      </c>
      <c r="E130" s="75" t="s">
        <v>450</v>
      </c>
      <c r="F130" s="55" t="s">
        <v>499</v>
      </c>
      <c r="G130" s="55">
        <v>918704004</v>
      </c>
      <c r="H130" s="55" t="s">
        <v>440</v>
      </c>
      <c r="I130" s="55">
        <v>439.41</v>
      </c>
      <c r="J130" s="111">
        <v>1</v>
      </c>
      <c r="K130" s="111">
        <v>1</v>
      </c>
      <c r="L130" s="111">
        <v>1</v>
      </c>
      <c r="M130" s="111">
        <v>1</v>
      </c>
      <c r="N130" s="111">
        <v>1</v>
      </c>
      <c r="O130" s="111">
        <v>1</v>
      </c>
      <c r="P130" s="2">
        <f t="shared" si="13"/>
        <v>439.41</v>
      </c>
      <c r="Q130" s="2">
        <f t="shared" si="14"/>
        <v>439.41</v>
      </c>
      <c r="R130" s="2">
        <f t="shared" si="15"/>
        <v>439.41</v>
      </c>
      <c r="S130" s="2">
        <f t="shared" si="16"/>
        <v>439.41</v>
      </c>
      <c r="T130" s="2">
        <f t="shared" si="17"/>
        <v>439.41</v>
      </c>
      <c r="U130" s="2">
        <f t="shared" si="18"/>
        <v>439.41</v>
      </c>
    </row>
    <row r="131" spans="1:21">
      <c r="A131" s="55">
        <v>128</v>
      </c>
      <c r="B131" s="55" t="s">
        <v>320</v>
      </c>
      <c r="C131" s="55" t="s">
        <v>414</v>
      </c>
      <c r="D131" s="55" t="s">
        <v>322</v>
      </c>
      <c r="E131" s="75" t="s">
        <v>450</v>
      </c>
      <c r="F131" s="55" t="s">
        <v>500</v>
      </c>
      <c r="G131" s="55">
        <v>918711003</v>
      </c>
      <c r="H131" s="55" t="s">
        <v>501</v>
      </c>
      <c r="I131" s="55">
        <v>144.4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1</v>
      </c>
      <c r="P131" s="2">
        <f t="shared" si="13"/>
        <v>0</v>
      </c>
      <c r="Q131" s="2">
        <f t="shared" si="14"/>
        <v>0</v>
      </c>
      <c r="R131" s="2">
        <f t="shared" si="15"/>
        <v>0</v>
      </c>
      <c r="S131" s="2">
        <f t="shared" si="16"/>
        <v>0</v>
      </c>
      <c r="T131" s="2">
        <f t="shared" si="17"/>
        <v>0</v>
      </c>
      <c r="U131" s="2">
        <f t="shared" si="18"/>
        <v>144.4</v>
      </c>
    </row>
    <row r="132" spans="1:21">
      <c r="A132" s="55">
        <v>129</v>
      </c>
      <c r="B132" s="55" t="s">
        <v>320</v>
      </c>
      <c r="C132" s="55" t="s">
        <v>414</v>
      </c>
      <c r="D132" s="55" t="s">
        <v>322</v>
      </c>
      <c r="E132" s="75" t="s">
        <v>450</v>
      </c>
      <c r="F132" s="55" t="s">
        <v>502</v>
      </c>
      <c r="G132" s="55">
        <v>918723004</v>
      </c>
      <c r="H132" s="55" t="s">
        <v>503</v>
      </c>
      <c r="I132" s="55">
        <v>75.650000000000006</v>
      </c>
      <c r="J132" s="111">
        <v>0</v>
      </c>
      <c r="K132" s="111">
        <v>0</v>
      </c>
      <c r="L132" s="111">
        <v>0</v>
      </c>
      <c r="M132" s="111">
        <v>1</v>
      </c>
      <c r="N132" s="111">
        <v>0</v>
      </c>
      <c r="O132" s="111">
        <v>0</v>
      </c>
      <c r="P132" s="2">
        <f t="shared" si="13"/>
        <v>0</v>
      </c>
      <c r="Q132" s="2">
        <f t="shared" si="14"/>
        <v>0</v>
      </c>
      <c r="R132" s="2">
        <f t="shared" si="15"/>
        <v>0</v>
      </c>
      <c r="S132" s="2">
        <f t="shared" si="16"/>
        <v>75.650000000000006</v>
      </c>
      <c r="T132" s="2">
        <f t="shared" si="17"/>
        <v>0</v>
      </c>
      <c r="U132" s="2">
        <f t="shared" si="18"/>
        <v>0</v>
      </c>
    </row>
    <row r="133" spans="1:21">
      <c r="A133" s="55">
        <v>130</v>
      </c>
      <c r="B133" s="55" t="s">
        <v>320</v>
      </c>
      <c r="C133" s="55" t="s">
        <v>414</v>
      </c>
      <c r="D133" s="55" t="s">
        <v>322</v>
      </c>
      <c r="E133" s="75" t="s">
        <v>1220</v>
      </c>
      <c r="F133" s="55" t="s">
        <v>363</v>
      </c>
      <c r="G133" s="55">
        <v>917226002</v>
      </c>
      <c r="H133" s="55" t="s">
        <v>1223</v>
      </c>
      <c r="I133" s="55">
        <v>57.95</v>
      </c>
      <c r="J133" s="111">
        <v>0</v>
      </c>
      <c r="K133" s="111">
        <v>10</v>
      </c>
      <c r="L133" s="111">
        <v>0</v>
      </c>
      <c r="M133" s="111">
        <v>0</v>
      </c>
      <c r="N133" s="111">
        <v>10</v>
      </c>
      <c r="O133" s="111">
        <v>0</v>
      </c>
      <c r="P133" s="2">
        <f t="shared" ref="P133:P196" si="19">J133*I133</f>
        <v>0</v>
      </c>
      <c r="Q133" s="2">
        <f t="shared" ref="Q133:Q196" si="20">K133*I133</f>
        <v>579.5</v>
      </c>
      <c r="R133" s="2">
        <f t="shared" ref="R133:R196" si="21">L133*I133</f>
        <v>0</v>
      </c>
      <c r="S133" s="2">
        <f t="shared" ref="S133:S196" si="22">M133*I133</f>
        <v>0</v>
      </c>
      <c r="T133" s="2">
        <f t="shared" ref="T133:T196" si="23">N133*I133</f>
        <v>579.5</v>
      </c>
      <c r="U133" s="2">
        <f t="shared" ref="U133:U196" si="24">O133*I133</f>
        <v>0</v>
      </c>
    </row>
    <row r="134" spans="1:21">
      <c r="A134" s="55">
        <v>131</v>
      </c>
      <c r="B134" s="55" t="s">
        <v>320</v>
      </c>
      <c r="C134" s="55" t="s">
        <v>414</v>
      </c>
      <c r="D134" s="55" t="s">
        <v>322</v>
      </c>
      <c r="E134" s="75" t="s">
        <v>1220</v>
      </c>
      <c r="F134" s="55" t="s">
        <v>365</v>
      </c>
      <c r="G134" s="55">
        <v>917226001</v>
      </c>
      <c r="H134" s="55" t="s">
        <v>1223</v>
      </c>
      <c r="I134" s="55">
        <v>57.95</v>
      </c>
      <c r="J134" s="111">
        <v>0</v>
      </c>
      <c r="K134" s="111">
        <v>10</v>
      </c>
      <c r="L134" s="111">
        <v>0</v>
      </c>
      <c r="M134" s="111">
        <v>0</v>
      </c>
      <c r="N134" s="111">
        <v>10</v>
      </c>
      <c r="O134" s="111">
        <v>0</v>
      </c>
      <c r="P134" s="2">
        <f t="shared" si="19"/>
        <v>0</v>
      </c>
      <c r="Q134" s="2">
        <f t="shared" si="20"/>
        <v>579.5</v>
      </c>
      <c r="R134" s="2">
        <f t="shared" si="21"/>
        <v>0</v>
      </c>
      <c r="S134" s="2">
        <f t="shared" si="22"/>
        <v>0</v>
      </c>
      <c r="T134" s="2">
        <f t="shared" si="23"/>
        <v>579.5</v>
      </c>
      <c r="U134" s="2">
        <f t="shared" si="24"/>
        <v>0</v>
      </c>
    </row>
    <row r="135" spans="1:21">
      <c r="A135" s="55">
        <v>132</v>
      </c>
      <c r="B135" s="55" t="s">
        <v>320</v>
      </c>
      <c r="C135" s="55" t="s">
        <v>414</v>
      </c>
      <c r="D135" s="55" t="s">
        <v>322</v>
      </c>
      <c r="E135" s="75" t="s">
        <v>504</v>
      </c>
      <c r="F135" s="55" t="s">
        <v>404</v>
      </c>
      <c r="G135" s="55">
        <v>914503003</v>
      </c>
      <c r="H135" s="55" t="s">
        <v>1222</v>
      </c>
      <c r="I135" s="55">
        <v>33.56</v>
      </c>
      <c r="J135" s="111">
        <v>10</v>
      </c>
      <c r="K135" s="111">
        <v>10</v>
      </c>
      <c r="L135" s="111">
        <v>0</v>
      </c>
      <c r="M135" s="111">
        <v>10</v>
      </c>
      <c r="N135" s="111">
        <v>0</v>
      </c>
      <c r="O135" s="111">
        <v>10</v>
      </c>
      <c r="P135" s="2">
        <f t="shared" si="19"/>
        <v>335.6</v>
      </c>
      <c r="Q135" s="2">
        <f t="shared" si="20"/>
        <v>335.6</v>
      </c>
      <c r="R135" s="2">
        <f t="shared" si="21"/>
        <v>0</v>
      </c>
      <c r="S135" s="2">
        <f t="shared" si="22"/>
        <v>335.6</v>
      </c>
      <c r="T135" s="2">
        <f t="shared" si="23"/>
        <v>0</v>
      </c>
      <c r="U135" s="2">
        <f t="shared" si="24"/>
        <v>335.6</v>
      </c>
    </row>
    <row r="136" spans="1:21">
      <c r="A136" s="55">
        <v>133</v>
      </c>
      <c r="B136" s="55" t="s">
        <v>320</v>
      </c>
      <c r="C136" s="55" t="s">
        <v>414</v>
      </c>
      <c r="D136" s="55" t="s">
        <v>322</v>
      </c>
      <c r="E136" s="75" t="s">
        <v>445</v>
      </c>
      <c r="F136" s="55" t="s">
        <v>505</v>
      </c>
      <c r="G136" s="55">
        <v>914501021</v>
      </c>
      <c r="H136" s="55" t="s">
        <v>466</v>
      </c>
      <c r="I136" s="55">
        <v>92.29</v>
      </c>
      <c r="J136" s="111">
        <v>1</v>
      </c>
      <c r="K136" s="111">
        <v>1</v>
      </c>
      <c r="L136" s="111">
        <v>1</v>
      </c>
      <c r="M136" s="111">
        <v>2</v>
      </c>
      <c r="N136" s="111">
        <v>1</v>
      </c>
      <c r="O136" s="111">
        <v>2</v>
      </c>
      <c r="P136" s="2">
        <f t="shared" si="19"/>
        <v>92.29</v>
      </c>
      <c r="Q136" s="2">
        <f t="shared" si="20"/>
        <v>92.29</v>
      </c>
      <c r="R136" s="2">
        <f t="shared" si="21"/>
        <v>92.29</v>
      </c>
      <c r="S136" s="2">
        <f t="shared" si="22"/>
        <v>184.58</v>
      </c>
      <c r="T136" s="2">
        <f t="shared" si="23"/>
        <v>92.29</v>
      </c>
      <c r="U136" s="2">
        <f t="shared" si="24"/>
        <v>184.58</v>
      </c>
    </row>
    <row r="137" spans="1:21">
      <c r="A137" s="55">
        <v>134</v>
      </c>
      <c r="B137" s="55" t="s">
        <v>320</v>
      </c>
      <c r="C137" s="55" t="s">
        <v>414</v>
      </c>
      <c r="D137" s="55" t="s">
        <v>322</v>
      </c>
      <c r="E137" s="75" t="s">
        <v>1221</v>
      </c>
      <c r="F137" s="55" t="s">
        <v>393</v>
      </c>
      <c r="G137" s="55">
        <v>917901003</v>
      </c>
      <c r="H137" s="55" t="s">
        <v>417</v>
      </c>
      <c r="I137" s="55">
        <v>212.96</v>
      </c>
      <c r="J137" s="111">
        <v>0</v>
      </c>
      <c r="K137" s="111">
        <v>0</v>
      </c>
      <c r="L137" s="111">
        <v>1</v>
      </c>
      <c r="M137" s="111">
        <v>3</v>
      </c>
      <c r="N137" s="111">
        <v>3</v>
      </c>
      <c r="O137" s="111">
        <v>2</v>
      </c>
      <c r="P137" s="2">
        <f t="shared" si="19"/>
        <v>0</v>
      </c>
      <c r="Q137" s="2">
        <f t="shared" si="20"/>
        <v>0</v>
      </c>
      <c r="R137" s="2">
        <f t="shared" si="21"/>
        <v>212.96</v>
      </c>
      <c r="S137" s="2">
        <f t="shared" si="22"/>
        <v>638.88</v>
      </c>
      <c r="T137" s="2">
        <f t="shared" si="23"/>
        <v>638.88</v>
      </c>
      <c r="U137" s="2">
        <f t="shared" si="24"/>
        <v>425.92</v>
      </c>
    </row>
    <row r="138" spans="1:21">
      <c r="A138" s="55">
        <v>135</v>
      </c>
      <c r="B138" s="55" t="s">
        <v>320</v>
      </c>
      <c r="C138" s="55" t="s">
        <v>414</v>
      </c>
      <c r="D138" s="55" t="s">
        <v>322</v>
      </c>
      <c r="E138" s="75" t="s">
        <v>450</v>
      </c>
      <c r="F138" s="55" t="s">
        <v>506</v>
      </c>
      <c r="G138" s="55">
        <v>918711001</v>
      </c>
      <c r="H138" s="55" t="s">
        <v>507</v>
      </c>
      <c r="I138" s="55">
        <v>80.61</v>
      </c>
      <c r="J138" s="111">
        <v>0</v>
      </c>
      <c r="K138" s="111">
        <v>0</v>
      </c>
      <c r="L138" s="111">
        <v>0</v>
      </c>
      <c r="M138" s="111">
        <v>1</v>
      </c>
      <c r="N138" s="111">
        <v>0</v>
      </c>
      <c r="O138" s="111">
        <v>1</v>
      </c>
      <c r="P138" s="2">
        <f t="shared" si="19"/>
        <v>0</v>
      </c>
      <c r="Q138" s="2">
        <f t="shared" si="20"/>
        <v>0</v>
      </c>
      <c r="R138" s="2">
        <f t="shared" si="21"/>
        <v>0</v>
      </c>
      <c r="S138" s="2">
        <f t="shared" si="22"/>
        <v>80.61</v>
      </c>
      <c r="T138" s="2">
        <f t="shared" si="23"/>
        <v>0</v>
      </c>
      <c r="U138" s="2">
        <f t="shared" si="24"/>
        <v>80.61</v>
      </c>
    </row>
    <row r="139" spans="1:21">
      <c r="A139" s="55">
        <v>136</v>
      </c>
      <c r="B139" s="55" t="s">
        <v>320</v>
      </c>
      <c r="C139" s="55" t="s">
        <v>414</v>
      </c>
      <c r="D139" s="55" t="s">
        <v>322</v>
      </c>
      <c r="E139" s="75" t="s">
        <v>420</v>
      </c>
      <c r="F139" s="55" t="s">
        <v>508</v>
      </c>
      <c r="G139" s="55">
        <v>916805015</v>
      </c>
      <c r="H139" s="55" t="s">
        <v>509</v>
      </c>
      <c r="I139" s="55">
        <v>50.75</v>
      </c>
      <c r="J139" s="111">
        <v>1</v>
      </c>
      <c r="K139" s="111">
        <v>1</v>
      </c>
      <c r="L139" s="111">
        <v>1</v>
      </c>
      <c r="M139" s="111">
        <v>1</v>
      </c>
      <c r="N139" s="111">
        <v>1</v>
      </c>
      <c r="O139" s="111">
        <v>1</v>
      </c>
      <c r="P139" s="2">
        <f t="shared" si="19"/>
        <v>50.75</v>
      </c>
      <c r="Q139" s="2">
        <f t="shared" si="20"/>
        <v>50.75</v>
      </c>
      <c r="R139" s="2">
        <f t="shared" si="21"/>
        <v>50.75</v>
      </c>
      <c r="S139" s="2">
        <f t="shared" si="22"/>
        <v>50.75</v>
      </c>
      <c r="T139" s="2">
        <f t="shared" si="23"/>
        <v>50.75</v>
      </c>
      <c r="U139" s="2">
        <f t="shared" si="24"/>
        <v>50.75</v>
      </c>
    </row>
    <row r="140" spans="1:21">
      <c r="A140" s="55">
        <v>137</v>
      </c>
      <c r="B140" s="55" t="s">
        <v>320</v>
      </c>
      <c r="C140" s="55" t="s">
        <v>414</v>
      </c>
      <c r="D140" s="55" t="s">
        <v>322</v>
      </c>
      <c r="E140" s="75" t="s">
        <v>1221</v>
      </c>
      <c r="F140" s="55" t="s">
        <v>398</v>
      </c>
      <c r="G140" s="55">
        <v>917904003</v>
      </c>
      <c r="H140" s="55" t="s">
        <v>440</v>
      </c>
      <c r="I140" s="55">
        <v>337.76</v>
      </c>
      <c r="J140" s="111">
        <v>0</v>
      </c>
      <c r="K140" s="111">
        <v>5</v>
      </c>
      <c r="L140" s="111">
        <v>5</v>
      </c>
      <c r="M140" s="111">
        <v>5</v>
      </c>
      <c r="N140" s="111">
        <v>5</v>
      </c>
      <c r="O140" s="111">
        <v>5</v>
      </c>
      <c r="P140" s="2">
        <f t="shared" si="19"/>
        <v>0</v>
      </c>
      <c r="Q140" s="2">
        <f t="shared" si="20"/>
        <v>1688.8</v>
      </c>
      <c r="R140" s="2">
        <f t="shared" si="21"/>
        <v>1688.8</v>
      </c>
      <c r="S140" s="2">
        <f t="shared" si="22"/>
        <v>1688.8</v>
      </c>
      <c r="T140" s="2">
        <f t="shared" si="23"/>
        <v>1688.8</v>
      </c>
      <c r="U140" s="2">
        <f t="shared" si="24"/>
        <v>1688.8</v>
      </c>
    </row>
    <row r="141" spans="1:21">
      <c r="A141" s="55">
        <v>138</v>
      </c>
      <c r="B141" s="55" t="s">
        <v>320</v>
      </c>
      <c r="C141" s="55" t="s">
        <v>414</v>
      </c>
      <c r="D141" s="55" t="s">
        <v>322</v>
      </c>
      <c r="E141" s="75" t="s">
        <v>1221</v>
      </c>
      <c r="F141" s="55" t="s">
        <v>399</v>
      </c>
      <c r="G141" s="55">
        <v>917904004</v>
      </c>
      <c r="H141" s="55" t="s">
        <v>443</v>
      </c>
      <c r="I141" s="55">
        <v>337.76</v>
      </c>
      <c r="J141" s="111">
        <v>2</v>
      </c>
      <c r="K141" s="111">
        <v>3</v>
      </c>
      <c r="L141" s="111">
        <v>3</v>
      </c>
      <c r="M141" s="111">
        <v>4</v>
      </c>
      <c r="N141" s="111">
        <v>3</v>
      </c>
      <c r="O141" s="111">
        <v>3</v>
      </c>
      <c r="P141" s="2">
        <f t="shared" si="19"/>
        <v>675.52</v>
      </c>
      <c r="Q141" s="2">
        <f t="shared" si="20"/>
        <v>1013.28</v>
      </c>
      <c r="R141" s="2">
        <f t="shared" si="21"/>
        <v>1013.28</v>
      </c>
      <c r="S141" s="2">
        <f t="shared" si="22"/>
        <v>1351.04</v>
      </c>
      <c r="T141" s="2">
        <f t="shared" si="23"/>
        <v>1013.28</v>
      </c>
      <c r="U141" s="2">
        <f t="shared" si="24"/>
        <v>1013.28</v>
      </c>
    </row>
    <row r="142" spans="1:21">
      <c r="A142" s="55">
        <v>139</v>
      </c>
      <c r="B142" s="55" t="s">
        <v>320</v>
      </c>
      <c r="C142" s="55" t="s">
        <v>414</v>
      </c>
      <c r="D142" s="55" t="s">
        <v>322</v>
      </c>
      <c r="E142" s="75" t="s">
        <v>420</v>
      </c>
      <c r="F142" s="55" t="s">
        <v>510</v>
      </c>
      <c r="G142" s="55">
        <v>916805016</v>
      </c>
      <c r="H142" s="55" t="s">
        <v>511</v>
      </c>
      <c r="I142" s="55">
        <v>50.75</v>
      </c>
      <c r="J142" s="111">
        <v>1</v>
      </c>
      <c r="K142" s="111">
        <v>2</v>
      </c>
      <c r="L142" s="111">
        <v>1</v>
      </c>
      <c r="M142" s="111">
        <v>2</v>
      </c>
      <c r="N142" s="111">
        <v>2</v>
      </c>
      <c r="O142" s="111">
        <v>1</v>
      </c>
      <c r="P142" s="2">
        <f t="shared" si="19"/>
        <v>50.75</v>
      </c>
      <c r="Q142" s="2">
        <f t="shared" si="20"/>
        <v>101.5</v>
      </c>
      <c r="R142" s="2">
        <f t="shared" si="21"/>
        <v>50.75</v>
      </c>
      <c r="S142" s="2">
        <f t="shared" si="22"/>
        <v>101.5</v>
      </c>
      <c r="T142" s="2">
        <f t="shared" si="23"/>
        <v>101.5</v>
      </c>
      <c r="U142" s="2">
        <f t="shared" si="24"/>
        <v>50.75</v>
      </c>
    </row>
    <row r="143" spans="1:21">
      <c r="A143" s="55">
        <v>140</v>
      </c>
      <c r="B143" s="55" t="s">
        <v>320</v>
      </c>
      <c r="C143" s="55" t="s">
        <v>414</v>
      </c>
      <c r="D143" s="55" t="s">
        <v>322</v>
      </c>
      <c r="E143" s="75" t="s">
        <v>450</v>
      </c>
      <c r="F143" s="55" t="s">
        <v>512</v>
      </c>
      <c r="G143" s="55">
        <v>918704003</v>
      </c>
      <c r="H143" s="55" t="s">
        <v>443</v>
      </c>
      <c r="I143" s="55">
        <v>400</v>
      </c>
      <c r="J143" s="111">
        <v>0</v>
      </c>
      <c r="K143" s="111">
        <v>1</v>
      </c>
      <c r="L143" s="111">
        <v>1</v>
      </c>
      <c r="M143" s="111">
        <v>1</v>
      </c>
      <c r="N143" s="111">
        <v>1</v>
      </c>
      <c r="O143" s="111">
        <v>1</v>
      </c>
      <c r="P143" s="2">
        <f t="shared" si="19"/>
        <v>0</v>
      </c>
      <c r="Q143" s="2">
        <f t="shared" si="20"/>
        <v>400</v>
      </c>
      <c r="R143" s="2">
        <f t="shared" si="21"/>
        <v>400</v>
      </c>
      <c r="S143" s="2">
        <f t="shared" si="22"/>
        <v>400</v>
      </c>
      <c r="T143" s="2">
        <f t="shared" si="23"/>
        <v>400</v>
      </c>
      <c r="U143" s="2">
        <f t="shared" si="24"/>
        <v>400</v>
      </c>
    </row>
    <row r="144" spans="1:21">
      <c r="A144" s="55">
        <v>141</v>
      </c>
      <c r="B144" s="55" t="s">
        <v>320</v>
      </c>
      <c r="C144" s="55" t="s">
        <v>414</v>
      </c>
      <c r="D144" s="55" t="s">
        <v>322</v>
      </c>
      <c r="E144" s="75" t="s">
        <v>450</v>
      </c>
      <c r="F144" s="55" t="s">
        <v>513</v>
      </c>
      <c r="G144" s="55">
        <v>918705007</v>
      </c>
      <c r="H144" s="55" t="s">
        <v>514</v>
      </c>
      <c r="I144" s="55">
        <v>114.34</v>
      </c>
      <c r="J144" s="111">
        <v>1</v>
      </c>
      <c r="K144" s="111">
        <v>1</v>
      </c>
      <c r="L144" s="111">
        <v>1</v>
      </c>
      <c r="M144" s="111">
        <v>1</v>
      </c>
      <c r="N144" s="111">
        <v>1</v>
      </c>
      <c r="O144" s="111">
        <v>2</v>
      </c>
      <c r="P144" s="2">
        <f t="shared" si="19"/>
        <v>114.34</v>
      </c>
      <c r="Q144" s="2">
        <f t="shared" si="20"/>
        <v>114.34</v>
      </c>
      <c r="R144" s="2">
        <f t="shared" si="21"/>
        <v>114.34</v>
      </c>
      <c r="S144" s="2">
        <f t="shared" si="22"/>
        <v>114.34</v>
      </c>
      <c r="T144" s="2">
        <f t="shared" si="23"/>
        <v>114.34</v>
      </c>
      <c r="U144" s="2">
        <f t="shared" si="24"/>
        <v>228.68</v>
      </c>
    </row>
    <row r="145" spans="1:21">
      <c r="A145" s="55">
        <v>142</v>
      </c>
      <c r="B145" s="55" t="s">
        <v>320</v>
      </c>
      <c r="C145" s="55" t="s">
        <v>414</v>
      </c>
      <c r="D145" s="55" t="s">
        <v>322</v>
      </c>
      <c r="E145" s="75" t="s">
        <v>450</v>
      </c>
      <c r="F145" s="55" t="s">
        <v>515</v>
      </c>
      <c r="G145" s="55">
        <v>918723003</v>
      </c>
      <c r="H145" s="55" t="s">
        <v>516</v>
      </c>
      <c r="I145" s="55">
        <v>75.650000000000006</v>
      </c>
      <c r="J145" s="111">
        <v>0</v>
      </c>
      <c r="K145" s="111">
        <v>0</v>
      </c>
      <c r="L145" s="111">
        <v>1</v>
      </c>
      <c r="M145" s="111">
        <v>0</v>
      </c>
      <c r="N145" s="111">
        <v>1</v>
      </c>
      <c r="O145" s="111">
        <v>1</v>
      </c>
      <c r="P145" s="2">
        <f t="shared" si="19"/>
        <v>0</v>
      </c>
      <c r="Q145" s="2">
        <f t="shared" si="20"/>
        <v>0</v>
      </c>
      <c r="R145" s="2">
        <f t="shared" si="21"/>
        <v>75.650000000000006</v>
      </c>
      <c r="S145" s="2">
        <f t="shared" si="22"/>
        <v>0</v>
      </c>
      <c r="T145" s="2">
        <f t="shared" si="23"/>
        <v>75.650000000000006</v>
      </c>
      <c r="U145" s="2">
        <f t="shared" si="24"/>
        <v>75.650000000000006</v>
      </c>
    </row>
    <row r="146" spans="1:21">
      <c r="A146" s="55">
        <v>143</v>
      </c>
      <c r="B146" s="55" t="s">
        <v>320</v>
      </c>
      <c r="C146" s="55" t="s">
        <v>414</v>
      </c>
      <c r="D146" s="55" t="s">
        <v>322</v>
      </c>
      <c r="E146" s="75" t="s">
        <v>450</v>
      </c>
      <c r="F146" s="55" t="s">
        <v>385</v>
      </c>
      <c r="G146" s="55">
        <v>918703001</v>
      </c>
      <c r="H146" s="55" t="s">
        <v>461</v>
      </c>
      <c r="I146" s="55">
        <v>68.45</v>
      </c>
      <c r="J146" s="111">
        <v>1</v>
      </c>
      <c r="K146" s="111">
        <v>1</v>
      </c>
      <c r="L146" s="111">
        <v>1</v>
      </c>
      <c r="M146" s="111">
        <v>1</v>
      </c>
      <c r="N146" s="111">
        <v>1</v>
      </c>
      <c r="O146" s="111">
        <v>1</v>
      </c>
      <c r="P146" s="2">
        <f t="shared" si="19"/>
        <v>68.45</v>
      </c>
      <c r="Q146" s="2">
        <f t="shared" si="20"/>
        <v>68.45</v>
      </c>
      <c r="R146" s="2">
        <f t="shared" si="21"/>
        <v>68.45</v>
      </c>
      <c r="S146" s="2">
        <f t="shared" si="22"/>
        <v>68.45</v>
      </c>
      <c r="T146" s="2">
        <f t="shared" si="23"/>
        <v>68.45</v>
      </c>
      <c r="U146" s="2">
        <f t="shared" si="24"/>
        <v>68.45</v>
      </c>
    </row>
    <row r="147" spans="1:21">
      <c r="A147" s="55">
        <v>144</v>
      </c>
      <c r="B147" s="55" t="s">
        <v>320</v>
      </c>
      <c r="C147" s="55" t="s">
        <v>414</v>
      </c>
      <c r="D147" s="55" t="s">
        <v>322</v>
      </c>
      <c r="E147" s="75" t="s">
        <v>1220</v>
      </c>
      <c r="F147" s="55" t="s">
        <v>374</v>
      </c>
      <c r="G147" s="55">
        <v>917201001</v>
      </c>
      <c r="H147" s="55" t="s">
        <v>1219</v>
      </c>
      <c r="I147" s="55">
        <v>230.56</v>
      </c>
      <c r="J147" s="111">
        <v>0</v>
      </c>
      <c r="K147" s="111">
        <v>0</v>
      </c>
      <c r="L147" s="111">
        <v>0</v>
      </c>
      <c r="M147" s="111">
        <v>1</v>
      </c>
      <c r="N147" s="111">
        <v>3</v>
      </c>
      <c r="O147" s="111">
        <v>2</v>
      </c>
      <c r="P147" s="2">
        <f t="shared" si="19"/>
        <v>0</v>
      </c>
      <c r="Q147" s="2">
        <f t="shared" si="20"/>
        <v>0</v>
      </c>
      <c r="R147" s="2">
        <f t="shared" si="21"/>
        <v>0</v>
      </c>
      <c r="S147" s="2">
        <f t="shared" si="22"/>
        <v>230.56</v>
      </c>
      <c r="T147" s="2">
        <f t="shared" si="23"/>
        <v>691.68000000000006</v>
      </c>
      <c r="U147" s="2">
        <f t="shared" si="24"/>
        <v>461.12</v>
      </c>
    </row>
    <row r="148" spans="1:21">
      <c r="A148" s="55">
        <v>145</v>
      </c>
      <c r="B148" s="55" t="s">
        <v>320</v>
      </c>
      <c r="C148" s="55" t="s">
        <v>414</v>
      </c>
      <c r="D148" s="55" t="s">
        <v>322</v>
      </c>
      <c r="E148" s="75" t="s">
        <v>504</v>
      </c>
      <c r="F148" s="55" t="s">
        <v>517</v>
      </c>
      <c r="G148" s="55">
        <v>915704008</v>
      </c>
      <c r="H148" s="55" t="s">
        <v>440</v>
      </c>
      <c r="I148" s="55">
        <v>791.99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2">
        <f t="shared" si="19"/>
        <v>0</v>
      </c>
      <c r="Q148" s="2">
        <f t="shared" si="20"/>
        <v>0</v>
      </c>
      <c r="R148" s="2">
        <f t="shared" si="21"/>
        <v>0</v>
      </c>
      <c r="S148" s="2">
        <f t="shared" si="22"/>
        <v>0</v>
      </c>
      <c r="T148" s="2">
        <f t="shared" si="23"/>
        <v>0</v>
      </c>
      <c r="U148" s="2">
        <f t="shared" si="24"/>
        <v>0</v>
      </c>
    </row>
    <row r="149" spans="1:21">
      <c r="A149" s="55">
        <v>146</v>
      </c>
      <c r="B149" s="55" t="s">
        <v>320</v>
      </c>
      <c r="C149" s="55" t="s">
        <v>414</v>
      </c>
      <c r="D149" s="55" t="s">
        <v>322</v>
      </c>
      <c r="E149" s="75" t="s">
        <v>504</v>
      </c>
      <c r="F149" s="55" t="s">
        <v>518</v>
      </c>
      <c r="G149" s="55">
        <v>915704007</v>
      </c>
      <c r="H149" s="55" t="s">
        <v>443</v>
      </c>
      <c r="I149" s="55">
        <v>791.99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2">
        <f t="shared" si="19"/>
        <v>0</v>
      </c>
      <c r="Q149" s="2">
        <f t="shared" si="20"/>
        <v>0</v>
      </c>
      <c r="R149" s="2">
        <f t="shared" si="21"/>
        <v>0</v>
      </c>
      <c r="S149" s="2">
        <f t="shared" si="22"/>
        <v>0</v>
      </c>
      <c r="T149" s="2">
        <f t="shared" si="23"/>
        <v>0</v>
      </c>
      <c r="U149" s="2">
        <f t="shared" si="24"/>
        <v>0</v>
      </c>
    </row>
    <row r="150" spans="1:21">
      <c r="A150" s="55">
        <v>147</v>
      </c>
      <c r="B150" s="55" t="s">
        <v>521</v>
      </c>
      <c r="C150" s="55" t="s">
        <v>522</v>
      </c>
      <c r="D150" s="55" t="s">
        <v>311</v>
      </c>
      <c r="E150" s="75" t="s">
        <v>523</v>
      </c>
      <c r="F150" s="55" t="s">
        <v>524</v>
      </c>
      <c r="G150" s="55">
        <v>914501008</v>
      </c>
      <c r="H150" s="55" t="s">
        <v>525</v>
      </c>
      <c r="I150" s="55">
        <v>204.57</v>
      </c>
      <c r="J150" s="111">
        <v>5590</v>
      </c>
      <c r="K150" s="111">
        <v>4856</v>
      </c>
      <c r="L150" s="111">
        <v>7080</v>
      </c>
      <c r="M150" s="111"/>
      <c r="N150" s="111"/>
      <c r="O150" s="111"/>
      <c r="P150" s="2">
        <f t="shared" si="19"/>
        <v>1143546.3</v>
      </c>
      <c r="Q150" s="2">
        <f t="shared" si="20"/>
        <v>993391.91999999993</v>
      </c>
      <c r="R150" s="2">
        <f t="shared" si="21"/>
        <v>1448355.5999999999</v>
      </c>
      <c r="S150" s="2">
        <f t="shared" si="22"/>
        <v>0</v>
      </c>
      <c r="T150" s="2">
        <f t="shared" si="23"/>
        <v>0</v>
      </c>
      <c r="U150" s="2">
        <f t="shared" si="24"/>
        <v>0</v>
      </c>
    </row>
    <row r="151" spans="1:21">
      <c r="A151" s="55">
        <v>148</v>
      </c>
      <c r="B151" s="55" t="s">
        <v>521</v>
      </c>
      <c r="C151" s="55" t="s">
        <v>522</v>
      </c>
      <c r="D151" s="55" t="s">
        <v>311</v>
      </c>
      <c r="E151" s="75" t="s">
        <v>523</v>
      </c>
      <c r="F151" s="55" t="s">
        <v>526</v>
      </c>
      <c r="G151" s="55">
        <v>914501009</v>
      </c>
      <c r="H151" s="55" t="s">
        <v>527</v>
      </c>
      <c r="I151" s="55">
        <v>202.2</v>
      </c>
      <c r="J151" s="111">
        <v>5590</v>
      </c>
      <c r="K151" s="111">
        <v>4856</v>
      </c>
      <c r="L151" s="111">
        <v>7080</v>
      </c>
      <c r="M151" s="111"/>
      <c r="N151" s="111"/>
      <c r="O151" s="111"/>
      <c r="P151" s="2">
        <f t="shared" si="19"/>
        <v>1130298</v>
      </c>
      <c r="Q151" s="2">
        <f t="shared" si="20"/>
        <v>981883.2</v>
      </c>
      <c r="R151" s="2">
        <f t="shared" si="21"/>
        <v>1431576</v>
      </c>
      <c r="S151" s="2">
        <f t="shared" si="22"/>
        <v>0</v>
      </c>
      <c r="T151" s="2">
        <f t="shared" si="23"/>
        <v>0</v>
      </c>
      <c r="U151" s="2">
        <f t="shared" si="24"/>
        <v>0</v>
      </c>
    </row>
    <row r="152" spans="1:21">
      <c r="A152" s="55">
        <v>149</v>
      </c>
      <c r="B152" s="55" t="s">
        <v>521</v>
      </c>
      <c r="C152" s="55" t="s">
        <v>522</v>
      </c>
      <c r="D152" s="55" t="s">
        <v>311</v>
      </c>
      <c r="E152" s="75" t="s">
        <v>523</v>
      </c>
      <c r="F152" s="55" t="s">
        <v>528</v>
      </c>
      <c r="G152" s="55">
        <v>914501010</v>
      </c>
      <c r="H152" s="55" t="s">
        <v>529</v>
      </c>
      <c r="I152" s="55">
        <v>202.87</v>
      </c>
      <c r="J152" s="111">
        <v>465</v>
      </c>
      <c r="K152" s="111">
        <v>493</v>
      </c>
      <c r="L152" s="111">
        <v>533</v>
      </c>
      <c r="M152" s="111"/>
      <c r="N152" s="111"/>
      <c r="O152" s="111"/>
      <c r="P152" s="2">
        <f t="shared" si="19"/>
        <v>94334.55</v>
      </c>
      <c r="Q152" s="2">
        <f t="shared" si="20"/>
        <v>100014.91</v>
      </c>
      <c r="R152" s="2">
        <f t="shared" si="21"/>
        <v>108129.71</v>
      </c>
      <c r="S152" s="2">
        <f t="shared" si="22"/>
        <v>0</v>
      </c>
      <c r="T152" s="2">
        <f t="shared" si="23"/>
        <v>0</v>
      </c>
      <c r="U152" s="2">
        <f t="shared" si="24"/>
        <v>0</v>
      </c>
    </row>
    <row r="153" spans="1:21">
      <c r="A153" s="55">
        <v>150</v>
      </c>
      <c r="B153" s="55" t="s">
        <v>521</v>
      </c>
      <c r="C153" s="55" t="s">
        <v>522</v>
      </c>
      <c r="D153" s="55" t="s">
        <v>311</v>
      </c>
      <c r="E153" s="75" t="s">
        <v>523</v>
      </c>
      <c r="F153" s="55" t="s">
        <v>530</v>
      </c>
      <c r="G153" s="55">
        <v>914501011</v>
      </c>
      <c r="H153" s="55" t="s">
        <v>531</v>
      </c>
      <c r="I153" s="55">
        <v>203.9</v>
      </c>
      <c r="J153" s="111">
        <v>465</v>
      </c>
      <c r="K153" s="111">
        <v>493</v>
      </c>
      <c r="L153" s="111">
        <v>533</v>
      </c>
      <c r="M153" s="111"/>
      <c r="N153" s="111"/>
      <c r="O153" s="111"/>
      <c r="P153" s="2">
        <f t="shared" si="19"/>
        <v>94813.5</v>
      </c>
      <c r="Q153" s="2">
        <f t="shared" si="20"/>
        <v>100522.7</v>
      </c>
      <c r="R153" s="2">
        <f t="shared" si="21"/>
        <v>108678.7</v>
      </c>
      <c r="S153" s="2">
        <f t="shared" si="22"/>
        <v>0</v>
      </c>
      <c r="T153" s="2">
        <f t="shared" si="23"/>
        <v>0</v>
      </c>
      <c r="U153" s="2">
        <f t="shared" si="24"/>
        <v>0</v>
      </c>
    </row>
    <row r="154" spans="1:21">
      <c r="A154" s="55">
        <v>151</v>
      </c>
      <c r="B154" s="55" t="s">
        <v>521</v>
      </c>
      <c r="C154" s="55" t="s">
        <v>522</v>
      </c>
      <c r="D154" s="55" t="s">
        <v>311</v>
      </c>
      <c r="E154" s="75" t="s">
        <v>523</v>
      </c>
      <c r="F154" s="55" t="s">
        <v>532</v>
      </c>
      <c r="G154" s="55">
        <v>914501014</v>
      </c>
      <c r="H154" s="55" t="s">
        <v>533</v>
      </c>
      <c r="I154" s="55">
        <v>195.86</v>
      </c>
      <c r="J154" s="111">
        <v>6055</v>
      </c>
      <c r="K154" s="111">
        <v>5349</v>
      </c>
      <c r="L154" s="111">
        <v>7613</v>
      </c>
      <c r="M154" s="111"/>
      <c r="N154" s="111"/>
      <c r="O154" s="111"/>
      <c r="P154" s="2">
        <f t="shared" si="19"/>
        <v>1185932.3</v>
      </c>
      <c r="Q154" s="2">
        <f t="shared" si="20"/>
        <v>1047655.1400000001</v>
      </c>
      <c r="R154" s="2">
        <f t="shared" si="21"/>
        <v>1491082.1800000002</v>
      </c>
      <c r="S154" s="2">
        <f t="shared" si="22"/>
        <v>0</v>
      </c>
      <c r="T154" s="2">
        <f t="shared" si="23"/>
        <v>0</v>
      </c>
      <c r="U154" s="2">
        <f t="shared" si="24"/>
        <v>0</v>
      </c>
    </row>
    <row r="155" spans="1:21">
      <c r="A155" s="55">
        <v>152</v>
      </c>
      <c r="B155" s="55" t="s">
        <v>521</v>
      </c>
      <c r="C155" s="55" t="s">
        <v>522</v>
      </c>
      <c r="D155" s="55" t="s">
        <v>311</v>
      </c>
      <c r="E155" s="75" t="s">
        <v>523</v>
      </c>
      <c r="F155" s="55" t="s">
        <v>534</v>
      </c>
      <c r="G155" s="55">
        <v>914501015</v>
      </c>
      <c r="H155" s="55" t="s">
        <v>535</v>
      </c>
      <c r="I155" s="55">
        <v>195.77</v>
      </c>
      <c r="J155" s="111">
        <v>6055</v>
      </c>
      <c r="K155" s="111">
        <v>5349</v>
      </c>
      <c r="L155" s="111">
        <v>7613</v>
      </c>
      <c r="M155" s="111"/>
      <c r="N155" s="111"/>
      <c r="O155" s="111"/>
      <c r="P155" s="2">
        <f t="shared" si="19"/>
        <v>1185387.3500000001</v>
      </c>
      <c r="Q155" s="2">
        <f t="shared" si="20"/>
        <v>1047173.7300000001</v>
      </c>
      <c r="R155" s="2">
        <f t="shared" si="21"/>
        <v>1490397.01</v>
      </c>
      <c r="S155" s="2">
        <f t="shared" si="22"/>
        <v>0</v>
      </c>
      <c r="T155" s="2">
        <f t="shared" si="23"/>
        <v>0</v>
      </c>
      <c r="U155" s="2">
        <f t="shared" si="24"/>
        <v>0</v>
      </c>
    </row>
    <row r="156" spans="1:21">
      <c r="A156" s="55">
        <v>153</v>
      </c>
      <c r="B156" s="55" t="s">
        <v>521</v>
      </c>
      <c r="C156" s="55" t="s">
        <v>522</v>
      </c>
      <c r="D156" s="55" t="s">
        <v>311</v>
      </c>
      <c r="E156" s="75" t="s">
        <v>523</v>
      </c>
      <c r="F156" s="55" t="s">
        <v>536</v>
      </c>
      <c r="G156" s="55">
        <v>914504011</v>
      </c>
      <c r="H156" s="55" t="s">
        <v>537</v>
      </c>
      <c r="I156" s="55">
        <v>288.39</v>
      </c>
      <c r="J156" s="111">
        <v>6055</v>
      </c>
      <c r="K156" s="111">
        <v>5349</v>
      </c>
      <c r="L156" s="111">
        <v>7613</v>
      </c>
      <c r="M156" s="111"/>
      <c r="N156" s="111"/>
      <c r="O156" s="111"/>
      <c r="P156" s="2">
        <f t="shared" si="19"/>
        <v>1746201.45</v>
      </c>
      <c r="Q156" s="2">
        <f t="shared" si="20"/>
        <v>1542598.1099999999</v>
      </c>
      <c r="R156" s="2">
        <f t="shared" si="21"/>
        <v>2195513.0699999998</v>
      </c>
      <c r="S156" s="2">
        <f t="shared" si="22"/>
        <v>0</v>
      </c>
      <c r="T156" s="2">
        <f t="shared" si="23"/>
        <v>0</v>
      </c>
      <c r="U156" s="2">
        <f t="shared" si="24"/>
        <v>0</v>
      </c>
    </row>
    <row r="157" spans="1:21">
      <c r="A157" s="55">
        <v>154</v>
      </c>
      <c r="B157" s="55" t="s">
        <v>521</v>
      </c>
      <c r="C157" s="55" t="s">
        <v>522</v>
      </c>
      <c r="D157" s="55" t="s">
        <v>311</v>
      </c>
      <c r="E157" s="75" t="s">
        <v>523</v>
      </c>
      <c r="F157" s="55" t="s">
        <v>538</v>
      </c>
      <c r="G157" s="55">
        <v>914504012</v>
      </c>
      <c r="H157" s="55" t="s">
        <v>539</v>
      </c>
      <c r="I157" s="55">
        <v>288.39</v>
      </c>
      <c r="J157" s="111">
        <v>6055</v>
      </c>
      <c r="K157" s="111">
        <v>5349</v>
      </c>
      <c r="L157" s="111">
        <v>7613</v>
      </c>
      <c r="M157" s="111"/>
      <c r="N157" s="111"/>
      <c r="O157" s="111"/>
      <c r="P157" s="2">
        <f t="shared" si="19"/>
        <v>1746201.45</v>
      </c>
      <c r="Q157" s="2">
        <f t="shared" si="20"/>
        <v>1542598.1099999999</v>
      </c>
      <c r="R157" s="2">
        <f t="shared" si="21"/>
        <v>2195513.0699999998</v>
      </c>
      <c r="S157" s="2">
        <f t="shared" si="22"/>
        <v>0</v>
      </c>
      <c r="T157" s="2">
        <f t="shared" si="23"/>
        <v>0</v>
      </c>
      <c r="U157" s="2">
        <f t="shared" si="24"/>
        <v>0</v>
      </c>
    </row>
    <row r="158" spans="1:21">
      <c r="A158" s="55">
        <v>155</v>
      </c>
      <c r="B158" s="55" t="s">
        <v>521</v>
      </c>
      <c r="C158" s="55" t="s">
        <v>522</v>
      </c>
      <c r="D158" s="55" t="s">
        <v>311</v>
      </c>
      <c r="E158" s="75" t="s">
        <v>523</v>
      </c>
      <c r="F158" s="55" t="s">
        <v>540</v>
      </c>
      <c r="G158" s="55">
        <v>914504013</v>
      </c>
      <c r="H158" s="55" t="s">
        <v>541</v>
      </c>
      <c r="I158" s="55">
        <v>252.11</v>
      </c>
      <c r="J158" s="111">
        <v>6055</v>
      </c>
      <c r="K158" s="111">
        <v>5349</v>
      </c>
      <c r="L158" s="111">
        <v>7613</v>
      </c>
      <c r="M158" s="111"/>
      <c r="N158" s="111"/>
      <c r="O158" s="111"/>
      <c r="P158" s="2">
        <f t="shared" si="19"/>
        <v>1526526.05</v>
      </c>
      <c r="Q158" s="2">
        <f t="shared" si="20"/>
        <v>1348536.3900000001</v>
      </c>
      <c r="R158" s="2">
        <f t="shared" si="21"/>
        <v>1919313.4300000002</v>
      </c>
      <c r="S158" s="2">
        <f t="shared" si="22"/>
        <v>0</v>
      </c>
      <c r="T158" s="2">
        <f t="shared" si="23"/>
        <v>0</v>
      </c>
      <c r="U158" s="2">
        <f t="shared" si="24"/>
        <v>0</v>
      </c>
    </row>
    <row r="159" spans="1:21">
      <c r="A159" s="55">
        <v>156</v>
      </c>
      <c r="B159" s="55" t="s">
        <v>521</v>
      </c>
      <c r="C159" s="55" t="s">
        <v>522</v>
      </c>
      <c r="D159" s="55" t="s">
        <v>311</v>
      </c>
      <c r="E159" s="75" t="s">
        <v>523</v>
      </c>
      <c r="F159" s="55" t="s">
        <v>542</v>
      </c>
      <c r="G159" s="55">
        <v>914504014</v>
      </c>
      <c r="H159" s="55" t="s">
        <v>543</v>
      </c>
      <c r="I159" s="55">
        <v>232.31</v>
      </c>
      <c r="J159" s="111">
        <v>6055</v>
      </c>
      <c r="K159" s="111">
        <v>5349</v>
      </c>
      <c r="L159" s="111">
        <v>7613</v>
      </c>
      <c r="M159" s="111"/>
      <c r="N159" s="111"/>
      <c r="O159" s="111"/>
      <c r="P159" s="2">
        <f t="shared" si="19"/>
        <v>1406637.05</v>
      </c>
      <c r="Q159" s="2">
        <f t="shared" si="20"/>
        <v>1242626.19</v>
      </c>
      <c r="R159" s="2">
        <f t="shared" si="21"/>
        <v>1768576.03</v>
      </c>
      <c r="S159" s="2">
        <f t="shared" si="22"/>
        <v>0</v>
      </c>
      <c r="T159" s="2">
        <f t="shared" si="23"/>
        <v>0</v>
      </c>
      <c r="U159" s="2">
        <f t="shared" si="24"/>
        <v>0</v>
      </c>
    </row>
    <row r="160" spans="1:21">
      <c r="A160" s="55">
        <v>157</v>
      </c>
      <c r="B160" s="55" t="s">
        <v>521</v>
      </c>
      <c r="C160" s="55" t="s">
        <v>544</v>
      </c>
      <c r="D160" s="55" t="s">
        <v>545</v>
      </c>
      <c r="E160" s="75" t="s">
        <v>546</v>
      </c>
      <c r="F160" s="55" t="s">
        <v>547</v>
      </c>
      <c r="G160" s="55">
        <v>912709005</v>
      </c>
      <c r="H160" s="55" t="s">
        <v>548</v>
      </c>
      <c r="I160" s="55">
        <v>113.11</v>
      </c>
      <c r="J160" s="111">
        <v>5951</v>
      </c>
      <c r="K160" s="111">
        <v>5655</v>
      </c>
      <c r="L160" s="111">
        <v>5597</v>
      </c>
      <c r="M160" s="111">
        <v>5612</v>
      </c>
      <c r="N160" s="111">
        <v>5635</v>
      </c>
      <c r="O160" s="111">
        <v>5599</v>
      </c>
      <c r="P160" s="2">
        <f t="shared" si="19"/>
        <v>673117.61</v>
      </c>
      <c r="Q160" s="2">
        <f t="shared" si="20"/>
        <v>639637.05000000005</v>
      </c>
      <c r="R160" s="2">
        <f t="shared" si="21"/>
        <v>633076.67000000004</v>
      </c>
      <c r="S160" s="2">
        <f t="shared" si="22"/>
        <v>634773.31999999995</v>
      </c>
      <c r="T160" s="2">
        <f t="shared" si="23"/>
        <v>637374.85</v>
      </c>
      <c r="U160" s="2">
        <f t="shared" si="24"/>
        <v>633302.89</v>
      </c>
    </row>
    <row r="161" spans="1:21">
      <c r="A161" s="55">
        <v>158</v>
      </c>
      <c r="B161" s="55" t="s">
        <v>521</v>
      </c>
      <c r="C161" s="55" t="s">
        <v>544</v>
      </c>
      <c r="D161" s="55" t="s">
        <v>545</v>
      </c>
      <c r="E161" s="75" t="s">
        <v>546</v>
      </c>
      <c r="F161" s="55" t="s">
        <v>549</v>
      </c>
      <c r="G161" s="55">
        <v>912704001</v>
      </c>
      <c r="H161" s="55" t="s">
        <v>550</v>
      </c>
      <c r="I161" s="55">
        <v>215.77</v>
      </c>
      <c r="J161" s="111">
        <v>5890</v>
      </c>
      <c r="K161" s="111">
        <v>5655</v>
      </c>
      <c r="L161" s="111">
        <v>5597</v>
      </c>
      <c r="M161" s="111">
        <v>5612</v>
      </c>
      <c r="N161" s="111">
        <v>5635</v>
      </c>
      <c r="O161" s="111">
        <v>5599</v>
      </c>
      <c r="P161" s="2">
        <f t="shared" si="19"/>
        <v>1270885.3</v>
      </c>
      <c r="Q161" s="2">
        <f t="shared" si="20"/>
        <v>1220179.3500000001</v>
      </c>
      <c r="R161" s="2">
        <f t="shared" si="21"/>
        <v>1207664.69</v>
      </c>
      <c r="S161" s="2">
        <f t="shared" si="22"/>
        <v>1210901.24</v>
      </c>
      <c r="T161" s="2">
        <f t="shared" si="23"/>
        <v>1215863.95</v>
      </c>
      <c r="U161" s="2">
        <f t="shared" si="24"/>
        <v>1208096.23</v>
      </c>
    </row>
    <row r="162" spans="1:21">
      <c r="A162" s="55">
        <v>159</v>
      </c>
      <c r="B162" s="55" t="s">
        <v>521</v>
      </c>
      <c r="C162" s="55" t="s">
        <v>544</v>
      </c>
      <c r="D162" s="55" t="s">
        <v>545</v>
      </c>
      <c r="E162" s="75" t="s">
        <v>546</v>
      </c>
      <c r="F162" s="55" t="s">
        <v>551</v>
      </c>
      <c r="G162" s="55">
        <v>912704002</v>
      </c>
      <c r="H162" s="55" t="s">
        <v>552</v>
      </c>
      <c r="I162" s="55">
        <v>215.77</v>
      </c>
      <c r="J162" s="111">
        <v>6255</v>
      </c>
      <c r="K162" s="111">
        <v>5655</v>
      </c>
      <c r="L162" s="111">
        <v>5597</v>
      </c>
      <c r="M162" s="111">
        <v>5612</v>
      </c>
      <c r="N162" s="111">
        <v>5635</v>
      </c>
      <c r="O162" s="111">
        <v>5599</v>
      </c>
      <c r="P162" s="2">
        <f t="shared" si="19"/>
        <v>1349641.35</v>
      </c>
      <c r="Q162" s="2">
        <f t="shared" si="20"/>
        <v>1220179.3500000001</v>
      </c>
      <c r="R162" s="2">
        <f t="shared" si="21"/>
        <v>1207664.69</v>
      </c>
      <c r="S162" s="2">
        <f t="shared" si="22"/>
        <v>1210901.24</v>
      </c>
      <c r="T162" s="2">
        <f t="shared" si="23"/>
        <v>1215863.95</v>
      </c>
      <c r="U162" s="2">
        <f t="shared" si="24"/>
        <v>1208096.23</v>
      </c>
    </row>
    <row r="163" spans="1:21">
      <c r="A163" s="55">
        <v>160</v>
      </c>
      <c r="B163" s="55" t="s">
        <v>521</v>
      </c>
      <c r="C163" s="55" t="s">
        <v>544</v>
      </c>
      <c r="D163" s="55" t="s">
        <v>545</v>
      </c>
      <c r="E163" s="75" t="s">
        <v>546</v>
      </c>
      <c r="F163" s="55" t="s">
        <v>553</v>
      </c>
      <c r="G163" s="55">
        <v>912704003</v>
      </c>
      <c r="H163" s="55" t="s">
        <v>554</v>
      </c>
      <c r="I163" s="55">
        <v>183.14</v>
      </c>
      <c r="J163" s="111">
        <v>4431</v>
      </c>
      <c r="K163" s="111">
        <v>4689</v>
      </c>
      <c r="L163" s="111">
        <v>4589</v>
      </c>
      <c r="M163" s="111">
        <v>4588</v>
      </c>
      <c r="N163" s="111">
        <v>4536</v>
      </c>
      <c r="O163" s="111">
        <v>4488</v>
      </c>
      <c r="P163" s="2">
        <f t="shared" si="19"/>
        <v>811493.34</v>
      </c>
      <c r="Q163" s="2">
        <f t="shared" si="20"/>
        <v>858743.46</v>
      </c>
      <c r="R163" s="2">
        <f t="shared" si="21"/>
        <v>840429.46</v>
      </c>
      <c r="S163" s="2">
        <f t="shared" si="22"/>
        <v>840246.32</v>
      </c>
      <c r="T163" s="2">
        <f t="shared" si="23"/>
        <v>830723.03999999992</v>
      </c>
      <c r="U163" s="2">
        <f t="shared" si="24"/>
        <v>821932.32</v>
      </c>
    </row>
    <row r="164" spans="1:21">
      <c r="A164" s="55">
        <v>161</v>
      </c>
      <c r="B164" s="55" t="s">
        <v>521</v>
      </c>
      <c r="C164" s="55" t="s">
        <v>544</v>
      </c>
      <c r="D164" s="55" t="s">
        <v>545</v>
      </c>
      <c r="E164" s="75" t="s">
        <v>546</v>
      </c>
      <c r="F164" s="55" t="s">
        <v>555</v>
      </c>
      <c r="G164" s="55">
        <v>912704004</v>
      </c>
      <c r="H164" s="55" t="s">
        <v>556</v>
      </c>
      <c r="I164" s="55">
        <v>183.14</v>
      </c>
      <c r="J164" s="111">
        <v>4656</v>
      </c>
      <c r="K164" s="111">
        <v>4689</v>
      </c>
      <c r="L164" s="111">
        <v>4589</v>
      </c>
      <c r="M164" s="111">
        <v>4588</v>
      </c>
      <c r="N164" s="111">
        <v>4536</v>
      </c>
      <c r="O164" s="111">
        <v>4488</v>
      </c>
      <c r="P164" s="2">
        <f t="shared" si="19"/>
        <v>852699.84</v>
      </c>
      <c r="Q164" s="2">
        <f t="shared" si="20"/>
        <v>858743.46</v>
      </c>
      <c r="R164" s="2">
        <f t="shared" si="21"/>
        <v>840429.46</v>
      </c>
      <c r="S164" s="2">
        <f t="shared" si="22"/>
        <v>840246.32</v>
      </c>
      <c r="T164" s="2">
        <f t="shared" si="23"/>
        <v>830723.03999999992</v>
      </c>
      <c r="U164" s="2">
        <f t="shared" si="24"/>
        <v>821932.32</v>
      </c>
    </row>
    <row r="165" spans="1:21">
      <c r="A165" s="55">
        <v>162</v>
      </c>
      <c r="B165" s="55" t="s">
        <v>521</v>
      </c>
      <c r="C165" s="55" t="s">
        <v>544</v>
      </c>
      <c r="D165" s="55" t="s">
        <v>545</v>
      </c>
      <c r="E165" s="75" t="s">
        <v>546</v>
      </c>
      <c r="F165" s="55" t="s">
        <v>557</v>
      </c>
      <c r="G165" s="55">
        <v>912724002</v>
      </c>
      <c r="H165" s="55" t="s">
        <v>558</v>
      </c>
      <c r="I165" s="55">
        <v>39.49</v>
      </c>
      <c r="J165" s="111">
        <v>7647</v>
      </c>
      <c r="K165" s="111">
        <v>4689</v>
      </c>
      <c r="L165" s="111">
        <v>4589</v>
      </c>
      <c r="M165" s="111">
        <v>4588</v>
      </c>
      <c r="N165" s="111">
        <v>4536</v>
      </c>
      <c r="O165" s="111">
        <v>4488</v>
      </c>
      <c r="P165" s="2">
        <f t="shared" si="19"/>
        <v>301980.03000000003</v>
      </c>
      <c r="Q165" s="2">
        <f t="shared" si="20"/>
        <v>185168.61000000002</v>
      </c>
      <c r="R165" s="2">
        <f t="shared" si="21"/>
        <v>181219.61000000002</v>
      </c>
      <c r="S165" s="2">
        <f t="shared" si="22"/>
        <v>181180.12</v>
      </c>
      <c r="T165" s="2">
        <f t="shared" si="23"/>
        <v>179126.64</v>
      </c>
      <c r="U165" s="2">
        <f t="shared" si="24"/>
        <v>177231.12</v>
      </c>
    </row>
    <row r="166" spans="1:21">
      <c r="A166" s="55">
        <v>163</v>
      </c>
      <c r="B166" s="55" t="s">
        <v>521</v>
      </c>
      <c r="C166" s="55" t="s">
        <v>544</v>
      </c>
      <c r="D166" s="55" t="s">
        <v>545</v>
      </c>
      <c r="E166" s="75" t="s">
        <v>546</v>
      </c>
      <c r="F166" s="55" t="s">
        <v>559</v>
      </c>
      <c r="G166" s="55">
        <v>912724001</v>
      </c>
      <c r="H166" s="55" t="s">
        <v>560</v>
      </c>
      <c r="I166" s="55">
        <v>39.49</v>
      </c>
      <c r="J166" s="111">
        <v>7978</v>
      </c>
      <c r="K166" s="111">
        <v>4689</v>
      </c>
      <c r="L166" s="111">
        <v>4589</v>
      </c>
      <c r="M166" s="111">
        <v>4588</v>
      </c>
      <c r="N166" s="111">
        <v>4536</v>
      </c>
      <c r="O166" s="111">
        <v>4488</v>
      </c>
      <c r="P166" s="2">
        <f t="shared" si="19"/>
        <v>315051.22000000003</v>
      </c>
      <c r="Q166" s="2">
        <f t="shared" si="20"/>
        <v>185168.61000000002</v>
      </c>
      <c r="R166" s="2">
        <f t="shared" si="21"/>
        <v>181219.61000000002</v>
      </c>
      <c r="S166" s="2">
        <f t="shared" si="22"/>
        <v>181180.12</v>
      </c>
      <c r="T166" s="2">
        <f t="shared" si="23"/>
        <v>179126.64</v>
      </c>
      <c r="U166" s="2">
        <f t="shared" si="24"/>
        <v>177231.12</v>
      </c>
    </row>
    <row r="167" spans="1:21">
      <c r="A167" s="55">
        <v>164</v>
      </c>
      <c r="B167" s="55" t="s">
        <v>521</v>
      </c>
      <c r="C167" s="55" t="s">
        <v>544</v>
      </c>
      <c r="D167" s="55" t="s">
        <v>545</v>
      </c>
      <c r="E167" s="75" t="s">
        <v>546</v>
      </c>
      <c r="F167" s="55" t="s">
        <v>561</v>
      </c>
      <c r="G167" s="55">
        <v>912712001</v>
      </c>
      <c r="H167" s="55" t="s">
        <v>562</v>
      </c>
      <c r="I167" s="55">
        <v>145.16</v>
      </c>
      <c r="J167" s="111">
        <v>705</v>
      </c>
      <c r="K167" s="111">
        <v>705</v>
      </c>
      <c r="L167" s="111">
        <v>705</v>
      </c>
      <c r="M167" s="111">
        <v>705</v>
      </c>
      <c r="N167" s="111">
        <v>705</v>
      </c>
      <c r="O167" s="111">
        <v>705</v>
      </c>
      <c r="P167" s="2">
        <f t="shared" si="19"/>
        <v>102337.8</v>
      </c>
      <c r="Q167" s="2">
        <f t="shared" si="20"/>
        <v>102337.8</v>
      </c>
      <c r="R167" s="2">
        <f t="shared" si="21"/>
        <v>102337.8</v>
      </c>
      <c r="S167" s="2">
        <f t="shared" si="22"/>
        <v>102337.8</v>
      </c>
      <c r="T167" s="2">
        <f t="shared" si="23"/>
        <v>102337.8</v>
      </c>
      <c r="U167" s="2">
        <f t="shared" si="24"/>
        <v>102337.8</v>
      </c>
    </row>
    <row r="168" spans="1:21">
      <c r="A168" s="55">
        <v>165</v>
      </c>
      <c r="B168" s="55" t="s">
        <v>521</v>
      </c>
      <c r="C168" s="55" t="s">
        <v>544</v>
      </c>
      <c r="D168" s="55" t="s">
        <v>545</v>
      </c>
      <c r="E168" s="75" t="s">
        <v>546</v>
      </c>
      <c r="F168" s="55" t="s">
        <v>563</v>
      </c>
      <c r="G168" s="55">
        <v>912712002</v>
      </c>
      <c r="H168" s="55" t="s">
        <v>564</v>
      </c>
      <c r="I168" s="55">
        <v>145.16</v>
      </c>
      <c r="J168" s="111">
        <v>584</v>
      </c>
      <c r="K168" s="111">
        <v>705</v>
      </c>
      <c r="L168" s="111">
        <v>705</v>
      </c>
      <c r="M168" s="111">
        <v>705</v>
      </c>
      <c r="N168" s="111">
        <v>705</v>
      </c>
      <c r="O168" s="111">
        <v>705</v>
      </c>
      <c r="P168" s="2">
        <f t="shared" si="19"/>
        <v>84773.440000000002</v>
      </c>
      <c r="Q168" s="2">
        <f t="shared" si="20"/>
        <v>102337.8</v>
      </c>
      <c r="R168" s="2">
        <f t="shared" si="21"/>
        <v>102337.8</v>
      </c>
      <c r="S168" s="2">
        <f t="shared" si="22"/>
        <v>102337.8</v>
      </c>
      <c r="T168" s="2">
        <f t="shared" si="23"/>
        <v>102337.8</v>
      </c>
      <c r="U168" s="2">
        <f t="shared" si="24"/>
        <v>102337.8</v>
      </c>
    </row>
    <row r="169" spans="1:21">
      <c r="A169" s="55">
        <v>166</v>
      </c>
      <c r="B169" s="55" t="s">
        <v>521</v>
      </c>
      <c r="C169" s="55" t="s">
        <v>544</v>
      </c>
      <c r="D169" s="55" t="s">
        <v>545</v>
      </c>
      <c r="E169" s="75" t="s">
        <v>546</v>
      </c>
      <c r="F169" s="55" t="s">
        <v>565</v>
      </c>
      <c r="G169" s="55">
        <v>912713005</v>
      </c>
      <c r="H169" s="55" t="s">
        <v>566</v>
      </c>
      <c r="I169" s="55">
        <v>163.92</v>
      </c>
      <c r="J169" s="111">
        <v>4450</v>
      </c>
      <c r="K169" s="111">
        <v>3984</v>
      </c>
      <c r="L169" s="111">
        <v>3884</v>
      </c>
      <c r="M169" s="111">
        <v>3883</v>
      </c>
      <c r="N169" s="111">
        <v>3831</v>
      </c>
      <c r="O169" s="111">
        <v>3783</v>
      </c>
      <c r="P169" s="2">
        <f t="shared" si="19"/>
        <v>729444</v>
      </c>
      <c r="Q169" s="2">
        <f t="shared" si="20"/>
        <v>653057.27999999991</v>
      </c>
      <c r="R169" s="2">
        <f t="shared" si="21"/>
        <v>636665.27999999991</v>
      </c>
      <c r="S169" s="2">
        <f t="shared" si="22"/>
        <v>636501.36</v>
      </c>
      <c r="T169" s="2">
        <f t="shared" si="23"/>
        <v>627977.5199999999</v>
      </c>
      <c r="U169" s="2">
        <f t="shared" si="24"/>
        <v>620109.36</v>
      </c>
    </row>
    <row r="170" spans="1:21">
      <c r="A170" s="55">
        <v>167</v>
      </c>
      <c r="B170" s="55" t="s">
        <v>521</v>
      </c>
      <c r="C170" s="55" t="s">
        <v>544</v>
      </c>
      <c r="D170" s="55" t="s">
        <v>545</v>
      </c>
      <c r="E170" s="75" t="s">
        <v>546</v>
      </c>
      <c r="F170" s="55" t="s">
        <v>567</v>
      </c>
      <c r="G170" s="55">
        <v>912713006</v>
      </c>
      <c r="H170" s="55" t="s">
        <v>568</v>
      </c>
      <c r="I170" s="55">
        <v>163.92</v>
      </c>
      <c r="J170" s="111">
        <v>4379</v>
      </c>
      <c r="K170" s="111">
        <v>3984</v>
      </c>
      <c r="L170" s="111">
        <v>3884</v>
      </c>
      <c r="M170" s="111">
        <v>3883</v>
      </c>
      <c r="N170" s="111">
        <v>3831</v>
      </c>
      <c r="O170" s="111">
        <v>3783</v>
      </c>
      <c r="P170" s="2">
        <f t="shared" si="19"/>
        <v>717805.67999999993</v>
      </c>
      <c r="Q170" s="2">
        <f t="shared" si="20"/>
        <v>653057.27999999991</v>
      </c>
      <c r="R170" s="2">
        <f t="shared" si="21"/>
        <v>636665.27999999991</v>
      </c>
      <c r="S170" s="2">
        <f t="shared" si="22"/>
        <v>636501.36</v>
      </c>
      <c r="T170" s="2">
        <f t="shared" si="23"/>
        <v>627977.5199999999</v>
      </c>
      <c r="U170" s="2">
        <f t="shared" si="24"/>
        <v>620109.36</v>
      </c>
    </row>
    <row r="171" spans="1:21">
      <c r="A171" s="55">
        <v>168</v>
      </c>
      <c r="B171" s="55" t="s">
        <v>521</v>
      </c>
      <c r="C171" s="55" t="s">
        <v>544</v>
      </c>
      <c r="D171" s="55" t="s">
        <v>545</v>
      </c>
      <c r="E171" s="75" t="s">
        <v>546</v>
      </c>
      <c r="F171" s="55" t="s">
        <v>569</v>
      </c>
      <c r="G171" s="55">
        <v>912710002</v>
      </c>
      <c r="H171" s="55" t="s">
        <v>570</v>
      </c>
      <c r="I171" s="55">
        <v>453.38</v>
      </c>
      <c r="J171" s="111">
        <v>2138</v>
      </c>
      <c r="K171" s="111">
        <v>1823</v>
      </c>
      <c r="L171" s="111">
        <v>1767</v>
      </c>
      <c r="M171" s="111">
        <v>1866</v>
      </c>
      <c r="N171" s="111">
        <v>1805</v>
      </c>
      <c r="O171" s="111">
        <v>1684</v>
      </c>
      <c r="P171" s="2">
        <f t="shared" si="19"/>
        <v>969326.44</v>
      </c>
      <c r="Q171" s="2">
        <f t="shared" si="20"/>
        <v>826511.74</v>
      </c>
      <c r="R171" s="2">
        <f t="shared" si="21"/>
        <v>801122.46</v>
      </c>
      <c r="S171" s="2">
        <f t="shared" si="22"/>
        <v>846007.08</v>
      </c>
      <c r="T171" s="2">
        <f t="shared" si="23"/>
        <v>818350.9</v>
      </c>
      <c r="U171" s="2">
        <f t="shared" si="24"/>
        <v>763491.92</v>
      </c>
    </row>
    <row r="172" spans="1:21">
      <c r="A172" s="55">
        <v>169</v>
      </c>
      <c r="B172" s="55" t="s">
        <v>521</v>
      </c>
      <c r="C172" s="55" t="s">
        <v>544</v>
      </c>
      <c r="D172" s="55" t="s">
        <v>545</v>
      </c>
      <c r="E172" s="75" t="s">
        <v>546</v>
      </c>
      <c r="F172" s="55" t="s">
        <v>571</v>
      </c>
      <c r="G172" s="55">
        <v>912713008</v>
      </c>
      <c r="H172" s="55" t="s">
        <v>572</v>
      </c>
      <c r="I172" s="55">
        <v>186.91</v>
      </c>
      <c r="J172" s="111">
        <v>7427</v>
      </c>
      <c r="K172" s="111">
        <v>7664</v>
      </c>
      <c r="L172" s="111">
        <v>7660</v>
      </c>
      <c r="M172" s="111">
        <v>7492</v>
      </c>
      <c r="N172" s="111">
        <v>7660</v>
      </c>
      <c r="O172" s="111">
        <v>7830</v>
      </c>
      <c r="P172" s="2">
        <f t="shared" si="19"/>
        <v>1388180.57</v>
      </c>
      <c r="Q172" s="2">
        <f t="shared" si="20"/>
        <v>1432478.24</v>
      </c>
      <c r="R172" s="2">
        <f t="shared" si="21"/>
        <v>1431730.5999999999</v>
      </c>
      <c r="S172" s="2">
        <f t="shared" si="22"/>
        <v>1400329.72</v>
      </c>
      <c r="T172" s="2">
        <f t="shared" si="23"/>
        <v>1431730.5999999999</v>
      </c>
      <c r="U172" s="2">
        <f t="shared" si="24"/>
        <v>1463505.3</v>
      </c>
    </row>
    <row r="173" spans="1:21">
      <c r="A173" s="55">
        <v>170</v>
      </c>
      <c r="B173" s="55" t="s">
        <v>521</v>
      </c>
      <c r="C173" s="55" t="s">
        <v>544</v>
      </c>
      <c r="D173" s="55" t="s">
        <v>545</v>
      </c>
      <c r="E173" s="75" t="s">
        <v>546</v>
      </c>
      <c r="F173" s="55" t="s">
        <v>573</v>
      </c>
      <c r="G173" s="55">
        <v>913706009</v>
      </c>
      <c r="H173" s="55" t="s">
        <v>574</v>
      </c>
      <c r="I173" s="55">
        <v>2.64</v>
      </c>
      <c r="J173" s="111">
        <v>21182</v>
      </c>
      <c r="K173" s="111">
        <v>9718</v>
      </c>
      <c r="L173" s="111">
        <v>9530</v>
      </c>
      <c r="M173" s="111">
        <v>9742</v>
      </c>
      <c r="N173" s="111">
        <v>9586</v>
      </c>
      <c r="O173" s="111">
        <v>9398</v>
      </c>
      <c r="P173" s="2">
        <f t="shared" si="19"/>
        <v>55920.480000000003</v>
      </c>
      <c r="Q173" s="2">
        <f t="shared" si="20"/>
        <v>25655.52</v>
      </c>
      <c r="R173" s="2">
        <f t="shared" si="21"/>
        <v>25159.200000000001</v>
      </c>
      <c r="S173" s="2">
        <f t="shared" si="22"/>
        <v>25718.880000000001</v>
      </c>
      <c r="T173" s="2">
        <f t="shared" si="23"/>
        <v>25307.040000000001</v>
      </c>
      <c r="U173" s="2">
        <f t="shared" si="24"/>
        <v>24810.720000000001</v>
      </c>
    </row>
    <row r="174" spans="1:21">
      <c r="A174" s="55">
        <v>171</v>
      </c>
      <c r="B174" s="55" t="s">
        <v>521</v>
      </c>
      <c r="C174" s="55" t="s">
        <v>544</v>
      </c>
      <c r="D174" s="55" t="s">
        <v>545</v>
      </c>
      <c r="E174" s="75" t="s">
        <v>546</v>
      </c>
      <c r="F174" s="55" t="s">
        <v>575</v>
      </c>
      <c r="G174" s="55">
        <v>912703001</v>
      </c>
      <c r="H174" s="55" t="s">
        <v>576</v>
      </c>
      <c r="I174" s="55">
        <v>95.45</v>
      </c>
      <c r="J174" s="111">
        <v>5133</v>
      </c>
      <c r="K174" s="111">
        <v>5655</v>
      </c>
      <c r="L174" s="111">
        <v>5597</v>
      </c>
      <c r="M174" s="111">
        <v>5612</v>
      </c>
      <c r="N174" s="111">
        <v>5635</v>
      </c>
      <c r="O174" s="111">
        <v>5599</v>
      </c>
      <c r="P174" s="2">
        <f t="shared" si="19"/>
        <v>489944.85000000003</v>
      </c>
      <c r="Q174" s="2">
        <f t="shared" si="20"/>
        <v>539769.75</v>
      </c>
      <c r="R174" s="2">
        <f t="shared" si="21"/>
        <v>534233.65</v>
      </c>
      <c r="S174" s="2">
        <f t="shared" si="22"/>
        <v>535665.4</v>
      </c>
      <c r="T174" s="2">
        <f t="shared" si="23"/>
        <v>537860.75</v>
      </c>
      <c r="U174" s="2">
        <f t="shared" si="24"/>
        <v>534424.55000000005</v>
      </c>
    </row>
    <row r="175" spans="1:21">
      <c r="A175" s="55">
        <v>172</v>
      </c>
      <c r="B175" s="55" t="s">
        <v>521</v>
      </c>
      <c r="C175" s="55" t="s">
        <v>544</v>
      </c>
      <c r="D175" s="55" t="s">
        <v>545</v>
      </c>
      <c r="E175" s="75" t="s">
        <v>546</v>
      </c>
      <c r="F175" s="55" t="s">
        <v>577</v>
      </c>
      <c r="G175" s="55">
        <v>912706002</v>
      </c>
      <c r="H175" s="55" t="s">
        <v>578</v>
      </c>
      <c r="I175" s="55">
        <v>293.55</v>
      </c>
      <c r="J175" s="111">
        <v>12793</v>
      </c>
      <c r="K175" s="111">
        <v>11310</v>
      </c>
      <c r="L175" s="111">
        <v>11194</v>
      </c>
      <c r="M175" s="111">
        <v>11224</v>
      </c>
      <c r="N175" s="111">
        <v>11270</v>
      </c>
      <c r="O175" s="111">
        <v>11198</v>
      </c>
      <c r="P175" s="2">
        <f t="shared" si="19"/>
        <v>3755385.1500000004</v>
      </c>
      <c r="Q175" s="2">
        <f t="shared" si="20"/>
        <v>3320050.5</v>
      </c>
      <c r="R175" s="2">
        <f t="shared" si="21"/>
        <v>3285998.7</v>
      </c>
      <c r="S175" s="2">
        <f t="shared" si="22"/>
        <v>3294805.2</v>
      </c>
      <c r="T175" s="2">
        <f t="shared" si="23"/>
        <v>3308308.5</v>
      </c>
      <c r="U175" s="2">
        <f t="shared" si="24"/>
        <v>3287172.9</v>
      </c>
    </row>
    <row r="176" spans="1:21">
      <c r="A176" s="55">
        <v>173</v>
      </c>
      <c r="B176" s="55" t="s">
        <v>521</v>
      </c>
      <c r="C176" s="55" t="s">
        <v>544</v>
      </c>
      <c r="D176" s="55" t="s">
        <v>545</v>
      </c>
      <c r="E176" s="75" t="s">
        <v>546</v>
      </c>
      <c r="F176" s="55" t="s">
        <v>579</v>
      </c>
      <c r="G176" s="55">
        <v>912706004</v>
      </c>
      <c r="H176" s="55" t="s">
        <v>580</v>
      </c>
      <c r="I176" s="55">
        <v>279.06</v>
      </c>
      <c r="J176" s="111">
        <v>9996</v>
      </c>
      <c r="K176" s="111">
        <v>9378</v>
      </c>
      <c r="L176" s="111">
        <v>9178</v>
      </c>
      <c r="M176" s="111">
        <v>9176</v>
      </c>
      <c r="N176" s="111">
        <v>9072</v>
      </c>
      <c r="O176" s="111">
        <v>8976</v>
      </c>
      <c r="P176" s="2">
        <f t="shared" si="19"/>
        <v>2789483.7600000002</v>
      </c>
      <c r="Q176" s="2">
        <f t="shared" si="20"/>
        <v>2617024.6800000002</v>
      </c>
      <c r="R176" s="2">
        <f t="shared" si="21"/>
        <v>2561212.6800000002</v>
      </c>
      <c r="S176" s="2">
        <f t="shared" si="22"/>
        <v>2560654.56</v>
      </c>
      <c r="T176" s="2">
        <f t="shared" si="23"/>
        <v>2531632.3199999998</v>
      </c>
      <c r="U176" s="2">
        <f t="shared" si="24"/>
        <v>2504842.56</v>
      </c>
    </row>
    <row r="177" spans="1:21">
      <c r="A177" s="55">
        <v>174</v>
      </c>
      <c r="B177" s="55" t="s">
        <v>521</v>
      </c>
      <c r="C177" s="55" t="s">
        <v>544</v>
      </c>
      <c r="D177" s="55" t="s">
        <v>545</v>
      </c>
      <c r="E177" s="75" t="s">
        <v>546</v>
      </c>
      <c r="F177" s="55" t="s">
        <v>581</v>
      </c>
      <c r="G177" s="55">
        <v>912702001</v>
      </c>
      <c r="H177" s="55" t="s">
        <v>582</v>
      </c>
      <c r="I177" s="55">
        <v>364.97</v>
      </c>
      <c r="J177" s="111">
        <v>4130</v>
      </c>
      <c r="K177" s="111">
        <v>3832</v>
      </c>
      <c r="L177" s="111">
        <v>3830</v>
      </c>
      <c r="M177" s="111">
        <v>3746</v>
      </c>
      <c r="N177" s="111">
        <v>3830</v>
      </c>
      <c r="O177" s="111">
        <v>3915</v>
      </c>
      <c r="P177" s="2">
        <f t="shared" si="19"/>
        <v>1507326.1</v>
      </c>
      <c r="Q177" s="2">
        <f t="shared" si="20"/>
        <v>1398565.04</v>
      </c>
      <c r="R177" s="2">
        <f t="shared" si="21"/>
        <v>1397835.1</v>
      </c>
      <c r="S177" s="2">
        <f t="shared" si="22"/>
        <v>1367177.62</v>
      </c>
      <c r="T177" s="2">
        <f t="shared" si="23"/>
        <v>1397835.1</v>
      </c>
      <c r="U177" s="2">
        <f t="shared" si="24"/>
        <v>1428857.55</v>
      </c>
    </row>
    <row r="178" spans="1:21">
      <c r="A178" s="55">
        <v>175</v>
      </c>
      <c r="B178" s="55" t="s">
        <v>521</v>
      </c>
      <c r="C178" s="55" t="s">
        <v>544</v>
      </c>
      <c r="D178" s="55" t="s">
        <v>545</v>
      </c>
      <c r="E178" s="75" t="s">
        <v>546</v>
      </c>
      <c r="F178" s="55" t="s">
        <v>583</v>
      </c>
      <c r="G178" s="55">
        <v>912706005</v>
      </c>
      <c r="H178" s="55" t="s">
        <v>584</v>
      </c>
      <c r="I178" s="55">
        <v>8.8800000000000008</v>
      </c>
      <c r="J178" s="111">
        <v>0</v>
      </c>
      <c r="K178" s="111">
        <v>3611</v>
      </c>
      <c r="L178" s="111">
        <v>3620</v>
      </c>
      <c r="M178" s="111">
        <v>3620</v>
      </c>
      <c r="N178" s="111">
        <v>3620</v>
      </c>
      <c r="O178" s="111">
        <v>3600</v>
      </c>
      <c r="P178" s="2">
        <f t="shared" si="19"/>
        <v>0</v>
      </c>
      <c r="Q178" s="2">
        <f t="shared" si="20"/>
        <v>32065.680000000004</v>
      </c>
      <c r="R178" s="2">
        <f t="shared" si="21"/>
        <v>32145.600000000002</v>
      </c>
      <c r="S178" s="2">
        <f t="shared" si="22"/>
        <v>32145.600000000002</v>
      </c>
      <c r="T178" s="2">
        <f t="shared" si="23"/>
        <v>32145.600000000002</v>
      </c>
      <c r="U178" s="2">
        <f t="shared" si="24"/>
        <v>31968.000000000004</v>
      </c>
    </row>
    <row r="179" spans="1:21">
      <c r="A179" s="55">
        <v>176</v>
      </c>
      <c r="B179" s="55" t="s">
        <v>521</v>
      </c>
      <c r="C179" s="55" t="s">
        <v>544</v>
      </c>
      <c r="D179" s="55" t="s">
        <v>545</v>
      </c>
      <c r="E179" s="75" t="s">
        <v>546</v>
      </c>
      <c r="F179" s="55" t="s">
        <v>585</v>
      </c>
      <c r="G179" s="55">
        <v>912702004</v>
      </c>
      <c r="H179" s="55" t="s">
        <v>586</v>
      </c>
      <c r="I179" s="55">
        <v>94.25</v>
      </c>
      <c r="J179" s="111">
        <v>0</v>
      </c>
      <c r="K179" s="111">
        <v>602</v>
      </c>
      <c r="L179" s="111">
        <v>705</v>
      </c>
      <c r="M179" s="111">
        <v>833</v>
      </c>
      <c r="N179" s="111">
        <v>705</v>
      </c>
      <c r="O179" s="111">
        <v>761</v>
      </c>
      <c r="P179" s="2">
        <f t="shared" si="19"/>
        <v>0</v>
      </c>
      <c r="Q179" s="2">
        <f t="shared" si="20"/>
        <v>56738.5</v>
      </c>
      <c r="R179" s="2">
        <f t="shared" si="21"/>
        <v>66446.25</v>
      </c>
      <c r="S179" s="2">
        <f t="shared" si="22"/>
        <v>78510.25</v>
      </c>
      <c r="T179" s="2">
        <f t="shared" si="23"/>
        <v>66446.25</v>
      </c>
      <c r="U179" s="2">
        <f t="shared" si="24"/>
        <v>71724.25</v>
      </c>
    </row>
    <row r="180" spans="1:21">
      <c r="A180" s="55">
        <v>177</v>
      </c>
      <c r="B180" s="55" t="s">
        <v>521</v>
      </c>
      <c r="C180" s="55" t="s">
        <v>544</v>
      </c>
      <c r="D180" s="55" t="s">
        <v>545</v>
      </c>
      <c r="E180" s="75" t="s">
        <v>546</v>
      </c>
      <c r="F180" s="55" t="s">
        <v>587</v>
      </c>
      <c r="G180" s="55">
        <v>912702005</v>
      </c>
      <c r="H180" s="55" t="s">
        <v>588</v>
      </c>
      <c r="I180" s="55">
        <v>117.36</v>
      </c>
      <c r="J180" s="111">
        <v>2617</v>
      </c>
      <c r="K180" s="111">
        <v>2942</v>
      </c>
      <c r="L180" s="111">
        <v>3125</v>
      </c>
      <c r="M180" s="111">
        <v>2913</v>
      </c>
      <c r="N180" s="111">
        <v>3125</v>
      </c>
      <c r="O180" s="111">
        <v>3154</v>
      </c>
      <c r="P180" s="2">
        <f t="shared" si="19"/>
        <v>307131.12</v>
      </c>
      <c r="Q180" s="2">
        <f t="shared" si="20"/>
        <v>345273.12</v>
      </c>
      <c r="R180" s="2">
        <f t="shared" si="21"/>
        <v>366750</v>
      </c>
      <c r="S180" s="2">
        <f t="shared" si="22"/>
        <v>341869.68</v>
      </c>
      <c r="T180" s="2">
        <f t="shared" si="23"/>
        <v>366750</v>
      </c>
      <c r="U180" s="2">
        <f t="shared" si="24"/>
        <v>370153.44</v>
      </c>
    </row>
    <row r="181" spans="1:21">
      <c r="A181" s="55">
        <v>178</v>
      </c>
      <c r="B181" s="55" t="s">
        <v>521</v>
      </c>
      <c r="C181" s="55" t="s">
        <v>544</v>
      </c>
      <c r="D181" s="55" t="s">
        <v>545</v>
      </c>
      <c r="E181" s="75" t="s">
        <v>546</v>
      </c>
      <c r="F181" s="55" t="s">
        <v>589</v>
      </c>
      <c r="G181" s="55">
        <v>915920001</v>
      </c>
      <c r="H181" s="55" t="s">
        <v>590</v>
      </c>
      <c r="I181" s="55">
        <v>43.93</v>
      </c>
      <c r="J181" s="111">
        <v>9941</v>
      </c>
      <c r="K181" s="111">
        <v>5655</v>
      </c>
      <c r="L181" s="111">
        <v>5597</v>
      </c>
      <c r="M181" s="111">
        <v>5612</v>
      </c>
      <c r="N181" s="111">
        <v>5635</v>
      </c>
      <c r="O181" s="111">
        <v>5599</v>
      </c>
      <c r="P181" s="2">
        <f t="shared" si="19"/>
        <v>436708.13</v>
      </c>
      <c r="Q181" s="2">
        <f t="shared" si="20"/>
        <v>248424.15</v>
      </c>
      <c r="R181" s="2">
        <f t="shared" si="21"/>
        <v>245876.21</v>
      </c>
      <c r="S181" s="2">
        <f t="shared" si="22"/>
        <v>246535.16</v>
      </c>
      <c r="T181" s="2">
        <f t="shared" si="23"/>
        <v>247545.55</v>
      </c>
      <c r="U181" s="2">
        <f t="shared" si="24"/>
        <v>245964.07</v>
      </c>
    </row>
    <row r="182" spans="1:21">
      <c r="A182" s="55">
        <v>179</v>
      </c>
      <c r="B182" s="55" t="s">
        <v>521</v>
      </c>
      <c r="C182" s="55" t="s">
        <v>544</v>
      </c>
      <c r="D182" s="55" t="s">
        <v>545</v>
      </c>
      <c r="E182" s="75" t="s">
        <v>546</v>
      </c>
      <c r="F182" s="55" t="s">
        <v>591</v>
      </c>
      <c r="G182" s="55">
        <v>915906001</v>
      </c>
      <c r="H182" s="55" t="s">
        <v>592</v>
      </c>
      <c r="I182" s="55">
        <v>22.58</v>
      </c>
      <c r="J182" s="111">
        <v>4498</v>
      </c>
      <c r="K182" s="111">
        <v>2942</v>
      </c>
      <c r="L182" s="111">
        <v>3125</v>
      </c>
      <c r="M182" s="111">
        <v>2913</v>
      </c>
      <c r="N182" s="111">
        <v>3125</v>
      </c>
      <c r="O182" s="111">
        <v>3154</v>
      </c>
      <c r="P182" s="2">
        <f t="shared" si="19"/>
        <v>101564.84</v>
      </c>
      <c r="Q182" s="2">
        <f t="shared" si="20"/>
        <v>66430.36</v>
      </c>
      <c r="R182" s="2">
        <f t="shared" si="21"/>
        <v>70562.5</v>
      </c>
      <c r="S182" s="2">
        <f t="shared" si="22"/>
        <v>65775.539999999994</v>
      </c>
      <c r="T182" s="2">
        <f t="shared" si="23"/>
        <v>70562.5</v>
      </c>
      <c r="U182" s="2">
        <f t="shared" si="24"/>
        <v>71217.319999999992</v>
      </c>
    </row>
    <row r="183" spans="1:21">
      <c r="A183" s="55">
        <v>180</v>
      </c>
      <c r="B183" s="55" t="s">
        <v>521</v>
      </c>
      <c r="C183" s="55" t="s">
        <v>544</v>
      </c>
      <c r="D183" s="55" t="s">
        <v>545</v>
      </c>
      <c r="E183" s="75" t="s">
        <v>593</v>
      </c>
      <c r="F183" s="55" t="s">
        <v>594</v>
      </c>
      <c r="G183" s="55">
        <v>918604002</v>
      </c>
      <c r="H183" s="55" t="s">
        <v>595</v>
      </c>
      <c r="I183" s="55">
        <v>160.05000000000001</v>
      </c>
      <c r="J183" s="111">
        <v>507</v>
      </c>
      <c r="K183" s="111">
        <v>500</v>
      </c>
      <c r="L183" s="111">
        <v>500</v>
      </c>
      <c r="M183" s="111">
        <v>500</v>
      </c>
      <c r="N183" s="111">
        <v>500</v>
      </c>
      <c r="O183" s="111">
        <v>0</v>
      </c>
      <c r="P183" s="2">
        <f t="shared" si="19"/>
        <v>81145.350000000006</v>
      </c>
      <c r="Q183" s="2">
        <f t="shared" si="20"/>
        <v>80025</v>
      </c>
      <c r="R183" s="2">
        <f t="shared" si="21"/>
        <v>80025</v>
      </c>
      <c r="S183" s="2">
        <f t="shared" si="22"/>
        <v>80025</v>
      </c>
      <c r="T183" s="2">
        <f t="shared" si="23"/>
        <v>80025</v>
      </c>
      <c r="U183" s="2">
        <f t="shared" si="24"/>
        <v>0</v>
      </c>
    </row>
    <row r="184" spans="1:21">
      <c r="A184" s="55">
        <v>181</v>
      </c>
      <c r="B184" s="55" t="s">
        <v>521</v>
      </c>
      <c r="C184" s="55" t="s">
        <v>544</v>
      </c>
      <c r="D184" s="55" t="s">
        <v>545</v>
      </c>
      <c r="E184" s="75" t="s">
        <v>593</v>
      </c>
      <c r="F184" s="55" t="s">
        <v>596</v>
      </c>
      <c r="G184" s="55">
        <v>918604001</v>
      </c>
      <c r="H184" s="55" t="s">
        <v>597</v>
      </c>
      <c r="I184" s="55">
        <v>160.05000000000001</v>
      </c>
      <c r="J184" s="111">
        <v>482</v>
      </c>
      <c r="K184" s="111">
        <v>500</v>
      </c>
      <c r="L184" s="111">
        <v>500</v>
      </c>
      <c r="M184" s="111">
        <v>500</v>
      </c>
      <c r="N184" s="111">
        <v>500</v>
      </c>
      <c r="O184" s="111">
        <v>0</v>
      </c>
      <c r="P184" s="2">
        <f t="shared" si="19"/>
        <v>77144.100000000006</v>
      </c>
      <c r="Q184" s="2">
        <f t="shared" si="20"/>
        <v>80025</v>
      </c>
      <c r="R184" s="2">
        <f t="shared" si="21"/>
        <v>80025</v>
      </c>
      <c r="S184" s="2">
        <f t="shared" si="22"/>
        <v>80025</v>
      </c>
      <c r="T184" s="2">
        <f t="shared" si="23"/>
        <v>80025</v>
      </c>
      <c r="U184" s="2">
        <f t="shared" si="24"/>
        <v>0</v>
      </c>
    </row>
    <row r="185" spans="1:21">
      <c r="A185" s="55">
        <v>182</v>
      </c>
      <c r="B185" s="55" t="s">
        <v>521</v>
      </c>
      <c r="C185" s="55" t="s">
        <v>544</v>
      </c>
      <c r="D185" s="55" t="s">
        <v>545</v>
      </c>
      <c r="E185" s="75" t="s">
        <v>593</v>
      </c>
      <c r="F185" s="55" t="s">
        <v>598</v>
      </c>
      <c r="G185" s="55">
        <v>918604004</v>
      </c>
      <c r="H185" s="55" t="s">
        <v>599</v>
      </c>
      <c r="I185" s="55">
        <v>181.92</v>
      </c>
      <c r="J185" s="111">
        <v>562</v>
      </c>
      <c r="K185" s="111">
        <v>500</v>
      </c>
      <c r="L185" s="111">
        <v>500</v>
      </c>
      <c r="M185" s="111">
        <v>500</v>
      </c>
      <c r="N185" s="111">
        <v>500</v>
      </c>
      <c r="O185" s="111">
        <v>0</v>
      </c>
      <c r="P185" s="2">
        <f t="shared" si="19"/>
        <v>102239.03999999999</v>
      </c>
      <c r="Q185" s="2">
        <f t="shared" si="20"/>
        <v>90960</v>
      </c>
      <c r="R185" s="2">
        <f t="shared" si="21"/>
        <v>90960</v>
      </c>
      <c r="S185" s="2">
        <f t="shared" si="22"/>
        <v>90960</v>
      </c>
      <c r="T185" s="2">
        <f t="shared" si="23"/>
        <v>90960</v>
      </c>
      <c r="U185" s="2">
        <f t="shared" si="24"/>
        <v>0</v>
      </c>
    </row>
    <row r="186" spans="1:21">
      <c r="A186" s="55">
        <v>183</v>
      </c>
      <c r="B186" s="55" t="s">
        <v>521</v>
      </c>
      <c r="C186" s="55" t="s">
        <v>544</v>
      </c>
      <c r="D186" s="55" t="s">
        <v>545</v>
      </c>
      <c r="E186" s="75" t="s">
        <v>593</v>
      </c>
      <c r="F186" s="55" t="s">
        <v>600</v>
      </c>
      <c r="G186" s="55">
        <v>918604003</v>
      </c>
      <c r="H186" s="55" t="s">
        <v>601</v>
      </c>
      <c r="I186" s="55">
        <v>181.92</v>
      </c>
      <c r="J186" s="111">
        <v>405</v>
      </c>
      <c r="K186" s="111">
        <v>500</v>
      </c>
      <c r="L186" s="111">
        <v>500</v>
      </c>
      <c r="M186" s="111">
        <v>500</v>
      </c>
      <c r="N186" s="111">
        <v>500</v>
      </c>
      <c r="O186" s="111">
        <v>0</v>
      </c>
      <c r="P186" s="2">
        <f t="shared" si="19"/>
        <v>73677.599999999991</v>
      </c>
      <c r="Q186" s="2">
        <f t="shared" si="20"/>
        <v>90960</v>
      </c>
      <c r="R186" s="2">
        <f t="shared" si="21"/>
        <v>90960</v>
      </c>
      <c r="S186" s="2">
        <f t="shared" si="22"/>
        <v>90960</v>
      </c>
      <c r="T186" s="2">
        <f t="shared" si="23"/>
        <v>90960</v>
      </c>
      <c r="U186" s="2">
        <f t="shared" si="24"/>
        <v>0</v>
      </c>
    </row>
    <row r="187" spans="1:21">
      <c r="A187" s="55">
        <v>184</v>
      </c>
      <c r="B187" s="55" t="s">
        <v>521</v>
      </c>
      <c r="C187" s="55" t="s">
        <v>544</v>
      </c>
      <c r="D187" s="55" t="s">
        <v>545</v>
      </c>
      <c r="E187" s="75" t="s">
        <v>593</v>
      </c>
      <c r="F187" s="55" t="s">
        <v>602</v>
      </c>
      <c r="G187" s="55">
        <v>917401001</v>
      </c>
      <c r="H187" s="55" t="s">
        <v>603</v>
      </c>
      <c r="I187" s="55">
        <v>245.43</v>
      </c>
      <c r="J187" s="111">
        <v>445</v>
      </c>
      <c r="K187" s="111">
        <v>500</v>
      </c>
      <c r="L187" s="111">
        <v>500</v>
      </c>
      <c r="M187" s="111">
        <v>500</v>
      </c>
      <c r="N187" s="111">
        <v>500</v>
      </c>
      <c r="O187" s="111">
        <v>0</v>
      </c>
      <c r="P187" s="2">
        <f t="shared" si="19"/>
        <v>109216.35</v>
      </c>
      <c r="Q187" s="2">
        <f t="shared" si="20"/>
        <v>122715</v>
      </c>
      <c r="R187" s="2">
        <f t="shared" si="21"/>
        <v>122715</v>
      </c>
      <c r="S187" s="2">
        <f t="shared" si="22"/>
        <v>122715</v>
      </c>
      <c r="T187" s="2">
        <f t="shared" si="23"/>
        <v>122715</v>
      </c>
      <c r="U187" s="2">
        <f t="shared" si="24"/>
        <v>0</v>
      </c>
    </row>
    <row r="188" spans="1:21">
      <c r="A188" s="55">
        <v>185</v>
      </c>
      <c r="B188" s="55" t="s">
        <v>521</v>
      </c>
      <c r="C188" s="55" t="s">
        <v>544</v>
      </c>
      <c r="D188" s="55" t="s">
        <v>545</v>
      </c>
      <c r="E188" s="75" t="s">
        <v>593</v>
      </c>
      <c r="F188" s="55" t="s">
        <v>604</v>
      </c>
      <c r="G188" s="55">
        <v>917401002</v>
      </c>
      <c r="H188" s="55" t="s">
        <v>605</v>
      </c>
      <c r="I188" s="55">
        <v>245.43</v>
      </c>
      <c r="J188" s="111">
        <v>438</v>
      </c>
      <c r="K188" s="111">
        <v>500</v>
      </c>
      <c r="L188" s="111">
        <v>500</v>
      </c>
      <c r="M188" s="111">
        <v>500</v>
      </c>
      <c r="N188" s="111">
        <v>500</v>
      </c>
      <c r="O188" s="111">
        <v>0</v>
      </c>
      <c r="P188" s="2">
        <f t="shared" si="19"/>
        <v>107498.34</v>
      </c>
      <c r="Q188" s="2">
        <f t="shared" si="20"/>
        <v>122715</v>
      </c>
      <c r="R188" s="2">
        <f t="shared" si="21"/>
        <v>122715</v>
      </c>
      <c r="S188" s="2">
        <f t="shared" si="22"/>
        <v>122715</v>
      </c>
      <c r="T188" s="2">
        <f t="shared" si="23"/>
        <v>122715</v>
      </c>
      <c r="U188" s="2">
        <f t="shared" si="24"/>
        <v>0</v>
      </c>
    </row>
    <row r="189" spans="1:21">
      <c r="A189" s="55">
        <v>186</v>
      </c>
      <c r="B189" s="55" t="s">
        <v>521</v>
      </c>
      <c r="C189" s="55" t="s">
        <v>544</v>
      </c>
      <c r="D189" s="55" t="s">
        <v>545</v>
      </c>
      <c r="E189" s="75" t="s">
        <v>593</v>
      </c>
      <c r="F189" s="55" t="s">
        <v>606</v>
      </c>
      <c r="G189" s="55">
        <v>917401003</v>
      </c>
      <c r="H189" s="55" t="s">
        <v>607</v>
      </c>
      <c r="I189" s="55">
        <v>269.56</v>
      </c>
      <c r="J189" s="111">
        <v>506</v>
      </c>
      <c r="K189" s="111">
        <v>500</v>
      </c>
      <c r="L189" s="111">
        <v>500</v>
      </c>
      <c r="M189" s="111">
        <v>500</v>
      </c>
      <c r="N189" s="111">
        <v>500</v>
      </c>
      <c r="O189" s="111">
        <v>0</v>
      </c>
      <c r="P189" s="2">
        <f t="shared" si="19"/>
        <v>136397.36000000002</v>
      </c>
      <c r="Q189" s="2">
        <f t="shared" si="20"/>
        <v>134780</v>
      </c>
      <c r="R189" s="2">
        <f t="shared" si="21"/>
        <v>134780</v>
      </c>
      <c r="S189" s="2">
        <f t="shared" si="22"/>
        <v>134780</v>
      </c>
      <c r="T189" s="2">
        <f t="shared" si="23"/>
        <v>134780</v>
      </c>
      <c r="U189" s="2">
        <f t="shared" si="24"/>
        <v>0</v>
      </c>
    </row>
    <row r="190" spans="1:21">
      <c r="A190" s="55">
        <v>187</v>
      </c>
      <c r="B190" s="55" t="s">
        <v>521</v>
      </c>
      <c r="C190" s="55" t="s">
        <v>544</v>
      </c>
      <c r="D190" s="55" t="s">
        <v>545</v>
      </c>
      <c r="E190" s="75" t="s">
        <v>593</v>
      </c>
      <c r="F190" s="55" t="s">
        <v>608</v>
      </c>
      <c r="G190" s="55">
        <v>917401004</v>
      </c>
      <c r="H190" s="55" t="s">
        <v>609</v>
      </c>
      <c r="I190" s="55">
        <v>269.56</v>
      </c>
      <c r="J190" s="111">
        <v>488</v>
      </c>
      <c r="K190" s="111">
        <v>500</v>
      </c>
      <c r="L190" s="111">
        <v>500</v>
      </c>
      <c r="M190" s="111">
        <v>500</v>
      </c>
      <c r="N190" s="111">
        <v>500</v>
      </c>
      <c r="O190" s="111">
        <v>0</v>
      </c>
      <c r="P190" s="2">
        <f t="shared" si="19"/>
        <v>131545.28</v>
      </c>
      <c r="Q190" s="2">
        <f t="shared" si="20"/>
        <v>134780</v>
      </c>
      <c r="R190" s="2">
        <f t="shared" si="21"/>
        <v>134780</v>
      </c>
      <c r="S190" s="2">
        <f t="shared" si="22"/>
        <v>134780</v>
      </c>
      <c r="T190" s="2">
        <f t="shared" si="23"/>
        <v>134780</v>
      </c>
      <c r="U190" s="2">
        <f t="shared" si="24"/>
        <v>0</v>
      </c>
    </row>
    <row r="191" spans="1:21">
      <c r="A191" s="55">
        <v>188</v>
      </c>
      <c r="B191" s="55" t="s">
        <v>521</v>
      </c>
      <c r="C191" s="55" t="s">
        <v>544</v>
      </c>
      <c r="D191" s="55" t="s">
        <v>545</v>
      </c>
      <c r="E191" s="75" t="s">
        <v>593</v>
      </c>
      <c r="F191" s="55" t="s">
        <v>610</v>
      </c>
      <c r="G191" s="55">
        <v>917424001</v>
      </c>
      <c r="H191" s="55" t="s">
        <v>611</v>
      </c>
      <c r="I191" s="55">
        <v>376.82</v>
      </c>
      <c r="J191" s="111">
        <v>544</v>
      </c>
      <c r="K191" s="111">
        <v>500</v>
      </c>
      <c r="L191" s="111">
        <v>500</v>
      </c>
      <c r="M191" s="111">
        <v>500</v>
      </c>
      <c r="N191" s="111">
        <v>500</v>
      </c>
      <c r="O191" s="111">
        <v>0</v>
      </c>
      <c r="P191" s="2">
        <f t="shared" si="19"/>
        <v>204990.07999999999</v>
      </c>
      <c r="Q191" s="2">
        <f t="shared" si="20"/>
        <v>188410</v>
      </c>
      <c r="R191" s="2">
        <f t="shared" si="21"/>
        <v>188410</v>
      </c>
      <c r="S191" s="2">
        <f t="shared" si="22"/>
        <v>188410</v>
      </c>
      <c r="T191" s="2">
        <f t="shared" si="23"/>
        <v>188410</v>
      </c>
      <c r="U191" s="2">
        <f t="shared" si="24"/>
        <v>0</v>
      </c>
    </row>
    <row r="192" spans="1:21">
      <c r="A192" s="55">
        <v>189</v>
      </c>
      <c r="B192" s="55" t="s">
        <v>521</v>
      </c>
      <c r="C192" s="55" t="s">
        <v>544</v>
      </c>
      <c r="D192" s="55" t="s">
        <v>545</v>
      </c>
      <c r="E192" s="75" t="s">
        <v>593</v>
      </c>
      <c r="F192" s="55" t="s">
        <v>612</v>
      </c>
      <c r="G192" s="55">
        <v>917424002</v>
      </c>
      <c r="H192" s="55" t="s">
        <v>613</v>
      </c>
      <c r="I192" s="55">
        <v>376.82</v>
      </c>
      <c r="J192" s="111">
        <v>567</v>
      </c>
      <c r="K192" s="111">
        <v>500</v>
      </c>
      <c r="L192" s="111">
        <v>500</v>
      </c>
      <c r="M192" s="111">
        <v>500</v>
      </c>
      <c r="N192" s="111">
        <v>500</v>
      </c>
      <c r="O192" s="111">
        <v>0</v>
      </c>
      <c r="P192" s="2">
        <f t="shared" si="19"/>
        <v>213656.94</v>
      </c>
      <c r="Q192" s="2">
        <f t="shared" si="20"/>
        <v>188410</v>
      </c>
      <c r="R192" s="2">
        <f t="shared" si="21"/>
        <v>188410</v>
      </c>
      <c r="S192" s="2">
        <f t="shared" si="22"/>
        <v>188410</v>
      </c>
      <c r="T192" s="2">
        <f t="shared" si="23"/>
        <v>188410</v>
      </c>
      <c r="U192" s="2">
        <f t="shared" si="24"/>
        <v>0</v>
      </c>
    </row>
    <row r="193" spans="1:21">
      <c r="A193" s="55">
        <v>190</v>
      </c>
      <c r="B193" s="55" t="s">
        <v>521</v>
      </c>
      <c r="C193" s="55" t="s">
        <v>544</v>
      </c>
      <c r="D193" s="55" t="s">
        <v>545</v>
      </c>
      <c r="E193" s="75" t="s">
        <v>593</v>
      </c>
      <c r="F193" s="55" t="s">
        <v>614</v>
      </c>
      <c r="G193" s="55">
        <v>917424003</v>
      </c>
      <c r="H193" s="55" t="s">
        <v>615</v>
      </c>
      <c r="I193" s="55">
        <v>327.20999999999998</v>
      </c>
      <c r="J193" s="111">
        <v>511</v>
      </c>
      <c r="K193" s="111">
        <v>500</v>
      </c>
      <c r="L193" s="111">
        <v>500</v>
      </c>
      <c r="M193" s="111">
        <v>500</v>
      </c>
      <c r="N193" s="111">
        <v>500</v>
      </c>
      <c r="O193" s="111">
        <v>0</v>
      </c>
      <c r="P193" s="2">
        <f t="shared" si="19"/>
        <v>167204.31</v>
      </c>
      <c r="Q193" s="2">
        <f t="shared" si="20"/>
        <v>163605</v>
      </c>
      <c r="R193" s="2">
        <f t="shared" si="21"/>
        <v>163605</v>
      </c>
      <c r="S193" s="2">
        <f t="shared" si="22"/>
        <v>163605</v>
      </c>
      <c r="T193" s="2">
        <f t="shared" si="23"/>
        <v>163605</v>
      </c>
      <c r="U193" s="2">
        <f t="shared" si="24"/>
        <v>0</v>
      </c>
    </row>
    <row r="194" spans="1:21">
      <c r="A194" s="55">
        <v>191</v>
      </c>
      <c r="B194" s="55" t="s">
        <v>521</v>
      </c>
      <c r="C194" s="55" t="s">
        <v>544</v>
      </c>
      <c r="D194" s="55" t="s">
        <v>545</v>
      </c>
      <c r="E194" s="75" t="s">
        <v>593</v>
      </c>
      <c r="F194" s="55" t="s">
        <v>616</v>
      </c>
      <c r="G194" s="55">
        <v>917424004</v>
      </c>
      <c r="H194" s="55" t="s">
        <v>617</v>
      </c>
      <c r="I194" s="55">
        <v>379.22</v>
      </c>
      <c r="J194" s="111">
        <v>510</v>
      </c>
      <c r="K194" s="111">
        <v>500</v>
      </c>
      <c r="L194" s="111">
        <v>500</v>
      </c>
      <c r="M194" s="111">
        <v>500</v>
      </c>
      <c r="N194" s="111">
        <v>500</v>
      </c>
      <c r="O194" s="111">
        <v>0</v>
      </c>
      <c r="P194" s="2">
        <f t="shared" si="19"/>
        <v>193402.2</v>
      </c>
      <c r="Q194" s="2">
        <f t="shared" si="20"/>
        <v>189610</v>
      </c>
      <c r="R194" s="2">
        <f t="shared" si="21"/>
        <v>189610</v>
      </c>
      <c r="S194" s="2">
        <f t="shared" si="22"/>
        <v>189610</v>
      </c>
      <c r="T194" s="2">
        <f t="shared" si="23"/>
        <v>189610</v>
      </c>
      <c r="U194" s="2">
        <f t="shared" si="24"/>
        <v>0</v>
      </c>
    </row>
    <row r="195" spans="1:21">
      <c r="A195" s="55">
        <v>192</v>
      </c>
      <c r="B195" s="55" t="s">
        <v>521</v>
      </c>
      <c r="C195" s="55" t="s">
        <v>544</v>
      </c>
      <c r="D195" s="55" t="s">
        <v>545</v>
      </c>
      <c r="E195" s="75" t="s">
        <v>593</v>
      </c>
      <c r="F195" s="55" t="s">
        <v>618</v>
      </c>
      <c r="G195" s="55">
        <v>917418001</v>
      </c>
      <c r="H195" s="55" t="s">
        <v>619</v>
      </c>
      <c r="I195" s="55">
        <v>409.3</v>
      </c>
      <c r="J195" s="111">
        <v>516</v>
      </c>
      <c r="K195" s="111">
        <v>500</v>
      </c>
      <c r="L195" s="111">
        <v>500</v>
      </c>
      <c r="M195" s="111">
        <v>500</v>
      </c>
      <c r="N195" s="111">
        <v>500</v>
      </c>
      <c r="O195" s="111">
        <v>0</v>
      </c>
      <c r="P195" s="2">
        <f t="shared" si="19"/>
        <v>211198.80000000002</v>
      </c>
      <c r="Q195" s="2">
        <f t="shared" si="20"/>
        <v>204650</v>
      </c>
      <c r="R195" s="2">
        <f t="shared" si="21"/>
        <v>204650</v>
      </c>
      <c r="S195" s="2">
        <f t="shared" si="22"/>
        <v>204650</v>
      </c>
      <c r="T195" s="2">
        <f t="shared" si="23"/>
        <v>204650</v>
      </c>
      <c r="U195" s="2">
        <f t="shared" si="24"/>
        <v>0</v>
      </c>
    </row>
    <row r="196" spans="1:21">
      <c r="A196" s="55">
        <v>193</v>
      </c>
      <c r="B196" s="55" t="s">
        <v>521</v>
      </c>
      <c r="C196" s="55" t="s">
        <v>544</v>
      </c>
      <c r="D196" s="55" t="s">
        <v>545</v>
      </c>
      <c r="E196" s="75" t="s">
        <v>593</v>
      </c>
      <c r="F196" s="55" t="s">
        <v>620</v>
      </c>
      <c r="G196" s="55">
        <v>917411001</v>
      </c>
      <c r="H196" s="55" t="s">
        <v>621</v>
      </c>
      <c r="I196" s="55">
        <v>39.07</v>
      </c>
      <c r="J196" s="111">
        <v>0</v>
      </c>
      <c r="K196" s="111">
        <v>0</v>
      </c>
      <c r="L196" s="111">
        <v>0</v>
      </c>
      <c r="M196" s="111">
        <v>64</v>
      </c>
      <c r="N196" s="111">
        <v>70</v>
      </c>
      <c r="O196" s="111">
        <v>0</v>
      </c>
      <c r="P196" s="2">
        <f t="shared" si="19"/>
        <v>0</v>
      </c>
      <c r="Q196" s="2">
        <f t="shared" si="20"/>
        <v>0</v>
      </c>
      <c r="R196" s="2">
        <f t="shared" si="21"/>
        <v>0</v>
      </c>
      <c r="S196" s="2">
        <f t="shared" si="22"/>
        <v>2500.48</v>
      </c>
      <c r="T196" s="2">
        <f t="shared" si="23"/>
        <v>2734.9</v>
      </c>
      <c r="U196" s="2">
        <f t="shared" si="24"/>
        <v>0</v>
      </c>
    </row>
    <row r="197" spans="1:21">
      <c r="A197" s="55">
        <v>194</v>
      </c>
      <c r="B197" s="55" t="s">
        <v>521</v>
      </c>
      <c r="C197" s="55" t="s">
        <v>544</v>
      </c>
      <c r="D197" s="55" t="s">
        <v>545</v>
      </c>
      <c r="E197" s="75" t="s">
        <v>593</v>
      </c>
      <c r="F197" s="55" t="s">
        <v>622</v>
      </c>
      <c r="G197" s="55">
        <v>917411002</v>
      </c>
      <c r="H197" s="55" t="s">
        <v>623</v>
      </c>
      <c r="I197" s="55">
        <v>39.07</v>
      </c>
      <c r="J197" s="111"/>
      <c r="K197" s="111"/>
      <c r="L197" s="111"/>
      <c r="M197" s="111"/>
      <c r="N197" s="111"/>
      <c r="O197" s="111"/>
      <c r="P197" s="2">
        <f t="shared" ref="P197:P260" si="25">J197*I197</f>
        <v>0</v>
      </c>
      <c r="Q197" s="2">
        <f t="shared" ref="Q197:Q260" si="26">K197*I197</f>
        <v>0</v>
      </c>
      <c r="R197" s="2">
        <f t="shared" ref="R197:R260" si="27">L197*I197</f>
        <v>0</v>
      </c>
      <c r="S197" s="2">
        <f t="shared" ref="S197:S260" si="28">M197*I197</f>
        <v>0</v>
      </c>
      <c r="T197" s="2">
        <f t="shared" ref="T197:T260" si="29">N197*I197</f>
        <v>0</v>
      </c>
      <c r="U197" s="2">
        <f t="shared" ref="U197:U260" si="30">O197*I197</f>
        <v>0</v>
      </c>
    </row>
    <row r="198" spans="1:21">
      <c r="A198" s="55">
        <v>195</v>
      </c>
      <c r="B198" s="55" t="s">
        <v>521</v>
      </c>
      <c r="C198" s="55" t="s">
        <v>544</v>
      </c>
      <c r="D198" s="55" t="s">
        <v>545</v>
      </c>
      <c r="E198" s="75" t="s">
        <v>593</v>
      </c>
      <c r="F198" s="55" t="s">
        <v>624</v>
      </c>
      <c r="G198" s="55">
        <v>917411003</v>
      </c>
      <c r="H198" s="55" t="s">
        <v>625</v>
      </c>
      <c r="I198" s="55">
        <v>29.15</v>
      </c>
      <c r="J198" s="111">
        <v>195</v>
      </c>
      <c r="K198" s="111">
        <v>53</v>
      </c>
      <c r="L198" s="111">
        <v>70</v>
      </c>
      <c r="M198" s="111">
        <v>70</v>
      </c>
      <c r="N198" s="111">
        <v>70</v>
      </c>
      <c r="O198" s="111">
        <v>0</v>
      </c>
      <c r="P198" s="2">
        <f t="shared" si="25"/>
        <v>5684.25</v>
      </c>
      <c r="Q198" s="2">
        <f t="shared" si="26"/>
        <v>1544.9499999999998</v>
      </c>
      <c r="R198" s="2">
        <f t="shared" si="27"/>
        <v>2040.5</v>
      </c>
      <c r="S198" s="2">
        <f t="shared" si="28"/>
        <v>2040.5</v>
      </c>
      <c r="T198" s="2">
        <f t="shared" si="29"/>
        <v>2040.5</v>
      </c>
      <c r="U198" s="2">
        <f t="shared" si="30"/>
        <v>0</v>
      </c>
    </row>
    <row r="199" spans="1:21">
      <c r="A199" s="55">
        <v>196</v>
      </c>
      <c r="B199" s="55" t="s">
        <v>521</v>
      </c>
      <c r="C199" s="55" t="s">
        <v>544</v>
      </c>
      <c r="D199" s="55" t="s">
        <v>545</v>
      </c>
      <c r="E199" s="75" t="s">
        <v>593</v>
      </c>
      <c r="F199" s="55" t="s">
        <v>626</v>
      </c>
      <c r="G199" s="55">
        <v>917411004</v>
      </c>
      <c r="H199" s="55" t="s">
        <v>627</v>
      </c>
      <c r="I199" s="55">
        <v>29.15</v>
      </c>
      <c r="J199" s="111">
        <v>265</v>
      </c>
      <c r="K199" s="111">
        <v>53</v>
      </c>
      <c r="L199" s="111">
        <v>70</v>
      </c>
      <c r="M199" s="111">
        <v>70</v>
      </c>
      <c r="N199" s="111">
        <v>70</v>
      </c>
      <c r="O199" s="111">
        <v>0</v>
      </c>
      <c r="P199" s="2">
        <f t="shared" si="25"/>
        <v>7724.75</v>
      </c>
      <c r="Q199" s="2">
        <f t="shared" si="26"/>
        <v>1544.9499999999998</v>
      </c>
      <c r="R199" s="2">
        <f t="shared" si="27"/>
        <v>2040.5</v>
      </c>
      <c r="S199" s="2">
        <f t="shared" si="28"/>
        <v>2040.5</v>
      </c>
      <c r="T199" s="2">
        <f t="shared" si="29"/>
        <v>2040.5</v>
      </c>
      <c r="U199" s="2">
        <f t="shared" si="30"/>
        <v>0</v>
      </c>
    </row>
    <row r="200" spans="1:21">
      <c r="A200" s="55">
        <v>197</v>
      </c>
      <c r="B200" s="55" t="s">
        <v>521</v>
      </c>
      <c r="C200" s="55" t="s">
        <v>544</v>
      </c>
      <c r="D200" s="55" t="s">
        <v>545</v>
      </c>
      <c r="E200" s="75" t="s">
        <v>593</v>
      </c>
      <c r="F200" s="55" t="s">
        <v>628</v>
      </c>
      <c r="G200" s="55">
        <v>917405020</v>
      </c>
      <c r="H200" s="55" t="s">
        <v>629</v>
      </c>
      <c r="I200" s="55">
        <v>106.3</v>
      </c>
      <c r="J200" s="111">
        <v>403</v>
      </c>
      <c r="K200" s="111">
        <v>447</v>
      </c>
      <c r="L200" s="111">
        <v>430</v>
      </c>
      <c r="M200" s="111">
        <v>430</v>
      </c>
      <c r="N200" s="111">
        <v>430</v>
      </c>
      <c r="O200" s="111">
        <v>0</v>
      </c>
      <c r="P200" s="2">
        <f t="shared" si="25"/>
        <v>42838.9</v>
      </c>
      <c r="Q200" s="2">
        <f t="shared" si="26"/>
        <v>47516.1</v>
      </c>
      <c r="R200" s="2">
        <f t="shared" si="27"/>
        <v>45709</v>
      </c>
      <c r="S200" s="2">
        <f t="shared" si="28"/>
        <v>45709</v>
      </c>
      <c r="T200" s="2">
        <f t="shared" si="29"/>
        <v>45709</v>
      </c>
      <c r="U200" s="2">
        <f t="shared" si="30"/>
        <v>0</v>
      </c>
    </row>
    <row r="201" spans="1:21">
      <c r="A201" s="55">
        <v>198</v>
      </c>
      <c r="B201" s="55" t="s">
        <v>521</v>
      </c>
      <c r="C201" s="55" t="s">
        <v>544</v>
      </c>
      <c r="D201" s="55" t="s">
        <v>545</v>
      </c>
      <c r="E201" s="75" t="s">
        <v>593</v>
      </c>
      <c r="F201" s="55" t="s">
        <v>630</v>
      </c>
      <c r="G201" s="55">
        <v>917405019</v>
      </c>
      <c r="H201" s="55" t="s">
        <v>631</v>
      </c>
      <c r="I201" s="55">
        <v>106.3</v>
      </c>
      <c r="J201" s="111">
        <v>408</v>
      </c>
      <c r="K201" s="111">
        <v>447</v>
      </c>
      <c r="L201" s="111">
        <v>430</v>
      </c>
      <c r="M201" s="111">
        <v>430</v>
      </c>
      <c r="N201" s="111">
        <v>430</v>
      </c>
      <c r="O201" s="111">
        <v>0</v>
      </c>
      <c r="P201" s="2">
        <f t="shared" si="25"/>
        <v>43370.400000000001</v>
      </c>
      <c r="Q201" s="2">
        <f t="shared" si="26"/>
        <v>47516.1</v>
      </c>
      <c r="R201" s="2">
        <f t="shared" si="27"/>
        <v>45709</v>
      </c>
      <c r="S201" s="2">
        <f t="shared" si="28"/>
        <v>45709</v>
      </c>
      <c r="T201" s="2">
        <f t="shared" si="29"/>
        <v>45709</v>
      </c>
      <c r="U201" s="2">
        <f t="shared" si="30"/>
        <v>0</v>
      </c>
    </row>
    <row r="202" spans="1:21">
      <c r="A202" s="55">
        <v>199</v>
      </c>
      <c r="B202" s="55" t="s">
        <v>521</v>
      </c>
      <c r="C202" s="55" t="s">
        <v>544</v>
      </c>
      <c r="D202" s="55" t="s">
        <v>545</v>
      </c>
      <c r="E202" s="75" t="s">
        <v>593</v>
      </c>
      <c r="F202" s="55" t="s">
        <v>632</v>
      </c>
      <c r="G202" s="55">
        <v>917405022</v>
      </c>
      <c r="H202" s="55" t="s">
        <v>633</v>
      </c>
      <c r="I202" s="55">
        <v>109.07</v>
      </c>
      <c r="J202" s="111">
        <v>354</v>
      </c>
      <c r="K202" s="111">
        <v>447</v>
      </c>
      <c r="L202" s="111">
        <v>430</v>
      </c>
      <c r="M202" s="111">
        <v>430</v>
      </c>
      <c r="N202" s="111">
        <v>430</v>
      </c>
      <c r="O202" s="111">
        <v>0</v>
      </c>
      <c r="P202" s="2">
        <f t="shared" si="25"/>
        <v>38610.78</v>
      </c>
      <c r="Q202" s="2">
        <f t="shared" si="26"/>
        <v>48754.289999999994</v>
      </c>
      <c r="R202" s="2">
        <f t="shared" si="27"/>
        <v>46900.1</v>
      </c>
      <c r="S202" s="2">
        <f t="shared" si="28"/>
        <v>46900.1</v>
      </c>
      <c r="T202" s="2">
        <f t="shared" si="29"/>
        <v>46900.1</v>
      </c>
      <c r="U202" s="2">
        <f t="shared" si="30"/>
        <v>0</v>
      </c>
    </row>
    <row r="203" spans="1:21">
      <c r="A203" s="55">
        <v>200</v>
      </c>
      <c r="B203" s="55" t="s">
        <v>521</v>
      </c>
      <c r="C203" s="55" t="s">
        <v>544</v>
      </c>
      <c r="D203" s="55" t="s">
        <v>545</v>
      </c>
      <c r="E203" s="75" t="s">
        <v>593</v>
      </c>
      <c r="F203" s="55" t="s">
        <v>634</v>
      </c>
      <c r="G203" s="55">
        <v>917405021</v>
      </c>
      <c r="H203" s="55" t="s">
        <v>635</v>
      </c>
      <c r="I203" s="55">
        <v>109.07</v>
      </c>
      <c r="J203" s="111">
        <v>392</v>
      </c>
      <c r="K203" s="111">
        <v>447</v>
      </c>
      <c r="L203" s="111">
        <v>430</v>
      </c>
      <c r="M203" s="111">
        <v>430</v>
      </c>
      <c r="N203" s="111">
        <v>430</v>
      </c>
      <c r="O203" s="111">
        <v>0</v>
      </c>
      <c r="P203" s="2">
        <f t="shared" si="25"/>
        <v>42755.439999999995</v>
      </c>
      <c r="Q203" s="2">
        <f t="shared" si="26"/>
        <v>48754.289999999994</v>
      </c>
      <c r="R203" s="2">
        <f t="shared" si="27"/>
        <v>46900.1</v>
      </c>
      <c r="S203" s="2">
        <f t="shared" si="28"/>
        <v>46900.1</v>
      </c>
      <c r="T203" s="2">
        <f t="shared" si="29"/>
        <v>46900.1</v>
      </c>
      <c r="U203" s="2">
        <f t="shared" si="30"/>
        <v>0</v>
      </c>
    </row>
    <row r="204" spans="1:21">
      <c r="A204" s="55">
        <v>201</v>
      </c>
      <c r="B204" s="55" t="s">
        <v>521</v>
      </c>
      <c r="C204" s="55" t="s">
        <v>544</v>
      </c>
      <c r="D204" s="55" t="s">
        <v>545</v>
      </c>
      <c r="E204" s="75" t="s">
        <v>593</v>
      </c>
      <c r="F204" s="55" t="s">
        <v>636</v>
      </c>
      <c r="G204" s="55">
        <v>918605002</v>
      </c>
      <c r="H204" s="55" t="s">
        <v>637</v>
      </c>
      <c r="I204" s="55">
        <v>79.67</v>
      </c>
      <c r="J204" s="111">
        <v>510</v>
      </c>
      <c r="K204" s="111">
        <v>500</v>
      </c>
      <c r="L204" s="111">
        <v>500</v>
      </c>
      <c r="M204" s="111">
        <v>500</v>
      </c>
      <c r="N204" s="111">
        <v>500</v>
      </c>
      <c r="O204" s="111">
        <v>0</v>
      </c>
      <c r="P204" s="2">
        <f t="shared" si="25"/>
        <v>40631.700000000004</v>
      </c>
      <c r="Q204" s="2">
        <f t="shared" si="26"/>
        <v>39835</v>
      </c>
      <c r="R204" s="2">
        <f t="shared" si="27"/>
        <v>39835</v>
      </c>
      <c r="S204" s="2">
        <f t="shared" si="28"/>
        <v>39835</v>
      </c>
      <c r="T204" s="2">
        <f t="shared" si="29"/>
        <v>39835</v>
      </c>
      <c r="U204" s="2">
        <f t="shared" si="30"/>
        <v>0</v>
      </c>
    </row>
    <row r="205" spans="1:21">
      <c r="A205" s="55">
        <v>202</v>
      </c>
      <c r="B205" s="55" t="s">
        <v>521</v>
      </c>
      <c r="C205" s="55" t="s">
        <v>544</v>
      </c>
      <c r="D205" s="55" t="s">
        <v>545</v>
      </c>
      <c r="E205" s="75" t="s">
        <v>593</v>
      </c>
      <c r="F205" s="55" t="s">
        <v>638</v>
      </c>
      <c r="G205" s="55">
        <v>918605001</v>
      </c>
      <c r="H205" s="55" t="s">
        <v>639</v>
      </c>
      <c r="I205" s="55">
        <v>79.67</v>
      </c>
      <c r="J205" s="111">
        <v>399</v>
      </c>
      <c r="K205" s="111">
        <v>500</v>
      </c>
      <c r="L205" s="111">
        <v>500</v>
      </c>
      <c r="M205" s="111">
        <v>500</v>
      </c>
      <c r="N205" s="111">
        <v>500</v>
      </c>
      <c r="O205" s="111">
        <v>0</v>
      </c>
      <c r="P205" s="2">
        <f t="shared" si="25"/>
        <v>31788.33</v>
      </c>
      <c r="Q205" s="2">
        <f t="shared" si="26"/>
        <v>39835</v>
      </c>
      <c r="R205" s="2">
        <f t="shared" si="27"/>
        <v>39835</v>
      </c>
      <c r="S205" s="2">
        <f t="shared" si="28"/>
        <v>39835</v>
      </c>
      <c r="T205" s="2">
        <f t="shared" si="29"/>
        <v>39835</v>
      </c>
      <c r="U205" s="2">
        <f t="shared" si="30"/>
        <v>0</v>
      </c>
    </row>
    <row r="206" spans="1:21">
      <c r="A206" s="55">
        <v>203</v>
      </c>
      <c r="B206" s="55" t="s">
        <v>521</v>
      </c>
      <c r="C206" s="55" t="s">
        <v>544</v>
      </c>
      <c r="D206" s="55" t="s">
        <v>545</v>
      </c>
      <c r="E206" s="75" t="s">
        <v>593</v>
      </c>
      <c r="F206" s="55" t="s">
        <v>640</v>
      </c>
      <c r="G206" s="55">
        <v>918605004</v>
      </c>
      <c r="H206" s="55" t="s">
        <v>641</v>
      </c>
      <c r="I206" s="55">
        <v>78.430000000000007</v>
      </c>
      <c r="J206" s="111">
        <v>281</v>
      </c>
      <c r="K206" s="111">
        <v>500</v>
      </c>
      <c r="L206" s="111">
        <v>500</v>
      </c>
      <c r="M206" s="111">
        <v>500</v>
      </c>
      <c r="N206" s="111">
        <v>500</v>
      </c>
      <c r="O206" s="111">
        <v>0</v>
      </c>
      <c r="P206" s="2">
        <f t="shared" si="25"/>
        <v>22038.83</v>
      </c>
      <c r="Q206" s="2">
        <f t="shared" si="26"/>
        <v>39215</v>
      </c>
      <c r="R206" s="2">
        <f t="shared" si="27"/>
        <v>39215</v>
      </c>
      <c r="S206" s="2">
        <f t="shared" si="28"/>
        <v>39215</v>
      </c>
      <c r="T206" s="2">
        <f t="shared" si="29"/>
        <v>39215</v>
      </c>
      <c r="U206" s="2">
        <f t="shared" si="30"/>
        <v>0</v>
      </c>
    </row>
    <row r="207" spans="1:21">
      <c r="A207" s="55">
        <v>204</v>
      </c>
      <c r="B207" s="55" t="s">
        <v>521</v>
      </c>
      <c r="C207" s="55" t="s">
        <v>544</v>
      </c>
      <c r="D207" s="55" t="s">
        <v>545</v>
      </c>
      <c r="E207" s="75" t="s">
        <v>593</v>
      </c>
      <c r="F207" s="55" t="s">
        <v>642</v>
      </c>
      <c r="G207" s="55">
        <v>918605003</v>
      </c>
      <c r="H207" s="55" t="s">
        <v>643</v>
      </c>
      <c r="I207" s="55">
        <v>78.430000000000007</v>
      </c>
      <c r="J207" s="111">
        <v>480</v>
      </c>
      <c r="K207" s="111">
        <v>500</v>
      </c>
      <c r="L207" s="111">
        <v>500</v>
      </c>
      <c r="M207" s="111">
        <v>500</v>
      </c>
      <c r="N207" s="111">
        <v>500</v>
      </c>
      <c r="O207" s="111">
        <v>0</v>
      </c>
      <c r="P207" s="2">
        <f t="shared" si="25"/>
        <v>37646.400000000001</v>
      </c>
      <c r="Q207" s="2">
        <f t="shared" si="26"/>
        <v>39215</v>
      </c>
      <c r="R207" s="2">
        <f t="shared" si="27"/>
        <v>39215</v>
      </c>
      <c r="S207" s="2">
        <f t="shared" si="28"/>
        <v>39215</v>
      </c>
      <c r="T207" s="2">
        <f t="shared" si="29"/>
        <v>39215</v>
      </c>
      <c r="U207" s="2">
        <f t="shared" si="30"/>
        <v>0</v>
      </c>
    </row>
    <row r="208" spans="1:21">
      <c r="A208" s="55">
        <v>205</v>
      </c>
      <c r="B208" s="55" t="s">
        <v>521</v>
      </c>
      <c r="C208" s="55" t="s">
        <v>544</v>
      </c>
      <c r="D208" s="55" t="s">
        <v>545</v>
      </c>
      <c r="E208" s="75" t="s">
        <v>593</v>
      </c>
      <c r="F208" s="55" t="s">
        <v>644</v>
      </c>
      <c r="G208" s="55">
        <v>917403001</v>
      </c>
      <c r="H208" s="55" t="s">
        <v>645</v>
      </c>
      <c r="I208" s="55">
        <v>75.64</v>
      </c>
      <c r="J208" s="111">
        <v>400</v>
      </c>
      <c r="K208" s="111">
        <v>500</v>
      </c>
      <c r="L208" s="111">
        <v>500</v>
      </c>
      <c r="M208" s="111">
        <v>500</v>
      </c>
      <c r="N208" s="111">
        <v>500</v>
      </c>
      <c r="O208" s="111">
        <v>0</v>
      </c>
      <c r="P208" s="2">
        <f t="shared" si="25"/>
        <v>30256</v>
      </c>
      <c r="Q208" s="2">
        <f t="shared" si="26"/>
        <v>37820</v>
      </c>
      <c r="R208" s="2">
        <f t="shared" si="27"/>
        <v>37820</v>
      </c>
      <c r="S208" s="2">
        <f t="shared" si="28"/>
        <v>37820</v>
      </c>
      <c r="T208" s="2">
        <f t="shared" si="29"/>
        <v>37820</v>
      </c>
      <c r="U208" s="2">
        <f t="shared" si="30"/>
        <v>0</v>
      </c>
    </row>
    <row r="209" spans="1:21">
      <c r="A209" s="55">
        <v>206</v>
      </c>
      <c r="B209" s="55" t="s">
        <v>521</v>
      </c>
      <c r="C209" s="55" t="s">
        <v>544</v>
      </c>
      <c r="D209" s="55" t="s">
        <v>545</v>
      </c>
      <c r="E209" s="75" t="s">
        <v>593</v>
      </c>
      <c r="F209" s="55" t="s">
        <v>646</v>
      </c>
      <c r="G209" s="55">
        <v>917405001</v>
      </c>
      <c r="H209" s="55" t="s">
        <v>647</v>
      </c>
      <c r="I209" s="55">
        <v>249.27</v>
      </c>
      <c r="J209" s="111">
        <v>218</v>
      </c>
      <c r="K209" s="111">
        <v>53</v>
      </c>
      <c r="L209" s="111">
        <v>70</v>
      </c>
      <c r="M209" s="111">
        <v>70</v>
      </c>
      <c r="N209" s="111">
        <v>70</v>
      </c>
      <c r="O209" s="111">
        <v>0</v>
      </c>
      <c r="P209" s="2">
        <f t="shared" si="25"/>
        <v>54340.86</v>
      </c>
      <c r="Q209" s="2">
        <f t="shared" si="26"/>
        <v>13211.310000000001</v>
      </c>
      <c r="R209" s="2">
        <f t="shared" si="27"/>
        <v>17448.900000000001</v>
      </c>
      <c r="S209" s="2">
        <f t="shared" si="28"/>
        <v>17448.900000000001</v>
      </c>
      <c r="T209" s="2">
        <f t="shared" si="29"/>
        <v>17448.900000000001</v>
      </c>
      <c r="U209" s="2">
        <f t="shared" si="30"/>
        <v>0</v>
      </c>
    </row>
    <row r="210" spans="1:21">
      <c r="A210" s="55">
        <v>207</v>
      </c>
      <c r="B210" s="55" t="s">
        <v>521</v>
      </c>
      <c r="C210" s="55" t="s">
        <v>544</v>
      </c>
      <c r="D210" s="55" t="s">
        <v>545</v>
      </c>
      <c r="E210" s="75" t="s">
        <v>593</v>
      </c>
      <c r="F210" s="55" t="s">
        <v>648</v>
      </c>
      <c r="G210" s="55">
        <v>917405002</v>
      </c>
      <c r="H210" s="55" t="s">
        <v>649</v>
      </c>
      <c r="I210" s="55">
        <v>249.27</v>
      </c>
      <c r="J210" s="111">
        <v>113</v>
      </c>
      <c r="K210" s="111">
        <v>53</v>
      </c>
      <c r="L210" s="111">
        <v>70</v>
      </c>
      <c r="M210" s="111">
        <v>70</v>
      </c>
      <c r="N210" s="111">
        <v>70</v>
      </c>
      <c r="O210" s="111">
        <v>0</v>
      </c>
      <c r="P210" s="2">
        <f t="shared" si="25"/>
        <v>28167.510000000002</v>
      </c>
      <c r="Q210" s="2">
        <f t="shared" si="26"/>
        <v>13211.310000000001</v>
      </c>
      <c r="R210" s="2">
        <f t="shared" si="27"/>
        <v>17448.900000000001</v>
      </c>
      <c r="S210" s="2">
        <f t="shared" si="28"/>
        <v>17448.900000000001</v>
      </c>
      <c r="T210" s="2">
        <f t="shared" si="29"/>
        <v>17448.900000000001</v>
      </c>
      <c r="U210" s="2">
        <f t="shared" si="30"/>
        <v>0</v>
      </c>
    </row>
    <row r="211" spans="1:21">
      <c r="A211" s="55">
        <v>208</v>
      </c>
      <c r="B211" s="55" t="s">
        <v>521</v>
      </c>
      <c r="C211" s="55" t="s">
        <v>544</v>
      </c>
      <c r="D211" s="55" t="s">
        <v>545</v>
      </c>
      <c r="E211" s="75" t="s">
        <v>593</v>
      </c>
      <c r="F211" s="55" t="s">
        <v>650</v>
      </c>
      <c r="G211" s="55">
        <v>917405003</v>
      </c>
      <c r="H211" s="55" t="s">
        <v>651</v>
      </c>
      <c r="I211" s="55">
        <v>253.34</v>
      </c>
      <c r="J211" s="111">
        <v>151</v>
      </c>
      <c r="K211" s="111">
        <v>53</v>
      </c>
      <c r="L211" s="111">
        <v>70</v>
      </c>
      <c r="M211" s="111">
        <v>70</v>
      </c>
      <c r="N211" s="111">
        <v>70</v>
      </c>
      <c r="O211" s="111">
        <v>0</v>
      </c>
      <c r="P211" s="2">
        <f t="shared" si="25"/>
        <v>38254.340000000004</v>
      </c>
      <c r="Q211" s="2">
        <f t="shared" si="26"/>
        <v>13427.02</v>
      </c>
      <c r="R211" s="2">
        <f t="shared" si="27"/>
        <v>17733.8</v>
      </c>
      <c r="S211" s="2">
        <f t="shared" si="28"/>
        <v>17733.8</v>
      </c>
      <c r="T211" s="2">
        <f t="shared" si="29"/>
        <v>17733.8</v>
      </c>
      <c r="U211" s="2">
        <f t="shared" si="30"/>
        <v>0</v>
      </c>
    </row>
    <row r="212" spans="1:21">
      <c r="A212" s="55">
        <v>209</v>
      </c>
      <c r="B212" s="55" t="s">
        <v>521</v>
      </c>
      <c r="C212" s="55" t="s">
        <v>544</v>
      </c>
      <c r="D212" s="55" t="s">
        <v>545</v>
      </c>
      <c r="E212" s="75" t="s">
        <v>593</v>
      </c>
      <c r="F212" s="55" t="s">
        <v>652</v>
      </c>
      <c r="G212" s="55">
        <v>917405004</v>
      </c>
      <c r="H212" s="55" t="s">
        <v>653</v>
      </c>
      <c r="I212" s="55">
        <v>253.34</v>
      </c>
      <c r="J212" s="111">
        <v>168</v>
      </c>
      <c r="K212" s="111">
        <v>53</v>
      </c>
      <c r="L212" s="111">
        <v>70</v>
      </c>
      <c r="M212" s="111">
        <v>70</v>
      </c>
      <c r="N212" s="111">
        <v>70</v>
      </c>
      <c r="O212" s="111">
        <v>0</v>
      </c>
      <c r="P212" s="2">
        <f t="shared" si="25"/>
        <v>42561.120000000003</v>
      </c>
      <c r="Q212" s="2">
        <f t="shared" si="26"/>
        <v>13427.02</v>
      </c>
      <c r="R212" s="2">
        <f t="shared" si="27"/>
        <v>17733.8</v>
      </c>
      <c r="S212" s="2">
        <f t="shared" si="28"/>
        <v>17733.8</v>
      </c>
      <c r="T212" s="2">
        <f t="shared" si="29"/>
        <v>17733.8</v>
      </c>
      <c r="U212" s="2">
        <f t="shared" si="30"/>
        <v>0</v>
      </c>
    </row>
    <row r="213" spans="1:21">
      <c r="A213" s="55">
        <v>210</v>
      </c>
      <c r="B213" s="55" t="s">
        <v>521</v>
      </c>
      <c r="C213" s="55" t="s">
        <v>544</v>
      </c>
      <c r="D213" s="55" t="s">
        <v>545</v>
      </c>
      <c r="E213" s="75" t="s">
        <v>593</v>
      </c>
      <c r="F213" s="55" t="s">
        <v>654</v>
      </c>
      <c r="G213" s="55">
        <v>917405006</v>
      </c>
      <c r="H213" s="55" t="s">
        <v>655</v>
      </c>
      <c r="I213" s="55">
        <v>85.78</v>
      </c>
      <c r="J213" s="111">
        <v>218</v>
      </c>
      <c r="K213" s="111">
        <v>53</v>
      </c>
      <c r="L213" s="111">
        <v>70</v>
      </c>
      <c r="M213" s="111">
        <v>70</v>
      </c>
      <c r="N213" s="111">
        <v>70</v>
      </c>
      <c r="O213" s="111">
        <v>0</v>
      </c>
      <c r="P213" s="2">
        <f t="shared" si="25"/>
        <v>18700.04</v>
      </c>
      <c r="Q213" s="2">
        <f t="shared" si="26"/>
        <v>4546.34</v>
      </c>
      <c r="R213" s="2">
        <f t="shared" si="27"/>
        <v>6004.6</v>
      </c>
      <c r="S213" s="2">
        <f t="shared" si="28"/>
        <v>6004.6</v>
      </c>
      <c r="T213" s="2">
        <f t="shared" si="29"/>
        <v>6004.6</v>
      </c>
      <c r="U213" s="2">
        <f t="shared" si="30"/>
        <v>0</v>
      </c>
    </row>
    <row r="214" spans="1:21">
      <c r="A214" s="55">
        <v>211</v>
      </c>
      <c r="B214" s="55" t="s">
        <v>521</v>
      </c>
      <c r="C214" s="55" t="s">
        <v>544</v>
      </c>
      <c r="D214" s="55" t="s">
        <v>545</v>
      </c>
      <c r="E214" s="75" t="s">
        <v>593</v>
      </c>
      <c r="F214" s="55" t="s">
        <v>656</v>
      </c>
      <c r="G214" s="55">
        <v>917405005</v>
      </c>
      <c r="H214" s="55" t="s">
        <v>657</v>
      </c>
      <c r="I214" s="55">
        <v>85.78</v>
      </c>
      <c r="J214" s="111">
        <v>113</v>
      </c>
      <c r="K214" s="111">
        <v>53</v>
      </c>
      <c r="L214" s="111">
        <v>70</v>
      </c>
      <c r="M214" s="111">
        <v>70</v>
      </c>
      <c r="N214" s="111">
        <v>70</v>
      </c>
      <c r="O214" s="111">
        <v>0</v>
      </c>
      <c r="P214" s="2">
        <f t="shared" si="25"/>
        <v>9693.14</v>
      </c>
      <c r="Q214" s="2">
        <f t="shared" si="26"/>
        <v>4546.34</v>
      </c>
      <c r="R214" s="2">
        <f t="shared" si="27"/>
        <v>6004.6</v>
      </c>
      <c r="S214" s="2">
        <f t="shared" si="28"/>
        <v>6004.6</v>
      </c>
      <c r="T214" s="2">
        <f t="shared" si="29"/>
        <v>6004.6</v>
      </c>
      <c r="U214" s="2">
        <f t="shared" si="30"/>
        <v>0</v>
      </c>
    </row>
    <row r="215" spans="1:21">
      <c r="A215" s="55">
        <v>212</v>
      </c>
      <c r="B215" s="55" t="s">
        <v>521</v>
      </c>
      <c r="C215" s="55" t="s">
        <v>544</v>
      </c>
      <c r="D215" s="55" t="s">
        <v>545</v>
      </c>
      <c r="E215" s="75" t="s">
        <v>593</v>
      </c>
      <c r="F215" s="55" t="s">
        <v>658</v>
      </c>
      <c r="G215" s="55">
        <v>917405007</v>
      </c>
      <c r="H215" s="55" t="s">
        <v>659</v>
      </c>
      <c r="I215" s="55">
        <v>155.82</v>
      </c>
      <c r="J215" s="111">
        <v>151</v>
      </c>
      <c r="K215" s="111">
        <v>53</v>
      </c>
      <c r="L215" s="111">
        <v>70</v>
      </c>
      <c r="M215" s="111">
        <v>70</v>
      </c>
      <c r="N215" s="111">
        <v>70</v>
      </c>
      <c r="O215" s="111">
        <v>0</v>
      </c>
      <c r="P215" s="2">
        <f t="shared" si="25"/>
        <v>23528.82</v>
      </c>
      <c r="Q215" s="2">
        <f t="shared" si="26"/>
        <v>8258.4599999999991</v>
      </c>
      <c r="R215" s="2">
        <f t="shared" si="27"/>
        <v>10907.4</v>
      </c>
      <c r="S215" s="2">
        <f t="shared" si="28"/>
        <v>10907.4</v>
      </c>
      <c r="T215" s="2">
        <f t="shared" si="29"/>
        <v>10907.4</v>
      </c>
      <c r="U215" s="2">
        <f t="shared" si="30"/>
        <v>0</v>
      </c>
    </row>
    <row r="216" spans="1:21">
      <c r="A216" s="55">
        <v>213</v>
      </c>
      <c r="B216" s="55" t="s">
        <v>521</v>
      </c>
      <c r="C216" s="55" t="s">
        <v>544</v>
      </c>
      <c r="D216" s="55" t="s">
        <v>545</v>
      </c>
      <c r="E216" s="75" t="s">
        <v>593</v>
      </c>
      <c r="F216" s="55" t="s">
        <v>660</v>
      </c>
      <c r="G216" s="55">
        <v>917405008</v>
      </c>
      <c r="H216" s="55" t="s">
        <v>661</v>
      </c>
      <c r="I216" s="55">
        <v>155.82</v>
      </c>
      <c r="J216" s="111">
        <v>168</v>
      </c>
      <c r="K216" s="111">
        <v>53</v>
      </c>
      <c r="L216" s="111">
        <v>70</v>
      </c>
      <c r="M216" s="111">
        <v>70</v>
      </c>
      <c r="N216" s="111">
        <v>70</v>
      </c>
      <c r="O216" s="111">
        <v>0</v>
      </c>
      <c r="P216" s="2">
        <f t="shared" si="25"/>
        <v>26177.759999999998</v>
      </c>
      <c r="Q216" s="2">
        <f t="shared" si="26"/>
        <v>8258.4599999999991</v>
      </c>
      <c r="R216" s="2">
        <f t="shared" si="27"/>
        <v>10907.4</v>
      </c>
      <c r="S216" s="2">
        <f t="shared" si="28"/>
        <v>10907.4</v>
      </c>
      <c r="T216" s="2">
        <f t="shared" si="29"/>
        <v>10907.4</v>
      </c>
      <c r="U216" s="2">
        <f t="shared" si="30"/>
        <v>0</v>
      </c>
    </row>
    <row r="217" spans="1:21">
      <c r="A217" s="55">
        <v>214</v>
      </c>
      <c r="B217" s="55" t="s">
        <v>521</v>
      </c>
      <c r="C217" s="55" t="s">
        <v>544</v>
      </c>
      <c r="D217" s="55" t="s">
        <v>545</v>
      </c>
      <c r="E217" s="75" t="s">
        <v>593</v>
      </c>
      <c r="F217" s="55" t="s">
        <v>662</v>
      </c>
      <c r="G217" s="55">
        <v>917405011</v>
      </c>
      <c r="H217" s="55" t="s">
        <v>663</v>
      </c>
      <c r="I217" s="55">
        <v>28.91</v>
      </c>
      <c r="J217" s="111">
        <v>979</v>
      </c>
      <c r="K217" s="111">
        <v>447</v>
      </c>
      <c r="L217" s="111">
        <v>430</v>
      </c>
      <c r="M217" s="111">
        <v>430</v>
      </c>
      <c r="N217" s="111">
        <v>430</v>
      </c>
      <c r="O217" s="111">
        <v>0</v>
      </c>
      <c r="P217" s="2">
        <f t="shared" si="25"/>
        <v>28302.89</v>
      </c>
      <c r="Q217" s="2">
        <f t="shared" si="26"/>
        <v>12922.77</v>
      </c>
      <c r="R217" s="2">
        <f t="shared" si="27"/>
        <v>12431.3</v>
      </c>
      <c r="S217" s="2">
        <f t="shared" si="28"/>
        <v>12431.3</v>
      </c>
      <c r="T217" s="2">
        <f t="shared" si="29"/>
        <v>12431.3</v>
      </c>
      <c r="U217" s="2">
        <f t="shared" si="30"/>
        <v>0</v>
      </c>
    </row>
    <row r="218" spans="1:21">
      <c r="A218" s="55">
        <v>215</v>
      </c>
      <c r="B218" s="55" t="s">
        <v>521</v>
      </c>
      <c r="C218" s="55" t="s">
        <v>544</v>
      </c>
      <c r="D218" s="55" t="s">
        <v>545</v>
      </c>
      <c r="E218" s="75" t="s">
        <v>593</v>
      </c>
      <c r="F218" s="55" t="s">
        <v>664</v>
      </c>
      <c r="G218" s="55">
        <v>917405012</v>
      </c>
      <c r="H218" s="55" t="s">
        <v>665</v>
      </c>
      <c r="I218" s="55">
        <v>28.91</v>
      </c>
      <c r="J218" s="111">
        <v>987</v>
      </c>
      <c r="K218" s="111">
        <v>447</v>
      </c>
      <c r="L218" s="111">
        <v>430</v>
      </c>
      <c r="M218" s="111">
        <v>430</v>
      </c>
      <c r="N218" s="111">
        <v>430</v>
      </c>
      <c r="O218" s="111">
        <v>0</v>
      </c>
      <c r="P218" s="2">
        <f t="shared" si="25"/>
        <v>28534.170000000002</v>
      </c>
      <c r="Q218" s="2">
        <f t="shared" si="26"/>
        <v>12922.77</v>
      </c>
      <c r="R218" s="2">
        <f t="shared" si="27"/>
        <v>12431.3</v>
      </c>
      <c r="S218" s="2">
        <f t="shared" si="28"/>
        <v>12431.3</v>
      </c>
      <c r="T218" s="2">
        <f t="shared" si="29"/>
        <v>12431.3</v>
      </c>
      <c r="U218" s="2">
        <f t="shared" si="30"/>
        <v>0</v>
      </c>
    </row>
    <row r="219" spans="1:21">
      <c r="A219" s="55">
        <v>216</v>
      </c>
      <c r="B219" s="55" t="s">
        <v>521</v>
      </c>
      <c r="C219" s="55" t="s">
        <v>544</v>
      </c>
      <c r="D219" s="55" t="s">
        <v>545</v>
      </c>
      <c r="E219" s="75" t="s">
        <v>593</v>
      </c>
      <c r="F219" s="55" t="s">
        <v>666</v>
      </c>
      <c r="G219" s="55">
        <v>917405010</v>
      </c>
      <c r="H219" s="55" t="s">
        <v>667</v>
      </c>
      <c r="I219" s="55">
        <v>59.31</v>
      </c>
      <c r="J219" s="111">
        <v>511</v>
      </c>
      <c r="K219" s="111">
        <v>447</v>
      </c>
      <c r="L219" s="111">
        <v>430</v>
      </c>
      <c r="M219" s="111">
        <v>430</v>
      </c>
      <c r="N219" s="111">
        <v>430</v>
      </c>
      <c r="O219" s="111">
        <v>0</v>
      </c>
      <c r="P219" s="2">
        <f t="shared" si="25"/>
        <v>30307.41</v>
      </c>
      <c r="Q219" s="2">
        <f t="shared" si="26"/>
        <v>26511.57</v>
      </c>
      <c r="R219" s="2">
        <f t="shared" si="27"/>
        <v>25503.3</v>
      </c>
      <c r="S219" s="2">
        <f t="shared" si="28"/>
        <v>25503.3</v>
      </c>
      <c r="T219" s="2">
        <f t="shared" si="29"/>
        <v>25503.3</v>
      </c>
      <c r="U219" s="2">
        <f t="shared" si="30"/>
        <v>0</v>
      </c>
    </row>
    <row r="220" spans="1:21">
      <c r="A220" s="55">
        <v>217</v>
      </c>
      <c r="B220" s="55" t="s">
        <v>521</v>
      </c>
      <c r="C220" s="55" t="s">
        <v>544</v>
      </c>
      <c r="D220" s="55" t="s">
        <v>545</v>
      </c>
      <c r="E220" s="75" t="s">
        <v>593</v>
      </c>
      <c r="F220" s="55" t="s">
        <v>668</v>
      </c>
      <c r="G220" s="55">
        <v>917405009</v>
      </c>
      <c r="H220" s="55" t="s">
        <v>669</v>
      </c>
      <c r="I220" s="55">
        <v>59.31</v>
      </c>
      <c r="J220" s="111">
        <v>353</v>
      </c>
      <c r="K220" s="111">
        <v>447</v>
      </c>
      <c r="L220" s="111">
        <v>430</v>
      </c>
      <c r="M220" s="111">
        <v>430</v>
      </c>
      <c r="N220" s="111">
        <v>430</v>
      </c>
      <c r="O220" s="111">
        <v>0</v>
      </c>
      <c r="P220" s="2">
        <f t="shared" si="25"/>
        <v>20936.43</v>
      </c>
      <c r="Q220" s="2">
        <f t="shared" si="26"/>
        <v>26511.57</v>
      </c>
      <c r="R220" s="2">
        <f t="shared" si="27"/>
        <v>25503.3</v>
      </c>
      <c r="S220" s="2">
        <f t="shared" si="28"/>
        <v>25503.3</v>
      </c>
      <c r="T220" s="2">
        <f t="shared" si="29"/>
        <v>25503.3</v>
      </c>
      <c r="U220" s="2">
        <f t="shared" si="30"/>
        <v>0</v>
      </c>
    </row>
    <row r="221" spans="1:21">
      <c r="A221" s="55">
        <v>218</v>
      </c>
      <c r="B221" s="55" t="s">
        <v>521</v>
      </c>
      <c r="C221" s="55" t="s">
        <v>544</v>
      </c>
      <c r="D221" s="55" t="s">
        <v>545</v>
      </c>
      <c r="E221" s="75" t="s">
        <v>593</v>
      </c>
      <c r="F221" s="55" t="s">
        <v>670</v>
      </c>
      <c r="G221" s="55">
        <v>917408001</v>
      </c>
      <c r="H221" s="55" t="s">
        <v>671</v>
      </c>
      <c r="I221" s="55">
        <v>252.64</v>
      </c>
      <c r="J221" s="111">
        <v>508</v>
      </c>
      <c r="K221" s="111">
        <v>500</v>
      </c>
      <c r="L221" s="111">
        <v>500</v>
      </c>
      <c r="M221" s="111">
        <v>500</v>
      </c>
      <c r="N221" s="111">
        <v>500</v>
      </c>
      <c r="O221" s="111">
        <v>0</v>
      </c>
      <c r="P221" s="2">
        <f t="shared" si="25"/>
        <v>128341.12</v>
      </c>
      <c r="Q221" s="2">
        <f t="shared" si="26"/>
        <v>126320</v>
      </c>
      <c r="R221" s="2">
        <f t="shared" si="27"/>
        <v>126320</v>
      </c>
      <c r="S221" s="2">
        <f t="shared" si="28"/>
        <v>126320</v>
      </c>
      <c r="T221" s="2">
        <f t="shared" si="29"/>
        <v>126320</v>
      </c>
      <c r="U221" s="2">
        <f t="shared" si="30"/>
        <v>0</v>
      </c>
    </row>
    <row r="222" spans="1:21">
      <c r="A222" s="55">
        <v>219</v>
      </c>
      <c r="B222" s="55" t="s">
        <v>521</v>
      </c>
      <c r="C222" s="55" t="s">
        <v>544</v>
      </c>
      <c r="D222" s="55" t="s">
        <v>545</v>
      </c>
      <c r="E222" s="75" t="s">
        <v>593</v>
      </c>
      <c r="F222" s="55" t="s">
        <v>672</v>
      </c>
      <c r="G222" s="55">
        <v>917408002</v>
      </c>
      <c r="H222" s="55" t="s">
        <v>673</v>
      </c>
      <c r="I222" s="55">
        <v>252.64</v>
      </c>
      <c r="J222" s="111">
        <v>399</v>
      </c>
      <c r="K222" s="111">
        <v>500</v>
      </c>
      <c r="L222" s="111">
        <v>500</v>
      </c>
      <c r="M222" s="111">
        <v>500</v>
      </c>
      <c r="N222" s="111">
        <v>500</v>
      </c>
      <c r="O222" s="111">
        <v>0</v>
      </c>
      <c r="P222" s="2">
        <f t="shared" si="25"/>
        <v>100803.36</v>
      </c>
      <c r="Q222" s="2">
        <f t="shared" si="26"/>
        <v>126320</v>
      </c>
      <c r="R222" s="2">
        <f t="shared" si="27"/>
        <v>126320</v>
      </c>
      <c r="S222" s="2">
        <f t="shared" si="28"/>
        <v>126320</v>
      </c>
      <c r="T222" s="2">
        <f t="shared" si="29"/>
        <v>126320</v>
      </c>
      <c r="U222" s="2">
        <f t="shared" si="30"/>
        <v>0</v>
      </c>
    </row>
    <row r="223" spans="1:21">
      <c r="A223" s="55">
        <v>220</v>
      </c>
      <c r="B223" s="55" t="s">
        <v>521</v>
      </c>
      <c r="C223" s="55" t="s">
        <v>544</v>
      </c>
      <c r="D223" s="55" t="s">
        <v>545</v>
      </c>
      <c r="E223" s="75" t="s">
        <v>593</v>
      </c>
      <c r="F223" s="55" t="s">
        <v>674</v>
      </c>
      <c r="G223" s="55">
        <v>917403002</v>
      </c>
      <c r="H223" s="55" t="s">
        <v>675</v>
      </c>
      <c r="I223" s="55">
        <v>35.75</v>
      </c>
      <c r="J223" s="111">
        <v>400</v>
      </c>
      <c r="K223" s="111">
        <v>500</v>
      </c>
      <c r="L223" s="111">
        <v>500</v>
      </c>
      <c r="M223" s="111">
        <v>500</v>
      </c>
      <c r="N223" s="111">
        <v>500</v>
      </c>
      <c r="O223" s="111">
        <v>0</v>
      </c>
      <c r="P223" s="2">
        <f t="shared" si="25"/>
        <v>14300</v>
      </c>
      <c r="Q223" s="2">
        <f t="shared" si="26"/>
        <v>17875</v>
      </c>
      <c r="R223" s="2">
        <f t="shared" si="27"/>
        <v>17875</v>
      </c>
      <c r="S223" s="2">
        <f t="shared" si="28"/>
        <v>17875</v>
      </c>
      <c r="T223" s="2">
        <f t="shared" si="29"/>
        <v>17875</v>
      </c>
      <c r="U223" s="2">
        <f t="shared" si="30"/>
        <v>0</v>
      </c>
    </row>
    <row r="224" spans="1:21">
      <c r="A224" s="55">
        <v>221</v>
      </c>
      <c r="B224" s="55" t="s">
        <v>521</v>
      </c>
      <c r="C224" s="55" t="s">
        <v>544</v>
      </c>
      <c r="D224" s="55" t="s">
        <v>545</v>
      </c>
      <c r="E224" s="75" t="s">
        <v>593</v>
      </c>
      <c r="F224" s="55" t="s">
        <v>676</v>
      </c>
      <c r="G224" s="55">
        <v>918617001</v>
      </c>
      <c r="H224" s="55" t="s">
        <v>677</v>
      </c>
      <c r="I224" s="55">
        <v>41.06</v>
      </c>
      <c r="J224" s="111">
        <v>400</v>
      </c>
      <c r="K224" s="111">
        <v>500</v>
      </c>
      <c r="L224" s="111">
        <v>500</v>
      </c>
      <c r="M224" s="111">
        <v>500</v>
      </c>
      <c r="N224" s="111">
        <v>500</v>
      </c>
      <c r="O224" s="111">
        <v>0</v>
      </c>
      <c r="P224" s="2">
        <f t="shared" si="25"/>
        <v>16424</v>
      </c>
      <c r="Q224" s="2">
        <f t="shared" si="26"/>
        <v>20530</v>
      </c>
      <c r="R224" s="2">
        <f t="shared" si="27"/>
        <v>20530</v>
      </c>
      <c r="S224" s="2">
        <f t="shared" si="28"/>
        <v>20530</v>
      </c>
      <c r="T224" s="2">
        <f t="shared" si="29"/>
        <v>20530</v>
      </c>
      <c r="U224" s="2">
        <f t="shared" si="30"/>
        <v>0</v>
      </c>
    </row>
    <row r="225" spans="1:21">
      <c r="A225" s="55">
        <v>222</v>
      </c>
      <c r="B225" s="55" t="s">
        <v>521</v>
      </c>
      <c r="C225" s="55" t="s">
        <v>544</v>
      </c>
      <c r="D225" s="55" t="s">
        <v>545</v>
      </c>
      <c r="E225" s="75" t="s">
        <v>593</v>
      </c>
      <c r="F225" s="55" t="s">
        <v>678</v>
      </c>
      <c r="G225" s="55">
        <v>917418002</v>
      </c>
      <c r="H225" s="55" t="s">
        <v>679</v>
      </c>
      <c r="I225" s="55">
        <v>77.8</v>
      </c>
      <c r="J225" s="111">
        <v>400</v>
      </c>
      <c r="K225" s="111">
        <v>500</v>
      </c>
      <c r="L225" s="111">
        <v>500</v>
      </c>
      <c r="M225" s="111">
        <v>500</v>
      </c>
      <c r="N225" s="111">
        <v>500</v>
      </c>
      <c r="O225" s="111">
        <v>0</v>
      </c>
      <c r="P225" s="2">
        <f t="shared" si="25"/>
        <v>31120</v>
      </c>
      <c r="Q225" s="2">
        <f t="shared" si="26"/>
        <v>38900</v>
      </c>
      <c r="R225" s="2">
        <f t="shared" si="27"/>
        <v>38900</v>
      </c>
      <c r="S225" s="2">
        <f t="shared" si="28"/>
        <v>38900</v>
      </c>
      <c r="T225" s="2">
        <f t="shared" si="29"/>
        <v>38900</v>
      </c>
      <c r="U225" s="2">
        <f t="shared" si="30"/>
        <v>0</v>
      </c>
    </row>
    <row r="226" spans="1:21">
      <c r="A226" s="55">
        <v>223</v>
      </c>
      <c r="B226" s="55" t="s">
        <v>521</v>
      </c>
      <c r="C226" s="55" t="s">
        <v>544</v>
      </c>
      <c r="D226" s="55" t="s">
        <v>307</v>
      </c>
      <c r="E226" s="75" t="s">
        <v>680</v>
      </c>
      <c r="F226" s="55" t="s">
        <v>681</v>
      </c>
      <c r="G226" s="55">
        <v>917709001</v>
      </c>
      <c r="H226" s="55" t="s">
        <v>682</v>
      </c>
      <c r="I226" s="55">
        <v>643.73</v>
      </c>
      <c r="J226" s="111">
        <v>442</v>
      </c>
      <c r="K226" s="111">
        <v>265</v>
      </c>
      <c r="L226" s="111">
        <v>312</v>
      </c>
      <c r="M226" s="111">
        <v>265</v>
      </c>
      <c r="N226" s="111">
        <v>219</v>
      </c>
      <c r="O226" s="111">
        <v>167</v>
      </c>
      <c r="P226" s="2">
        <f t="shared" si="25"/>
        <v>284528.66000000003</v>
      </c>
      <c r="Q226" s="2">
        <f t="shared" si="26"/>
        <v>170588.45</v>
      </c>
      <c r="R226" s="2">
        <f t="shared" si="27"/>
        <v>200843.76</v>
      </c>
      <c r="S226" s="2">
        <f t="shared" si="28"/>
        <v>170588.45</v>
      </c>
      <c r="T226" s="2">
        <f t="shared" si="29"/>
        <v>140976.87</v>
      </c>
      <c r="U226" s="2">
        <f t="shared" si="30"/>
        <v>107502.91</v>
      </c>
    </row>
    <row r="227" spans="1:21">
      <c r="A227" s="55">
        <v>224</v>
      </c>
      <c r="B227" s="55" t="s">
        <v>521</v>
      </c>
      <c r="C227" s="55" t="s">
        <v>544</v>
      </c>
      <c r="D227" s="55" t="s">
        <v>307</v>
      </c>
      <c r="E227" s="75" t="s">
        <v>680</v>
      </c>
      <c r="F227" s="55" t="s">
        <v>683</v>
      </c>
      <c r="G227" s="55">
        <v>917701002</v>
      </c>
      <c r="H227" s="55" t="s">
        <v>684</v>
      </c>
      <c r="I227" s="55">
        <v>357.31</v>
      </c>
      <c r="J227" s="111">
        <v>1306</v>
      </c>
      <c r="K227" s="111">
        <v>730</v>
      </c>
      <c r="L227" s="111">
        <v>718</v>
      </c>
      <c r="M227" s="111">
        <v>750</v>
      </c>
      <c r="N227" s="111">
        <v>638</v>
      </c>
      <c r="O227" s="111">
        <v>534</v>
      </c>
      <c r="P227" s="2">
        <f t="shared" si="25"/>
        <v>466646.86</v>
      </c>
      <c r="Q227" s="2">
        <f t="shared" si="26"/>
        <v>260836.3</v>
      </c>
      <c r="R227" s="2">
        <f t="shared" si="27"/>
        <v>256548.58</v>
      </c>
      <c r="S227" s="2">
        <f t="shared" si="28"/>
        <v>267982.5</v>
      </c>
      <c r="T227" s="2">
        <f t="shared" si="29"/>
        <v>227963.78</v>
      </c>
      <c r="U227" s="2">
        <f t="shared" si="30"/>
        <v>190803.54</v>
      </c>
    </row>
    <row r="228" spans="1:21">
      <c r="A228" s="55">
        <v>225</v>
      </c>
      <c r="B228" s="55" t="s">
        <v>521</v>
      </c>
      <c r="C228" s="55" t="s">
        <v>544</v>
      </c>
      <c r="D228" s="55" t="s">
        <v>307</v>
      </c>
      <c r="E228" s="75" t="s">
        <v>680</v>
      </c>
      <c r="F228" s="55" t="s">
        <v>685</v>
      </c>
      <c r="G228" s="55">
        <v>917718001</v>
      </c>
      <c r="H228" s="55" t="s">
        <v>686</v>
      </c>
      <c r="I228" s="55">
        <v>208.57</v>
      </c>
      <c r="J228" s="111">
        <v>650</v>
      </c>
      <c r="K228" s="111">
        <v>365</v>
      </c>
      <c r="L228" s="111">
        <v>359</v>
      </c>
      <c r="M228" s="111">
        <v>375</v>
      </c>
      <c r="N228" s="111">
        <v>319</v>
      </c>
      <c r="O228" s="111">
        <v>267</v>
      </c>
      <c r="P228" s="2">
        <f t="shared" si="25"/>
        <v>135570.5</v>
      </c>
      <c r="Q228" s="2">
        <f t="shared" si="26"/>
        <v>76128.05</v>
      </c>
      <c r="R228" s="2">
        <f t="shared" si="27"/>
        <v>74876.63</v>
      </c>
      <c r="S228" s="2">
        <f t="shared" si="28"/>
        <v>78213.75</v>
      </c>
      <c r="T228" s="2">
        <f t="shared" si="29"/>
        <v>66533.83</v>
      </c>
      <c r="U228" s="2">
        <f t="shared" si="30"/>
        <v>55688.189999999995</v>
      </c>
    </row>
    <row r="229" spans="1:21">
      <c r="A229" s="55">
        <v>226</v>
      </c>
      <c r="B229" s="55" t="s">
        <v>521</v>
      </c>
      <c r="C229" s="55" t="s">
        <v>544</v>
      </c>
      <c r="D229" s="55" t="s">
        <v>307</v>
      </c>
      <c r="E229" s="75" t="s">
        <v>680</v>
      </c>
      <c r="F229" s="55" t="s">
        <v>687</v>
      </c>
      <c r="G229" s="55">
        <v>917718002</v>
      </c>
      <c r="H229" s="55" t="s">
        <v>686</v>
      </c>
      <c r="I229" s="55">
        <v>208.57</v>
      </c>
      <c r="J229" s="111">
        <v>640</v>
      </c>
      <c r="K229" s="111">
        <v>365</v>
      </c>
      <c r="L229" s="111">
        <v>359</v>
      </c>
      <c r="M229" s="111">
        <v>375</v>
      </c>
      <c r="N229" s="111">
        <v>319</v>
      </c>
      <c r="O229" s="111">
        <v>267</v>
      </c>
      <c r="P229" s="2">
        <f t="shared" si="25"/>
        <v>133484.79999999999</v>
      </c>
      <c r="Q229" s="2">
        <f t="shared" si="26"/>
        <v>76128.05</v>
      </c>
      <c r="R229" s="2">
        <f t="shared" si="27"/>
        <v>74876.63</v>
      </c>
      <c r="S229" s="2">
        <f t="shared" si="28"/>
        <v>78213.75</v>
      </c>
      <c r="T229" s="2">
        <f t="shared" si="29"/>
        <v>66533.83</v>
      </c>
      <c r="U229" s="2">
        <f t="shared" si="30"/>
        <v>55688.189999999995</v>
      </c>
    </row>
    <row r="230" spans="1:21">
      <c r="A230" s="55">
        <v>227</v>
      </c>
      <c r="B230" s="55" t="s">
        <v>521</v>
      </c>
      <c r="C230" s="55" t="s">
        <v>544</v>
      </c>
      <c r="D230" s="55" t="s">
        <v>307</v>
      </c>
      <c r="E230" s="75" t="s">
        <v>680</v>
      </c>
      <c r="F230" s="55" t="s">
        <v>688</v>
      </c>
      <c r="G230" s="55">
        <v>17709002</v>
      </c>
      <c r="H230" s="55" t="s">
        <v>689</v>
      </c>
      <c r="I230" s="55">
        <v>557.97</v>
      </c>
      <c r="J230" s="111">
        <v>142</v>
      </c>
      <c r="K230" s="111">
        <v>100</v>
      </c>
      <c r="L230" s="111">
        <v>47</v>
      </c>
      <c r="M230" s="111">
        <v>110</v>
      </c>
      <c r="N230" s="111">
        <v>100</v>
      </c>
      <c r="O230" s="111">
        <v>100</v>
      </c>
      <c r="P230" s="2">
        <f t="shared" si="25"/>
        <v>79231.740000000005</v>
      </c>
      <c r="Q230" s="2">
        <f t="shared" si="26"/>
        <v>55797</v>
      </c>
      <c r="R230" s="2">
        <f t="shared" si="27"/>
        <v>26224.59</v>
      </c>
      <c r="S230" s="2">
        <f t="shared" si="28"/>
        <v>61376.700000000004</v>
      </c>
      <c r="T230" s="2">
        <f t="shared" si="29"/>
        <v>55797</v>
      </c>
      <c r="U230" s="2">
        <f t="shared" si="30"/>
        <v>55797</v>
      </c>
    </row>
    <row r="231" spans="1:21">
      <c r="A231" s="55">
        <v>228</v>
      </c>
      <c r="B231" s="55" t="s">
        <v>521</v>
      </c>
      <c r="C231" s="55" t="s">
        <v>544</v>
      </c>
      <c r="D231" s="55" t="s">
        <v>307</v>
      </c>
      <c r="E231" s="75" t="s">
        <v>690</v>
      </c>
      <c r="F231" s="55" t="s">
        <v>691</v>
      </c>
      <c r="G231" s="55">
        <v>914301001</v>
      </c>
      <c r="H231" s="55" t="s">
        <v>692</v>
      </c>
      <c r="I231" s="55">
        <v>341.78</v>
      </c>
      <c r="J231" s="111">
        <v>1799</v>
      </c>
      <c r="K231" s="111">
        <v>1008</v>
      </c>
      <c r="L231" s="111">
        <v>994</v>
      </c>
      <c r="M231" s="111">
        <v>1090</v>
      </c>
      <c r="N231" s="111">
        <v>802</v>
      </c>
      <c r="O231" s="111">
        <v>786</v>
      </c>
      <c r="P231" s="2">
        <f t="shared" si="25"/>
        <v>614862.22</v>
      </c>
      <c r="Q231" s="2">
        <f t="shared" si="26"/>
        <v>344514.24</v>
      </c>
      <c r="R231" s="2">
        <f t="shared" si="27"/>
        <v>339729.31999999995</v>
      </c>
      <c r="S231" s="2">
        <f t="shared" si="28"/>
        <v>372540.19999999995</v>
      </c>
      <c r="T231" s="2">
        <f t="shared" si="29"/>
        <v>274107.56</v>
      </c>
      <c r="U231" s="2">
        <f t="shared" si="30"/>
        <v>268639.07999999996</v>
      </c>
    </row>
    <row r="232" spans="1:21">
      <c r="A232" s="55">
        <v>229</v>
      </c>
      <c r="B232" s="55" t="s">
        <v>521</v>
      </c>
      <c r="C232" s="55" t="s">
        <v>544</v>
      </c>
      <c r="D232" s="55" t="s">
        <v>307</v>
      </c>
      <c r="E232" s="75" t="s">
        <v>690</v>
      </c>
      <c r="F232" s="55" t="s">
        <v>693</v>
      </c>
      <c r="G232" s="55">
        <v>914301003</v>
      </c>
      <c r="H232" s="55" t="s">
        <v>694</v>
      </c>
      <c r="I232" s="55">
        <v>170.92</v>
      </c>
      <c r="J232" s="111">
        <v>881</v>
      </c>
      <c r="K232" s="111">
        <v>504</v>
      </c>
      <c r="L232" s="111">
        <v>497</v>
      </c>
      <c r="M232" s="111">
        <v>545</v>
      </c>
      <c r="N232" s="111">
        <v>401</v>
      </c>
      <c r="O232" s="111">
        <v>393</v>
      </c>
      <c r="P232" s="2">
        <f t="shared" si="25"/>
        <v>150580.51999999999</v>
      </c>
      <c r="Q232" s="2">
        <f t="shared" si="26"/>
        <v>86143.679999999993</v>
      </c>
      <c r="R232" s="2">
        <f t="shared" si="27"/>
        <v>84947.239999999991</v>
      </c>
      <c r="S232" s="2">
        <f t="shared" si="28"/>
        <v>93151.4</v>
      </c>
      <c r="T232" s="2">
        <f t="shared" si="29"/>
        <v>68538.92</v>
      </c>
      <c r="U232" s="2">
        <f t="shared" si="30"/>
        <v>67171.56</v>
      </c>
    </row>
    <row r="233" spans="1:21">
      <c r="A233" s="55">
        <v>230</v>
      </c>
      <c r="B233" s="55" t="s">
        <v>521</v>
      </c>
      <c r="C233" s="55" t="s">
        <v>544</v>
      </c>
      <c r="D233" s="55" t="s">
        <v>307</v>
      </c>
      <c r="E233" s="75" t="s">
        <v>690</v>
      </c>
      <c r="F233" s="55" t="s">
        <v>695</v>
      </c>
      <c r="G233" s="55">
        <v>914301004</v>
      </c>
      <c r="H233" s="55" t="s">
        <v>696</v>
      </c>
      <c r="I233" s="55">
        <v>170.92</v>
      </c>
      <c r="J233" s="111">
        <v>964</v>
      </c>
      <c r="K233" s="111">
        <v>504</v>
      </c>
      <c r="L233" s="111">
        <v>497</v>
      </c>
      <c r="M233" s="111">
        <v>545</v>
      </c>
      <c r="N233" s="111">
        <v>401</v>
      </c>
      <c r="O233" s="111">
        <v>393</v>
      </c>
      <c r="P233" s="2">
        <f t="shared" si="25"/>
        <v>164766.87999999998</v>
      </c>
      <c r="Q233" s="2">
        <f t="shared" si="26"/>
        <v>86143.679999999993</v>
      </c>
      <c r="R233" s="2">
        <f t="shared" si="27"/>
        <v>84947.239999999991</v>
      </c>
      <c r="S233" s="2">
        <f t="shared" si="28"/>
        <v>93151.4</v>
      </c>
      <c r="T233" s="2">
        <f t="shared" si="29"/>
        <v>68538.92</v>
      </c>
      <c r="U233" s="2">
        <f t="shared" si="30"/>
        <v>67171.56</v>
      </c>
    </row>
    <row r="234" spans="1:21">
      <c r="A234" s="55">
        <v>231</v>
      </c>
      <c r="B234" s="55" t="s">
        <v>521</v>
      </c>
      <c r="C234" s="55" t="s">
        <v>544</v>
      </c>
      <c r="D234" s="55" t="s">
        <v>307</v>
      </c>
      <c r="E234" s="75" t="s">
        <v>690</v>
      </c>
      <c r="F234" s="55" t="s">
        <v>697</v>
      </c>
      <c r="G234" s="55">
        <v>914304001</v>
      </c>
      <c r="H234" s="55" t="s">
        <v>698</v>
      </c>
      <c r="I234" s="55">
        <v>166.12</v>
      </c>
      <c r="J234" s="111">
        <v>923</v>
      </c>
      <c r="K234" s="111">
        <v>504</v>
      </c>
      <c r="L234" s="111">
        <v>497</v>
      </c>
      <c r="M234" s="111">
        <v>545</v>
      </c>
      <c r="N234" s="111">
        <v>401</v>
      </c>
      <c r="O234" s="111">
        <v>393</v>
      </c>
      <c r="P234" s="2">
        <f t="shared" si="25"/>
        <v>153328.76</v>
      </c>
      <c r="Q234" s="2">
        <f t="shared" si="26"/>
        <v>83724.479999999996</v>
      </c>
      <c r="R234" s="2">
        <f t="shared" si="27"/>
        <v>82561.64</v>
      </c>
      <c r="S234" s="2">
        <f t="shared" si="28"/>
        <v>90535.400000000009</v>
      </c>
      <c r="T234" s="2">
        <f t="shared" si="29"/>
        <v>66614.12</v>
      </c>
      <c r="U234" s="2">
        <f t="shared" si="30"/>
        <v>65285.16</v>
      </c>
    </row>
    <row r="235" spans="1:21">
      <c r="A235" s="55">
        <v>232</v>
      </c>
      <c r="B235" s="55" t="s">
        <v>521</v>
      </c>
      <c r="C235" s="55" t="s">
        <v>544</v>
      </c>
      <c r="D235" s="55" t="s">
        <v>307</v>
      </c>
      <c r="E235" s="75" t="s">
        <v>690</v>
      </c>
      <c r="F235" s="55" t="s">
        <v>699</v>
      </c>
      <c r="G235" s="55">
        <v>914304002</v>
      </c>
      <c r="H235" s="55" t="s">
        <v>700</v>
      </c>
      <c r="I235" s="55">
        <v>166.12</v>
      </c>
      <c r="J235" s="111">
        <v>804</v>
      </c>
      <c r="K235" s="111">
        <v>504</v>
      </c>
      <c r="L235" s="111">
        <v>497</v>
      </c>
      <c r="M235" s="111">
        <v>545</v>
      </c>
      <c r="N235" s="111">
        <v>401</v>
      </c>
      <c r="O235" s="111">
        <v>393</v>
      </c>
      <c r="P235" s="2">
        <f t="shared" si="25"/>
        <v>133560.48000000001</v>
      </c>
      <c r="Q235" s="2">
        <f t="shared" si="26"/>
        <v>83724.479999999996</v>
      </c>
      <c r="R235" s="2">
        <f t="shared" si="27"/>
        <v>82561.64</v>
      </c>
      <c r="S235" s="2">
        <f t="shared" si="28"/>
        <v>90535.400000000009</v>
      </c>
      <c r="T235" s="2">
        <f t="shared" si="29"/>
        <v>66614.12</v>
      </c>
      <c r="U235" s="2">
        <f t="shared" si="30"/>
        <v>65285.16</v>
      </c>
    </row>
    <row r="236" spans="1:21">
      <c r="A236" s="55">
        <v>233</v>
      </c>
      <c r="B236" s="55" t="s">
        <v>521</v>
      </c>
      <c r="C236" s="55" t="s">
        <v>544</v>
      </c>
      <c r="D236" s="55" t="s">
        <v>307</v>
      </c>
      <c r="E236" s="75" t="s">
        <v>690</v>
      </c>
      <c r="F236" s="55" t="s">
        <v>701</v>
      </c>
      <c r="G236" s="55">
        <v>914303001</v>
      </c>
      <c r="H236" s="55" t="s">
        <v>702</v>
      </c>
      <c r="I236" s="55">
        <v>67.239999999999995</v>
      </c>
      <c r="J236" s="111">
        <v>1600</v>
      </c>
      <c r="K236" s="111">
        <v>782</v>
      </c>
      <c r="L236" s="111">
        <v>732</v>
      </c>
      <c r="M236" s="111">
        <v>788</v>
      </c>
      <c r="N236" s="111">
        <v>566</v>
      </c>
      <c r="O236" s="111">
        <v>482</v>
      </c>
      <c r="P236" s="2">
        <f t="shared" si="25"/>
        <v>107583.99999999999</v>
      </c>
      <c r="Q236" s="2">
        <f t="shared" si="26"/>
        <v>52581.679999999993</v>
      </c>
      <c r="R236" s="2">
        <f t="shared" si="27"/>
        <v>49219.679999999993</v>
      </c>
      <c r="S236" s="2">
        <f t="shared" si="28"/>
        <v>52985.119999999995</v>
      </c>
      <c r="T236" s="2">
        <f t="shared" si="29"/>
        <v>38057.839999999997</v>
      </c>
      <c r="U236" s="2">
        <f t="shared" si="30"/>
        <v>32409.679999999997</v>
      </c>
    </row>
    <row r="237" spans="1:21">
      <c r="A237" s="55">
        <v>234</v>
      </c>
      <c r="B237" s="55" t="s">
        <v>521</v>
      </c>
      <c r="C237" s="55" t="s">
        <v>544</v>
      </c>
      <c r="D237" s="55" t="s">
        <v>307</v>
      </c>
      <c r="E237" s="75" t="s">
        <v>690</v>
      </c>
      <c r="F237" s="55" t="s">
        <v>703</v>
      </c>
      <c r="G237" s="55">
        <v>914309001</v>
      </c>
      <c r="H237" s="55" t="s">
        <v>704</v>
      </c>
      <c r="I237" s="55">
        <v>160.31</v>
      </c>
      <c r="J237" s="111">
        <v>870</v>
      </c>
      <c r="K237" s="111">
        <v>504</v>
      </c>
      <c r="L237" s="111">
        <v>497</v>
      </c>
      <c r="M237" s="111">
        <v>545</v>
      </c>
      <c r="N237" s="111">
        <v>401</v>
      </c>
      <c r="O237" s="111">
        <v>393</v>
      </c>
      <c r="P237" s="2">
        <f t="shared" si="25"/>
        <v>139469.70000000001</v>
      </c>
      <c r="Q237" s="2">
        <f t="shared" si="26"/>
        <v>80796.240000000005</v>
      </c>
      <c r="R237" s="2">
        <f t="shared" si="27"/>
        <v>79674.070000000007</v>
      </c>
      <c r="S237" s="2">
        <f t="shared" si="28"/>
        <v>87368.95</v>
      </c>
      <c r="T237" s="2">
        <f t="shared" si="29"/>
        <v>64284.31</v>
      </c>
      <c r="U237" s="2">
        <f t="shared" si="30"/>
        <v>63001.83</v>
      </c>
    </row>
    <row r="238" spans="1:21">
      <c r="A238" s="55">
        <v>235</v>
      </c>
      <c r="B238" s="55" t="s">
        <v>521</v>
      </c>
      <c r="C238" s="55" t="s">
        <v>544</v>
      </c>
      <c r="D238" s="55" t="s">
        <v>307</v>
      </c>
      <c r="E238" s="75" t="s">
        <v>690</v>
      </c>
      <c r="F238" s="55" t="s">
        <v>705</v>
      </c>
      <c r="G238" s="55">
        <v>914317002</v>
      </c>
      <c r="H238" s="55" t="s">
        <v>706</v>
      </c>
      <c r="I238" s="55">
        <v>19.420000000000002</v>
      </c>
      <c r="J238" s="111">
        <v>8873</v>
      </c>
      <c r="K238" s="111">
        <v>4032</v>
      </c>
      <c r="L238" s="111">
        <v>3976</v>
      </c>
      <c r="M238" s="111">
        <v>4360</v>
      </c>
      <c r="N238" s="111">
        <v>3208</v>
      </c>
      <c r="O238" s="111">
        <v>3144</v>
      </c>
      <c r="P238" s="2">
        <f t="shared" si="25"/>
        <v>172313.66</v>
      </c>
      <c r="Q238" s="2">
        <f t="shared" si="26"/>
        <v>78301.440000000002</v>
      </c>
      <c r="R238" s="2">
        <f t="shared" si="27"/>
        <v>77213.920000000013</v>
      </c>
      <c r="S238" s="2">
        <f t="shared" si="28"/>
        <v>84671.200000000012</v>
      </c>
      <c r="T238" s="2">
        <f t="shared" si="29"/>
        <v>62299.360000000008</v>
      </c>
      <c r="U238" s="2">
        <f t="shared" si="30"/>
        <v>61056.480000000003</v>
      </c>
    </row>
    <row r="239" spans="1:21">
      <c r="A239" s="55">
        <v>236</v>
      </c>
      <c r="B239" s="55" t="s">
        <v>521</v>
      </c>
      <c r="C239" s="55" t="s">
        <v>544</v>
      </c>
      <c r="D239" s="55" t="s">
        <v>307</v>
      </c>
      <c r="E239" s="75" t="s">
        <v>690</v>
      </c>
      <c r="F239" s="55" t="s">
        <v>707</v>
      </c>
      <c r="G239" s="55">
        <v>914309002</v>
      </c>
      <c r="H239" s="55" t="s">
        <v>708</v>
      </c>
      <c r="I239" s="55">
        <v>3.65</v>
      </c>
      <c r="J239" s="111">
        <v>0</v>
      </c>
      <c r="K239" s="111">
        <v>35</v>
      </c>
      <c r="L239" s="111">
        <v>994</v>
      </c>
      <c r="M239" s="111">
        <v>1090</v>
      </c>
      <c r="N239" s="111">
        <v>802</v>
      </c>
      <c r="O239" s="111">
        <v>786</v>
      </c>
      <c r="P239" s="2">
        <f t="shared" si="25"/>
        <v>0</v>
      </c>
      <c r="Q239" s="2">
        <f t="shared" si="26"/>
        <v>127.75</v>
      </c>
      <c r="R239" s="2">
        <f t="shared" si="27"/>
        <v>3628.1</v>
      </c>
      <c r="S239" s="2">
        <f t="shared" si="28"/>
        <v>3978.5</v>
      </c>
      <c r="T239" s="2">
        <f t="shared" si="29"/>
        <v>2927.2999999999997</v>
      </c>
      <c r="U239" s="2">
        <f t="shared" si="30"/>
        <v>2868.9</v>
      </c>
    </row>
    <row r="240" spans="1:21">
      <c r="A240" s="55">
        <v>237</v>
      </c>
      <c r="B240" s="55" t="s">
        <v>521</v>
      </c>
      <c r="C240" s="55" t="s">
        <v>544</v>
      </c>
      <c r="D240" s="55" t="s">
        <v>307</v>
      </c>
      <c r="E240" s="75" t="s">
        <v>690</v>
      </c>
      <c r="F240" s="55" t="s">
        <v>709</v>
      </c>
      <c r="G240" s="55">
        <v>914313001</v>
      </c>
      <c r="H240" s="55" t="s">
        <v>710</v>
      </c>
      <c r="I240" s="55">
        <v>99.88</v>
      </c>
      <c r="J240" s="111">
        <v>1747</v>
      </c>
      <c r="K240" s="111">
        <v>782</v>
      </c>
      <c r="L240" s="111">
        <v>732</v>
      </c>
      <c r="M240" s="111">
        <v>788</v>
      </c>
      <c r="N240" s="111">
        <v>566</v>
      </c>
      <c r="O240" s="111">
        <v>482</v>
      </c>
      <c r="P240" s="2">
        <f t="shared" si="25"/>
        <v>174490.36</v>
      </c>
      <c r="Q240" s="2">
        <f t="shared" si="26"/>
        <v>78106.16</v>
      </c>
      <c r="R240" s="2">
        <f t="shared" si="27"/>
        <v>73112.160000000003</v>
      </c>
      <c r="S240" s="2">
        <f t="shared" si="28"/>
        <v>78705.440000000002</v>
      </c>
      <c r="T240" s="2">
        <f t="shared" si="29"/>
        <v>56532.079999999994</v>
      </c>
      <c r="U240" s="2">
        <f t="shared" si="30"/>
        <v>48142.159999999996</v>
      </c>
    </row>
    <row r="241" spans="1:21">
      <c r="A241" s="55">
        <v>238</v>
      </c>
      <c r="B241" s="55" t="s">
        <v>521</v>
      </c>
      <c r="C241" s="55" t="s">
        <v>544</v>
      </c>
      <c r="D241" s="55" t="s">
        <v>307</v>
      </c>
      <c r="E241" s="75" t="s">
        <v>690</v>
      </c>
      <c r="F241" s="55" t="s">
        <v>711</v>
      </c>
      <c r="G241" s="55">
        <v>914317001</v>
      </c>
      <c r="H241" s="55" t="s">
        <v>712</v>
      </c>
      <c r="I241" s="55">
        <v>29.72</v>
      </c>
      <c r="J241" s="111">
        <v>1560</v>
      </c>
      <c r="K241" s="111">
        <v>782</v>
      </c>
      <c r="L241" s="111">
        <v>732</v>
      </c>
      <c r="M241" s="111">
        <v>788</v>
      </c>
      <c r="N241" s="111">
        <v>566</v>
      </c>
      <c r="O241" s="111">
        <v>482</v>
      </c>
      <c r="P241" s="2">
        <f t="shared" si="25"/>
        <v>46363.199999999997</v>
      </c>
      <c r="Q241" s="2">
        <f t="shared" si="26"/>
        <v>23241.040000000001</v>
      </c>
      <c r="R241" s="2">
        <f t="shared" si="27"/>
        <v>21755.040000000001</v>
      </c>
      <c r="S241" s="2">
        <f t="shared" si="28"/>
        <v>23419.360000000001</v>
      </c>
      <c r="T241" s="2">
        <f t="shared" si="29"/>
        <v>16821.52</v>
      </c>
      <c r="U241" s="2">
        <f t="shared" si="30"/>
        <v>14325.039999999999</v>
      </c>
    </row>
    <row r="242" spans="1:21">
      <c r="A242" s="55">
        <v>239</v>
      </c>
      <c r="B242" s="55" t="s">
        <v>521</v>
      </c>
      <c r="C242" s="55" t="s">
        <v>544</v>
      </c>
      <c r="D242" s="55" t="s">
        <v>307</v>
      </c>
      <c r="E242" s="75" t="s">
        <v>690</v>
      </c>
      <c r="F242" s="55" t="s">
        <v>713</v>
      </c>
      <c r="G242" s="55">
        <v>914317005</v>
      </c>
      <c r="H242" s="55" t="s">
        <v>714</v>
      </c>
      <c r="I242" s="55">
        <v>146.21</v>
      </c>
      <c r="J242" s="111">
        <v>826</v>
      </c>
      <c r="K242" s="111">
        <v>504</v>
      </c>
      <c r="L242" s="111">
        <v>497</v>
      </c>
      <c r="M242" s="111">
        <v>545</v>
      </c>
      <c r="N242" s="111">
        <v>401</v>
      </c>
      <c r="O242" s="111">
        <v>393</v>
      </c>
      <c r="P242" s="2">
        <f t="shared" si="25"/>
        <v>120769.46</v>
      </c>
      <c r="Q242" s="2">
        <f t="shared" si="26"/>
        <v>73689.840000000011</v>
      </c>
      <c r="R242" s="2">
        <f t="shared" si="27"/>
        <v>72666.37000000001</v>
      </c>
      <c r="S242" s="2">
        <f t="shared" si="28"/>
        <v>79684.45</v>
      </c>
      <c r="T242" s="2">
        <f t="shared" si="29"/>
        <v>58630.210000000006</v>
      </c>
      <c r="U242" s="2">
        <f t="shared" si="30"/>
        <v>57460.530000000006</v>
      </c>
    </row>
    <row r="243" spans="1:21">
      <c r="A243" s="55">
        <v>240</v>
      </c>
      <c r="B243" s="55" t="s">
        <v>521</v>
      </c>
      <c r="C243" s="55" t="s">
        <v>544</v>
      </c>
      <c r="D243" s="55" t="s">
        <v>307</v>
      </c>
      <c r="E243" s="75" t="s">
        <v>690</v>
      </c>
      <c r="F243" s="55" t="s">
        <v>715</v>
      </c>
      <c r="G243" s="55">
        <v>914317004</v>
      </c>
      <c r="H243" s="55" t="s">
        <v>716</v>
      </c>
      <c r="I243" s="55">
        <v>106.15</v>
      </c>
      <c r="J243" s="111">
        <v>1152</v>
      </c>
      <c r="K243" s="111">
        <v>504</v>
      </c>
      <c r="L243" s="111">
        <v>497</v>
      </c>
      <c r="M243" s="111">
        <v>545</v>
      </c>
      <c r="N243" s="111">
        <v>401</v>
      </c>
      <c r="O243" s="111">
        <v>393</v>
      </c>
      <c r="P243" s="2">
        <f t="shared" si="25"/>
        <v>122284.8</v>
      </c>
      <c r="Q243" s="2">
        <f t="shared" si="26"/>
        <v>53499.600000000006</v>
      </c>
      <c r="R243" s="2">
        <f t="shared" si="27"/>
        <v>52756.55</v>
      </c>
      <c r="S243" s="2">
        <f t="shared" si="28"/>
        <v>57851.75</v>
      </c>
      <c r="T243" s="2">
        <f t="shared" si="29"/>
        <v>42566.15</v>
      </c>
      <c r="U243" s="2">
        <f t="shared" si="30"/>
        <v>41716.950000000004</v>
      </c>
    </row>
    <row r="244" spans="1:21">
      <c r="A244" s="55">
        <v>241</v>
      </c>
      <c r="B244" s="55" t="s">
        <v>521</v>
      </c>
      <c r="C244" s="55" t="s">
        <v>544</v>
      </c>
      <c r="D244" s="55" t="s">
        <v>307</v>
      </c>
      <c r="E244" s="75" t="s">
        <v>690</v>
      </c>
      <c r="F244" s="55" t="s">
        <v>717</v>
      </c>
      <c r="G244" s="55">
        <v>914317008</v>
      </c>
      <c r="H244" s="55" t="s">
        <v>702</v>
      </c>
      <c r="I244" s="55">
        <v>22.84</v>
      </c>
      <c r="J244" s="111">
        <v>938</v>
      </c>
      <c r="K244" s="111">
        <v>1008</v>
      </c>
      <c r="L244" s="111">
        <v>994</v>
      </c>
      <c r="M244" s="111">
        <v>1090</v>
      </c>
      <c r="N244" s="111">
        <v>802</v>
      </c>
      <c r="O244" s="111">
        <v>786</v>
      </c>
      <c r="P244" s="2">
        <f t="shared" si="25"/>
        <v>21423.919999999998</v>
      </c>
      <c r="Q244" s="2">
        <f t="shared" si="26"/>
        <v>23022.720000000001</v>
      </c>
      <c r="R244" s="2">
        <f t="shared" si="27"/>
        <v>22702.959999999999</v>
      </c>
      <c r="S244" s="2">
        <f t="shared" si="28"/>
        <v>24895.599999999999</v>
      </c>
      <c r="T244" s="2">
        <f t="shared" si="29"/>
        <v>18317.68</v>
      </c>
      <c r="U244" s="2">
        <f t="shared" si="30"/>
        <v>17952.240000000002</v>
      </c>
    </row>
    <row r="245" spans="1:21">
      <c r="A245" s="55">
        <v>242</v>
      </c>
      <c r="B245" s="55" t="s">
        <v>521</v>
      </c>
      <c r="C245" s="55" t="s">
        <v>544</v>
      </c>
      <c r="D245" s="55" t="s">
        <v>307</v>
      </c>
      <c r="E245" s="75" t="s">
        <v>690</v>
      </c>
      <c r="F245" s="55" t="s">
        <v>718</v>
      </c>
      <c r="G245" s="55">
        <v>914317009</v>
      </c>
      <c r="H245" s="55" t="s">
        <v>719</v>
      </c>
      <c r="I245" s="55">
        <v>42.17</v>
      </c>
      <c r="J245" s="111"/>
      <c r="K245" s="111"/>
      <c r="L245" s="111"/>
      <c r="M245" s="111"/>
      <c r="N245" s="111"/>
      <c r="O245" s="111"/>
      <c r="P245" s="2">
        <f t="shared" si="25"/>
        <v>0</v>
      </c>
      <c r="Q245" s="2">
        <f t="shared" si="26"/>
        <v>0</v>
      </c>
      <c r="R245" s="2">
        <f t="shared" si="27"/>
        <v>0</v>
      </c>
      <c r="S245" s="2">
        <f t="shared" si="28"/>
        <v>0</v>
      </c>
      <c r="T245" s="2">
        <f t="shared" si="29"/>
        <v>0</v>
      </c>
      <c r="U245" s="2">
        <f t="shared" si="30"/>
        <v>0</v>
      </c>
    </row>
    <row r="246" spans="1:21">
      <c r="A246" s="55">
        <v>243</v>
      </c>
      <c r="B246" s="55" t="s">
        <v>521</v>
      </c>
      <c r="C246" s="55" t="s">
        <v>312</v>
      </c>
      <c r="D246" s="55" t="s">
        <v>720</v>
      </c>
      <c r="E246" s="75" t="s">
        <v>721</v>
      </c>
      <c r="F246" s="55" t="s">
        <v>722</v>
      </c>
      <c r="G246" s="55">
        <v>914604003</v>
      </c>
      <c r="H246" s="55" t="s">
        <v>723</v>
      </c>
      <c r="I246" s="55">
        <v>153.21</v>
      </c>
      <c r="J246" s="111">
        <v>17499</v>
      </c>
      <c r="K246" s="111">
        <v>14701</v>
      </c>
      <c r="L246" s="111">
        <v>16104</v>
      </c>
      <c r="M246" s="111">
        <v>14696</v>
      </c>
      <c r="N246" s="111">
        <v>17500</v>
      </c>
      <c r="O246" s="111">
        <v>4900</v>
      </c>
      <c r="P246" s="2">
        <f t="shared" si="25"/>
        <v>2681021.79</v>
      </c>
      <c r="Q246" s="2">
        <f t="shared" si="26"/>
        <v>2252340.21</v>
      </c>
      <c r="R246" s="2">
        <f t="shared" si="27"/>
        <v>2467293.8400000003</v>
      </c>
      <c r="S246" s="2">
        <f t="shared" si="28"/>
        <v>2251574.16</v>
      </c>
      <c r="T246" s="2">
        <f t="shared" si="29"/>
        <v>2681175</v>
      </c>
      <c r="U246" s="2">
        <f t="shared" si="30"/>
        <v>750729</v>
      </c>
    </row>
    <row r="247" spans="1:21">
      <c r="A247" s="55">
        <v>244</v>
      </c>
      <c r="B247" s="55" t="s">
        <v>521</v>
      </c>
      <c r="C247" s="55" t="s">
        <v>312</v>
      </c>
      <c r="D247" s="55" t="s">
        <v>720</v>
      </c>
      <c r="E247" s="75" t="s">
        <v>721</v>
      </c>
      <c r="F247" s="55" t="s">
        <v>724</v>
      </c>
      <c r="G247" s="55">
        <v>914604004</v>
      </c>
      <c r="H247" s="55" t="s">
        <v>725</v>
      </c>
      <c r="I247" s="55">
        <v>153.22</v>
      </c>
      <c r="J247" s="111">
        <v>17499</v>
      </c>
      <c r="K247" s="111">
        <v>14701</v>
      </c>
      <c r="L247" s="111">
        <v>16104</v>
      </c>
      <c r="M247" s="111">
        <v>14696</v>
      </c>
      <c r="N247" s="111">
        <v>17500</v>
      </c>
      <c r="O247" s="111">
        <v>4900</v>
      </c>
      <c r="P247" s="2">
        <f t="shared" si="25"/>
        <v>2681196.7799999998</v>
      </c>
      <c r="Q247" s="2">
        <f t="shared" si="26"/>
        <v>2252487.2200000002</v>
      </c>
      <c r="R247" s="2">
        <f t="shared" si="27"/>
        <v>2467454.88</v>
      </c>
      <c r="S247" s="2">
        <f t="shared" si="28"/>
        <v>2251721.12</v>
      </c>
      <c r="T247" s="2">
        <f t="shared" si="29"/>
        <v>2681350</v>
      </c>
      <c r="U247" s="2">
        <f t="shared" si="30"/>
        <v>750778</v>
      </c>
    </row>
    <row r="248" spans="1:21">
      <c r="A248" s="55">
        <v>245</v>
      </c>
      <c r="B248" s="55" t="s">
        <v>521</v>
      </c>
      <c r="C248" s="55" t="s">
        <v>312</v>
      </c>
      <c r="D248" s="55" t="s">
        <v>720</v>
      </c>
      <c r="E248" s="75" t="s">
        <v>721</v>
      </c>
      <c r="F248" s="55" t="s">
        <v>726</v>
      </c>
      <c r="G248" s="55">
        <v>914604002</v>
      </c>
      <c r="H248" s="55" t="s">
        <v>727</v>
      </c>
      <c r="I248" s="55">
        <v>126.33</v>
      </c>
      <c r="J248" s="111">
        <v>17499</v>
      </c>
      <c r="K248" s="111">
        <v>14701</v>
      </c>
      <c r="L248" s="111">
        <v>16104</v>
      </c>
      <c r="M248" s="111">
        <v>14696</v>
      </c>
      <c r="N248" s="111">
        <v>17500</v>
      </c>
      <c r="O248" s="111">
        <v>4900</v>
      </c>
      <c r="P248" s="2">
        <f t="shared" si="25"/>
        <v>2210648.67</v>
      </c>
      <c r="Q248" s="2">
        <f t="shared" si="26"/>
        <v>1857177.33</v>
      </c>
      <c r="R248" s="2">
        <f t="shared" si="27"/>
        <v>2034418.32</v>
      </c>
      <c r="S248" s="2">
        <f t="shared" si="28"/>
        <v>1856545.68</v>
      </c>
      <c r="T248" s="2">
        <f t="shared" si="29"/>
        <v>2210775</v>
      </c>
      <c r="U248" s="2">
        <f t="shared" si="30"/>
        <v>619017</v>
      </c>
    </row>
    <row r="249" spans="1:21">
      <c r="A249" s="55">
        <v>246</v>
      </c>
      <c r="B249" s="55" t="s">
        <v>521</v>
      </c>
      <c r="C249" s="55" t="s">
        <v>312</v>
      </c>
      <c r="D249" s="55" t="s">
        <v>720</v>
      </c>
      <c r="E249" s="75" t="s">
        <v>721</v>
      </c>
      <c r="F249" s="55" t="s">
        <v>728</v>
      </c>
      <c r="G249" s="55">
        <v>94604001</v>
      </c>
      <c r="H249" s="55" t="s">
        <v>729</v>
      </c>
      <c r="I249" s="55">
        <v>126.33</v>
      </c>
      <c r="J249" s="111">
        <v>17499</v>
      </c>
      <c r="K249" s="111">
        <v>14701</v>
      </c>
      <c r="L249" s="111">
        <v>16104</v>
      </c>
      <c r="M249" s="111">
        <v>14696</v>
      </c>
      <c r="N249" s="111">
        <v>17500</v>
      </c>
      <c r="O249" s="111">
        <v>4900</v>
      </c>
      <c r="P249" s="2">
        <f t="shared" si="25"/>
        <v>2210648.67</v>
      </c>
      <c r="Q249" s="2">
        <f t="shared" si="26"/>
        <v>1857177.33</v>
      </c>
      <c r="R249" s="2">
        <f t="shared" si="27"/>
        <v>2034418.32</v>
      </c>
      <c r="S249" s="2">
        <f t="shared" si="28"/>
        <v>1856545.68</v>
      </c>
      <c r="T249" s="2">
        <f t="shared" si="29"/>
        <v>2210775</v>
      </c>
      <c r="U249" s="2">
        <f t="shared" si="30"/>
        <v>619017</v>
      </c>
    </row>
    <row r="250" spans="1:21">
      <c r="A250" s="55">
        <v>247</v>
      </c>
      <c r="B250" s="55" t="s">
        <v>521</v>
      </c>
      <c r="C250" s="55" t="s">
        <v>312</v>
      </c>
      <c r="D250" s="55" t="s">
        <v>720</v>
      </c>
      <c r="E250" s="75" t="s">
        <v>721</v>
      </c>
      <c r="F250" s="55" t="s">
        <v>730</v>
      </c>
      <c r="G250" s="55">
        <v>914602001</v>
      </c>
      <c r="H250" s="55" t="s">
        <v>731</v>
      </c>
      <c r="I250" s="55">
        <v>173.72</v>
      </c>
      <c r="J250" s="111">
        <v>17499</v>
      </c>
      <c r="K250" s="111">
        <v>14701</v>
      </c>
      <c r="L250" s="111">
        <v>16104</v>
      </c>
      <c r="M250" s="111">
        <v>14696</v>
      </c>
      <c r="N250" s="111">
        <v>17500</v>
      </c>
      <c r="O250" s="111">
        <v>4900</v>
      </c>
      <c r="P250" s="2">
        <f t="shared" si="25"/>
        <v>3039926.28</v>
      </c>
      <c r="Q250" s="2">
        <f t="shared" si="26"/>
        <v>2553857.7200000002</v>
      </c>
      <c r="R250" s="2">
        <f t="shared" si="27"/>
        <v>2797586.88</v>
      </c>
      <c r="S250" s="2">
        <f t="shared" si="28"/>
        <v>2552989.12</v>
      </c>
      <c r="T250" s="2">
        <f t="shared" si="29"/>
        <v>3040100</v>
      </c>
      <c r="U250" s="2">
        <f t="shared" si="30"/>
        <v>851228</v>
      </c>
    </row>
    <row r="251" spans="1:21">
      <c r="A251" s="55">
        <v>248</v>
      </c>
      <c r="B251" s="55" t="s">
        <v>521</v>
      </c>
      <c r="C251" s="55" t="s">
        <v>312</v>
      </c>
      <c r="D251" s="55" t="s">
        <v>720</v>
      </c>
      <c r="E251" s="75" t="s">
        <v>721</v>
      </c>
      <c r="F251" s="55" t="s">
        <v>732</v>
      </c>
      <c r="G251" s="55">
        <v>914603001</v>
      </c>
      <c r="H251" s="55" t="s">
        <v>733</v>
      </c>
      <c r="I251" s="55">
        <v>15.05</v>
      </c>
      <c r="J251" s="111">
        <v>17499</v>
      </c>
      <c r="K251" s="111">
        <v>14701</v>
      </c>
      <c r="L251" s="111">
        <v>16104</v>
      </c>
      <c r="M251" s="111">
        <v>14696</v>
      </c>
      <c r="N251" s="111">
        <v>17500</v>
      </c>
      <c r="O251" s="111">
        <v>4900</v>
      </c>
      <c r="P251" s="2">
        <f t="shared" si="25"/>
        <v>263359.95</v>
      </c>
      <c r="Q251" s="2">
        <f t="shared" si="26"/>
        <v>221250.05000000002</v>
      </c>
      <c r="R251" s="2">
        <f t="shared" si="27"/>
        <v>242365.2</v>
      </c>
      <c r="S251" s="2">
        <f t="shared" si="28"/>
        <v>221174.80000000002</v>
      </c>
      <c r="T251" s="2">
        <f t="shared" si="29"/>
        <v>263375</v>
      </c>
      <c r="U251" s="2">
        <f t="shared" si="30"/>
        <v>73745</v>
      </c>
    </row>
    <row r="252" spans="1:21">
      <c r="A252" s="55">
        <v>249</v>
      </c>
      <c r="B252" s="55" t="s">
        <v>521</v>
      </c>
      <c r="C252" s="55" t="s">
        <v>312</v>
      </c>
      <c r="D252" s="55" t="s">
        <v>720</v>
      </c>
      <c r="E252" s="75" t="s">
        <v>734</v>
      </c>
      <c r="F252" s="55" t="s">
        <v>735</v>
      </c>
      <c r="G252" s="55">
        <v>916218001</v>
      </c>
      <c r="H252" s="55" t="s">
        <v>731</v>
      </c>
      <c r="I252" s="55">
        <v>213.75</v>
      </c>
      <c r="J252" s="111">
        <v>0</v>
      </c>
      <c r="K252" s="111">
        <v>0</v>
      </c>
      <c r="L252" s="111">
        <v>0</v>
      </c>
      <c r="M252" s="111">
        <v>0</v>
      </c>
      <c r="N252" s="111">
        <v>0</v>
      </c>
      <c r="O252" s="111">
        <v>0</v>
      </c>
      <c r="P252" s="2">
        <f t="shared" si="25"/>
        <v>0</v>
      </c>
      <c r="Q252" s="2">
        <f t="shared" si="26"/>
        <v>0</v>
      </c>
      <c r="R252" s="2">
        <f t="shared" si="27"/>
        <v>0</v>
      </c>
      <c r="S252" s="2">
        <f t="shared" si="28"/>
        <v>0</v>
      </c>
      <c r="T252" s="2">
        <f t="shared" si="29"/>
        <v>0</v>
      </c>
      <c r="U252" s="2">
        <f t="shared" si="30"/>
        <v>0</v>
      </c>
    </row>
    <row r="253" spans="1:21">
      <c r="A253" s="55">
        <v>250</v>
      </c>
      <c r="B253" s="55" t="s">
        <v>521</v>
      </c>
      <c r="C253" s="55" t="s">
        <v>312</v>
      </c>
      <c r="D253" s="55" t="s">
        <v>720</v>
      </c>
      <c r="E253" s="75" t="s">
        <v>734</v>
      </c>
      <c r="F253" s="55" t="s">
        <v>736</v>
      </c>
      <c r="G253" s="55">
        <v>913403006</v>
      </c>
      <c r="H253" s="55" t="s">
        <v>737</v>
      </c>
      <c r="I253" s="55">
        <v>37.909999999999997</v>
      </c>
      <c r="J253" s="111">
        <v>0</v>
      </c>
      <c r="K253" s="111">
        <v>0</v>
      </c>
      <c r="L253" s="111">
        <v>0</v>
      </c>
      <c r="M253" s="111">
        <v>0</v>
      </c>
      <c r="N253" s="111">
        <v>0</v>
      </c>
      <c r="O253" s="111">
        <v>0</v>
      </c>
      <c r="P253" s="2">
        <f t="shared" si="25"/>
        <v>0</v>
      </c>
      <c r="Q253" s="2">
        <f t="shared" si="26"/>
        <v>0</v>
      </c>
      <c r="R253" s="2">
        <f t="shared" si="27"/>
        <v>0</v>
      </c>
      <c r="S253" s="2">
        <f t="shared" si="28"/>
        <v>0</v>
      </c>
      <c r="T253" s="2">
        <f t="shared" si="29"/>
        <v>0</v>
      </c>
      <c r="U253" s="2">
        <f t="shared" si="30"/>
        <v>0</v>
      </c>
    </row>
    <row r="254" spans="1:21">
      <c r="A254" s="55">
        <v>251</v>
      </c>
      <c r="B254" s="55" t="s">
        <v>521</v>
      </c>
      <c r="C254" s="55" t="s">
        <v>312</v>
      </c>
      <c r="D254" s="55" t="s">
        <v>521</v>
      </c>
      <c r="E254" s="75" t="s">
        <v>738</v>
      </c>
      <c r="F254" s="55" t="s">
        <v>739</v>
      </c>
      <c r="G254" s="55">
        <v>913902004</v>
      </c>
      <c r="H254" s="55" t="s">
        <v>731</v>
      </c>
      <c r="I254" s="55">
        <v>172.97</v>
      </c>
      <c r="J254" s="111">
        <v>3446</v>
      </c>
      <c r="K254" s="111">
        <v>3087</v>
      </c>
      <c r="L254" s="111">
        <v>4030</v>
      </c>
      <c r="M254" s="111">
        <v>3623</v>
      </c>
      <c r="N254" s="111">
        <v>1850</v>
      </c>
      <c r="O254" s="111">
        <v>1850</v>
      </c>
      <c r="P254" s="2">
        <f t="shared" si="25"/>
        <v>596054.62</v>
      </c>
      <c r="Q254" s="2">
        <f t="shared" si="26"/>
        <v>533958.39</v>
      </c>
      <c r="R254" s="2">
        <f t="shared" si="27"/>
        <v>697069.1</v>
      </c>
      <c r="S254" s="2">
        <f t="shared" si="28"/>
        <v>626670.30999999994</v>
      </c>
      <c r="T254" s="2">
        <f t="shared" si="29"/>
        <v>319994.5</v>
      </c>
      <c r="U254" s="2">
        <f t="shared" si="30"/>
        <v>319994.5</v>
      </c>
    </row>
    <row r="255" spans="1:21">
      <c r="A255" s="55">
        <v>252</v>
      </c>
      <c r="B255" s="55" t="s">
        <v>521</v>
      </c>
      <c r="C255" s="55" t="s">
        <v>312</v>
      </c>
      <c r="D255" s="55" t="s">
        <v>720</v>
      </c>
      <c r="E255" s="75" t="s">
        <v>738</v>
      </c>
      <c r="F255" s="55" t="s">
        <v>740</v>
      </c>
      <c r="G255" s="55">
        <v>913903011</v>
      </c>
      <c r="H255" s="55" t="s">
        <v>741</v>
      </c>
      <c r="I255" s="55">
        <v>22.4</v>
      </c>
      <c r="J255" s="111">
        <v>3446</v>
      </c>
      <c r="K255" s="111">
        <v>3087</v>
      </c>
      <c r="L255" s="111">
        <v>4030</v>
      </c>
      <c r="M255" s="111">
        <v>3623</v>
      </c>
      <c r="N255" s="111">
        <v>1850</v>
      </c>
      <c r="O255" s="111">
        <v>1850</v>
      </c>
      <c r="P255" s="2">
        <f t="shared" si="25"/>
        <v>77190.399999999994</v>
      </c>
      <c r="Q255" s="2">
        <f t="shared" si="26"/>
        <v>69148.799999999988</v>
      </c>
      <c r="R255" s="2">
        <f t="shared" si="27"/>
        <v>90272</v>
      </c>
      <c r="S255" s="2">
        <f t="shared" si="28"/>
        <v>81155.199999999997</v>
      </c>
      <c r="T255" s="2">
        <f t="shared" si="29"/>
        <v>41440</v>
      </c>
      <c r="U255" s="2">
        <f t="shared" si="30"/>
        <v>41440</v>
      </c>
    </row>
    <row r="256" spans="1:21">
      <c r="A256" s="55">
        <v>253</v>
      </c>
      <c r="B256" s="55" t="s">
        <v>521</v>
      </c>
      <c r="C256" s="55" t="s">
        <v>312</v>
      </c>
      <c r="D256" s="55" t="s">
        <v>720</v>
      </c>
      <c r="E256" s="75" t="s">
        <v>742</v>
      </c>
      <c r="F256" s="55" t="s">
        <v>743</v>
      </c>
      <c r="G256" s="55">
        <v>913401007</v>
      </c>
      <c r="H256" s="55" t="s">
        <v>744</v>
      </c>
      <c r="I256" s="55">
        <v>144.47</v>
      </c>
      <c r="J256" s="111">
        <v>12425</v>
      </c>
      <c r="K256" s="111">
        <v>10844</v>
      </c>
      <c r="L256" s="111">
        <v>11357</v>
      </c>
      <c r="M256" s="111">
        <v>10366</v>
      </c>
      <c r="N256" s="111">
        <v>12393</v>
      </c>
      <c r="O256" s="111">
        <v>11403</v>
      </c>
      <c r="P256" s="2">
        <f t="shared" si="25"/>
        <v>1795039.75</v>
      </c>
      <c r="Q256" s="2">
        <f t="shared" si="26"/>
        <v>1566632.68</v>
      </c>
      <c r="R256" s="2">
        <f t="shared" si="27"/>
        <v>1640745.79</v>
      </c>
      <c r="S256" s="2">
        <f t="shared" si="28"/>
        <v>1497576.02</v>
      </c>
      <c r="T256" s="2">
        <f t="shared" si="29"/>
        <v>1790416.71</v>
      </c>
      <c r="U256" s="2">
        <f t="shared" si="30"/>
        <v>1647391.41</v>
      </c>
    </row>
    <row r="257" spans="1:21">
      <c r="A257" s="55">
        <v>254</v>
      </c>
      <c r="B257" s="55" t="s">
        <v>521</v>
      </c>
      <c r="C257" s="55" t="s">
        <v>312</v>
      </c>
      <c r="D257" s="55" t="s">
        <v>720</v>
      </c>
      <c r="E257" s="75" t="s">
        <v>742</v>
      </c>
      <c r="F257" s="55" t="s">
        <v>745</v>
      </c>
      <c r="G257" s="55">
        <v>913401008</v>
      </c>
      <c r="H257" s="55" t="s">
        <v>746</v>
      </c>
      <c r="I257" s="55">
        <v>144.47</v>
      </c>
      <c r="J257" s="111">
        <v>12425</v>
      </c>
      <c r="K257" s="111">
        <v>10844</v>
      </c>
      <c r="L257" s="111">
        <v>11357</v>
      </c>
      <c r="M257" s="111">
        <v>10366</v>
      </c>
      <c r="N257" s="111">
        <v>12393</v>
      </c>
      <c r="O257" s="111">
        <v>11403</v>
      </c>
      <c r="P257" s="2">
        <f t="shared" si="25"/>
        <v>1795039.75</v>
      </c>
      <c r="Q257" s="2">
        <f t="shared" si="26"/>
        <v>1566632.68</v>
      </c>
      <c r="R257" s="2">
        <f t="shared" si="27"/>
        <v>1640745.79</v>
      </c>
      <c r="S257" s="2">
        <f t="shared" si="28"/>
        <v>1497576.02</v>
      </c>
      <c r="T257" s="2">
        <f t="shared" si="29"/>
        <v>1790416.71</v>
      </c>
      <c r="U257" s="2">
        <f t="shared" si="30"/>
        <v>1647391.41</v>
      </c>
    </row>
    <row r="258" spans="1:21">
      <c r="A258" s="55">
        <v>255</v>
      </c>
      <c r="B258" s="55" t="s">
        <v>521</v>
      </c>
      <c r="C258" s="55" t="s">
        <v>312</v>
      </c>
      <c r="D258" s="55" t="s">
        <v>720</v>
      </c>
      <c r="E258" s="75" t="s">
        <v>742</v>
      </c>
      <c r="F258" s="55" t="s">
        <v>747</v>
      </c>
      <c r="G258" s="55">
        <v>913403002</v>
      </c>
      <c r="H258" s="55" t="s">
        <v>748</v>
      </c>
      <c r="I258" s="55">
        <v>36.229999999999997</v>
      </c>
      <c r="J258" s="111">
        <v>12425</v>
      </c>
      <c r="K258" s="111">
        <v>10844</v>
      </c>
      <c r="L258" s="111">
        <v>11357</v>
      </c>
      <c r="M258" s="111">
        <v>10366</v>
      </c>
      <c r="N258" s="111">
        <v>12393</v>
      </c>
      <c r="O258" s="111">
        <v>11403</v>
      </c>
      <c r="P258" s="2">
        <f t="shared" si="25"/>
        <v>450157.74999999994</v>
      </c>
      <c r="Q258" s="2">
        <f t="shared" si="26"/>
        <v>392878.11999999994</v>
      </c>
      <c r="R258" s="2">
        <f t="shared" si="27"/>
        <v>411464.11</v>
      </c>
      <c r="S258" s="2">
        <f t="shared" si="28"/>
        <v>375560.18</v>
      </c>
      <c r="T258" s="2">
        <f t="shared" si="29"/>
        <v>448998.38999999996</v>
      </c>
      <c r="U258" s="2">
        <f t="shared" si="30"/>
        <v>413130.68999999994</v>
      </c>
    </row>
    <row r="259" spans="1:21">
      <c r="A259" s="55">
        <v>256</v>
      </c>
      <c r="B259" s="55" t="s">
        <v>521</v>
      </c>
      <c r="C259" s="55" t="s">
        <v>312</v>
      </c>
      <c r="D259" s="55" t="s">
        <v>720</v>
      </c>
      <c r="E259" s="75" t="s">
        <v>742</v>
      </c>
      <c r="F259" s="55" t="s">
        <v>749</v>
      </c>
      <c r="G259" s="55">
        <v>913410002</v>
      </c>
      <c r="H259" s="55" t="s">
        <v>750</v>
      </c>
      <c r="I259" s="55">
        <v>155.63999999999999</v>
      </c>
      <c r="J259" s="111">
        <v>24850</v>
      </c>
      <c r="K259" s="111">
        <v>21688</v>
      </c>
      <c r="L259" s="111">
        <v>22714</v>
      </c>
      <c r="M259" s="111">
        <v>20732</v>
      </c>
      <c r="N259" s="111">
        <v>24786</v>
      </c>
      <c r="O259" s="111">
        <v>22806</v>
      </c>
      <c r="P259" s="2">
        <f t="shared" si="25"/>
        <v>3867653.9999999995</v>
      </c>
      <c r="Q259" s="2">
        <f t="shared" si="26"/>
        <v>3375520.32</v>
      </c>
      <c r="R259" s="2">
        <f t="shared" si="27"/>
        <v>3535206.9599999995</v>
      </c>
      <c r="S259" s="2">
        <f t="shared" si="28"/>
        <v>3226728.4799999995</v>
      </c>
      <c r="T259" s="2">
        <f t="shared" si="29"/>
        <v>3857693.0399999996</v>
      </c>
      <c r="U259" s="2">
        <f t="shared" si="30"/>
        <v>3549525.84</v>
      </c>
    </row>
    <row r="260" spans="1:21">
      <c r="A260" s="55">
        <v>257</v>
      </c>
      <c r="B260" s="55" t="s">
        <v>521</v>
      </c>
      <c r="C260" s="55" t="s">
        <v>312</v>
      </c>
      <c r="D260" s="55" t="s">
        <v>720</v>
      </c>
      <c r="E260" s="75" t="s">
        <v>742</v>
      </c>
      <c r="F260" s="55" t="s">
        <v>751</v>
      </c>
      <c r="G260" s="55">
        <v>913410001</v>
      </c>
      <c r="H260" s="55" t="s">
        <v>752</v>
      </c>
      <c r="I260" s="55">
        <v>184.41</v>
      </c>
      <c r="J260" s="111">
        <v>12425</v>
      </c>
      <c r="K260" s="111">
        <v>10844</v>
      </c>
      <c r="L260" s="111">
        <v>11357</v>
      </c>
      <c r="M260" s="111">
        <v>10366</v>
      </c>
      <c r="N260" s="111">
        <v>12393</v>
      </c>
      <c r="O260" s="111">
        <v>11403</v>
      </c>
      <c r="P260" s="2">
        <f t="shared" si="25"/>
        <v>2291294.25</v>
      </c>
      <c r="Q260" s="2">
        <f t="shared" si="26"/>
        <v>1999742.04</v>
      </c>
      <c r="R260" s="2">
        <f t="shared" si="27"/>
        <v>2094344.3699999999</v>
      </c>
      <c r="S260" s="2">
        <f t="shared" si="28"/>
        <v>1911594.06</v>
      </c>
      <c r="T260" s="2">
        <f t="shared" si="29"/>
        <v>2285393.13</v>
      </c>
      <c r="U260" s="2">
        <f t="shared" si="30"/>
        <v>2102827.23</v>
      </c>
    </row>
    <row r="261" spans="1:21">
      <c r="A261" s="55">
        <v>258</v>
      </c>
      <c r="B261" s="55" t="s">
        <v>521</v>
      </c>
      <c r="C261" s="55" t="s">
        <v>312</v>
      </c>
      <c r="D261" s="55" t="s">
        <v>720</v>
      </c>
      <c r="E261" s="75" t="s">
        <v>742</v>
      </c>
      <c r="F261" s="55" t="s">
        <v>753</v>
      </c>
      <c r="G261" s="55">
        <v>913402002</v>
      </c>
      <c r="H261" s="55" t="s">
        <v>754</v>
      </c>
      <c r="I261" s="55">
        <v>191.14</v>
      </c>
      <c r="J261" s="111">
        <v>12425</v>
      </c>
      <c r="K261" s="111">
        <v>10844</v>
      </c>
      <c r="L261" s="111">
        <v>11357</v>
      </c>
      <c r="M261" s="111">
        <v>10366</v>
      </c>
      <c r="N261" s="111">
        <v>12393</v>
      </c>
      <c r="O261" s="111">
        <v>11403</v>
      </c>
      <c r="P261" s="2">
        <f t="shared" ref="P261:P324" si="31">J261*I261</f>
        <v>2374914.5</v>
      </c>
      <c r="Q261" s="2">
        <f t="shared" ref="Q261:Q324" si="32">K261*I261</f>
        <v>2072722.16</v>
      </c>
      <c r="R261" s="2">
        <f t="shared" ref="R261:R324" si="33">L261*I261</f>
        <v>2170776.98</v>
      </c>
      <c r="S261" s="2">
        <f t="shared" ref="S261:S324" si="34">M261*I261</f>
        <v>1981357.2399999998</v>
      </c>
      <c r="T261" s="2">
        <f t="shared" ref="T261:T324" si="35">N261*I261</f>
        <v>2368798.02</v>
      </c>
      <c r="U261" s="2">
        <f t="shared" ref="U261:U324" si="36">O261*I261</f>
        <v>2179569.42</v>
      </c>
    </row>
    <row r="262" spans="1:21">
      <c r="A262" s="55">
        <v>259</v>
      </c>
      <c r="B262" s="55" t="s">
        <v>521</v>
      </c>
      <c r="C262" s="55" t="s">
        <v>312</v>
      </c>
      <c r="D262" s="55" t="s">
        <v>720</v>
      </c>
      <c r="E262" s="75" t="s">
        <v>742</v>
      </c>
      <c r="F262" s="55" t="s">
        <v>755</v>
      </c>
      <c r="G262" s="55">
        <v>913401001</v>
      </c>
      <c r="H262" s="55" t="s">
        <v>756</v>
      </c>
      <c r="I262" s="55">
        <v>189.73</v>
      </c>
      <c r="J262" s="111">
        <v>24850</v>
      </c>
      <c r="K262" s="111">
        <v>21688</v>
      </c>
      <c r="L262" s="111">
        <v>22714</v>
      </c>
      <c r="M262" s="111">
        <v>20732</v>
      </c>
      <c r="N262" s="111">
        <v>24786</v>
      </c>
      <c r="O262" s="111">
        <v>22806</v>
      </c>
      <c r="P262" s="2">
        <f t="shared" si="31"/>
        <v>4714790.5</v>
      </c>
      <c r="Q262" s="2">
        <f t="shared" si="32"/>
        <v>4114864.2399999998</v>
      </c>
      <c r="R262" s="2">
        <f t="shared" si="33"/>
        <v>4309527.22</v>
      </c>
      <c r="S262" s="2">
        <f t="shared" si="34"/>
        <v>3933482.36</v>
      </c>
      <c r="T262" s="2">
        <f t="shared" si="35"/>
        <v>4702647.7799999993</v>
      </c>
      <c r="U262" s="2">
        <f t="shared" si="36"/>
        <v>4326982.38</v>
      </c>
    </row>
    <row r="263" spans="1:21">
      <c r="A263" s="55">
        <v>260</v>
      </c>
      <c r="B263" s="55" t="s">
        <v>521</v>
      </c>
      <c r="C263" s="55" t="s">
        <v>312</v>
      </c>
      <c r="D263" s="55" t="s">
        <v>720</v>
      </c>
      <c r="E263" s="75" t="s">
        <v>757</v>
      </c>
      <c r="F263" s="55" t="s">
        <v>758</v>
      </c>
      <c r="G263" s="55">
        <v>919501001</v>
      </c>
      <c r="H263" s="55" t="s">
        <v>744</v>
      </c>
      <c r="I263" s="55">
        <v>148.84</v>
      </c>
      <c r="J263" s="111">
        <v>85</v>
      </c>
      <c r="K263" s="111">
        <v>168</v>
      </c>
      <c r="L263" s="111">
        <v>283</v>
      </c>
      <c r="M263" s="111">
        <v>289</v>
      </c>
      <c r="N263" s="111">
        <v>319</v>
      </c>
      <c r="O263" s="111">
        <v>300</v>
      </c>
      <c r="P263" s="2">
        <f t="shared" si="31"/>
        <v>12651.4</v>
      </c>
      <c r="Q263" s="2">
        <f t="shared" si="32"/>
        <v>25005.119999999999</v>
      </c>
      <c r="R263" s="2">
        <f t="shared" si="33"/>
        <v>42121.72</v>
      </c>
      <c r="S263" s="2">
        <f t="shared" si="34"/>
        <v>43014.76</v>
      </c>
      <c r="T263" s="2">
        <f t="shared" si="35"/>
        <v>47479.96</v>
      </c>
      <c r="U263" s="2">
        <f t="shared" si="36"/>
        <v>44652</v>
      </c>
    </row>
    <row r="264" spans="1:21">
      <c r="A264" s="55">
        <v>261</v>
      </c>
      <c r="B264" s="55" t="s">
        <v>521</v>
      </c>
      <c r="C264" s="55" t="s">
        <v>312</v>
      </c>
      <c r="D264" s="55" t="s">
        <v>720</v>
      </c>
      <c r="E264" s="75" t="s">
        <v>757</v>
      </c>
      <c r="F264" s="55" t="s">
        <v>759</v>
      </c>
      <c r="G264" s="55">
        <v>919501002</v>
      </c>
      <c r="H264" s="55" t="s">
        <v>746</v>
      </c>
      <c r="I264" s="55">
        <v>148.84</v>
      </c>
      <c r="J264" s="111">
        <v>85</v>
      </c>
      <c r="K264" s="111">
        <v>168</v>
      </c>
      <c r="L264" s="111">
        <v>283</v>
      </c>
      <c r="M264" s="111">
        <v>289</v>
      </c>
      <c r="N264" s="111">
        <v>319</v>
      </c>
      <c r="O264" s="111">
        <v>300</v>
      </c>
      <c r="P264" s="2">
        <f t="shared" si="31"/>
        <v>12651.4</v>
      </c>
      <c r="Q264" s="2">
        <f t="shared" si="32"/>
        <v>25005.119999999999</v>
      </c>
      <c r="R264" s="2">
        <f t="shared" si="33"/>
        <v>42121.72</v>
      </c>
      <c r="S264" s="2">
        <f t="shared" si="34"/>
        <v>43014.76</v>
      </c>
      <c r="T264" s="2">
        <f t="shared" si="35"/>
        <v>47479.96</v>
      </c>
      <c r="U264" s="2">
        <f t="shared" si="36"/>
        <v>44652</v>
      </c>
    </row>
    <row r="265" spans="1:21">
      <c r="A265" s="55">
        <v>262</v>
      </c>
      <c r="B265" s="55" t="s">
        <v>521</v>
      </c>
      <c r="C265" s="55" t="s">
        <v>312</v>
      </c>
      <c r="D265" s="55" t="s">
        <v>720</v>
      </c>
      <c r="E265" s="75" t="s">
        <v>757</v>
      </c>
      <c r="F265" s="55" t="s">
        <v>760</v>
      </c>
      <c r="G265" s="55">
        <v>919518001</v>
      </c>
      <c r="H265" s="55" t="s">
        <v>761</v>
      </c>
      <c r="I265" s="55">
        <v>203.31</v>
      </c>
      <c r="J265" s="111">
        <v>85</v>
      </c>
      <c r="K265" s="111">
        <v>168</v>
      </c>
      <c r="L265" s="111">
        <v>283</v>
      </c>
      <c r="M265" s="111">
        <v>289</v>
      </c>
      <c r="N265" s="111">
        <v>319</v>
      </c>
      <c r="O265" s="111">
        <v>300</v>
      </c>
      <c r="P265" s="2">
        <f t="shared" si="31"/>
        <v>17281.349999999999</v>
      </c>
      <c r="Q265" s="2">
        <f t="shared" si="32"/>
        <v>34156.080000000002</v>
      </c>
      <c r="R265" s="2">
        <f t="shared" si="33"/>
        <v>57536.73</v>
      </c>
      <c r="S265" s="2">
        <f t="shared" si="34"/>
        <v>58756.590000000004</v>
      </c>
      <c r="T265" s="2">
        <f t="shared" si="35"/>
        <v>64855.89</v>
      </c>
      <c r="U265" s="2">
        <f t="shared" si="36"/>
        <v>60993</v>
      </c>
    </row>
    <row r="266" spans="1:21">
      <c r="A266" s="55">
        <v>263</v>
      </c>
      <c r="B266" s="55" t="s">
        <v>521</v>
      </c>
      <c r="C266" s="55" t="s">
        <v>312</v>
      </c>
      <c r="D266" s="55" t="s">
        <v>720</v>
      </c>
      <c r="E266" s="75" t="s">
        <v>762</v>
      </c>
      <c r="F266" s="55" t="s">
        <v>763</v>
      </c>
      <c r="G266" s="55">
        <v>913903008</v>
      </c>
      <c r="H266" s="55" t="s">
        <v>741</v>
      </c>
      <c r="I266" s="55">
        <v>22</v>
      </c>
      <c r="J266" s="111">
        <v>3575</v>
      </c>
      <c r="K266" s="111">
        <v>3575</v>
      </c>
      <c r="L266" s="111">
        <v>3575</v>
      </c>
      <c r="M266" s="111">
        <v>3575</v>
      </c>
      <c r="N266" s="111">
        <v>0</v>
      </c>
      <c r="O266" s="111">
        <v>0</v>
      </c>
      <c r="P266" s="2">
        <f t="shared" si="31"/>
        <v>78650</v>
      </c>
      <c r="Q266" s="2">
        <f t="shared" si="32"/>
        <v>78650</v>
      </c>
      <c r="R266" s="2">
        <f t="shared" si="33"/>
        <v>78650</v>
      </c>
      <c r="S266" s="2">
        <f t="shared" si="34"/>
        <v>78650</v>
      </c>
      <c r="T266" s="2">
        <f t="shared" si="35"/>
        <v>0</v>
      </c>
      <c r="U266" s="2">
        <f t="shared" si="36"/>
        <v>0</v>
      </c>
    </row>
    <row r="267" spans="1:21">
      <c r="A267" s="55">
        <v>264</v>
      </c>
      <c r="B267" s="55" t="s">
        <v>521</v>
      </c>
      <c r="C267" s="55" t="s">
        <v>312</v>
      </c>
      <c r="D267" s="55" t="s">
        <v>720</v>
      </c>
      <c r="E267" s="75" t="s">
        <v>764</v>
      </c>
      <c r="F267" s="55" t="s">
        <v>765</v>
      </c>
      <c r="G267" s="55">
        <v>915610001</v>
      </c>
      <c r="H267" s="55" t="s">
        <v>766</v>
      </c>
      <c r="I267" s="55">
        <v>122.68</v>
      </c>
      <c r="J267" s="111">
        <v>2898</v>
      </c>
      <c r="K267" s="111">
        <v>2310</v>
      </c>
      <c r="L267" s="111">
        <v>2526</v>
      </c>
      <c r="M267" s="111">
        <v>2320</v>
      </c>
      <c r="N267" s="111">
        <v>2755</v>
      </c>
      <c r="O267" s="111">
        <v>2527</v>
      </c>
      <c r="P267" s="2">
        <f t="shared" si="31"/>
        <v>355526.64</v>
      </c>
      <c r="Q267" s="2">
        <f t="shared" si="32"/>
        <v>283390.8</v>
      </c>
      <c r="R267" s="2">
        <f t="shared" si="33"/>
        <v>309889.68</v>
      </c>
      <c r="S267" s="2">
        <f t="shared" si="34"/>
        <v>284617.60000000003</v>
      </c>
      <c r="T267" s="2">
        <f t="shared" si="35"/>
        <v>337983.4</v>
      </c>
      <c r="U267" s="2">
        <f t="shared" si="36"/>
        <v>310012.36000000004</v>
      </c>
    </row>
    <row r="268" spans="1:21">
      <c r="A268" s="55">
        <v>265</v>
      </c>
      <c r="B268" s="55" t="s">
        <v>521</v>
      </c>
      <c r="C268" s="55" t="s">
        <v>312</v>
      </c>
      <c r="D268" s="55" t="s">
        <v>720</v>
      </c>
      <c r="E268" s="75" t="s">
        <v>764</v>
      </c>
      <c r="F268" s="55" t="s">
        <v>767</v>
      </c>
      <c r="G268" s="55">
        <v>915611001</v>
      </c>
      <c r="H268" s="55" t="s">
        <v>768</v>
      </c>
      <c r="I268" s="55">
        <v>17.89</v>
      </c>
      <c r="J268" s="111">
        <v>2898</v>
      </c>
      <c r="K268" s="111">
        <v>2310</v>
      </c>
      <c r="L268" s="111">
        <v>2526</v>
      </c>
      <c r="M268" s="111">
        <v>2320</v>
      </c>
      <c r="N268" s="111">
        <v>2755</v>
      </c>
      <c r="O268" s="111">
        <v>2527</v>
      </c>
      <c r="P268" s="2">
        <f t="shared" si="31"/>
        <v>51845.22</v>
      </c>
      <c r="Q268" s="2">
        <f t="shared" si="32"/>
        <v>41325.9</v>
      </c>
      <c r="R268" s="2">
        <f t="shared" si="33"/>
        <v>45190.14</v>
      </c>
      <c r="S268" s="2">
        <f t="shared" si="34"/>
        <v>41504.800000000003</v>
      </c>
      <c r="T268" s="2">
        <f t="shared" si="35"/>
        <v>49286.950000000004</v>
      </c>
      <c r="U268" s="2">
        <f t="shared" si="36"/>
        <v>45208.03</v>
      </c>
    </row>
    <row r="269" spans="1:21">
      <c r="A269" s="55">
        <v>266</v>
      </c>
      <c r="B269" s="55" t="s">
        <v>521</v>
      </c>
      <c r="C269" s="55" t="s">
        <v>312</v>
      </c>
      <c r="D269" s="55" t="s">
        <v>720</v>
      </c>
      <c r="E269" s="75" t="s">
        <v>764</v>
      </c>
      <c r="F269" s="55" t="s">
        <v>769</v>
      </c>
      <c r="G269" s="55">
        <v>915617002</v>
      </c>
      <c r="H269" s="55" t="s">
        <v>770</v>
      </c>
      <c r="I269" s="55">
        <v>74.06</v>
      </c>
      <c r="J269" s="111">
        <v>2898</v>
      </c>
      <c r="K269" s="111">
        <v>2310</v>
      </c>
      <c r="L269" s="111">
        <v>2526</v>
      </c>
      <c r="M269" s="111">
        <v>2320</v>
      </c>
      <c r="N269" s="111">
        <v>2755</v>
      </c>
      <c r="O269" s="111">
        <v>2527</v>
      </c>
      <c r="P269" s="2">
        <f t="shared" si="31"/>
        <v>214625.88</v>
      </c>
      <c r="Q269" s="2">
        <f t="shared" si="32"/>
        <v>171078.6</v>
      </c>
      <c r="R269" s="2">
        <f t="shared" si="33"/>
        <v>187075.56</v>
      </c>
      <c r="S269" s="2">
        <f t="shared" si="34"/>
        <v>171819.2</v>
      </c>
      <c r="T269" s="2">
        <f t="shared" si="35"/>
        <v>204035.30000000002</v>
      </c>
      <c r="U269" s="2">
        <f t="shared" si="36"/>
        <v>187149.62</v>
      </c>
    </row>
    <row r="270" spans="1:21">
      <c r="A270" s="55">
        <v>267</v>
      </c>
      <c r="B270" s="55" t="s">
        <v>521</v>
      </c>
      <c r="C270" s="55" t="s">
        <v>312</v>
      </c>
      <c r="D270" s="55" t="s">
        <v>720</v>
      </c>
      <c r="E270" s="75" t="s">
        <v>764</v>
      </c>
      <c r="F270" s="55" t="s">
        <v>771</v>
      </c>
      <c r="G270" s="55">
        <v>915617003</v>
      </c>
      <c r="H270" s="55" t="s">
        <v>772</v>
      </c>
      <c r="I270" s="55">
        <v>78.36</v>
      </c>
      <c r="J270" s="111">
        <v>2898</v>
      </c>
      <c r="K270" s="111">
        <v>2310</v>
      </c>
      <c r="L270" s="111">
        <v>2526</v>
      </c>
      <c r="M270" s="111">
        <v>2320</v>
      </c>
      <c r="N270" s="111">
        <v>2755</v>
      </c>
      <c r="O270" s="111">
        <v>2527</v>
      </c>
      <c r="P270" s="2">
        <f t="shared" si="31"/>
        <v>227087.28</v>
      </c>
      <c r="Q270" s="2">
        <f t="shared" si="32"/>
        <v>181011.6</v>
      </c>
      <c r="R270" s="2">
        <f t="shared" si="33"/>
        <v>197937.36</v>
      </c>
      <c r="S270" s="2">
        <f t="shared" si="34"/>
        <v>181795.20000000001</v>
      </c>
      <c r="T270" s="2">
        <f t="shared" si="35"/>
        <v>215881.8</v>
      </c>
      <c r="U270" s="2">
        <f t="shared" si="36"/>
        <v>198015.72</v>
      </c>
    </row>
    <row r="271" spans="1:21">
      <c r="A271" s="55">
        <v>268</v>
      </c>
      <c r="B271" s="55" t="s">
        <v>521</v>
      </c>
      <c r="C271" s="55" t="s">
        <v>312</v>
      </c>
      <c r="D271" s="55" t="s">
        <v>720</v>
      </c>
      <c r="E271" s="75" t="s">
        <v>773</v>
      </c>
      <c r="F271" s="55" t="s">
        <v>774</v>
      </c>
      <c r="G271" s="55">
        <v>913903005</v>
      </c>
      <c r="H271" s="55" t="s">
        <v>775</v>
      </c>
      <c r="I271" s="55">
        <v>39.14</v>
      </c>
      <c r="J271" s="111">
        <v>827</v>
      </c>
      <c r="K271" s="111">
        <v>900</v>
      </c>
      <c r="L271" s="111">
        <v>794</v>
      </c>
      <c r="M271" s="111">
        <v>794</v>
      </c>
      <c r="N271" s="111">
        <v>808</v>
      </c>
      <c r="O271" s="111">
        <v>769</v>
      </c>
      <c r="P271" s="2">
        <f t="shared" si="31"/>
        <v>32368.78</v>
      </c>
      <c r="Q271" s="2">
        <f t="shared" si="32"/>
        <v>35226</v>
      </c>
      <c r="R271" s="2">
        <f t="shared" si="33"/>
        <v>31077.16</v>
      </c>
      <c r="S271" s="2">
        <f t="shared" si="34"/>
        <v>31077.16</v>
      </c>
      <c r="T271" s="2">
        <f t="shared" si="35"/>
        <v>31625.119999999999</v>
      </c>
      <c r="U271" s="2">
        <f t="shared" si="36"/>
        <v>30098.66</v>
      </c>
    </row>
    <row r="272" spans="1:21">
      <c r="A272" s="55">
        <v>269</v>
      </c>
      <c r="B272" s="55" t="s">
        <v>521</v>
      </c>
      <c r="C272" s="55" t="s">
        <v>312</v>
      </c>
      <c r="D272" s="55" t="s">
        <v>720</v>
      </c>
      <c r="E272" s="75" t="s">
        <v>773</v>
      </c>
      <c r="F272" s="55" t="s">
        <v>776</v>
      </c>
      <c r="G272" s="55">
        <v>913917001</v>
      </c>
      <c r="H272" s="55" t="s">
        <v>777</v>
      </c>
      <c r="I272" s="55">
        <v>46.71</v>
      </c>
      <c r="J272" s="111">
        <v>827</v>
      </c>
      <c r="K272" s="111">
        <v>900</v>
      </c>
      <c r="L272" s="111">
        <v>794</v>
      </c>
      <c r="M272" s="111">
        <v>794</v>
      </c>
      <c r="N272" s="111">
        <v>808</v>
      </c>
      <c r="O272" s="111">
        <v>769</v>
      </c>
      <c r="P272" s="2">
        <f t="shared" si="31"/>
        <v>38629.17</v>
      </c>
      <c r="Q272" s="2">
        <f t="shared" si="32"/>
        <v>42039</v>
      </c>
      <c r="R272" s="2">
        <f t="shared" si="33"/>
        <v>37087.74</v>
      </c>
      <c r="S272" s="2">
        <f t="shared" si="34"/>
        <v>37087.74</v>
      </c>
      <c r="T272" s="2">
        <f t="shared" si="35"/>
        <v>37741.68</v>
      </c>
      <c r="U272" s="2">
        <f t="shared" si="36"/>
        <v>35919.99</v>
      </c>
    </row>
    <row r="273" spans="1:21">
      <c r="A273" s="55">
        <v>270</v>
      </c>
      <c r="B273" s="55" t="s">
        <v>521</v>
      </c>
      <c r="C273" s="55" t="s">
        <v>312</v>
      </c>
      <c r="D273" s="55" t="s">
        <v>720</v>
      </c>
      <c r="E273" s="75" t="s">
        <v>778</v>
      </c>
      <c r="F273" s="55" t="s">
        <v>779</v>
      </c>
      <c r="G273" s="55">
        <v>917803001</v>
      </c>
      <c r="H273" s="55" t="s">
        <v>748</v>
      </c>
      <c r="I273" s="55">
        <v>54.39</v>
      </c>
      <c r="J273" s="111">
        <v>6096</v>
      </c>
      <c r="K273" s="111">
        <v>4244</v>
      </c>
      <c r="L273" s="111">
        <v>4623</v>
      </c>
      <c r="M273" s="111">
        <v>4210</v>
      </c>
      <c r="N273" s="111">
        <v>5005</v>
      </c>
      <c r="O273" s="111">
        <v>4657</v>
      </c>
      <c r="P273" s="2">
        <f t="shared" si="31"/>
        <v>331561.44</v>
      </c>
      <c r="Q273" s="2">
        <f t="shared" si="32"/>
        <v>230831.16</v>
      </c>
      <c r="R273" s="2">
        <f t="shared" si="33"/>
        <v>251444.97</v>
      </c>
      <c r="S273" s="2">
        <f t="shared" si="34"/>
        <v>228981.9</v>
      </c>
      <c r="T273" s="2">
        <f t="shared" si="35"/>
        <v>272221.95</v>
      </c>
      <c r="U273" s="2">
        <f t="shared" si="36"/>
        <v>253294.23</v>
      </c>
    </row>
    <row r="274" spans="1:21">
      <c r="A274" s="55">
        <v>271</v>
      </c>
      <c r="B274" s="55" t="s">
        <v>521</v>
      </c>
      <c r="C274" s="55" t="s">
        <v>312</v>
      </c>
      <c r="D274" s="55" t="s">
        <v>720</v>
      </c>
      <c r="E274" s="75" t="s">
        <v>780</v>
      </c>
      <c r="F274" s="55" t="s">
        <v>781</v>
      </c>
      <c r="G274" s="55">
        <v>913904005</v>
      </c>
      <c r="H274" s="55" t="s">
        <v>723</v>
      </c>
      <c r="I274" s="55">
        <v>167.51</v>
      </c>
      <c r="J274" s="111">
        <v>1090</v>
      </c>
      <c r="K274" s="111">
        <v>1075</v>
      </c>
      <c r="L274" s="111">
        <v>1000</v>
      </c>
      <c r="M274" s="111">
        <v>1080</v>
      </c>
      <c r="N274" s="111">
        <v>1080</v>
      </c>
      <c r="O274" s="111">
        <v>848</v>
      </c>
      <c r="P274" s="2">
        <f t="shared" si="31"/>
        <v>182585.9</v>
      </c>
      <c r="Q274" s="2">
        <f t="shared" si="32"/>
        <v>180073.25</v>
      </c>
      <c r="R274" s="2">
        <f t="shared" si="33"/>
        <v>167510</v>
      </c>
      <c r="S274" s="2">
        <f t="shared" si="34"/>
        <v>180910.8</v>
      </c>
      <c r="T274" s="2">
        <f t="shared" si="35"/>
        <v>180910.8</v>
      </c>
      <c r="U274" s="2">
        <f t="shared" si="36"/>
        <v>142048.47999999998</v>
      </c>
    </row>
    <row r="275" spans="1:21">
      <c r="A275" s="55">
        <v>272</v>
      </c>
      <c r="B275" s="55" t="s">
        <v>521</v>
      </c>
      <c r="C275" s="55" t="s">
        <v>312</v>
      </c>
      <c r="D275" s="55" t="s">
        <v>720</v>
      </c>
      <c r="E275" s="75" t="s">
        <v>780</v>
      </c>
      <c r="F275" s="55" t="s">
        <v>782</v>
      </c>
      <c r="G275" s="55">
        <v>913904006</v>
      </c>
      <c r="H275" s="55" t="s">
        <v>725</v>
      </c>
      <c r="I275" s="55">
        <v>167.51</v>
      </c>
      <c r="J275" s="111">
        <v>1090</v>
      </c>
      <c r="K275" s="111">
        <v>1075</v>
      </c>
      <c r="L275" s="111">
        <v>1000</v>
      </c>
      <c r="M275" s="111">
        <v>1080</v>
      </c>
      <c r="N275" s="111">
        <v>1080</v>
      </c>
      <c r="O275" s="111">
        <v>848</v>
      </c>
      <c r="P275" s="2">
        <f t="shared" si="31"/>
        <v>182585.9</v>
      </c>
      <c r="Q275" s="2">
        <f t="shared" si="32"/>
        <v>180073.25</v>
      </c>
      <c r="R275" s="2">
        <f t="shared" si="33"/>
        <v>167510</v>
      </c>
      <c r="S275" s="2">
        <f t="shared" si="34"/>
        <v>180910.8</v>
      </c>
      <c r="T275" s="2">
        <f t="shared" si="35"/>
        <v>180910.8</v>
      </c>
      <c r="U275" s="2">
        <f t="shared" si="36"/>
        <v>142048.47999999998</v>
      </c>
    </row>
    <row r="276" spans="1:21">
      <c r="A276" s="55">
        <v>273</v>
      </c>
      <c r="B276" s="55" t="s">
        <v>521</v>
      </c>
      <c r="C276" s="55" t="s">
        <v>312</v>
      </c>
      <c r="D276" s="55" t="s">
        <v>720</v>
      </c>
      <c r="E276" s="75" t="s">
        <v>780</v>
      </c>
      <c r="F276" s="55" t="s">
        <v>783</v>
      </c>
      <c r="G276" s="55">
        <v>913904007</v>
      </c>
      <c r="H276" s="55" t="s">
        <v>727</v>
      </c>
      <c r="I276" s="55">
        <v>153.27000000000001</v>
      </c>
      <c r="J276" s="111">
        <v>1090</v>
      </c>
      <c r="K276" s="111">
        <v>1075</v>
      </c>
      <c r="L276" s="111">
        <v>1000</v>
      </c>
      <c r="M276" s="111">
        <v>1080</v>
      </c>
      <c r="N276" s="111">
        <v>1080</v>
      </c>
      <c r="O276" s="111">
        <v>848</v>
      </c>
      <c r="P276" s="2">
        <f t="shared" si="31"/>
        <v>167064.30000000002</v>
      </c>
      <c r="Q276" s="2">
        <f t="shared" si="32"/>
        <v>164765.25</v>
      </c>
      <c r="R276" s="2">
        <f t="shared" si="33"/>
        <v>153270</v>
      </c>
      <c r="S276" s="2">
        <f t="shared" si="34"/>
        <v>165531.6</v>
      </c>
      <c r="T276" s="2">
        <f t="shared" si="35"/>
        <v>165531.6</v>
      </c>
      <c r="U276" s="2">
        <f t="shared" si="36"/>
        <v>129972.96</v>
      </c>
    </row>
    <row r="277" spans="1:21">
      <c r="A277" s="55">
        <v>274</v>
      </c>
      <c r="B277" s="55" t="s">
        <v>521</v>
      </c>
      <c r="C277" s="55" t="s">
        <v>312</v>
      </c>
      <c r="D277" s="55" t="s">
        <v>720</v>
      </c>
      <c r="E277" s="75" t="s">
        <v>780</v>
      </c>
      <c r="F277" s="55" t="s">
        <v>784</v>
      </c>
      <c r="G277" s="55">
        <v>913904008</v>
      </c>
      <c r="H277" s="55" t="s">
        <v>729</v>
      </c>
      <c r="I277" s="55">
        <v>153.27000000000001</v>
      </c>
      <c r="J277" s="111">
        <v>1090</v>
      </c>
      <c r="K277" s="111">
        <v>1075</v>
      </c>
      <c r="L277" s="111">
        <v>1000</v>
      </c>
      <c r="M277" s="111">
        <v>1080</v>
      </c>
      <c r="N277" s="111">
        <v>1080</v>
      </c>
      <c r="O277" s="111">
        <v>848</v>
      </c>
      <c r="P277" s="2">
        <f t="shared" si="31"/>
        <v>167064.30000000002</v>
      </c>
      <c r="Q277" s="2">
        <f t="shared" si="32"/>
        <v>164765.25</v>
      </c>
      <c r="R277" s="2">
        <f t="shared" si="33"/>
        <v>153270</v>
      </c>
      <c r="S277" s="2">
        <f t="shared" si="34"/>
        <v>165531.6</v>
      </c>
      <c r="T277" s="2">
        <f t="shared" si="35"/>
        <v>165531.6</v>
      </c>
      <c r="U277" s="2">
        <f t="shared" si="36"/>
        <v>129972.96</v>
      </c>
    </row>
    <row r="278" spans="1:21">
      <c r="A278" s="55">
        <v>275</v>
      </c>
      <c r="B278" s="55" t="s">
        <v>521</v>
      </c>
      <c r="C278" s="55" t="s">
        <v>312</v>
      </c>
      <c r="D278" s="55" t="s">
        <v>720</v>
      </c>
      <c r="E278" s="75" t="s">
        <v>780</v>
      </c>
      <c r="F278" s="55" t="s">
        <v>785</v>
      </c>
      <c r="G278" s="55">
        <v>913902002</v>
      </c>
      <c r="H278" s="55" t="s">
        <v>786</v>
      </c>
      <c r="I278" s="55">
        <v>193.48</v>
      </c>
      <c r="J278" s="111">
        <v>1090</v>
      </c>
      <c r="K278" s="111">
        <v>1075</v>
      </c>
      <c r="L278" s="111">
        <v>1000</v>
      </c>
      <c r="M278" s="111">
        <v>1080</v>
      </c>
      <c r="N278" s="111">
        <v>1080</v>
      </c>
      <c r="O278" s="111">
        <v>848</v>
      </c>
      <c r="P278" s="2">
        <f t="shared" si="31"/>
        <v>210893.19999999998</v>
      </c>
      <c r="Q278" s="2">
        <f t="shared" si="32"/>
        <v>207991</v>
      </c>
      <c r="R278" s="2">
        <f t="shared" si="33"/>
        <v>193480</v>
      </c>
      <c r="S278" s="2">
        <f t="shared" si="34"/>
        <v>208958.4</v>
      </c>
      <c r="T278" s="2">
        <f t="shared" si="35"/>
        <v>208958.4</v>
      </c>
      <c r="U278" s="2">
        <f t="shared" si="36"/>
        <v>164071.03999999998</v>
      </c>
    </row>
    <row r="279" spans="1:21">
      <c r="A279" s="55">
        <v>276</v>
      </c>
      <c r="B279" s="55" t="s">
        <v>521</v>
      </c>
      <c r="C279" s="55" t="s">
        <v>312</v>
      </c>
      <c r="D279" s="55" t="s">
        <v>720</v>
      </c>
      <c r="E279" s="75" t="s">
        <v>787</v>
      </c>
      <c r="F279" s="55" t="s">
        <v>788</v>
      </c>
      <c r="G279" s="55">
        <v>910610002</v>
      </c>
      <c r="H279" s="55" t="s">
        <v>789</v>
      </c>
      <c r="I279" s="55">
        <v>193.04</v>
      </c>
      <c r="J279" s="111">
        <v>84</v>
      </c>
      <c r="K279" s="111">
        <v>82</v>
      </c>
      <c r="L279" s="111">
        <v>99</v>
      </c>
      <c r="M279" s="111">
        <v>87</v>
      </c>
      <c r="N279" s="111">
        <v>116</v>
      </c>
      <c r="O279" s="111">
        <v>98</v>
      </c>
      <c r="P279" s="2">
        <f t="shared" si="31"/>
        <v>16215.359999999999</v>
      </c>
      <c r="Q279" s="2">
        <f t="shared" si="32"/>
        <v>15829.279999999999</v>
      </c>
      <c r="R279" s="2">
        <f t="shared" si="33"/>
        <v>19110.96</v>
      </c>
      <c r="S279" s="2">
        <f t="shared" si="34"/>
        <v>16794.48</v>
      </c>
      <c r="T279" s="2">
        <f t="shared" si="35"/>
        <v>22392.639999999999</v>
      </c>
      <c r="U279" s="2">
        <f t="shared" si="36"/>
        <v>18917.919999999998</v>
      </c>
    </row>
    <row r="280" spans="1:21">
      <c r="A280" s="55">
        <v>277</v>
      </c>
      <c r="B280" s="55" t="s">
        <v>521</v>
      </c>
      <c r="C280" s="55" t="s">
        <v>312</v>
      </c>
      <c r="D280" s="55" t="s">
        <v>720</v>
      </c>
      <c r="E280" s="75" t="s">
        <v>787</v>
      </c>
      <c r="F280" s="55" t="s">
        <v>790</v>
      </c>
      <c r="G280" s="55">
        <v>910609001</v>
      </c>
      <c r="H280" s="55" t="s">
        <v>791</v>
      </c>
      <c r="I280" s="55">
        <v>201.72</v>
      </c>
      <c r="J280" s="111">
        <v>100</v>
      </c>
      <c r="K280" s="111">
        <v>84</v>
      </c>
      <c r="L280" s="111">
        <v>82</v>
      </c>
      <c r="M280" s="111">
        <v>99</v>
      </c>
      <c r="N280" s="111">
        <v>87</v>
      </c>
      <c r="O280" s="111">
        <v>116</v>
      </c>
      <c r="P280" s="2">
        <f t="shared" si="31"/>
        <v>20172</v>
      </c>
      <c r="Q280" s="2">
        <f t="shared" si="32"/>
        <v>16944.48</v>
      </c>
      <c r="R280" s="2">
        <f t="shared" si="33"/>
        <v>16541.04</v>
      </c>
      <c r="S280" s="2">
        <f t="shared" si="34"/>
        <v>19970.28</v>
      </c>
      <c r="T280" s="2">
        <f t="shared" si="35"/>
        <v>17549.64</v>
      </c>
      <c r="U280" s="2">
        <f t="shared" si="36"/>
        <v>23399.52</v>
      </c>
    </row>
    <row r="281" spans="1:21">
      <c r="A281" s="55">
        <v>278</v>
      </c>
      <c r="B281" s="55" t="s">
        <v>521</v>
      </c>
      <c r="C281" s="55" t="s">
        <v>312</v>
      </c>
      <c r="D281" s="55" t="s">
        <v>720</v>
      </c>
      <c r="E281" s="75" t="s">
        <v>787</v>
      </c>
      <c r="F281" s="55" t="s">
        <v>792</v>
      </c>
      <c r="G281" s="55">
        <v>910602002</v>
      </c>
      <c r="H281" s="55" t="s">
        <v>793</v>
      </c>
      <c r="I281" s="55">
        <v>63.34</v>
      </c>
      <c r="J281" s="111">
        <v>84</v>
      </c>
      <c r="K281" s="111">
        <v>82</v>
      </c>
      <c r="L281" s="111">
        <v>99</v>
      </c>
      <c r="M281" s="111">
        <v>87</v>
      </c>
      <c r="N281" s="111">
        <v>116</v>
      </c>
      <c r="O281" s="111">
        <v>98</v>
      </c>
      <c r="P281" s="2">
        <f t="shared" si="31"/>
        <v>5320.56</v>
      </c>
      <c r="Q281" s="2">
        <f t="shared" si="32"/>
        <v>5193.88</v>
      </c>
      <c r="R281" s="2">
        <f t="shared" si="33"/>
        <v>6270.6600000000008</v>
      </c>
      <c r="S281" s="2">
        <f t="shared" si="34"/>
        <v>5510.58</v>
      </c>
      <c r="T281" s="2">
        <f t="shared" si="35"/>
        <v>7347.4400000000005</v>
      </c>
      <c r="U281" s="2">
        <f t="shared" si="36"/>
        <v>6207.3200000000006</v>
      </c>
    </row>
    <row r="282" spans="1:21">
      <c r="A282" s="55">
        <v>279</v>
      </c>
      <c r="B282" s="55" t="s">
        <v>521</v>
      </c>
      <c r="C282" s="55" t="s">
        <v>312</v>
      </c>
      <c r="D282" s="55" t="s">
        <v>720</v>
      </c>
      <c r="E282" s="75" t="s">
        <v>787</v>
      </c>
      <c r="F282" s="55" t="s">
        <v>794</v>
      </c>
      <c r="G282" s="55">
        <v>910617003</v>
      </c>
      <c r="H282" s="55" t="s">
        <v>754</v>
      </c>
      <c r="I282" s="55">
        <v>246.24</v>
      </c>
      <c r="J282" s="111">
        <v>84</v>
      </c>
      <c r="K282" s="111">
        <v>82</v>
      </c>
      <c r="L282" s="111">
        <v>99</v>
      </c>
      <c r="M282" s="111">
        <v>87</v>
      </c>
      <c r="N282" s="111">
        <v>116</v>
      </c>
      <c r="O282" s="111">
        <v>98</v>
      </c>
      <c r="P282" s="2">
        <f t="shared" si="31"/>
        <v>20684.16</v>
      </c>
      <c r="Q282" s="2">
        <f t="shared" si="32"/>
        <v>20191.68</v>
      </c>
      <c r="R282" s="2">
        <f t="shared" si="33"/>
        <v>24377.760000000002</v>
      </c>
      <c r="S282" s="2">
        <f t="shared" si="34"/>
        <v>21422.880000000001</v>
      </c>
      <c r="T282" s="2">
        <f t="shared" si="35"/>
        <v>28563.84</v>
      </c>
      <c r="U282" s="2">
        <f t="shared" si="36"/>
        <v>24131.52</v>
      </c>
    </row>
    <row r="283" spans="1:21">
      <c r="A283" s="55">
        <v>280</v>
      </c>
      <c r="B283" s="55" t="s">
        <v>521</v>
      </c>
      <c r="C283" s="55" t="s">
        <v>312</v>
      </c>
      <c r="D283" s="55" t="s">
        <v>720</v>
      </c>
      <c r="E283" s="75" t="s">
        <v>795</v>
      </c>
      <c r="F283" s="55" t="s">
        <v>796</v>
      </c>
      <c r="G283" s="55">
        <v>910509001</v>
      </c>
      <c r="H283" s="55" t="s">
        <v>791</v>
      </c>
      <c r="I283" s="55">
        <v>197.42</v>
      </c>
      <c r="J283" s="111">
        <v>84</v>
      </c>
      <c r="K283" s="111">
        <v>82</v>
      </c>
      <c r="L283" s="111">
        <v>99</v>
      </c>
      <c r="M283" s="111">
        <v>87</v>
      </c>
      <c r="N283" s="111">
        <v>116</v>
      </c>
      <c r="O283" s="111">
        <v>98</v>
      </c>
      <c r="P283" s="2">
        <f t="shared" si="31"/>
        <v>16583.28</v>
      </c>
      <c r="Q283" s="2">
        <f t="shared" si="32"/>
        <v>16188.439999999999</v>
      </c>
      <c r="R283" s="2">
        <f t="shared" si="33"/>
        <v>19544.579999999998</v>
      </c>
      <c r="S283" s="2">
        <f t="shared" si="34"/>
        <v>17175.539999999997</v>
      </c>
      <c r="T283" s="2">
        <f t="shared" si="35"/>
        <v>22900.719999999998</v>
      </c>
      <c r="U283" s="2">
        <f t="shared" si="36"/>
        <v>19347.16</v>
      </c>
    </row>
    <row r="284" spans="1:21">
      <c r="A284" s="55">
        <v>281</v>
      </c>
      <c r="B284" s="55" t="s">
        <v>521</v>
      </c>
      <c r="C284" s="55" t="s">
        <v>312</v>
      </c>
      <c r="D284" s="55" t="s">
        <v>720</v>
      </c>
      <c r="E284" s="75" t="s">
        <v>795</v>
      </c>
      <c r="F284" s="55" t="s">
        <v>797</v>
      </c>
      <c r="G284" s="55">
        <v>910510001</v>
      </c>
      <c r="H284" s="55" t="s">
        <v>798</v>
      </c>
      <c r="I284" s="55">
        <v>156.85</v>
      </c>
      <c r="J284" s="111">
        <v>444</v>
      </c>
      <c r="K284" s="111">
        <v>449</v>
      </c>
      <c r="L284" s="111">
        <v>368</v>
      </c>
      <c r="M284" s="111">
        <v>348</v>
      </c>
      <c r="N284" s="111">
        <v>344</v>
      </c>
      <c r="O284" s="111">
        <v>347</v>
      </c>
      <c r="P284" s="2">
        <f t="shared" si="31"/>
        <v>69641.399999999994</v>
      </c>
      <c r="Q284" s="2">
        <f t="shared" si="32"/>
        <v>70425.649999999994</v>
      </c>
      <c r="R284" s="2">
        <f t="shared" si="33"/>
        <v>57720.799999999996</v>
      </c>
      <c r="S284" s="2">
        <f t="shared" si="34"/>
        <v>54583.799999999996</v>
      </c>
      <c r="T284" s="2">
        <f t="shared" si="35"/>
        <v>53956.4</v>
      </c>
      <c r="U284" s="2">
        <f t="shared" si="36"/>
        <v>54426.95</v>
      </c>
    </row>
    <row r="285" spans="1:21">
      <c r="A285" s="55">
        <v>282</v>
      </c>
      <c r="B285" s="55" t="s">
        <v>521</v>
      </c>
      <c r="C285" s="55" t="s">
        <v>312</v>
      </c>
      <c r="D285" s="55" t="s">
        <v>720</v>
      </c>
      <c r="E285" s="75" t="s">
        <v>795</v>
      </c>
      <c r="F285" s="55" t="s">
        <v>799</v>
      </c>
      <c r="G285" s="55">
        <v>910513001</v>
      </c>
      <c r="H285" s="55" t="s">
        <v>750</v>
      </c>
      <c r="I285" s="55">
        <v>113.21</v>
      </c>
      <c r="J285" s="111">
        <v>444</v>
      </c>
      <c r="K285" s="111">
        <v>449</v>
      </c>
      <c r="L285" s="111">
        <v>368</v>
      </c>
      <c r="M285" s="111">
        <v>348</v>
      </c>
      <c r="N285" s="111">
        <v>344</v>
      </c>
      <c r="O285" s="111">
        <v>347</v>
      </c>
      <c r="P285" s="2">
        <f t="shared" si="31"/>
        <v>50265.24</v>
      </c>
      <c r="Q285" s="2">
        <f t="shared" si="32"/>
        <v>50831.289999999994</v>
      </c>
      <c r="R285" s="2">
        <f t="shared" si="33"/>
        <v>41661.279999999999</v>
      </c>
      <c r="S285" s="2">
        <f t="shared" si="34"/>
        <v>39397.079999999994</v>
      </c>
      <c r="T285" s="2">
        <f t="shared" si="35"/>
        <v>38944.239999999998</v>
      </c>
      <c r="U285" s="2">
        <f t="shared" si="36"/>
        <v>39283.869999999995</v>
      </c>
    </row>
    <row r="286" spans="1:21">
      <c r="A286" s="55">
        <v>283</v>
      </c>
      <c r="B286" s="55" t="s">
        <v>521</v>
      </c>
      <c r="C286" s="55" t="s">
        <v>312</v>
      </c>
      <c r="D286" s="55" t="s">
        <v>720</v>
      </c>
      <c r="E286" s="75" t="s">
        <v>795</v>
      </c>
      <c r="F286" s="55" t="s">
        <v>800</v>
      </c>
      <c r="G286" s="55">
        <v>910512001</v>
      </c>
      <c r="H286" s="55" t="s">
        <v>801</v>
      </c>
      <c r="I286" s="55">
        <v>162.44</v>
      </c>
      <c r="J286" s="111">
        <v>444</v>
      </c>
      <c r="K286" s="111">
        <v>449</v>
      </c>
      <c r="L286" s="111">
        <v>368</v>
      </c>
      <c r="M286" s="111">
        <v>348</v>
      </c>
      <c r="N286" s="111">
        <v>344</v>
      </c>
      <c r="O286" s="111">
        <v>347</v>
      </c>
      <c r="P286" s="2">
        <f t="shared" si="31"/>
        <v>72123.360000000001</v>
      </c>
      <c r="Q286" s="2">
        <f t="shared" si="32"/>
        <v>72935.56</v>
      </c>
      <c r="R286" s="2">
        <f t="shared" si="33"/>
        <v>59777.919999999998</v>
      </c>
      <c r="S286" s="2">
        <f t="shared" si="34"/>
        <v>56529.120000000003</v>
      </c>
      <c r="T286" s="2">
        <f t="shared" si="35"/>
        <v>55879.360000000001</v>
      </c>
      <c r="U286" s="2">
        <f t="shared" si="36"/>
        <v>56366.68</v>
      </c>
    </row>
    <row r="287" spans="1:21">
      <c r="A287" s="55">
        <v>284</v>
      </c>
      <c r="B287" s="55" t="s">
        <v>521</v>
      </c>
      <c r="C287" s="55" t="s">
        <v>312</v>
      </c>
      <c r="D287" s="55" t="s">
        <v>720</v>
      </c>
      <c r="E287" s="75" t="s">
        <v>795</v>
      </c>
      <c r="F287" s="55" t="s">
        <v>802</v>
      </c>
      <c r="G287" s="55">
        <v>910512002</v>
      </c>
      <c r="H287" s="55" t="s">
        <v>803</v>
      </c>
      <c r="I287" s="55">
        <v>162.44</v>
      </c>
      <c r="J287" s="111">
        <v>444</v>
      </c>
      <c r="K287" s="111">
        <v>449</v>
      </c>
      <c r="L287" s="111">
        <v>368</v>
      </c>
      <c r="M287" s="111">
        <v>348</v>
      </c>
      <c r="N287" s="111">
        <v>344</v>
      </c>
      <c r="O287" s="111">
        <v>347</v>
      </c>
      <c r="P287" s="2">
        <f t="shared" si="31"/>
        <v>72123.360000000001</v>
      </c>
      <c r="Q287" s="2">
        <f t="shared" si="32"/>
        <v>72935.56</v>
      </c>
      <c r="R287" s="2">
        <f t="shared" si="33"/>
        <v>59777.919999999998</v>
      </c>
      <c r="S287" s="2">
        <f t="shared" si="34"/>
        <v>56529.120000000003</v>
      </c>
      <c r="T287" s="2">
        <f t="shared" si="35"/>
        <v>55879.360000000001</v>
      </c>
      <c r="U287" s="2">
        <f t="shared" si="36"/>
        <v>56366.68</v>
      </c>
    </row>
    <row r="288" spans="1:21">
      <c r="A288" s="55">
        <v>285</v>
      </c>
      <c r="B288" s="55" t="s">
        <v>521</v>
      </c>
      <c r="C288" s="55" t="s">
        <v>312</v>
      </c>
      <c r="D288" s="55" t="s">
        <v>720</v>
      </c>
      <c r="E288" s="75" t="s">
        <v>795</v>
      </c>
      <c r="F288" s="55" t="s">
        <v>804</v>
      </c>
      <c r="G288" s="55">
        <v>910504001</v>
      </c>
      <c r="H288" s="55" t="s">
        <v>805</v>
      </c>
      <c r="I288" s="55">
        <v>60.38</v>
      </c>
      <c r="J288" s="111">
        <v>444</v>
      </c>
      <c r="K288" s="111">
        <v>449</v>
      </c>
      <c r="L288" s="111">
        <v>368</v>
      </c>
      <c r="M288" s="111">
        <v>348</v>
      </c>
      <c r="N288" s="111">
        <v>344</v>
      </c>
      <c r="O288" s="111">
        <v>347</v>
      </c>
      <c r="P288" s="2">
        <f t="shared" si="31"/>
        <v>26808.720000000001</v>
      </c>
      <c r="Q288" s="2">
        <f t="shared" si="32"/>
        <v>27110.620000000003</v>
      </c>
      <c r="R288" s="2">
        <f t="shared" si="33"/>
        <v>22219.84</v>
      </c>
      <c r="S288" s="2">
        <f t="shared" si="34"/>
        <v>21012.240000000002</v>
      </c>
      <c r="T288" s="2">
        <f t="shared" si="35"/>
        <v>20770.72</v>
      </c>
      <c r="U288" s="2">
        <f t="shared" si="36"/>
        <v>20951.86</v>
      </c>
    </row>
    <row r="289" spans="1:21">
      <c r="A289" s="55">
        <v>286</v>
      </c>
      <c r="B289" s="55" t="s">
        <v>521</v>
      </c>
      <c r="C289" s="55" t="s">
        <v>312</v>
      </c>
      <c r="D289" s="55" t="s">
        <v>720</v>
      </c>
      <c r="E289" s="75" t="s">
        <v>795</v>
      </c>
      <c r="F289" s="55" t="s">
        <v>806</v>
      </c>
      <c r="G289" s="55">
        <v>910501004</v>
      </c>
      <c r="H289" s="55" t="s">
        <v>807</v>
      </c>
      <c r="I289" s="55">
        <v>13.74</v>
      </c>
      <c r="J289" s="111">
        <v>444</v>
      </c>
      <c r="K289" s="111">
        <v>449</v>
      </c>
      <c r="L289" s="111">
        <v>368</v>
      </c>
      <c r="M289" s="111">
        <v>348</v>
      </c>
      <c r="N289" s="111">
        <v>344</v>
      </c>
      <c r="O289" s="111">
        <v>347</v>
      </c>
      <c r="P289" s="2">
        <f t="shared" si="31"/>
        <v>6100.56</v>
      </c>
      <c r="Q289" s="2">
        <f t="shared" si="32"/>
        <v>6169.26</v>
      </c>
      <c r="R289" s="2">
        <f t="shared" si="33"/>
        <v>5056.32</v>
      </c>
      <c r="S289" s="2">
        <f t="shared" si="34"/>
        <v>4781.5200000000004</v>
      </c>
      <c r="T289" s="2">
        <f t="shared" si="35"/>
        <v>4726.5600000000004</v>
      </c>
      <c r="U289" s="2">
        <f t="shared" si="36"/>
        <v>4767.78</v>
      </c>
    </row>
    <row r="290" spans="1:21">
      <c r="A290" s="55">
        <v>287</v>
      </c>
      <c r="B290" s="55" t="s">
        <v>521</v>
      </c>
      <c r="C290" s="55" t="s">
        <v>312</v>
      </c>
      <c r="D290" s="55" t="s">
        <v>720</v>
      </c>
      <c r="E290" s="75" t="s">
        <v>795</v>
      </c>
      <c r="F290" s="55" t="s">
        <v>808</v>
      </c>
      <c r="G290" s="55">
        <v>910501005</v>
      </c>
      <c r="H290" s="55" t="s">
        <v>807</v>
      </c>
      <c r="I290" s="55">
        <v>13.74</v>
      </c>
      <c r="J290" s="111">
        <v>444</v>
      </c>
      <c r="K290" s="111">
        <v>449</v>
      </c>
      <c r="L290" s="111">
        <v>368</v>
      </c>
      <c r="M290" s="111">
        <v>348</v>
      </c>
      <c r="N290" s="111">
        <v>344</v>
      </c>
      <c r="O290" s="111">
        <v>347</v>
      </c>
      <c r="P290" s="2">
        <f t="shared" si="31"/>
        <v>6100.56</v>
      </c>
      <c r="Q290" s="2">
        <f t="shared" si="32"/>
        <v>6169.26</v>
      </c>
      <c r="R290" s="2">
        <f t="shared" si="33"/>
        <v>5056.32</v>
      </c>
      <c r="S290" s="2">
        <f t="shared" si="34"/>
        <v>4781.5200000000004</v>
      </c>
      <c r="T290" s="2">
        <f t="shared" si="35"/>
        <v>4726.5600000000004</v>
      </c>
      <c r="U290" s="2">
        <f t="shared" si="36"/>
        <v>4767.78</v>
      </c>
    </row>
    <row r="291" spans="1:21">
      <c r="A291" s="55">
        <v>288</v>
      </c>
      <c r="B291" s="55" t="s">
        <v>521</v>
      </c>
      <c r="C291" s="55" t="s">
        <v>312</v>
      </c>
      <c r="D291" s="55" t="s">
        <v>720</v>
      </c>
      <c r="E291" s="75" t="s">
        <v>795</v>
      </c>
      <c r="F291" s="55" t="s">
        <v>809</v>
      </c>
      <c r="G291" s="55">
        <v>910511001</v>
      </c>
      <c r="H291" s="55" t="s">
        <v>810</v>
      </c>
      <c r="I291" s="55">
        <v>17.649999999999999</v>
      </c>
      <c r="J291" s="111">
        <v>444</v>
      </c>
      <c r="K291" s="111">
        <v>449</v>
      </c>
      <c r="L291" s="111">
        <v>368</v>
      </c>
      <c r="M291" s="111">
        <v>348</v>
      </c>
      <c r="N291" s="111">
        <v>344</v>
      </c>
      <c r="O291" s="111">
        <v>347</v>
      </c>
      <c r="P291" s="2">
        <f t="shared" si="31"/>
        <v>7836.5999999999995</v>
      </c>
      <c r="Q291" s="2">
        <f t="shared" si="32"/>
        <v>7924.8499999999995</v>
      </c>
      <c r="R291" s="2">
        <f t="shared" si="33"/>
        <v>6495.2</v>
      </c>
      <c r="S291" s="2">
        <f t="shared" si="34"/>
        <v>6142.2</v>
      </c>
      <c r="T291" s="2">
        <f t="shared" si="35"/>
        <v>6071.5999999999995</v>
      </c>
      <c r="U291" s="2">
        <f t="shared" si="36"/>
        <v>6124.5499999999993</v>
      </c>
    </row>
    <row r="292" spans="1:21">
      <c r="A292" s="55">
        <v>289</v>
      </c>
      <c r="B292" s="55" t="s">
        <v>521</v>
      </c>
      <c r="C292" s="55" t="s">
        <v>312</v>
      </c>
      <c r="D292" s="55" t="s">
        <v>720</v>
      </c>
      <c r="E292" s="75" t="s">
        <v>795</v>
      </c>
      <c r="F292" s="55" t="s">
        <v>811</v>
      </c>
      <c r="G292" s="55">
        <v>910501001</v>
      </c>
      <c r="H292" s="55" t="s">
        <v>756</v>
      </c>
      <c r="I292" s="55">
        <v>177.21</v>
      </c>
      <c r="J292" s="111">
        <v>444</v>
      </c>
      <c r="K292" s="111">
        <v>449</v>
      </c>
      <c r="L292" s="111">
        <v>368</v>
      </c>
      <c r="M292" s="111">
        <v>348</v>
      </c>
      <c r="N292" s="111">
        <v>344</v>
      </c>
      <c r="O292" s="111">
        <v>347</v>
      </c>
      <c r="P292" s="2">
        <f t="shared" si="31"/>
        <v>78681.240000000005</v>
      </c>
      <c r="Q292" s="2">
        <f t="shared" si="32"/>
        <v>79567.290000000008</v>
      </c>
      <c r="R292" s="2">
        <f t="shared" si="33"/>
        <v>65213.280000000006</v>
      </c>
      <c r="S292" s="2">
        <f t="shared" si="34"/>
        <v>61669.08</v>
      </c>
      <c r="T292" s="2">
        <f t="shared" si="35"/>
        <v>60960.240000000005</v>
      </c>
      <c r="U292" s="2">
        <f t="shared" si="36"/>
        <v>61491.87</v>
      </c>
    </row>
    <row r="293" spans="1:21">
      <c r="A293" s="55">
        <v>290</v>
      </c>
      <c r="B293" s="55" t="s">
        <v>521</v>
      </c>
      <c r="C293" s="55" t="s">
        <v>312</v>
      </c>
      <c r="D293" s="55" t="s">
        <v>720</v>
      </c>
      <c r="E293" s="75" t="s">
        <v>812</v>
      </c>
      <c r="F293" s="55" t="s">
        <v>813</v>
      </c>
      <c r="G293" s="55">
        <v>913913001</v>
      </c>
      <c r="H293" s="55" t="s">
        <v>814</v>
      </c>
      <c r="I293" s="55">
        <v>19.64</v>
      </c>
      <c r="J293" s="111">
        <v>106</v>
      </c>
      <c r="K293" s="111">
        <v>80</v>
      </c>
      <c r="L293" s="111">
        <v>65</v>
      </c>
      <c r="M293" s="111">
        <v>88</v>
      </c>
      <c r="N293" s="111">
        <v>111</v>
      </c>
      <c r="O293" s="111">
        <v>77</v>
      </c>
      <c r="P293" s="2">
        <f t="shared" si="31"/>
        <v>2081.84</v>
      </c>
      <c r="Q293" s="2">
        <f t="shared" si="32"/>
        <v>1571.2</v>
      </c>
      <c r="R293" s="2">
        <f t="shared" si="33"/>
        <v>1276.6000000000001</v>
      </c>
      <c r="S293" s="2">
        <f t="shared" si="34"/>
        <v>1728.3200000000002</v>
      </c>
      <c r="T293" s="2">
        <f t="shared" si="35"/>
        <v>2180.04</v>
      </c>
      <c r="U293" s="2">
        <f t="shared" si="36"/>
        <v>1512.28</v>
      </c>
    </row>
    <row r="294" spans="1:21">
      <c r="A294" s="55">
        <v>291</v>
      </c>
      <c r="B294" s="55" t="s">
        <v>521</v>
      </c>
      <c r="C294" s="55" t="s">
        <v>312</v>
      </c>
      <c r="D294" s="55" t="s">
        <v>720</v>
      </c>
      <c r="E294" s="75" t="s">
        <v>815</v>
      </c>
      <c r="F294" s="55" t="s">
        <v>816</v>
      </c>
      <c r="G294" s="55">
        <v>913901005</v>
      </c>
      <c r="H294" s="55" t="s">
        <v>817</v>
      </c>
      <c r="I294" s="55">
        <v>174.59</v>
      </c>
      <c r="J294" s="111">
        <v>22</v>
      </c>
      <c r="K294" s="111">
        <v>22</v>
      </c>
      <c r="L294" s="111">
        <v>22</v>
      </c>
      <c r="M294" s="111">
        <v>22</v>
      </c>
      <c r="N294" s="111">
        <v>22</v>
      </c>
      <c r="O294" s="111">
        <v>22</v>
      </c>
      <c r="P294" s="2">
        <f t="shared" si="31"/>
        <v>3840.98</v>
      </c>
      <c r="Q294" s="2">
        <f t="shared" si="32"/>
        <v>3840.98</v>
      </c>
      <c r="R294" s="2">
        <f t="shared" si="33"/>
        <v>3840.98</v>
      </c>
      <c r="S294" s="2">
        <f t="shared" si="34"/>
        <v>3840.98</v>
      </c>
      <c r="T294" s="2">
        <f t="shared" si="35"/>
        <v>3840.98</v>
      </c>
      <c r="U294" s="2">
        <f t="shared" si="36"/>
        <v>3840.98</v>
      </c>
    </row>
    <row r="295" spans="1:21">
      <c r="A295" s="55">
        <v>292</v>
      </c>
      <c r="B295" s="55" t="s">
        <v>521</v>
      </c>
      <c r="C295" s="55" t="s">
        <v>312</v>
      </c>
      <c r="D295" s="55" t="s">
        <v>720</v>
      </c>
      <c r="E295" s="75" t="s">
        <v>815</v>
      </c>
      <c r="F295" s="55" t="s">
        <v>818</v>
      </c>
      <c r="G295" s="55">
        <v>913901006</v>
      </c>
      <c r="H295" s="55" t="s">
        <v>819</v>
      </c>
      <c r="I295" s="55">
        <v>174.6</v>
      </c>
      <c r="J295" s="111">
        <v>22</v>
      </c>
      <c r="K295" s="111">
        <v>22</v>
      </c>
      <c r="L295" s="111">
        <v>22</v>
      </c>
      <c r="M295" s="111">
        <v>22</v>
      </c>
      <c r="N295" s="111">
        <v>22</v>
      </c>
      <c r="O295" s="111">
        <v>22</v>
      </c>
      <c r="P295" s="2">
        <f t="shared" si="31"/>
        <v>3841.2</v>
      </c>
      <c r="Q295" s="2">
        <f t="shared" si="32"/>
        <v>3841.2</v>
      </c>
      <c r="R295" s="2">
        <f t="shared" si="33"/>
        <v>3841.2</v>
      </c>
      <c r="S295" s="2">
        <f t="shared" si="34"/>
        <v>3841.2</v>
      </c>
      <c r="T295" s="2">
        <f t="shared" si="35"/>
        <v>3841.2</v>
      </c>
      <c r="U295" s="2">
        <f t="shared" si="36"/>
        <v>3841.2</v>
      </c>
    </row>
    <row r="296" spans="1:21">
      <c r="A296" s="55">
        <v>293</v>
      </c>
      <c r="B296" s="55" t="s">
        <v>521</v>
      </c>
      <c r="C296" s="55" t="s">
        <v>312</v>
      </c>
      <c r="D296" s="55" t="s">
        <v>720</v>
      </c>
      <c r="E296" s="75" t="s">
        <v>815</v>
      </c>
      <c r="F296" s="55" t="s">
        <v>820</v>
      </c>
      <c r="G296" s="55">
        <v>913901007</v>
      </c>
      <c r="H296" s="55" t="s">
        <v>821</v>
      </c>
      <c r="I296" s="55">
        <v>170.87</v>
      </c>
      <c r="J296" s="111">
        <v>22</v>
      </c>
      <c r="K296" s="111">
        <v>22</v>
      </c>
      <c r="L296" s="111">
        <v>22</v>
      </c>
      <c r="M296" s="111">
        <v>22</v>
      </c>
      <c r="N296" s="111">
        <v>22</v>
      </c>
      <c r="O296" s="111">
        <v>22</v>
      </c>
      <c r="P296" s="2">
        <f t="shared" si="31"/>
        <v>3759.1400000000003</v>
      </c>
      <c r="Q296" s="2">
        <f t="shared" si="32"/>
        <v>3759.1400000000003</v>
      </c>
      <c r="R296" s="2">
        <f t="shared" si="33"/>
        <v>3759.1400000000003</v>
      </c>
      <c r="S296" s="2">
        <f t="shared" si="34"/>
        <v>3759.1400000000003</v>
      </c>
      <c r="T296" s="2">
        <f t="shared" si="35"/>
        <v>3759.1400000000003</v>
      </c>
      <c r="U296" s="2">
        <f t="shared" si="36"/>
        <v>3759.1400000000003</v>
      </c>
    </row>
    <row r="297" spans="1:21">
      <c r="A297" s="55">
        <v>294</v>
      </c>
      <c r="B297" s="55" t="s">
        <v>521</v>
      </c>
      <c r="C297" s="55" t="s">
        <v>312</v>
      </c>
      <c r="D297" s="55" t="s">
        <v>720</v>
      </c>
      <c r="E297" s="75" t="s">
        <v>815</v>
      </c>
      <c r="F297" s="55" t="s">
        <v>822</v>
      </c>
      <c r="G297" s="55">
        <v>913901008</v>
      </c>
      <c r="H297" s="55" t="s">
        <v>823</v>
      </c>
      <c r="I297" s="55">
        <v>170.87</v>
      </c>
      <c r="J297" s="111">
        <v>22</v>
      </c>
      <c r="K297" s="111">
        <v>22</v>
      </c>
      <c r="L297" s="111">
        <v>22</v>
      </c>
      <c r="M297" s="111">
        <v>22</v>
      </c>
      <c r="N297" s="111">
        <v>22</v>
      </c>
      <c r="O297" s="111">
        <v>22</v>
      </c>
      <c r="P297" s="2">
        <f t="shared" si="31"/>
        <v>3759.1400000000003</v>
      </c>
      <c r="Q297" s="2">
        <f t="shared" si="32"/>
        <v>3759.1400000000003</v>
      </c>
      <c r="R297" s="2">
        <f t="shared" si="33"/>
        <v>3759.1400000000003</v>
      </c>
      <c r="S297" s="2">
        <f t="shared" si="34"/>
        <v>3759.1400000000003</v>
      </c>
      <c r="T297" s="2">
        <f t="shared" si="35"/>
        <v>3759.1400000000003</v>
      </c>
      <c r="U297" s="2">
        <f t="shared" si="36"/>
        <v>3759.1400000000003</v>
      </c>
    </row>
    <row r="298" spans="1:21">
      <c r="A298" s="55">
        <v>295</v>
      </c>
      <c r="B298" s="55" t="s">
        <v>521</v>
      </c>
      <c r="C298" s="55" t="s">
        <v>312</v>
      </c>
      <c r="D298" s="55" t="s">
        <v>720</v>
      </c>
      <c r="E298" s="75" t="s">
        <v>815</v>
      </c>
      <c r="F298" s="55" t="s">
        <v>824</v>
      </c>
      <c r="G298" s="55">
        <v>913902001</v>
      </c>
      <c r="H298" s="55" t="s">
        <v>825</v>
      </c>
      <c r="I298" s="55">
        <v>130.12</v>
      </c>
      <c r="J298" s="111">
        <v>22</v>
      </c>
      <c r="K298" s="111">
        <v>22</v>
      </c>
      <c r="L298" s="111">
        <v>22</v>
      </c>
      <c r="M298" s="111">
        <v>22</v>
      </c>
      <c r="N298" s="111">
        <v>22</v>
      </c>
      <c r="O298" s="111">
        <v>22</v>
      </c>
      <c r="P298" s="2">
        <f t="shared" si="31"/>
        <v>2862.6400000000003</v>
      </c>
      <c r="Q298" s="2">
        <f t="shared" si="32"/>
        <v>2862.6400000000003</v>
      </c>
      <c r="R298" s="2">
        <f t="shared" si="33"/>
        <v>2862.6400000000003</v>
      </c>
      <c r="S298" s="2">
        <f t="shared" si="34"/>
        <v>2862.6400000000003</v>
      </c>
      <c r="T298" s="2">
        <f t="shared" si="35"/>
        <v>2862.6400000000003</v>
      </c>
      <c r="U298" s="2">
        <f t="shared" si="36"/>
        <v>2862.6400000000003</v>
      </c>
    </row>
    <row r="299" spans="1:21">
      <c r="A299" s="55">
        <v>296</v>
      </c>
      <c r="B299" s="55" t="s">
        <v>521</v>
      </c>
      <c r="C299" s="55" t="s">
        <v>312</v>
      </c>
      <c r="D299" s="55" t="s">
        <v>720</v>
      </c>
      <c r="E299" s="75" t="s">
        <v>815</v>
      </c>
      <c r="F299" s="55" t="s">
        <v>826</v>
      </c>
      <c r="G299" s="55">
        <v>913903009</v>
      </c>
      <c r="H299" s="55" t="s">
        <v>827</v>
      </c>
      <c r="I299" s="55">
        <v>37.85</v>
      </c>
      <c r="J299" s="111">
        <v>22</v>
      </c>
      <c r="K299" s="111">
        <v>22</v>
      </c>
      <c r="L299" s="111">
        <v>22</v>
      </c>
      <c r="M299" s="111">
        <v>22</v>
      </c>
      <c r="N299" s="111">
        <v>22</v>
      </c>
      <c r="O299" s="111">
        <v>22</v>
      </c>
      <c r="P299" s="2">
        <f t="shared" si="31"/>
        <v>832.7</v>
      </c>
      <c r="Q299" s="2">
        <f t="shared" si="32"/>
        <v>832.7</v>
      </c>
      <c r="R299" s="2">
        <f t="shared" si="33"/>
        <v>832.7</v>
      </c>
      <c r="S299" s="2">
        <f t="shared" si="34"/>
        <v>832.7</v>
      </c>
      <c r="T299" s="2">
        <f t="shared" si="35"/>
        <v>832.7</v>
      </c>
      <c r="U299" s="2">
        <f t="shared" si="36"/>
        <v>832.7</v>
      </c>
    </row>
    <row r="300" spans="1:21">
      <c r="A300" s="55">
        <v>297</v>
      </c>
      <c r="B300" s="55" t="s">
        <v>521</v>
      </c>
      <c r="C300" s="55" t="s">
        <v>312</v>
      </c>
      <c r="D300" s="55" t="s">
        <v>720</v>
      </c>
      <c r="E300" s="75" t="s">
        <v>815</v>
      </c>
      <c r="F300" s="55" t="s">
        <v>828</v>
      </c>
      <c r="G300" s="55">
        <v>913906003</v>
      </c>
      <c r="H300" s="55" t="s">
        <v>829</v>
      </c>
      <c r="I300" s="55">
        <v>52.83</v>
      </c>
      <c r="J300" s="111">
        <v>22</v>
      </c>
      <c r="K300" s="111">
        <v>22</v>
      </c>
      <c r="L300" s="111">
        <v>22</v>
      </c>
      <c r="M300" s="111">
        <v>22</v>
      </c>
      <c r="N300" s="111">
        <v>22</v>
      </c>
      <c r="O300" s="111">
        <v>22</v>
      </c>
      <c r="P300" s="2">
        <f t="shared" si="31"/>
        <v>1162.26</v>
      </c>
      <c r="Q300" s="2">
        <f t="shared" si="32"/>
        <v>1162.26</v>
      </c>
      <c r="R300" s="2">
        <f t="shared" si="33"/>
        <v>1162.26</v>
      </c>
      <c r="S300" s="2">
        <f t="shared" si="34"/>
        <v>1162.26</v>
      </c>
      <c r="T300" s="2">
        <f t="shared" si="35"/>
        <v>1162.26</v>
      </c>
      <c r="U300" s="2">
        <f t="shared" si="36"/>
        <v>1162.26</v>
      </c>
    </row>
    <row r="301" spans="1:21">
      <c r="A301" s="55">
        <v>298</v>
      </c>
      <c r="B301" s="55" t="s">
        <v>521</v>
      </c>
      <c r="C301" s="55" t="s">
        <v>312</v>
      </c>
      <c r="D301" s="55" t="s">
        <v>720</v>
      </c>
      <c r="E301" s="75" t="s">
        <v>815</v>
      </c>
      <c r="F301" s="55" t="s">
        <v>830</v>
      </c>
      <c r="G301" s="55">
        <v>913906005</v>
      </c>
      <c r="H301" s="55" t="s">
        <v>831</v>
      </c>
      <c r="I301" s="55">
        <v>45.74</v>
      </c>
      <c r="J301" s="111">
        <v>22</v>
      </c>
      <c r="K301" s="111">
        <v>22</v>
      </c>
      <c r="L301" s="111">
        <v>22</v>
      </c>
      <c r="M301" s="111">
        <v>22</v>
      </c>
      <c r="N301" s="111">
        <v>22</v>
      </c>
      <c r="O301" s="111">
        <v>22</v>
      </c>
      <c r="P301" s="2">
        <f t="shared" si="31"/>
        <v>1006.2800000000001</v>
      </c>
      <c r="Q301" s="2">
        <f t="shared" si="32"/>
        <v>1006.2800000000001</v>
      </c>
      <c r="R301" s="2">
        <f t="shared" si="33"/>
        <v>1006.2800000000001</v>
      </c>
      <c r="S301" s="2">
        <f t="shared" si="34"/>
        <v>1006.2800000000001</v>
      </c>
      <c r="T301" s="2">
        <f t="shared" si="35"/>
        <v>1006.2800000000001</v>
      </c>
      <c r="U301" s="2">
        <f t="shared" si="36"/>
        <v>1006.2800000000001</v>
      </c>
    </row>
    <row r="302" spans="1:21">
      <c r="A302" s="55">
        <v>299</v>
      </c>
      <c r="B302" s="55" t="s">
        <v>521</v>
      </c>
      <c r="C302" s="55" t="s">
        <v>312</v>
      </c>
      <c r="D302" s="55" t="s">
        <v>720</v>
      </c>
      <c r="E302" s="75" t="s">
        <v>815</v>
      </c>
      <c r="F302" s="55" t="s">
        <v>832</v>
      </c>
      <c r="G302" s="55">
        <v>913903010</v>
      </c>
      <c r="H302" s="55" t="s">
        <v>827</v>
      </c>
      <c r="I302" s="55">
        <v>36.96</v>
      </c>
      <c r="J302" s="111">
        <v>22</v>
      </c>
      <c r="K302" s="111">
        <v>22</v>
      </c>
      <c r="L302" s="111">
        <v>22</v>
      </c>
      <c r="M302" s="111">
        <v>22</v>
      </c>
      <c r="N302" s="111">
        <v>22</v>
      </c>
      <c r="O302" s="111">
        <v>22</v>
      </c>
      <c r="P302" s="2">
        <f t="shared" si="31"/>
        <v>813.12</v>
      </c>
      <c r="Q302" s="2">
        <f t="shared" si="32"/>
        <v>813.12</v>
      </c>
      <c r="R302" s="2">
        <f t="shared" si="33"/>
        <v>813.12</v>
      </c>
      <c r="S302" s="2">
        <f t="shared" si="34"/>
        <v>813.12</v>
      </c>
      <c r="T302" s="2">
        <f t="shared" si="35"/>
        <v>813.12</v>
      </c>
      <c r="U302" s="2">
        <f t="shared" si="36"/>
        <v>813.12</v>
      </c>
    </row>
    <row r="303" spans="1:21">
      <c r="A303" s="55">
        <v>300</v>
      </c>
      <c r="B303" s="55" t="s">
        <v>521</v>
      </c>
      <c r="C303" s="55" t="s">
        <v>312</v>
      </c>
      <c r="D303" s="55" t="s">
        <v>720</v>
      </c>
      <c r="E303" s="75" t="s">
        <v>833</v>
      </c>
      <c r="F303" s="55" t="s">
        <v>834</v>
      </c>
      <c r="G303" s="55">
        <v>913910001</v>
      </c>
      <c r="H303" s="55" t="s">
        <v>835</v>
      </c>
      <c r="I303" s="55">
        <v>146.66999999999999</v>
      </c>
      <c r="J303" s="111">
        <v>396</v>
      </c>
      <c r="K303" s="111">
        <v>388</v>
      </c>
      <c r="L303" s="111">
        <v>371</v>
      </c>
      <c r="M303" s="111">
        <v>330</v>
      </c>
      <c r="N303" s="111">
        <v>297</v>
      </c>
      <c r="O303" s="111">
        <v>280</v>
      </c>
      <c r="P303" s="2">
        <f t="shared" si="31"/>
        <v>58081.319999999992</v>
      </c>
      <c r="Q303" s="2">
        <f t="shared" si="32"/>
        <v>56907.959999999992</v>
      </c>
      <c r="R303" s="2">
        <f t="shared" si="33"/>
        <v>54414.569999999992</v>
      </c>
      <c r="S303" s="2">
        <f t="shared" si="34"/>
        <v>48401.1</v>
      </c>
      <c r="T303" s="2">
        <f t="shared" si="35"/>
        <v>43560.99</v>
      </c>
      <c r="U303" s="2">
        <f t="shared" si="36"/>
        <v>41067.599999999999</v>
      </c>
    </row>
    <row r="304" spans="1:21">
      <c r="A304" s="55">
        <v>301</v>
      </c>
      <c r="B304" s="55" t="s">
        <v>521</v>
      </c>
      <c r="C304" s="55" t="s">
        <v>312</v>
      </c>
      <c r="D304" s="55" t="s">
        <v>720</v>
      </c>
      <c r="E304" s="75" t="s">
        <v>833</v>
      </c>
      <c r="F304" s="55" t="s">
        <v>836</v>
      </c>
      <c r="G304" s="55">
        <v>913903001</v>
      </c>
      <c r="H304" s="55" t="s">
        <v>741</v>
      </c>
      <c r="I304" s="55">
        <v>13.51</v>
      </c>
      <c r="J304" s="111">
        <v>396</v>
      </c>
      <c r="K304" s="111">
        <v>388</v>
      </c>
      <c r="L304" s="111">
        <v>371</v>
      </c>
      <c r="M304" s="111">
        <v>330</v>
      </c>
      <c r="N304" s="111">
        <v>297</v>
      </c>
      <c r="O304" s="111">
        <v>280</v>
      </c>
      <c r="P304" s="2">
        <f t="shared" si="31"/>
        <v>5349.96</v>
      </c>
      <c r="Q304" s="2">
        <f t="shared" si="32"/>
        <v>5241.88</v>
      </c>
      <c r="R304" s="2">
        <f t="shared" si="33"/>
        <v>5012.21</v>
      </c>
      <c r="S304" s="2">
        <f t="shared" si="34"/>
        <v>4458.3</v>
      </c>
      <c r="T304" s="2">
        <f t="shared" si="35"/>
        <v>4012.47</v>
      </c>
      <c r="U304" s="2">
        <f t="shared" si="36"/>
        <v>3782.7999999999997</v>
      </c>
    </row>
    <row r="305" spans="1:21">
      <c r="A305" s="55">
        <v>302</v>
      </c>
      <c r="B305" s="55" t="s">
        <v>521</v>
      </c>
      <c r="C305" s="55" t="s">
        <v>312</v>
      </c>
      <c r="D305" s="55" t="s">
        <v>720</v>
      </c>
      <c r="E305" s="75" t="s">
        <v>833</v>
      </c>
      <c r="F305" s="55" t="s">
        <v>837</v>
      </c>
      <c r="G305" s="55">
        <v>913904002</v>
      </c>
      <c r="H305" s="55" t="s">
        <v>838</v>
      </c>
      <c r="I305" s="55">
        <v>163.44999999999999</v>
      </c>
      <c r="J305" s="111">
        <v>396</v>
      </c>
      <c r="K305" s="111">
        <v>388</v>
      </c>
      <c r="L305" s="111">
        <v>371</v>
      </c>
      <c r="M305" s="111">
        <v>330</v>
      </c>
      <c r="N305" s="111">
        <v>297</v>
      </c>
      <c r="O305" s="111">
        <v>280</v>
      </c>
      <c r="P305" s="2">
        <f t="shared" si="31"/>
        <v>64726.2</v>
      </c>
      <c r="Q305" s="2">
        <f t="shared" si="32"/>
        <v>63418.6</v>
      </c>
      <c r="R305" s="2">
        <f t="shared" si="33"/>
        <v>60639.95</v>
      </c>
      <c r="S305" s="2">
        <f t="shared" si="34"/>
        <v>53938.499999999993</v>
      </c>
      <c r="T305" s="2">
        <f t="shared" si="35"/>
        <v>48544.649999999994</v>
      </c>
      <c r="U305" s="2">
        <f t="shared" si="36"/>
        <v>45766</v>
      </c>
    </row>
    <row r="306" spans="1:21">
      <c r="A306" s="55">
        <v>303</v>
      </c>
      <c r="B306" s="55" t="s">
        <v>521</v>
      </c>
      <c r="C306" s="55" t="s">
        <v>312</v>
      </c>
      <c r="D306" s="55" t="s">
        <v>720</v>
      </c>
      <c r="E306" s="75" t="s">
        <v>833</v>
      </c>
      <c r="F306" s="55" t="s">
        <v>839</v>
      </c>
      <c r="G306" s="55">
        <v>913904003</v>
      </c>
      <c r="H306" s="55" t="s">
        <v>840</v>
      </c>
      <c r="I306" s="55">
        <v>135.53</v>
      </c>
      <c r="J306" s="111">
        <v>396</v>
      </c>
      <c r="K306" s="111">
        <v>388</v>
      </c>
      <c r="L306" s="111">
        <v>371</v>
      </c>
      <c r="M306" s="111">
        <v>330</v>
      </c>
      <c r="N306" s="111">
        <v>297</v>
      </c>
      <c r="O306" s="111">
        <v>280</v>
      </c>
      <c r="P306" s="2">
        <f t="shared" si="31"/>
        <v>53669.88</v>
      </c>
      <c r="Q306" s="2">
        <f t="shared" si="32"/>
        <v>52585.64</v>
      </c>
      <c r="R306" s="2">
        <f t="shared" si="33"/>
        <v>50281.63</v>
      </c>
      <c r="S306" s="2">
        <f t="shared" si="34"/>
        <v>44724.9</v>
      </c>
      <c r="T306" s="2">
        <f t="shared" si="35"/>
        <v>40252.410000000003</v>
      </c>
      <c r="U306" s="2">
        <f t="shared" si="36"/>
        <v>37948.400000000001</v>
      </c>
    </row>
    <row r="307" spans="1:21">
      <c r="A307" s="55">
        <v>304</v>
      </c>
      <c r="B307" s="55" t="s">
        <v>521</v>
      </c>
      <c r="C307" s="55" t="s">
        <v>312</v>
      </c>
      <c r="D307" s="55" t="s">
        <v>720</v>
      </c>
      <c r="E307" s="75" t="s">
        <v>833</v>
      </c>
      <c r="F307" s="55" t="s">
        <v>841</v>
      </c>
      <c r="G307" s="55">
        <v>913904004</v>
      </c>
      <c r="H307" s="55" t="s">
        <v>842</v>
      </c>
      <c r="I307" s="55">
        <v>135.53</v>
      </c>
      <c r="J307" s="111">
        <v>396</v>
      </c>
      <c r="K307" s="111">
        <v>388</v>
      </c>
      <c r="L307" s="111">
        <v>371</v>
      </c>
      <c r="M307" s="111">
        <v>330</v>
      </c>
      <c r="N307" s="111">
        <v>297</v>
      </c>
      <c r="O307" s="111">
        <v>280</v>
      </c>
      <c r="P307" s="2">
        <f t="shared" si="31"/>
        <v>53669.88</v>
      </c>
      <c r="Q307" s="2">
        <f t="shared" si="32"/>
        <v>52585.64</v>
      </c>
      <c r="R307" s="2">
        <f t="shared" si="33"/>
        <v>50281.63</v>
      </c>
      <c r="S307" s="2">
        <f t="shared" si="34"/>
        <v>44724.9</v>
      </c>
      <c r="T307" s="2">
        <f t="shared" si="35"/>
        <v>40252.410000000003</v>
      </c>
      <c r="U307" s="2">
        <f t="shared" si="36"/>
        <v>37948.400000000001</v>
      </c>
    </row>
    <row r="308" spans="1:21">
      <c r="A308" s="55">
        <v>305</v>
      </c>
      <c r="B308" s="55" t="s">
        <v>521</v>
      </c>
      <c r="C308" s="55" t="s">
        <v>312</v>
      </c>
      <c r="D308" s="55" t="s">
        <v>720</v>
      </c>
      <c r="E308" s="75" t="s">
        <v>833</v>
      </c>
      <c r="F308" s="55" t="s">
        <v>843</v>
      </c>
      <c r="G308" s="55">
        <v>913904010</v>
      </c>
      <c r="H308" s="55" t="s">
        <v>844</v>
      </c>
      <c r="I308" s="55">
        <v>148.47</v>
      </c>
      <c r="J308" s="111">
        <v>396</v>
      </c>
      <c r="K308" s="111">
        <v>388</v>
      </c>
      <c r="L308" s="111">
        <v>371</v>
      </c>
      <c r="M308" s="111">
        <v>330</v>
      </c>
      <c r="N308" s="111">
        <v>297</v>
      </c>
      <c r="O308" s="111">
        <v>280</v>
      </c>
      <c r="P308" s="2">
        <f t="shared" si="31"/>
        <v>58794.12</v>
      </c>
      <c r="Q308" s="2">
        <f t="shared" si="32"/>
        <v>57606.36</v>
      </c>
      <c r="R308" s="2">
        <f t="shared" si="33"/>
        <v>55082.37</v>
      </c>
      <c r="S308" s="2">
        <f t="shared" si="34"/>
        <v>48995.1</v>
      </c>
      <c r="T308" s="2">
        <f t="shared" si="35"/>
        <v>44095.59</v>
      </c>
      <c r="U308" s="2">
        <f t="shared" si="36"/>
        <v>41571.599999999999</v>
      </c>
    </row>
    <row r="309" spans="1:21">
      <c r="A309" s="55">
        <v>306</v>
      </c>
      <c r="B309" s="55" t="s">
        <v>521</v>
      </c>
      <c r="C309" s="55" t="s">
        <v>312</v>
      </c>
      <c r="D309" s="55" t="s">
        <v>720</v>
      </c>
      <c r="E309" s="75" t="s">
        <v>833</v>
      </c>
      <c r="F309" s="55" t="s">
        <v>845</v>
      </c>
      <c r="G309" s="55">
        <v>913904001</v>
      </c>
      <c r="H309" s="55" t="s">
        <v>846</v>
      </c>
      <c r="I309" s="55">
        <v>167.12</v>
      </c>
      <c r="J309" s="111">
        <v>396</v>
      </c>
      <c r="K309" s="111">
        <v>388</v>
      </c>
      <c r="L309" s="111">
        <v>371</v>
      </c>
      <c r="M309" s="111">
        <v>330</v>
      </c>
      <c r="N309" s="111">
        <v>297</v>
      </c>
      <c r="O309" s="111">
        <v>280</v>
      </c>
      <c r="P309" s="2">
        <f t="shared" si="31"/>
        <v>66179.520000000004</v>
      </c>
      <c r="Q309" s="2">
        <f t="shared" si="32"/>
        <v>64842.560000000005</v>
      </c>
      <c r="R309" s="2">
        <f t="shared" si="33"/>
        <v>62001.520000000004</v>
      </c>
      <c r="S309" s="2">
        <f t="shared" si="34"/>
        <v>55149.599999999999</v>
      </c>
      <c r="T309" s="2">
        <f t="shared" si="35"/>
        <v>49634.64</v>
      </c>
      <c r="U309" s="2">
        <f t="shared" si="36"/>
        <v>46793.599999999999</v>
      </c>
    </row>
    <row r="310" spans="1:21">
      <c r="A310" s="55">
        <v>307</v>
      </c>
      <c r="B310" s="55" t="s">
        <v>521</v>
      </c>
      <c r="C310" s="55" t="s">
        <v>312</v>
      </c>
      <c r="D310" s="55" t="s">
        <v>720</v>
      </c>
      <c r="E310" s="75" t="s">
        <v>833</v>
      </c>
      <c r="F310" s="55" t="s">
        <v>847</v>
      </c>
      <c r="G310" s="55">
        <v>913904009</v>
      </c>
      <c r="H310" s="55" t="s">
        <v>848</v>
      </c>
      <c r="I310" s="55">
        <v>148.47</v>
      </c>
      <c r="J310" s="111">
        <v>396</v>
      </c>
      <c r="K310" s="111">
        <v>388</v>
      </c>
      <c r="L310" s="111">
        <v>371</v>
      </c>
      <c r="M310" s="111">
        <v>330</v>
      </c>
      <c r="N310" s="111">
        <v>297</v>
      </c>
      <c r="O310" s="111">
        <v>280</v>
      </c>
      <c r="P310" s="2">
        <f t="shared" si="31"/>
        <v>58794.12</v>
      </c>
      <c r="Q310" s="2">
        <f t="shared" si="32"/>
        <v>57606.36</v>
      </c>
      <c r="R310" s="2">
        <f t="shared" si="33"/>
        <v>55082.37</v>
      </c>
      <c r="S310" s="2">
        <f t="shared" si="34"/>
        <v>48995.1</v>
      </c>
      <c r="T310" s="2">
        <f t="shared" si="35"/>
        <v>44095.59</v>
      </c>
      <c r="U310" s="2">
        <f t="shared" si="36"/>
        <v>41571.599999999999</v>
      </c>
    </row>
    <row r="311" spans="1:21">
      <c r="A311" s="55">
        <v>308</v>
      </c>
      <c r="B311" s="55" t="s">
        <v>521</v>
      </c>
      <c r="C311" s="55" t="s">
        <v>312</v>
      </c>
      <c r="D311" s="55" t="s">
        <v>720</v>
      </c>
      <c r="E311" s="75" t="s">
        <v>849</v>
      </c>
      <c r="F311" s="55" t="s">
        <v>850</v>
      </c>
      <c r="G311" s="55">
        <v>913401006</v>
      </c>
      <c r="H311" s="55" t="s">
        <v>851</v>
      </c>
      <c r="I311" s="55">
        <v>132.02000000000001</v>
      </c>
      <c r="J311" s="111">
        <v>27</v>
      </c>
      <c r="K311" s="111">
        <v>29</v>
      </c>
      <c r="L311" s="111">
        <v>25</v>
      </c>
      <c r="M311" s="111">
        <v>27</v>
      </c>
      <c r="N311" s="111">
        <v>25</v>
      </c>
      <c r="O311" s="111">
        <v>24</v>
      </c>
      <c r="P311" s="2">
        <f t="shared" si="31"/>
        <v>3564.5400000000004</v>
      </c>
      <c r="Q311" s="2">
        <f t="shared" si="32"/>
        <v>3828.5800000000004</v>
      </c>
      <c r="R311" s="2">
        <f t="shared" si="33"/>
        <v>3300.5000000000005</v>
      </c>
      <c r="S311" s="2">
        <f t="shared" si="34"/>
        <v>3564.5400000000004</v>
      </c>
      <c r="T311" s="2">
        <f t="shared" si="35"/>
        <v>3300.5000000000005</v>
      </c>
      <c r="U311" s="2">
        <f t="shared" si="36"/>
        <v>3168.4800000000005</v>
      </c>
    </row>
    <row r="312" spans="1:21">
      <c r="A312" s="55">
        <v>309</v>
      </c>
      <c r="B312" s="55" t="s">
        <v>521</v>
      </c>
      <c r="C312" s="55" t="s">
        <v>312</v>
      </c>
      <c r="D312" s="55" t="s">
        <v>720</v>
      </c>
      <c r="E312" s="75" t="s">
        <v>849</v>
      </c>
      <c r="F312" s="55" t="s">
        <v>852</v>
      </c>
      <c r="G312" s="55">
        <v>913401003</v>
      </c>
      <c r="H312" s="55" t="s">
        <v>853</v>
      </c>
      <c r="I312" s="55">
        <v>134.41</v>
      </c>
      <c r="J312" s="111">
        <v>27</v>
      </c>
      <c r="K312" s="111">
        <v>29</v>
      </c>
      <c r="L312" s="111">
        <v>25</v>
      </c>
      <c r="M312" s="111">
        <v>27</v>
      </c>
      <c r="N312" s="111">
        <v>25</v>
      </c>
      <c r="O312" s="111">
        <v>24</v>
      </c>
      <c r="P312" s="2">
        <f t="shared" si="31"/>
        <v>3629.0699999999997</v>
      </c>
      <c r="Q312" s="2">
        <f t="shared" si="32"/>
        <v>3897.89</v>
      </c>
      <c r="R312" s="2">
        <f t="shared" si="33"/>
        <v>3360.25</v>
      </c>
      <c r="S312" s="2">
        <f t="shared" si="34"/>
        <v>3629.0699999999997</v>
      </c>
      <c r="T312" s="2">
        <f t="shared" si="35"/>
        <v>3360.25</v>
      </c>
      <c r="U312" s="2">
        <f t="shared" si="36"/>
        <v>3225.84</v>
      </c>
    </row>
    <row r="313" spans="1:21">
      <c r="A313" s="55">
        <v>310</v>
      </c>
      <c r="B313" s="55" t="s">
        <v>521</v>
      </c>
      <c r="C313" s="55" t="s">
        <v>312</v>
      </c>
      <c r="D313" s="55" t="s">
        <v>720</v>
      </c>
      <c r="E313" s="75" t="s">
        <v>849</v>
      </c>
      <c r="F313" s="55" t="s">
        <v>854</v>
      </c>
      <c r="G313" s="55">
        <v>913401004</v>
      </c>
      <c r="H313" s="55" t="s">
        <v>855</v>
      </c>
      <c r="I313" s="55">
        <v>134.41999999999999</v>
      </c>
      <c r="J313" s="111">
        <v>27</v>
      </c>
      <c r="K313" s="111">
        <v>29</v>
      </c>
      <c r="L313" s="111">
        <v>25</v>
      </c>
      <c r="M313" s="111">
        <v>27</v>
      </c>
      <c r="N313" s="111">
        <v>25</v>
      </c>
      <c r="O313" s="111">
        <v>24</v>
      </c>
      <c r="P313" s="2">
        <f t="shared" si="31"/>
        <v>3629.3399999999997</v>
      </c>
      <c r="Q313" s="2">
        <f t="shared" si="32"/>
        <v>3898.18</v>
      </c>
      <c r="R313" s="2">
        <f t="shared" si="33"/>
        <v>3360.4999999999995</v>
      </c>
      <c r="S313" s="2">
        <f t="shared" si="34"/>
        <v>3629.3399999999997</v>
      </c>
      <c r="T313" s="2">
        <f t="shared" si="35"/>
        <v>3360.4999999999995</v>
      </c>
      <c r="U313" s="2">
        <f t="shared" si="36"/>
        <v>3226.08</v>
      </c>
    </row>
    <row r="314" spans="1:21">
      <c r="A314" s="55">
        <v>311</v>
      </c>
      <c r="B314" s="55" t="s">
        <v>521</v>
      </c>
      <c r="C314" s="55" t="s">
        <v>312</v>
      </c>
      <c r="D314" s="55" t="s">
        <v>720</v>
      </c>
      <c r="E314" s="75" t="s">
        <v>849</v>
      </c>
      <c r="F314" s="55" t="s">
        <v>856</v>
      </c>
      <c r="G314" s="55">
        <v>913401005</v>
      </c>
      <c r="H314" s="55" t="s">
        <v>857</v>
      </c>
      <c r="I314" s="55">
        <v>130.9</v>
      </c>
      <c r="J314" s="111">
        <v>27</v>
      </c>
      <c r="K314" s="111">
        <v>29</v>
      </c>
      <c r="L314" s="111">
        <v>25</v>
      </c>
      <c r="M314" s="111">
        <v>27</v>
      </c>
      <c r="N314" s="111">
        <v>25</v>
      </c>
      <c r="O314" s="111">
        <v>24</v>
      </c>
      <c r="P314" s="2">
        <f t="shared" si="31"/>
        <v>3534.3</v>
      </c>
      <c r="Q314" s="2">
        <f t="shared" si="32"/>
        <v>3796.1000000000004</v>
      </c>
      <c r="R314" s="2">
        <f t="shared" si="33"/>
        <v>3272.5</v>
      </c>
      <c r="S314" s="2">
        <f t="shared" si="34"/>
        <v>3534.3</v>
      </c>
      <c r="T314" s="2">
        <f t="shared" si="35"/>
        <v>3272.5</v>
      </c>
      <c r="U314" s="2">
        <f t="shared" si="36"/>
        <v>3141.6000000000004</v>
      </c>
    </row>
    <row r="315" spans="1:21">
      <c r="A315" s="55">
        <v>312</v>
      </c>
      <c r="B315" s="55" t="s">
        <v>521</v>
      </c>
      <c r="C315" s="55" t="s">
        <v>312</v>
      </c>
      <c r="D315" s="55" t="s">
        <v>720</v>
      </c>
      <c r="E315" s="75" t="s">
        <v>849</v>
      </c>
      <c r="F315" s="55" t="s">
        <v>858</v>
      </c>
      <c r="G315" s="55">
        <v>913403005</v>
      </c>
      <c r="H315" s="55" t="s">
        <v>741</v>
      </c>
      <c r="I315" s="55">
        <v>27.97</v>
      </c>
      <c r="J315" s="111">
        <v>27</v>
      </c>
      <c r="K315" s="111">
        <v>29</v>
      </c>
      <c r="L315" s="111">
        <v>25</v>
      </c>
      <c r="M315" s="111">
        <v>27</v>
      </c>
      <c r="N315" s="111">
        <v>25</v>
      </c>
      <c r="O315" s="111">
        <v>24</v>
      </c>
      <c r="P315" s="2">
        <f t="shared" si="31"/>
        <v>755.18999999999994</v>
      </c>
      <c r="Q315" s="2">
        <f t="shared" si="32"/>
        <v>811.13</v>
      </c>
      <c r="R315" s="2">
        <f t="shared" si="33"/>
        <v>699.25</v>
      </c>
      <c r="S315" s="2">
        <f t="shared" si="34"/>
        <v>755.18999999999994</v>
      </c>
      <c r="T315" s="2">
        <f t="shared" si="35"/>
        <v>699.25</v>
      </c>
      <c r="U315" s="2">
        <f t="shared" si="36"/>
        <v>671.28</v>
      </c>
    </row>
    <row r="316" spans="1:21">
      <c r="A316" s="55">
        <v>313</v>
      </c>
      <c r="B316" s="55" t="s">
        <v>521</v>
      </c>
      <c r="C316" s="55" t="s">
        <v>312</v>
      </c>
      <c r="D316" s="55" t="s">
        <v>720</v>
      </c>
      <c r="E316" s="75" t="s">
        <v>859</v>
      </c>
      <c r="F316" s="55" t="s">
        <v>860</v>
      </c>
      <c r="G316" s="55">
        <v>913102001</v>
      </c>
      <c r="H316" s="55" t="s">
        <v>861</v>
      </c>
      <c r="I316" s="55">
        <v>117.68</v>
      </c>
      <c r="J316" s="111">
        <v>814</v>
      </c>
      <c r="K316" s="111">
        <v>862</v>
      </c>
      <c r="L316" s="111">
        <v>729</v>
      </c>
      <c r="M316" s="111">
        <v>799</v>
      </c>
      <c r="N316" s="111">
        <v>863</v>
      </c>
      <c r="O316" s="111">
        <v>864</v>
      </c>
      <c r="P316" s="2">
        <f t="shared" si="31"/>
        <v>95791.52</v>
      </c>
      <c r="Q316" s="2">
        <f t="shared" si="32"/>
        <v>101440.16</v>
      </c>
      <c r="R316" s="2">
        <f t="shared" si="33"/>
        <v>85788.72</v>
      </c>
      <c r="S316" s="2">
        <f t="shared" si="34"/>
        <v>94026.32</v>
      </c>
      <c r="T316" s="2">
        <f t="shared" si="35"/>
        <v>101557.84000000001</v>
      </c>
      <c r="U316" s="2">
        <f t="shared" si="36"/>
        <v>101675.52</v>
      </c>
    </row>
    <row r="317" spans="1:21">
      <c r="A317" s="55">
        <v>314</v>
      </c>
      <c r="B317" s="55" t="s">
        <v>521</v>
      </c>
      <c r="C317" s="55" t="s">
        <v>312</v>
      </c>
      <c r="D317" s="55" t="s">
        <v>720</v>
      </c>
      <c r="E317" s="75" t="s">
        <v>859</v>
      </c>
      <c r="F317" s="55" t="s">
        <v>862</v>
      </c>
      <c r="G317" s="55">
        <v>913104003</v>
      </c>
      <c r="H317" s="55" t="s">
        <v>863</v>
      </c>
      <c r="I317" s="55">
        <v>89.65</v>
      </c>
      <c r="J317" s="111">
        <v>814</v>
      </c>
      <c r="K317" s="111">
        <v>862</v>
      </c>
      <c r="L317" s="111">
        <v>729</v>
      </c>
      <c r="M317" s="111">
        <v>799</v>
      </c>
      <c r="N317" s="111">
        <v>863</v>
      </c>
      <c r="O317" s="111">
        <v>864</v>
      </c>
      <c r="P317" s="2">
        <f t="shared" si="31"/>
        <v>72975.100000000006</v>
      </c>
      <c r="Q317" s="2">
        <f t="shared" si="32"/>
        <v>77278.3</v>
      </c>
      <c r="R317" s="2">
        <f t="shared" si="33"/>
        <v>65354.850000000006</v>
      </c>
      <c r="S317" s="2">
        <f t="shared" si="34"/>
        <v>71630.350000000006</v>
      </c>
      <c r="T317" s="2">
        <f t="shared" si="35"/>
        <v>77367.950000000012</v>
      </c>
      <c r="U317" s="2">
        <f t="shared" si="36"/>
        <v>77457.600000000006</v>
      </c>
    </row>
    <row r="318" spans="1:21">
      <c r="A318" s="55">
        <v>315</v>
      </c>
      <c r="B318" s="55" t="s">
        <v>521</v>
      </c>
      <c r="C318" s="55" t="s">
        <v>312</v>
      </c>
      <c r="D318" s="55" t="s">
        <v>720</v>
      </c>
      <c r="E318" s="75" t="s">
        <v>859</v>
      </c>
      <c r="F318" s="55" t="s">
        <v>864</v>
      </c>
      <c r="G318" s="55">
        <v>913104004</v>
      </c>
      <c r="H318" s="55" t="s">
        <v>865</v>
      </c>
      <c r="I318" s="55">
        <v>84.9</v>
      </c>
      <c r="J318" s="111">
        <v>814</v>
      </c>
      <c r="K318" s="111">
        <v>862</v>
      </c>
      <c r="L318" s="111">
        <v>729</v>
      </c>
      <c r="M318" s="111">
        <v>799</v>
      </c>
      <c r="N318" s="111">
        <v>863</v>
      </c>
      <c r="O318" s="111">
        <v>864</v>
      </c>
      <c r="P318" s="2">
        <f t="shared" si="31"/>
        <v>69108.600000000006</v>
      </c>
      <c r="Q318" s="2">
        <f t="shared" si="32"/>
        <v>73183.8</v>
      </c>
      <c r="R318" s="2">
        <f t="shared" si="33"/>
        <v>61892.100000000006</v>
      </c>
      <c r="S318" s="2">
        <f t="shared" si="34"/>
        <v>67835.100000000006</v>
      </c>
      <c r="T318" s="2">
        <f t="shared" si="35"/>
        <v>73268.700000000012</v>
      </c>
      <c r="U318" s="2">
        <f t="shared" si="36"/>
        <v>73353.600000000006</v>
      </c>
    </row>
    <row r="319" spans="1:21">
      <c r="A319" s="55">
        <v>316</v>
      </c>
      <c r="B319" s="55" t="s">
        <v>521</v>
      </c>
      <c r="C319" s="55" t="s">
        <v>312</v>
      </c>
      <c r="D319" s="55" t="s">
        <v>720</v>
      </c>
      <c r="E319" s="75" t="s">
        <v>859</v>
      </c>
      <c r="F319" s="55" t="s">
        <v>866</v>
      </c>
      <c r="G319" s="55">
        <v>913104005</v>
      </c>
      <c r="H319" s="55" t="s">
        <v>867</v>
      </c>
      <c r="I319" s="55">
        <v>91.31</v>
      </c>
      <c r="J319" s="111">
        <v>814</v>
      </c>
      <c r="K319" s="111">
        <v>862</v>
      </c>
      <c r="L319" s="111">
        <v>729</v>
      </c>
      <c r="M319" s="111">
        <v>799</v>
      </c>
      <c r="N319" s="111">
        <v>863</v>
      </c>
      <c r="O319" s="111">
        <v>864</v>
      </c>
      <c r="P319" s="2">
        <f t="shared" si="31"/>
        <v>74326.34</v>
      </c>
      <c r="Q319" s="2">
        <f t="shared" si="32"/>
        <v>78709.22</v>
      </c>
      <c r="R319" s="2">
        <f t="shared" si="33"/>
        <v>66564.990000000005</v>
      </c>
      <c r="S319" s="2">
        <f t="shared" si="34"/>
        <v>72956.69</v>
      </c>
      <c r="T319" s="2">
        <f t="shared" si="35"/>
        <v>78800.53</v>
      </c>
      <c r="U319" s="2">
        <f t="shared" si="36"/>
        <v>78891.839999999997</v>
      </c>
    </row>
    <row r="320" spans="1:21">
      <c r="A320" s="55">
        <v>317</v>
      </c>
      <c r="B320" s="55" t="s">
        <v>521</v>
      </c>
      <c r="C320" s="55" t="s">
        <v>312</v>
      </c>
      <c r="D320" s="55" t="s">
        <v>720</v>
      </c>
      <c r="E320" s="75" t="s">
        <v>859</v>
      </c>
      <c r="F320" s="55" t="s">
        <v>868</v>
      </c>
      <c r="G320" s="55">
        <v>913104006</v>
      </c>
      <c r="H320" s="55" t="s">
        <v>869</v>
      </c>
      <c r="I320" s="55">
        <v>91.31</v>
      </c>
      <c r="J320" s="111">
        <v>814</v>
      </c>
      <c r="K320" s="111">
        <v>862</v>
      </c>
      <c r="L320" s="111">
        <v>729</v>
      </c>
      <c r="M320" s="111">
        <v>799</v>
      </c>
      <c r="N320" s="111">
        <v>863</v>
      </c>
      <c r="O320" s="111">
        <v>864</v>
      </c>
      <c r="P320" s="2">
        <f t="shared" si="31"/>
        <v>74326.34</v>
      </c>
      <c r="Q320" s="2">
        <f t="shared" si="32"/>
        <v>78709.22</v>
      </c>
      <c r="R320" s="2">
        <f t="shared" si="33"/>
        <v>66564.990000000005</v>
      </c>
      <c r="S320" s="2">
        <f t="shared" si="34"/>
        <v>72956.69</v>
      </c>
      <c r="T320" s="2">
        <f t="shared" si="35"/>
        <v>78800.53</v>
      </c>
      <c r="U320" s="2">
        <f t="shared" si="36"/>
        <v>78891.839999999997</v>
      </c>
    </row>
    <row r="321" spans="1:21">
      <c r="A321" s="55">
        <v>318</v>
      </c>
      <c r="B321" s="55" t="s">
        <v>521</v>
      </c>
      <c r="C321" s="55" t="s">
        <v>312</v>
      </c>
      <c r="D321" s="55" t="s">
        <v>720</v>
      </c>
      <c r="E321" s="75" t="s">
        <v>859</v>
      </c>
      <c r="F321" s="55" t="s">
        <v>870</v>
      </c>
      <c r="G321" s="55">
        <v>913104007</v>
      </c>
      <c r="H321" s="55" t="s">
        <v>3</v>
      </c>
      <c r="I321" s="55">
        <v>84.8</v>
      </c>
      <c r="J321" s="111">
        <v>814</v>
      </c>
      <c r="K321" s="111">
        <v>862</v>
      </c>
      <c r="L321" s="111">
        <v>729</v>
      </c>
      <c r="M321" s="111">
        <v>799</v>
      </c>
      <c r="N321" s="111">
        <v>863</v>
      </c>
      <c r="O321" s="111">
        <v>864</v>
      </c>
      <c r="P321" s="2">
        <f t="shared" si="31"/>
        <v>69027.199999999997</v>
      </c>
      <c r="Q321" s="2">
        <f t="shared" si="32"/>
        <v>73097.599999999991</v>
      </c>
      <c r="R321" s="2">
        <f t="shared" si="33"/>
        <v>61819.199999999997</v>
      </c>
      <c r="S321" s="2">
        <f t="shared" si="34"/>
        <v>67755.199999999997</v>
      </c>
      <c r="T321" s="2">
        <f t="shared" si="35"/>
        <v>73182.399999999994</v>
      </c>
      <c r="U321" s="2">
        <f t="shared" si="36"/>
        <v>73267.199999999997</v>
      </c>
    </row>
    <row r="322" spans="1:21">
      <c r="A322" s="55">
        <v>319</v>
      </c>
      <c r="B322" s="55" t="s">
        <v>521</v>
      </c>
      <c r="C322" s="55" t="s">
        <v>312</v>
      </c>
      <c r="D322" s="55" t="s">
        <v>720</v>
      </c>
      <c r="E322" s="75" t="s">
        <v>859</v>
      </c>
      <c r="F322" s="55" t="s">
        <v>871</v>
      </c>
      <c r="G322" s="55">
        <v>913403004</v>
      </c>
      <c r="H322" s="55" t="s">
        <v>872</v>
      </c>
      <c r="I322" s="55">
        <v>5.82</v>
      </c>
      <c r="J322" s="111">
        <v>814</v>
      </c>
      <c r="K322" s="111">
        <v>862</v>
      </c>
      <c r="L322" s="111">
        <v>729</v>
      </c>
      <c r="M322" s="111">
        <v>799</v>
      </c>
      <c r="N322" s="111">
        <v>863</v>
      </c>
      <c r="O322" s="111">
        <v>864</v>
      </c>
      <c r="P322" s="2">
        <f t="shared" si="31"/>
        <v>4737.4800000000005</v>
      </c>
      <c r="Q322" s="2">
        <f t="shared" si="32"/>
        <v>5016.84</v>
      </c>
      <c r="R322" s="2">
        <f t="shared" si="33"/>
        <v>4242.7800000000007</v>
      </c>
      <c r="S322" s="2">
        <f t="shared" si="34"/>
        <v>4650.18</v>
      </c>
      <c r="T322" s="2">
        <f t="shared" si="35"/>
        <v>5022.66</v>
      </c>
      <c r="U322" s="2">
        <f t="shared" si="36"/>
        <v>5028.4800000000005</v>
      </c>
    </row>
    <row r="323" spans="1:21">
      <c r="A323" s="55">
        <v>320</v>
      </c>
      <c r="B323" s="55" t="s">
        <v>521</v>
      </c>
      <c r="C323" s="55" t="s">
        <v>312</v>
      </c>
      <c r="D323" s="55" t="s">
        <v>720</v>
      </c>
      <c r="E323" s="75" t="s">
        <v>859</v>
      </c>
      <c r="F323" s="55" t="s">
        <v>873</v>
      </c>
      <c r="G323" s="55">
        <v>913104008</v>
      </c>
      <c r="H323" s="55" t="s">
        <v>865</v>
      </c>
      <c r="I323" s="55">
        <v>82.18</v>
      </c>
      <c r="J323" s="111">
        <v>814</v>
      </c>
      <c r="K323" s="111">
        <v>862</v>
      </c>
      <c r="L323" s="111">
        <v>729</v>
      </c>
      <c r="M323" s="111">
        <v>799</v>
      </c>
      <c r="N323" s="111">
        <v>863</v>
      </c>
      <c r="O323" s="111">
        <v>864</v>
      </c>
      <c r="P323" s="2">
        <f t="shared" si="31"/>
        <v>66894.52</v>
      </c>
      <c r="Q323" s="2">
        <f t="shared" si="32"/>
        <v>70839.16</v>
      </c>
      <c r="R323" s="2">
        <f t="shared" si="33"/>
        <v>59909.220000000008</v>
      </c>
      <c r="S323" s="2">
        <f t="shared" si="34"/>
        <v>65661.820000000007</v>
      </c>
      <c r="T323" s="2">
        <f t="shared" si="35"/>
        <v>70921.340000000011</v>
      </c>
      <c r="U323" s="2">
        <f t="shared" si="36"/>
        <v>71003.520000000004</v>
      </c>
    </row>
    <row r="324" spans="1:21">
      <c r="A324" s="55">
        <v>321</v>
      </c>
      <c r="B324" s="55" t="s">
        <v>521</v>
      </c>
      <c r="C324" s="55" t="s">
        <v>312</v>
      </c>
      <c r="D324" s="55" t="s">
        <v>720</v>
      </c>
      <c r="E324" s="75" t="s">
        <v>859</v>
      </c>
      <c r="F324" s="55" t="s">
        <v>874</v>
      </c>
      <c r="G324" s="55">
        <v>913403001</v>
      </c>
      <c r="H324" s="55" t="s">
        <v>875</v>
      </c>
      <c r="I324" s="55">
        <v>10.26</v>
      </c>
      <c r="J324" s="111">
        <v>814</v>
      </c>
      <c r="K324" s="111">
        <v>862</v>
      </c>
      <c r="L324" s="111">
        <v>729</v>
      </c>
      <c r="M324" s="111">
        <v>799</v>
      </c>
      <c r="N324" s="111">
        <v>863</v>
      </c>
      <c r="O324" s="111">
        <v>864</v>
      </c>
      <c r="P324" s="2">
        <f t="shared" si="31"/>
        <v>8351.64</v>
      </c>
      <c r="Q324" s="2">
        <f t="shared" si="32"/>
        <v>8844.119999999999</v>
      </c>
      <c r="R324" s="2">
        <f t="shared" si="33"/>
        <v>7479.54</v>
      </c>
      <c r="S324" s="2">
        <f t="shared" si="34"/>
        <v>8197.74</v>
      </c>
      <c r="T324" s="2">
        <f t="shared" si="35"/>
        <v>8854.3799999999992</v>
      </c>
      <c r="U324" s="2">
        <f t="shared" si="36"/>
        <v>8864.64</v>
      </c>
    </row>
    <row r="325" spans="1:21">
      <c r="A325" s="55">
        <v>322</v>
      </c>
      <c r="B325" s="55" t="s">
        <v>521</v>
      </c>
      <c r="C325" s="55" t="s">
        <v>312</v>
      </c>
      <c r="D325" s="55" t="s">
        <v>720</v>
      </c>
      <c r="E325" s="75" t="s">
        <v>859</v>
      </c>
      <c r="F325" s="55" t="s">
        <v>876</v>
      </c>
      <c r="G325" s="55">
        <v>913103001</v>
      </c>
      <c r="H325" s="55" t="s">
        <v>877</v>
      </c>
      <c r="I325" s="55">
        <v>22.33</v>
      </c>
      <c r="J325" s="111">
        <v>814</v>
      </c>
      <c r="K325" s="111">
        <v>862</v>
      </c>
      <c r="L325" s="111">
        <v>729</v>
      </c>
      <c r="M325" s="111">
        <v>799</v>
      </c>
      <c r="N325" s="111">
        <v>863</v>
      </c>
      <c r="O325" s="111">
        <v>864</v>
      </c>
      <c r="P325" s="2">
        <f t="shared" ref="P325:P388" si="37">J325*I325</f>
        <v>18176.62</v>
      </c>
      <c r="Q325" s="2">
        <f t="shared" ref="Q325:Q388" si="38">K325*I325</f>
        <v>19248.46</v>
      </c>
      <c r="R325" s="2">
        <f t="shared" ref="R325:R388" si="39">L325*I325</f>
        <v>16278.569999999998</v>
      </c>
      <c r="S325" s="2">
        <f t="shared" ref="S325:S388" si="40">M325*I325</f>
        <v>17841.669999999998</v>
      </c>
      <c r="T325" s="2">
        <f t="shared" ref="T325:T388" si="41">N325*I325</f>
        <v>19270.789999999997</v>
      </c>
      <c r="U325" s="2">
        <f t="shared" ref="U325:U388" si="42">O325*I325</f>
        <v>19293.12</v>
      </c>
    </row>
    <row r="326" spans="1:21">
      <c r="A326" s="55">
        <v>323</v>
      </c>
      <c r="B326" s="55" t="s">
        <v>521</v>
      </c>
      <c r="C326" s="55" t="s">
        <v>312</v>
      </c>
      <c r="D326" s="55" t="s">
        <v>720</v>
      </c>
      <c r="E326" s="75" t="s">
        <v>859</v>
      </c>
      <c r="F326" s="55" t="s">
        <v>878</v>
      </c>
      <c r="G326" s="55">
        <v>913104001</v>
      </c>
      <c r="H326" s="55" t="s">
        <v>867</v>
      </c>
      <c r="I326" s="55">
        <v>91.64</v>
      </c>
      <c r="J326" s="111">
        <v>814</v>
      </c>
      <c r="K326" s="111">
        <v>862</v>
      </c>
      <c r="L326" s="111">
        <v>729</v>
      </c>
      <c r="M326" s="111">
        <v>799</v>
      </c>
      <c r="N326" s="111">
        <v>863</v>
      </c>
      <c r="O326" s="111">
        <v>864</v>
      </c>
      <c r="P326" s="2">
        <f t="shared" si="37"/>
        <v>74594.960000000006</v>
      </c>
      <c r="Q326" s="2">
        <f t="shared" si="38"/>
        <v>78993.680000000008</v>
      </c>
      <c r="R326" s="2">
        <f t="shared" si="39"/>
        <v>66805.56</v>
      </c>
      <c r="S326" s="2">
        <f t="shared" si="40"/>
        <v>73220.36</v>
      </c>
      <c r="T326" s="2">
        <f t="shared" si="41"/>
        <v>79085.320000000007</v>
      </c>
      <c r="U326" s="2">
        <f t="shared" si="42"/>
        <v>79176.960000000006</v>
      </c>
    </row>
    <row r="327" spans="1:21">
      <c r="A327" s="55">
        <v>324</v>
      </c>
      <c r="B327" s="55" t="s">
        <v>521</v>
      </c>
      <c r="C327" s="55" t="s">
        <v>312</v>
      </c>
      <c r="D327" s="55" t="s">
        <v>720</v>
      </c>
      <c r="E327" s="75" t="s">
        <v>859</v>
      </c>
      <c r="F327" s="55" t="s">
        <v>879</v>
      </c>
      <c r="G327" s="55">
        <v>913104002</v>
      </c>
      <c r="H327" s="55" t="s">
        <v>869</v>
      </c>
      <c r="I327" s="55">
        <v>97.71</v>
      </c>
      <c r="J327" s="111">
        <v>814</v>
      </c>
      <c r="K327" s="111">
        <v>862</v>
      </c>
      <c r="L327" s="111">
        <v>729</v>
      </c>
      <c r="M327" s="111">
        <v>799</v>
      </c>
      <c r="N327" s="111">
        <v>863</v>
      </c>
      <c r="O327" s="111">
        <v>864</v>
      </c>
      <c r="P327" s="2">
        <f t="shared" si="37"/>
        <v>79535.939999999988</v>
      </c>
      <c r="Q327" s="2">
        <f t="shared" si="38"/>
        <v>84226.01999999999</v>
      </c>
      <c r="R327" s="2">
        <f t="shared" si="39"/>
        <v>71230.59</v>
      </c>
      <c r="S327" s="2">
        <f t="shared" si="40"/>
        <v>78070.289999999994</v>
      </c>
      <c r="T327" s="2">
        <f t="shared" si="41"/>
        <v>84323.73</v>
      </c>
      <c r="U327" s="2">
        <f t="shared" si="42"/>
        <v>84421.439999999988</v>
      </c>
    </row>
    <row r="328" spans="1:21">
      <c r="A328" s="55">
        <v>325</v>
      </c>
      <c r="B328" s="55" t="s">
        <v>521</v>
      </c>
      <c r="C328" s="55" t="s">
        <v>312</v>
      </c>
      <c r="D328" s="55" t="s">
        <v>720</v>
      </c>
      <c r="E328" s="75" t="s">
        <v>859</v>
      </c>
      <c r="F328" s="55" t="s">
        <v>880</v>
      </c>
      <c r="G328" s="55">
        <v>913110001</v>
      </c>
      <c r="H328" s="55" t="s">
        <v>881</v>
      </c>
      <c r="I328" s="55">
        <v>130.15</v>
      </c>
      <c r="J328" s="111">
        <v>814</v>
      </c>
      <c r="K328" s="111">
        <v>862</v>
      </c>
      <c r="L328" s="111">
        <v>729</v>
      </c>
      <c r="M328" s="111">
        <v>799</v>
      </c>
      <c r="N328" s="111">
        <v>863</v>
      </c>
      <c r="O328" s="111">
        <v>864</v>
      </c>
      <c r="P328" s="2">
        <f t="shared" si="37"/>
        <v>105942.1</v>
      </c>
      <c r="Q328" s="2">
        <f t="shared" si="38"/>
        <v>112189.3</v>
      </c>
      <c r="R328" s="2">
        <f t="shared" si="39"/>
        <v>94879.35</v>
      </c>
      <c r="S328" s="2">
        <f t="shared" si="40"/>
        <v>103989.85</v>
      </c>
      <c r="T328" s="2">
        <f t="shared" si="41"/>
        <v>112319.45000000001</v>
      </c>
      <c r="U328" s="2">
        <f t="shared" si="42"/>
        <v>112449.60000000001</v>
      </c>
    </row>
    <row r="329" spans="1:21">
      <c r="A329" s="55">
        <v>326</v>
      </c>
      <c r="B329" s="55" t="s">
        <v>521</v>
      </c>
      <c r="C329" s="55" t="s">
        <v>312</v>
      </c>
      <c r="D329" s="55" t="s">
        <v>720</v>
      </c>
      <c r="E329" s="75" t="s">
        <v>859</v>
      </c>
      <c r="F329" s="55" t="s">
        <v>882</v>
      </c>
      <c r="G329" s="55">
        <v>913114001</v>
      </c>
      <c r="H329" s="55" t="s">
        <v>883</v>
      </c>
      <c r="I329" s="55">
        <v>97.43</v>
      </c>
      <c r="J329" s="111">
        <v>814</v>
      </c>
      <c r="K329" s="111">
        <v>862</v>
      </c>
      <c r="L329" s="111">
        <v>729</v>
      </c>
      <c r="M329" s="111">
        <v>799</v>
      </c>
      <c r="N329" s="111">
        <v>863</v>
      </c>
      <c r="O329" s="111">
        <v>864</v>
      </c>
      <c r="P329" s="2">
        <f t="shared" si="37"/>
        <v>79308.02</v>
      </c>
      <c r="Q329" s="2">
        <f t="shared" si="38"/>
        <v>83984.66</v>
      </c>
      <c r="R329" s="2">
        <f t="shared" si="39"/>
        <v>71026.47</v>
      </c>
      <c r="S329" s="2">
        <f t="shared" si="40"/>
        <v>77846.570000000007</v>
      </c>
      <c r="T329" s="2">
        <f t="shared" si="41"/>
        <v>84082.090000000011</v>
      </c>
      <c r="U329" s="2">
        <f t="shared" si="42"/>
        <v>84179.520000000004</v>
      </c>
    </row>
    <row r="330" spans="1:21">
      <c r="A330" s="55">
        <v>327</v>
      </c>
      <c r="B330" s="55" t="s">
        <v>521</v>
      </c>
      <c r="C330" s="55" t="s">
        <v>312</v>
      </c>
      <c r="D330" s="55" t="s">
        <v>720</v>
      </c>
      <c r="E330" s="75" t="s">
        <v>859</v>
      </c>
      <c r="F330" s="55" t="s">
        <v>884</v>
      </c>
      <c r="G330" s="55">
        <v>913114002</v>
      </c>
      <c r="H330" s="55" t="s">
        <v>885</v>
      </c>
      <c r="I330" s="55">
        <v>98.02</v>
      </c>
      <c r="J330" s="111">
        <v>814</v>
      </c>
      <c r="K330" s="111">
        <v>862</v>
      </c>
      <c r="L330" s="111">
        <v>729</v>
      </c>
      <c r="M330" s="111">
        <v>799</v>
      </c>
      <c r="N330" s="111">
        <v>863</v>
      </c>
      <c r="O330" s="111">
        <v>864</v>
      </c>
      <c r="P330" s="2">
        <f t="shared" si="37"/>
        <v>79788.28</v>
      </c>
      <c r="Q330" s="2">
        <f t="shared" si="38"/>
        <v>84493.239999999991</v>
      </c>
      <c r="R330" s="2">
        <f t="shared" si="39"/>
        <v>71456.58</v>
      </c>
      <c r="S330" s="2">
        <f t="shared" si="40"/>
        <v>78317.98</v>
      </c>
      <c r="T330" s="2">
        <f t="shared" si="41"/>
        <v>84591.26</v>
      </c>
      <c r="U330" s="2">
        <f t="shared" si="42"/>
        <v>84689.279999999999</v>
      </c>
    </row>
    <row r="331" spans="1:21">
      <c r="A331" s="55">
        <v>328</v>
      </c>
      <c r="B331" s="55" t="s">
        <v>521</v>
      </c>
      <c r="C331" s="55" t="s">
        <v>312</v>
      </c>
      <c r="D331" s="55" t="s">
        <v>720</v>
      </c>
      <c r="E331" s="75" t="s">
        <v>859</v>
      </c>
      <c r="F331" s="55" t="s">
        <v>886</v>
      </c>
      <c r="G331" s="55">
        <v>913114003</v>
      </c>
      <c r="H331" s="55" t="s">
        <v>887</v>
      </c>
      <c r="I331" s="55">
        <v>93.15</v>
      </c>
      <c r="J331" s="111">
        <v>814</v>
      </c>
      <c r="K331" s="111">
        <v>862</v>
      </c>
      <c r="L331" s="111">
        <v>729</v>
      </c>
      <c r="M331" s="111">
        <v>799</v>
      </c>
      <c r="N331" s="111">
        <v>863</v>
      </c>
      <c r="O331" s="111">
        <v>864</v>
      </c>
      <c r="P331" s="2">
        <f t="shared" si="37"/>
        <v>75824.100000000006</v>
      </c>
      <c r="Q331" s="2">
        <f t="shared" si="38"/>
        <v>80295.3</v>
      </c>
      <c r="R331" s="2">
        <f t="shared" si="39"/>
        <v>67906.350000000006</v>
      </c>
      <c r="S331" s="2">
        <f t="shared" si="40"/>
        <v>74426.850000000006</v>
      </c>
      <c r="T331" s="2">
        <f t="shared" si="41"/>
        <v>80388.450000000012</v>
      </c>
      <c r="U331" s="2">
        <f t="shared" si="42"/>
        <v>80481.600000000006</v>
      </c>
    </row>
    <row r="332" spans="1:21">
      <c r="A332" s="55">
        <v>329</v>
      </c>
      <c r="B332" s="55" t="s">
        <v>521</v>
      </c>
      <c r="C332" s="55" t="s">
        <v>312</v>
      </c>
      <c r="D332" s="55" t="s">
        <v>720</v>
      </c>
      <c r="E332" s="75" t="s">
        <v>859</v>
      </c>
      <c r="F332" s="55" t="s">
        <v>888</v>
      </c>
      <c r="G332" s="55">
        <v>913114004</v>
      </c>
      <c r="H332" s="55" t="s">
        <v>889</v>
      </c>
      <c r="I332" s="55">
        <v>93.15</v>
      </c>
      <c r="J332" s="111">
        <v>814</v>
      </c>
      <c r="K332" s="111">
        <v>862</v>
      </c>
      <c r="L332" s="111">
        <v>729</v>
      </c>
      <c r="M332" s="111">
        <v>799</v>
      </c>
      <c r="N332" s="111">
        <v>863</v>
      </c>
      <c r="O332" s="111">
        <v>864</v>
      </c>
      <c r="P332" s="2">
        <f t="shared" si="37"/>
        <v>75824.100000000006</v>
      </c>
      <c r="Q332" s="2">
        <f t="shared" si="38"/>
        <v>80295.3</v>
      </c>
      <c r="R332" s="2">
        <f t="shared" si="39"/>
        <v>67906.350000000006</v>
      </c>
      <c r="S332" s="2">
        <f t="shared" si="40"/>
        <v>74426.850000000006</v>
      </c>
      <c r="T332" s="2">
        <f t="shared" si="41"/>
        <v>80388.450000000012</v>
      </c>
      <c r="U332" s="2">
        <f t="shared" si="42"/>
        <v>80481.600000000006</v>
      </c>
    </row>
    <row r="333" spans="1:21">
      <c r="A333" s="55">
        <v>330</v>
      </c>
      <c r="B333" s="55" t="s">
        <v>521</v>
      </c>
      <c r="C333" s="55" t="s">
        <v>312</v>
      </c>
      <c r="D333" s="55" t="s">
        <v>720</v>
      </c>
      <c r="E333" s="75" t="s">
        <v>859</v>
      </c>
      <c r="F333" s="55" t="s">
        <v>890</v>
      </c>
      <c r="G333" s="55">
        <v>913110003</v>
      </c>
      <c r="H333" s="55" t="s">
        <v>891</v>
      </c>
      <c r="I333" s="55">
        <v>124.86</v>
      </c>
      <c r="J333" s="111">
        <v>814</v>
      </c>
      <c r="K333" s="111">
        <v>862</v>
      </c>
      <c r="L333" s="111">
        <v>729</v>
      </c>
      <c r="M333" s="111">
        <v>799</v>
      </c>
      <c r="N333" s="111">
        <v>863</v>
      </c>
      <c r="O333" s="111">
        <v>864</v>
      </c>
      <c r="P333" s="2">
        <f t="shared" si="37"/>
        <v>101636.04</v>
      </c>
      <c r="Q333" s="2">
        <f t="shared" si="38"/>
        <v>107629.31999999999</v>
      </c>
      <c r="R333" s="2">
        <f t="shared" si="39"/>
        <v>91022.94</v>
      </c>
      <c r="S333" s="2">
        <f t="shared" si="40"/>
        <v>99763.14</v>
      </c>
      <c r="T333" s="2">
        <f t="shared" si="41"/>
        <v>107754.18</v>
      </c>
      <c r="U333" s="2">
        <f t="shared" si="42"/>
        <v>107879.03999999999</v>
      </c>
    </row>
    <row r="334" spans="1:21">
      <c r="A334" s="55">
        <v>331</v>
      </c>
      <c r="B334" s="55" t="s">
        <v>521</v>
      </c>
      <c r="C334" s="55" t="s">
        <v>312</v>
      </c>
      <c r="D334" s="55" t="s">
        <v>720</v>
      </c>
      <c r="E334" s="75" t="s">
        <v>892</v>
      </c>
      <c r="F334" s="55" t="s">
        <v>893</v>
      </c>
      <c r="G334" s="55">
        <v>913402001</v>
      </c>
      <c r="H334" s="55" t="s">
        <v>894</v>
      </c>
      <c r="I334" s="55">
        <v>125.91</v>
      </c>
      <c r="J334" s="111">
        <v>60</v>
      </c>
      <c r="K334" s="111">
        <v>68</v>
      </c>
      <c r="L334" s="111">
        <v>70</v>
      </c>
      <c r="M334" s="111">
        <v>61</v>
      </c>
      <c r="N334" s="111">
        <v>64</v>
      </c>
      <c r="O334" s="111">
        <v>60</v>
      </c>
      <c r="P334" s="2">
        <f t="shared" si="37"/>
        <v>7554.5999999999995</v>
      </c>
      <c r="Q334" s="2">
        <f t="shared" si="38"/>
        <v>8561.8799999999992</v>
      </c>
      <c r="R334" s="2">
        <f t="shared" si="39"/>
        <v>8813.6999999999989</v>
      </c>
      <c r="S334" s="2">
        <f t="shared" si="40"/>
        <v>7680.51</v>
      </c>
      <c r="T334" s="2">
        <f t="shared" si="41"/>
        <v>8058.24</v>
      </c>
      <c r="U334" s="2">
        <f t="shared" si="42"/>
        <v>7554.5999999999995</v>
      </c>
    </row>
    <row r="335" spans="1:21">
      <c r="A335" s="55">
        <v>332</v>
      </c>
      <c r="B335" s="55" t="s">
        <v>521</v>
      </c>
      <c r="C335" s="55" t="s">
        <v>312</v>
      </c>
      <c r="D335" s="55" t="s">
        <v>720</v>
      </c>
      <c r="E335" s="75" t="s">
        <v>892</v>
      </c>
      <c r="F335" s="55" t="s">
        <v>895</v>
      </c>
      <c r="G335" s="55">
        <v>913403003</v>
      </c>
      <c r="H335" s="55" t="s">
        <v>748</v>
      </c>
      <c r="I335" s="55">
        <v>15.75</v>
      </c>
      <c r="J335" s="111">
        <v>60</v>
      </c>
      <c r="K335" s="111">
        <v>68</v>
      </c>
      <c r="L335" s="111">
        <v>70</v>
      </c>
      <c r="M335" s="111">
        <v>61</v>
      </c>
      <c r="N335" s="111">
        <v>64</v>
      </c>
      <c r="O335" s="111">
        <v>60</v>
      </c>
      <c r="P335" s="2">
        <f t="shared" si="37"/>
        <v>945</v>
      </c>
      <c r="Q335" s="2">
        <f t="shared" si="38"/>
        <v>1071</v>
      </c>
      <c r="R335" s="2">
        <f t="shared" si="39"/>
        <v>1102.5</v>
      </c>
      <c r="S335" s="2">
        <f t="shared" si="40"/>
        <v>960.75</v>
      </c>
      <c r="T335" s="2">
        <f t="shared" si="41"/>
        <v>1008</v>
      </c>
      <c r="U335" s="2">
        <f t="shared" si="42"/>
        <v>945</v>
      </c>
    </row>
    <row r="336" spans="1:21">
      <c r="A336" s="55">
        <v>333</v>
      </c>
      <c r="B336" s="55" t="s">
        <v>521</v>
      </c>
      <c r="C336" s="55" t="s">
        <v>312</v>
      </c>
      <c r="D336" s="55" t="s">
        <v>720</v>
      </c>
      <c r="E336" s="75" t="s">
        <v>892</v>
      </c>
      <c r="F336" s="55" t="s">
        <v>1240</v>
      </c>
      <c r="G336" s="55">
        <v>913403004</v>
      </c>
      <c r="H336" s="55" t="s">
        <v>741</v>
      </c>
      <c r="I336" s="55">
        <v>6.63</v>
      </c>
      <c r="J336" s="111">
        <v>60</v>
      </c>
      <c r="K336" s="111">
        <v>68</v>
      </c>
      <c r="L336" s="111">
        <v>70</v>
      </c>
      <c r="M336" s="111">
        <v>61</v>
      </c>
      <c r="N336" s="111">
        <v>64</v>
      </c>
      <c r="O336" s="111">
        <v>60</v>
      </c>
      <c r="P336" s="2">
        <f t="shared" si="37"/>
        <v>397.8</v>
      </c>
      <c r="Q336" s="2">
        <f t="shared" si="38"/>
        <v>450.84</v>
      </c>
      <c r="R336" s="2">
        <f t="shared" si="39"/>
        <v>464.09999999999997</v>
      </c>
      <c r="S336" s="2">
        <f t="shared" si="40"/>
        <v>404.43</v>
      </c>
      <c r="T336" s="2">
        <f t="shared" si="41"/>
        <v>424.32</v>
      </c>
      <c r="U336" s="2">
        <f t="shared" si="42"/>
        <v>397.8</v>
      </c>
    </row>
    <row r="337" spans="1:21">
      <c r="A337" s="55">
        <v>334</v>
      </c>
      <c r="B337" s="55" t="s">
        <v>521</v>
      </c>
      <c r="C337" s="55" t="s">
        <v>312</v>
      </c>
      <c r="D337" s="55" t="s">
        <v>720</v>
      </c>
      <c r="E337" s="75" t="s">
        <v>892</v>
      </c>
      <c r="F337" s="55" t="s">
        <v>896</v>
      </c>
      <c r="G337" s="55">
        <v>913404001</v>
      </c>
      <c r="H337" s="55" t="s">
        <v>897</v>
      </c>
      <c r="I337" s="55">
        <v>91.52</v>
      </c>
      <c r="J337" s="111">
        <v>60</v>
      </c>
      <c r="K337" s="111">
        <v>68</v>
      </c>
      <c r="L337" s="111">
        <v>70</v>
      </c>
      <c r="M337" s="111">
        <v>61</v>
      </c>
      <c r="N337" s="111">
        <v>64</v>
      </c>
      <c r="O337" s="111">
        <v>60</v>
      </c>
      <c r="P337" s="2">
        <f t="shared" si="37"/>
        <v>5491.2</v>
      </c>
      <c r="Q337" s="2">
        <f t="shared" si="38"/>
        <v>6223.36</v>
      </c>
      <c r="R337" s="2">
        <f t="shared" si="39"/>
        <v>6406.4</v>
      </c>
      <c r="S337" s="2">
        <f t="shared" si="40"/>
        <v>5582.7199999999993</v>
      </c>
      <c r="T337" s="2">
        <f t="shared" si="41"/>
        <v>5857.28</v>
      </c>
      <c r="U337" s="2">
        <f t="shared" si="42"/>
        <v>5491.2</v>
      </c>
    </row>
    <row r="338" spans="1:21">
      <c r="A338" s="55">
        <v>335</v>
      </c>
      <c r="B338" s="55" t="s">
        <v>521</v>
      </c>
      <c r="C338" s="55" t="s">
        <v>312</v>
      </c>
      <c r="D338" s="55" t="s">
        <v>720</v>
      </c>
      <c r="E338" s="75" t="s">
        <v>892</v>
      </c>
      <c r="F338" s="55" t="s">
        <v>898</v>
      </c>
      <c r="G338" s="55">
        <v>913404002</v>
      </c>
      <c r="H338" s="55" t="s">
        <v>899</v>
      </c>
      <c r="I338" s="55">
        <v>91.52</v>
      </c>
      <c r="J338" s="111">
        <v>60</v>
      </c>
      <c r="K338" s="111">
        <v>68</v>
      </c>
      <c r="L338" s="111">
        <v>70</v>
      </c>
      <c r="M338" s="111">
        <v>61</v>
      </c>
      <c r="N338" s="111">
        <v>64</v>
      </c>
      <c r="O338" s="111">
        <v>60</v>
      </c>
      <c r="P338" s="2">
        <f t="shared" si="37"/>
        <v>5491.2</v>
      </c>
      <c r="Q338" s="2">
        <f t="shared" si="38"/>
        <v>6223.36</v>
      </c>
      <c r="R338" s="2">
        <f t="shared" si="39"/>
        <v>6406.4</v>
      </c>
      <c r="S338" s="2">
        <f t="shared" si="40"/>
        <v>5582.7199999999993</v>
      </c>
      <c r="T338" s="2">
        <f t="shared" si="41"/>
        <v>5857.28</v>
      </c>
      <c r="U338" s="2">
        <f t="shared" si="42"/>
        <v>5491.2</v>
      </c>
    </row>
    <row r="339" spans="1:21">
      <c r="A339" s="55">
        <v>336</v>
      </c>
      <c r="B339" s="55" t="s">
        <v>521</v>
      </c>
      <c r="C339" s="55" t="s">
        <v>312</v>
      </c>
      <c r="D339" s="55" t="s">
        <v>720</v>
      </c>
      <c r="E339" s="75" t="s">
        <v>892</v>
      </c>
      <c r="F339" s="55" t="s">
        <v>900</v>
      </c>
      <c r="G339" s="55">
        <v>913404004</v>
      </c>
      <c r="H339" s="55" t="s">
        <v>901</v>
      </c>
      <c r="I339" s="55">
        <v>79.849999999999994</v>
      </c>
      <c r="J339" s="111">
        <v>60</v>
      </c>
      <c r="K339" s="111">
        <v>68</v>
      </c>
      <c r="L339" s="111">
        <v>70</v>
      </c>
      <c r="M339" s="111">
        <v>61</v>
      </c>
      <c r="N339" s="111">
        <v>64</v>
      </c>
      <c r="O339" s="111">
        <v>60</v>
      </c>
      <c r="P339" s="2">
        <f t="shared" si="37"/>
        <v>4791</v>
      </c>
      <c r="Q339" s="2">
        <f t="shared" si="38"/>
        <v>5429.7999999999993</v>
      </c>
      <c r="R339" s="2">
        <f t="shared" si="39"/>
        <v>5589.5</v>
      </c>
      <c r="S339" s="2">
        <f t="shared" si="40"/>
        <v>4870.8499999999995</v>
      </c>
      <c r="T339" s="2">
        <f t="shared" si="41"/>
        <v>5110.3999999999996</v>
      </c>
      <c r="U339" s="2">
        <f t="shared" si="42"/>
        <v>4791</v>
      </c>
    </row>
    <row r="340" spans="1:21">
      <c r="A340" s="55">
        <v>337</v>
      </c>
      <c r="B340" s="55" t="s">
        <v>521</v>
      </c>
      <c r="C340" s="55" t="s">
        <v>312</v>
      </c>
      <c r="D340" s="55" t="s">
        <v>720</v>
      </c>
      <c r="E340" s="75" t="s">
        <v>892</v>
      </c>
      <c r="F340" s="55" t="s">
        <v>902</v>
      </c>
      <c r="G340" s="55">
        <v>913404005</v>
      </c>
      <c r="H340" s="55" t="s">
        <v>903</v>
      </c>
      <c r="I340" s="55">
        <v>10.19</v>
      </c>
      <c r="J340" s="111">
        <v>60</v>
      </c>
      <c r="K340" s="111">
        <v>68</v>
      </c>
      <c r="L340" s="111">
        <v>70</v>
      </c>
      <c r="M340" s="111">
        <v>61</v>
      </c>
      <c r="N340" s="111">
        <v>64</v>
      </c>
      <c r="O340" s="111">
        <v>60</v>
      </c>
      <c r="P340" s="2">
        <f t="shared" si="37"/>
        <v>611.4</v>
      </c>
      <c r="Q340" s="2">
        <f t="shared" si="38"/>
        <v>692.92</v>
      </c>
      <c r="R340" s="2">
        <f t="shared" si="39"/>
        <v>713.3</v>
      </c>
      <c r="S340" s="2">
        <f t="shared" si="40"/>
        <v>621.58999999999992</v>
      </c>
      <c r="T340" s="2">
        <f t="shared" si="41"/>
        <v>652.16</v>
      </c>
      <c r="U340" s="2">
        <f t="shared" si="42"/>
        <v>611.4</v>
      </c>
    </row>
    <row r="341" spans="1:21">
      <c r="A341" s="55">
        <v>338</v>
      </c>
      <c r="B341" s="55" t="s">
        <v>521</v>
      </c>
      <c r="C341" s="55" t="s">
        <v>312</v>
      </c>
      <c r="D341" s="55" t="s">
        <v>720</v>
      </c>
      <c r="E341" s="75" t="s">
        <v>892</v>
      </c>
      <c r="F341" s="55" t="s">
        <v>904</v>
      </c>
      <c r="G341" s="55">
        <v>913404003</v>
      </c>
      <c r="H341" s="55" t="s">
        <v>905</v>
      </c>
      <c r="I341" s="55">
        <v>79.900000000000006</v>
      </c>
      <c r="J341" s="111">
        <v>60</v>
      </c>
      <c r="K341" s="111">
        <v>68</v>
      </c>
      <c r="L341" s="111">
        <v>70</v>
      </c>
      <c r="M341" s="111">
        <v>61</v>
      </c>
      <c r="N341" s="111">
        <v>64</v>
      </c>
      <c r="O341" s="111">
        <v>60</v>
      </c>
      <c r="P341" s="2">
        <f t="shared" si="37"/>
        <v>4794</v>
      </c>
      <c r="Q341" s="2">
        <f t="shared" si="38"/>
        <v>5433.2000000000007</v>
      </c>
      <c r="R341" s="2">
        <f t="shared" si="39"/>
        <v>5593</v>
      </c>
      <c r="S341" s="2">
        <f t="shared" si="40"/>
        <v>4873.9000000000005</v>
      </c>
      <c r="T341" s="2">
        <f t="shared" si="41"/>
        <v>5113.6000000000004</v>
      </c>
      <c r="U341" s="2">
        <f t="shared" si="42"/>
        <v>4794</v>
      </c>
    </row>
    <row r="342" spans="1:21">
      <c r="A342" s="55">
        <v>339</v>
      </c>
      <c r="B342" s="55" t="s">
        <v>521</v>
      </c>
      <c r="C342" s="55" t="s">
        <v>312</v>
      </c>
      <c r="D342" s="55" t="s">
        <v>720</v>
      </c>
      <c r="E342" s="75" t="s">
        <v>906</v>
      </c>
      <c r="F342" s="55" t="s">
        <v>907</v>
      </c>
      <c r="G342" s="55">
        <v>913918001</v>
      </c>
      <c r="H342" s="55" t="s">
        <v>908</v>
      </c>
      <c r="I342" s="55">
        <v>129.32</v>
      </c>
      <c r="J342" s="111">
        <v>89</v>
      </c>
      <c r="K342" s="111">
        <v>94</v>
      </c>
      <c r="L342" s="111">
        <v>88</v>
      </c>
      <c r="M342" s="111">
        <v>87</v>
      </c>
      <c r="N342" s="111">
        <v>99</v>
      </c>
      <c r="O342" s="111">
        <v>97</v>
      </c>
      <c r="P342" s="2">
        <f t="shared" si="37"/>
        <v>11509.48</v>
      </c>
      <c r="Q342" s="2">
        <f t="shared" si="38"/>
        <v>12156.08</v>
      </c>
      <c r="R342" s="2">
        <f t="shared" si="39"/>
        <v>11380.16</v>
      </c>
      <c r="S342" s="2">
        <f t="shared" si="40"/>
        <v>11250.84</v>
      </c>
      <c r="T342" s="2">
        <f t="shared" si="41"/>
        <v>12802.679999999998</v>
      </c>
      <c r="U342" s="2">
        <f t="shared" si="42"/>
        <v>12544.039999999999</v>
      </c>
    </row>
    <row r="343" spans="1:21">
      <c r="A343" s="55">
        <v>340</v>
      </c>
      <c r="B343" s="55" t="s">
        <v>521</v>
      </c>
      <c r="C343" s="55" t="s">
        <v>312</v>
      </c>
      <c r="D343" s="55" t="s">
        <v>720</v>
      </c>
      <c r="E343" s="75" t="s">
        <v>906</v>
      </c>
      <c r="F343" s="55" t="s">
        <v>909</v>
      </c>
      <c r="G343" s="55">
        <v>913901001</v>
      </c>
      <c r="H343" s="55" t="s">
        <v>829</v>
      </c>
      <c r="I343" s="55">
        <v>85.83</v>
      </c>
      <c r="J343" s="111">
        <v>89</v>
      </c>
      <c r="K343" s="111">
        <v>94</v>
      </c>
      <c r="L343" s="111">
        <v>88</v>
      </c>
      <c r="M343" s="111">
        <v>87</v>
      </c>
      <c r="N343" s="111">
        <v>99</v>
      </c>
      <c r="O343" s="111">
        <v>97</v>
      </c>
      <c r="P343" s="2">
        <f t="shared" si="37"/>
        <v>7638.87</v>
      </c>
      <c r="Q343" s="2">
        <f t="shared" si="38"/>
        <v>8068.0199999999995</v>
      </c>
      <c r="R343" s="2">
        <f t="shared" si="39"/>
        <v>7553.04</v>
      </c>
      <c r="S343" s="2">
        <f t="shared" si="40"/>
        <v>7467.21</v>
      </c>
      <c r="T343" s="2">
        <f t="shared" si="41"/>
        <v>8497.17</v>
      </c>
      <c r="U343" s="2">
        <f t="shared" si="42"/>
        <v>8325.51</v>
      </c>
    </row>
    <row r="344" spans="1:21">
      <c r="A344" s="55">
        <v>341</v>
      </c>
      <c r="B344" s="55" t="s">
        <v>521</v>
      </c>
      <c r="C344" s="55" t="s">
        <v>312</v>
      </c>
      <c r="D344" s="55" t="s">
        <v>720</v>
      </c>
      <c r="E344" s="75" t="s">
        <v>906</v>
      </c>
      <c r="F344" s="55" t="s">
        <v>910</v>
      </c>
      <c r="G344" s="55">
        <v>913901003</v>
      </c>
      <c r="H344" s="55" t="s">
        <v>831</v>
      </c>
      <c r="I344" s="55">
        <v>83.18</v>
      </c>
      <c r="J344" s="111">
        <v>89</v>
      </c>
      <c r="K344" s="111">
        <v>94</v>
      </c>
      <c r="L344" s="111">
        <v>88</v>
      </c>
      <c r="M344" s="111">
        <v>87</v>
      </c>
      <c r="N344" s="111">
        <v>99</v>
      </c>
      <c r="O344" s="111">
        <v>97</v>
      </c>
      <c r="P344" s="2">
        <f t="shared" si="37"/>
        <v>7403.02</v>
      </c>
      <c r="Q344" s="2">
        <f t="shared" si="38"/>
        <v>7818.920000000001</v>
      </c>
      <c r="R344" s="2">
        <f t="shared" si="39"/>
        <v>7319.84</v>
      </c>
      <c r="S344" s="2">
        <f t="shared" si="40"/>
        <v>7236.6600000000008</v>
      </c>
      <c r="T344" s="2">
        <f t="shared" si="41"/>
        <v>8234.8200000000015</v>
      </c>
      <c r="U344" s="2">
        <f t="shared" si="42"/>
        <v>8068.4600000000009</v>
      </c>
    </row>
    <row r="345" spans="1:21">
      <c r="A345" s="55">
        <v>342</v>
      </c>
      <c r="B345" s="55" t="s">
        <v>521</v>
      </c>
      <c r="C345" s="55" t="s">
        <v>312</v>
      </c>
      <c r="D345" s="55" t="s">
        <v>720</v>
      </c>
      <c r="E345" s="75" t="s">
        <v>906</v>
      </c>
      <c r="F345" s="55" t="s">
        <v>911</v>
      </c>
      <c r="G345" s="55">
        <v>913901010</v>
      </c>
      <c r="H345" s="55" t="s">
        <v>819</v>
      </c>
      <c r="I345" s="55">
        <v>143.79</v>
      </c>
      <c r="J345" s="111">
        <v>89</v>
      </c>
      <c r="K345" s="111">
        <v>94</v>
      </c>
      <c r="L345" s="111">
        <v>88</v>
      </c>
      <c r="M345" s="111">
        <v>87</v>
      </c>
      <c r="N345" s="111">
        <v>99</v>
      </c>
      <c r="O345" s="111">
        <v>97</v>
      </c>
      <c r="P345" s="2">
        <f t="shared" si="37"/>
        <v>12797.31</v>
      </c>
      <c r="Q345" s="2">
        <f t="shared" si="38"/>
        <v>13516.259999999998</v>
      </c>
      <c r="R345" s="2">
        <f t="shared" si="39"/>
        <v>12653.519999999999</v>
      </c>
      <c r="S345" s="2">
        <f t="shared" si="40"/>
        <v>12509.73</v>
      </c>
      <c r="T345" s="2">
        <f t="shared" si="41"/>
        <v>14235.21</v>
      </c>
      <c r="U345" s="2">
        <f t="shared" si="42"/>
        <v>13947.63</v>
      </c>
    </row>
    <row r="346" spans="1:21">
      <c r="A346" s="55">
        <v>343</v>
      </c>
      <c r="B346" s="55" t="s">
        <v>521</v>
      </c>
      <c r="C346" s="55" t="s">
        <v>312</v>
      </c>
      <c r="D346" s="55" t="s">
        <v>720</v>
      </c>
      <c r="E346" s="75" t="s">
        <v>906</v>
      </c>
      <c r="F346" s="55" t="s">
        <v>912</v>
      </c>
      <c r="G346" s="55">
        <v>913901009</v>
      </c>
      <c r="H346" s="55" t="s">
        <v>817</v>
      </c>
      <c r="I346" s="55">
        <v>143.81</v>
      </c>
      <c r="J346" s="111">
        <v>89</v>
      </c>
      <c r="K346" s="111">
        <v>94</v>
      </c>
      <c r="L346" s="111">
        <v>88</v>
      </c>
      <c r="M346" s="111">
        <v>87</v>
      </c>
      <c r="N346" s="111">
        <v>99</v>
      </c>
      <c r="O346" s="111">
        <v>97</v>
      </c>
      <c r="P346" s="2">
        <f t="shared" si="37"/>
        <v>12799.09</v>
      </c>
      <c r="Q346" s="2">
        <f t="shared" si="38"/>
        <v>13518.14</v>
      </c>
      <c r="R346" s="2">
        <f t="shared" si="39"/>
        <v>12655.28</v>
      </c>
      <c r="S346" s="2">
        <f t="shared" si="40"/>
        <v>12511.47</v>
      </c>
      <c r="T346" s="2">
        <f t="shared" si="41"/>
        <v>14237.19</v>
      </c>
      <c r="U346" s="2">
        <f t="shared" si="42"/>
        <v>13949.57</v>
      </c>
    </row>
    <row r="347" spans="1:21">
      <c r="A347" s="55">
        <v>344</v>
      </c>
      <c r="B347" s="55" t="s">
        <v>521</v>
      </c>
      <c r="C347" s="55" t="s">
        <v>312</v>
      </c>
      <c r="D347" s="55" t="s">
        <v>720</v>
      </c>
      <c r="E347" s="75" t="s">
        <v>906</v>
      </c>
      <c r="F347" s="55" t="s">
        <v>913</v>
      </c>
      <c r="G347" s="55">
        <v>913901011</v>
      </c>
      <c r="H347" s="55" t="s">
        <v>914</v>
      </c>
      <c r="I347" s="55">
        <v>132.35</v>
      </c>
      <c r="J347" s="111">
        <v>89</v>
      </c>
      <c r="K347" s="111">
        <v>94</v>
      </c>
      <c r="L347" s="111">
        <v>88</v>
      </c>
      <c r="M347" s="111">
        <v>87</v>
      </c>
      <c r="N347" s="111">
        <v>99</v>
      </c>
      <c r="O347" s="111">
        <v>97</v>
      </c>
      <c r="P347" s="2">
        <f t="shared" si="37"/>
        <v>11779.15</v>
      </c>
      <c r="Q347" s="2">
        <f t="shared" si="38"/>
        <v>12440.9</v>
      </c>
      <c r="R347" s="2">
        <f t="shared" si="39"/>
        <v>11646.8</v>
      </c>
      <c r="S347" s="2">
        <f t="shared" si="40"/>
        <v>11514.449999999999</v>
      </c>
      <c r="T347" s="2">
        <f t="shared" si="41"/>
        <v>13102.65</v>
      </c>
      <c r="U347" s="2">
        <f t="shared" si="42"/>
        <v>12837.949999999999</v>
      </c>
    </row>
    <row r="348" spans="1:21">
      <c r="A348" s="55">
        <v>345</v>
      </c>
      <c r="B348" s="55" t="s">
        <v>521</v>
      </c>
      <c r="C348" s="55" t="s">
        <v>312</v>
      </c>
      <c r="D348" s="55" t="s">
        <v>720</v>
      </c>
      <c r="E348" s="75" t="s">
        <v>906</v>
      </c>
      <c r="F348" s="55" t="s">
        <v>915</v>
      </c>
      <c r="G348" s="55">
        <v>913901012</v>
      </c>
      <c r="H348" s="55" t="s">
        <v>916</v>
      </c>
      <c r="I348" s="55">
        <v>132.35</v>
      </c>
      <c r="J348" s="111">
        <v>89</v>
      </c>
      <c r="K348" s="111">
        <v>94</v>
      </c>
      <c r="L348" s="111">
        <v>88</v>
      </c>
      <c r="M348" s="111">
        <v>87</v>
      </c>
      <c r="N348" s="111">
        <v>99</v>
      </c>
      <c r="O348" s="111">
        <v>97</v>
      </c>
      <c r="P348" s="2">
        <f t="shared" si="37"/>
        <v>11779.15</v>
      </c>
      <c r="Q348" s="2">
        <f t="shared" si="38"/>
        <v>12440.9</v>
      </c>
      <c r="R348" s="2">
        <f t="shared" si="39"/>
        <v>11646.8</v>
      </c>
      <c r="S348" s="2">
        <f t="shared" si="40"/>
        <v>11514.449999999999</v>
      </c>
      <c r="T348" s="2">
        <f t="shared" si="41"/>
        <v>13102.65</v>
      </c>
      <c r="U348" s="2">
        <f t="shared" si="42"/>
        <v>12837.949999999999</v>
      </c>
    </row>
    <row r="349" spans="1:21">
      <c r="A349" s="55">
        <v>346</v>
      </c>
      <c r="B349" s="55" t="s">
        <v>521</v>
      </c>
      <c r="C349" s="55" t="s">
        <v>312</v>
      </c>
      <c r="D349" s="55" t="s">
        <v>720</v>
      </c>
      <c r="E349" s="75" t="s">
        <v>917</v>
      </c>
      <c r="F349" s="55" t="s">
        <v>918</v>
      </c>
      <c r="G349" s="55">
        <v>910101005</v>
      </c>
      <c r="H349" s="55" t="s">
        <v>919</v>
      </c>
      <c r="I349" s="55">
        <v>122.19</v>
      </c>
      <c r="J349" s="111">
        <v>1140</v>
      </c>
      <c r="K349" s="111">
        <v>1065</v>
      </c>
      <c r="L349" s="111">
        <v>955</v>
      </c>
      <c r="M349" s="111">
        <v>997</v>
      </c>
      <c r="N349" s="111">
        <v>1088</v>
      </c>
      <c r="O349" s="111">
        <v>944</v>
      </c>
      <c r="P349" s="2">
        <f t="shared" si="37"/>
        <v>139296.6</v>
      </c>
      <c r="Q349" s="2">
        <f t="shared" si="38"/>
        <v>130132.34999999999</v>
      </c>
      <c r="R349" s="2">
        <f t="shared" si="39"/>
        <v>116691.45</v>
      </c>
      <c r="S349" s="2">
        <f t="shared" si="40"/>
        <v>121823.43</v>
      </c>
      <c r="T349" s="2">
        <f t="shared" si="41"/>
        <v>132942.72</v>
      </c>
      <c r="U349" s="2">
        <f t="shared" si="42"/>
        <v>115347.36</v>
      </c>
    </row>
    <row r="350" spans="1:21">
      <c r="A350" s="55">
        <v>347</v>
      </c>
      <c r="B350" s="55" t="s">
        <v>521</v>
      </c>
      <c r="C350" s="55" t="s">
        <v>312</v>
      </c>
      <c r="D350" s="55" t="s">
        <v>720</v>
      </c>
      <c r="E350" s="75" t="s">
        <v>917</v>
      </c>
      <c r="F350" s="55" t="s">
        <v>920</v>
      </c>
      <c r="G350" s="55">
        <v>910103001</v>
      </c>
      <c r="H350" s="55" t="s">
        <v>921</v>
      </c>
      <c r="I350" s="55">
        <v>13.63</v>
      </c>
      <c r="J350" s="111">
        <v>1140</v>
      </c>
      <c r="K350" s="111">
        <v>1065</v>
      </c>
      <c r="L350" s="111">
        <v>955</v>
      </c>
      <c r="M350" s="111">
        <v>997</v>
      </c>
      <c r="N350" s="111">
        <v>1088</v>
      </c>
      <c r="O350" s="111">
        <v>944</v>
      </c>
      <c r="P350" s="2">
        <f t="shared" si="37"/>
        <v>15538.2</v>
      </c>
      <c r="Q350" s="2">
        <f t="shared" si="38"/>
        <v>14515.95</v>
      </c>
      <c r="R350" s="2">
        <f t="shared" si="39"/>
        <v>13016.650000000001</v>
      </c>
      <c r="S350" s="2">
        <f t="shared" si="40"/>
        <v>13589.11</v>
      </c>
      <c r="T350" s="2">
        <f t="shared" si="41"/>
        <v>14829.44</v>
      </c>
      <c r="U350" s="2">
        <f t="shared" si="42"/>
        <v>12866.720000000001</v>
      </c>
    </row>
    <row r="351" spans="1:21">
      <c r="A351" s="55">
        <v>348</v>
      </c>
      <c r="B351" s="55" t="s">
        <v>521</v>
      </c>
      <c r="C351" s="55" t="s">
        <v>312</v>
      </c>
      <c r="D351" s="55" t="s">
        <v>720</v>
      </c>
      <c r="E351" s="75" t="s">
        <v>917</v>
      </c>
      <c r="F351" s="55" t="s">
        <v>922</v>
      </c>
      <c r="G351" s="55">
        <v>910104002</v>
      </c>
      <c r="H351" s="55" t="s">
        <v>923</v>
      </c>
      <c r="I351" s="55">
        <v>49.3</v>
      </c>
      <c r="J351" s="111">
        <v>1140</v>
      </c>
      <c r="K351" s="111">
        <v>1065</v>
      </c>
      <c r="L351" s="111">
        <v>955</v>
      </c>
      <c r="M351" s="111">
        <v>997</v>
      </c>
      <c r="N351" s="111">
        <v>1088</v>
      </c>
      <c r="O351" s="111">
        <v>944</v>
      </c>
      <c r="P351" s="2">
        <f t="shared" si="37"/>
        <v>56202</v>
      </c>
      <c r="Q351" s="2">
        <f t="shared" si="38"/>
        <v>52504.5</v>
      </c>
      <c r="R351" s="2">
        <f t="shared" si="39"/>
        <v>47081.5</v>
      </c>
      <c r="S351" s="2">
        <f t="shared" si="40"/>
        <v>49152.1</v>
      </c>
      <c r="T351" s="2">
        <f t="shared" si="41"/>
        <v>53638.399999999994</v>
      </c>
      <c r="U351" s="2">
        <f t="shared" si="42"/>
        <v>46539.199999999997</v>
      </c>
    </row>
    <row r="352" spans="1:21">
      <c r="A352" s="55">
        <v>349</v>
      </c>
      <c r="B352" s="55" t="s">
        <v>521</v>
      </c>
      <c r="C352" s="55" t="s">
        <v>312</v>
      </c>
      <c r="D352" s="55" t="s">
        <v>720</v>
      </c>
      <c r="E352" s="75" t="s">
        <v>917</v>
      </c>
      <c r="F352" s="55" t="s">
        <v>924</v>
      </c>
      <c r="G352" s="55">
        <v>910110001</v>
      </c>
      <c r="H352" s="55" t="s">
        <v>925</v>
      </c>
      <c r="I352" s="55">
        <v>104.83</v>
      </c>
      <c r="J352" s="111">
        <v>1140</v>
      </c>
      <c r="K352" s="111">
        <v>1065</v>
      </c>
      <c r="L352" s="111">
        <v>955</v>
      </c>
      <c r="M352" s="111">
        <v>997</v>
      </c>
      <c r="N352" s="111">
        <v>1088</v>
      </c>
      <c r="O352" s="111">
        <v>944</v>
      </c>
      <c r="P352" s="2">
        <f t="shared" si="37"/>
        <v>119506.2</v>
      </c>
      <c r="Q352" s="2">
        <f t="shared" si="38"/>
        <v>111643.95</v>
      </c>
      <c r="R352" s="2">
        <f t="shared" si="39"/>
        <v>100112.65</v>
      </c>
      <c r="S352" s="2">
        <f t="shared" si="40"/>
        <v>104515.51</v>
      </c>
      <c r="T352" s="2">
        <f t="shared" si="41"/>
        <v>114055.03999999999</v>
      </c>
      <c r="U352" s="2">
        <f t="shared" si="42"/>
        <v>98959.52</v>
      </c>
    </row>
    <row r="353" spans="1:21">
      <c r="A353" s="55">
        <v>350</v>
      </c>
      <c r="B353" s="55" t="s">
        <v>521</v>
      </c>
      <c r="C353" s="55" t="s">
        <v>312</v>
      </c>
      <c r="D353" s="55" t="s">
        <v>720</v>
      </c>
      <c r="E353" s="75" t="s">
        <v>917</v>
      </c>
      <c r="F353" s="55" t="s">
        <v>926</v>
      </c>
      <c r="G353" s="55">
        <v>910110002</v>
      </c>
      <c r="H353" s="55" t="s">
        <v>925</v>
      </c>
      <c r="I353" s="55">
        <v>143.58000000000001</v>
      </c>
      <c r="J353" s="111">
        <v>1140</v>
      </c>
      <c r="K353" s="111">
        <v>1065</v>
      </c>
      <c r="L353" s="111">
        <v>955</v>
      </c>
      <c r="M353" s="111">
        <v>997</v>
      </c>
      <c r="N353" s="111">
        <v>1088</v>
      </c>
      <c r="O353" s="111">
        <v>944</v>
      </c>
      <c r="P353" s="2">
        <f t="shared" si="37"/>
        <v>163681.20000000001</v>
      </c>
      <c r="Q353" s="2">
        <f t="shared" si="38"/>
        <v>152912.70000000001</v>
      </c>
      <c r="R353" s="2">
        <f t="shared" si="39"/>
        <v>137118.90000000002</v>
      </c>
      <c r="S353" s="2">
        <f t="shared" si="40"/>
        <v>143149.26</v>
      </c>
      <c r="T353" s="2">
        <f t="shared" si="41"/>
        <v>156215.04000000001</v>
      </c>
      <c r="U353" s="2">
        <f t="shared" si="42"/>
        <v>135539.52000000002</v>
      </c>
    </row>
    <row r="354" spans="1:21">
      <c r="A354" s="55">
        <v>351</v>
      </c>
      <c r="B354" s="55" t="s">
        <v>521</v>
      </c>
      <c r="C354" s="55" t="s">
        <v>312</v>
      </c>
      <c r="D354" s="55" t="s">
        <v>720</v>
      </c>
      <c r="E354" s="75" t="s">
        <v>917</v>
      </c>
      <c r="F354" s="55" t="s">
        <v>927</v>
      </c>
      <c r="G354" s="55">
        <v>910101001</v>
      </c>
      <c r="H354" s="55" t="s">
        <v>928</v>
      </c>
      <c r="I354" s="55">
        <v>84.03</v>
      </c>
      <c r="J354" s="111">
        <v>1140</v>
      </c>
      <c r="K354" s="111">
        <v>1065</v>
      </c>
      <c r="L354" s="111">
        <v>955</v>
      </c>
      <c r="M354" s="111">
        <v>997</v>
      </c>
      <c r="N354" s="111">
        <v>1088</v>
      </c>
      <c r="O354" s="111">
        <v>944</v>
      </c>
      <c r="P354" s="2">
        <f t="shared" si="37"/>
        <v>95794.2</v>
      </c>
      <c r="Q354" s="2">
        <f t="shared" si="38"/>
        <v>89491.95</v>
      </c>
      <c r="R354" s="2">
        <f t="shared" si="39"/>
        <v>80248.649999999994</v>
      </c>
      <c r="S354" s="2">
        <f t="shared" si="40"/>
        <v>83777.91</v>
      </c>
      <c r="T354" s="2">
        <f t="shared" si="41"/>
        <v>91424.639999999999</v>
      </c>
      <c r="U354" s="2">
        <f t="shared" si="42"/>
        <v>79324.320000000007</v>
      </c>
    </row>
    <row r="355" spans="1:21">
      <c r="A355" s="55">
        <v>352</v>
      </c>
      <c r="B355" s="55" t="s">
        <v>521</v>
      </c>
      <c r="C355" s="55" t="s">
        <v>312</v>
      </c>
      <c r="D355" s="55" t="s">
        <v>720</v>
      </c>
      <c r="E355" s="75" t="s">
        <v>917</v>
      </c>
      <c r="F355" s="55" t="s">
        <v>929</v>
      </c>
      <c r="G355" s="55">
        <v>910101002</v>
      </c>
      <c r="H355" s="55" t="s">
        <v>930</v>
      </c>
      <c r="I355" s="55">
        <v>84.02</v>
      </c>
      <c r="J355" s="111">
        <v>1140</v>
      </c>
      <c r="K355" s="111">
        <v>1065</v>
      </c>
      <c r="L355" s="111">
        <v>955</v>
      </c>
      <c r="M355" s="111">
        <v>997</v>
      </c>
      <c r="N355" s="111">
        <v>1088</v>
      </c>
      <c r="O355" s="111">
        <v>944</v>
      </c>
      <c r="P355" s="2">
        <f t="shared" si="37"/>
        <v>95782.799999999988</v>
      </c>
      <c r="Q355" s="2">
        <f t="shared" si="38"/>
        <v>89481.3</v>
      </c>
      <c r="R355" s="2">
        <f t="shared" si="39"/>
        <v>80239.099999999991</v>
      </c>
      <c r="S355" s="2">
        <f t="shared" si="40"/>
        <v>83767.94</v>
      </c>
      <c r="T355" s="2">
        <f t="shared" si="41"/>
        <v>91413.759999999995</v>
      </c>
      <c r="U355" s="2">
        <f t="shared" si="42"/>
        <v>79314.87999999999</v>
      </c>
    </row>
    <row r="356" spans="1:21">
      <c r="A356" s="55">
        <v>353</v>
      </c>
      <c r="B356" s="55" t="s">
        <v>521</v>
      </c>
      <c r="C356" s="55" t="s">
        <v>312</v>
      </c>
      <c r="D356" s="55" t="s">
        <v>720</v>
      </c>
      <c r="E356" s="75" t="s">
        <v>917</v>
      </c>
      <c r="F356" s="55" t="s">
        <v>931</v>
      </c>
      <c r="G356" s="55">
        <v>910101003</v>
      </c>
      <c r="H356" s="55" t="s">
        <v>932</v>
      </c>
      <c r="I356" s="55">
        <v>82.89</v>
      </c>
      <c r="J356" s="111">
        <v>1140</v>
      </c>
      <c r="K356" s="111">
        <v>1065</v>
      </c>
      <c r="L356" s="111">
        <v>955</v>
      </c>
      <c r="M356" s="111">
        <v>997</v>
      </c>
      <c r="N356" s="111">
        <v>1088</v>
      </c>
      <c r="O356" s="111">
        <v>944</v>
      </c>
      <c r="P356" s="2">
        <f t="shared" si="37"/>
        <v>94494.6</v>
      </c>
      <c r="Q356" s="2">
        <f t="shared" si="38"/>
        <v>88277.85</v>
      </c>
      <c r="R356" s="2">
        <f t="shared" si="39"/>
        <v>79159.95</v>
      </c>
      <c r="S356" s="2">
        <f t="shared" si="40"/>
        <v>82641.33</v>
      </c>
      <c r="T356" s="2">
        <f t="shared" si="41"/>
        <v>90184.320000000007</v>
      </c>
      <c r="U356" s="2">
        <f t="shared" si="42"/>
        <v>78248.160000000003</v>
      </c>
    </row>
    <row r="357" spans="1:21">
      <c r="A357" s="55">
        <v>354</v>
      </c>
      <c r="B357" s="55" t="s">
        <v>521</v>
      </c>
      <c r="C357" s="55" t="s">
        <v>312</v>
      </c>
      <c r="D357" s="55" t="s">
        <v>720</v>
      </c>
      <c r="E357" s="75" t="s">
        <v>917</v>
      </c>
      <c r="F357" s="55" t="s">
        <v>933</v>
      </c>
      <c r="G357" s="55">
        <v>910101004</v>
      </c>
      <c r="H357" s="55" t="s">
        <v>934</v>
      </c>
      <c r="I357" s="55">
        <v>82.89</v>
      </c>
      <c r="J357" s="111">
        <v>1140</v>
      </c>
      <c r="K357" s="111">
        <v>1065</v>
      </c>
      <c r="L357" s="111">
        <v>955</v>
      </c>
      <c r="M357" s="111">
        <v>997</v>
      </c>
      <c r="N357" s="111">
        <v>1088</v>
      </c>
      <c r="O357" s="111">
        <v>944</v>
      </c>
      <c r="P357" s="2">
        <f t="shared" si="37"/>
        <v>94494.6</v>
      </c>
      <c r="Q357" s="2">
        <f t="shared" si="38"/>
        <v>88277.85</v>
      </c>
      <c r="R357" s="2">
        <f t="shared" si="39"/>
        <v>79159.95</v>
      </c>
      <c r="S357" s="2">
        <f t="shared" si="40"/>
        <v>82641.33</v>
      </c>
      <c r="T357" s="2">
        <f t="shared" si="41"/>
        <v>90184.320000000007</v>
      </c>
      <c r="U357" s="2">
        <f t="shared" si="42"/>
        <v>78248.160000000003</v>
      </c>
    </row>
    <row r="358" spans="1:21">
      <c r="A358" s="55">
        <v>355</v>
      </c>
      <c r="B358" s="55" t="s">
        <v>521</v>
      </c>
      <c r="C358" s="55" t="s">
        <v>312</v>
      </c>
      <c r="D358" s="55" t="s">
        <v>720</v>
      </c>
      <c r="E358" s="75" t="s">
        <v>917</v>
      </c>
      <c r="F358" s="55" t="s">
        <v>935</v>
      </c>
      <c r="G358" s="55">
        <v>910104001</v>
      </c>
      <c r="H358" s="55" t="s">
        <v>936</v>
      </c>
      <c r="I358" s="55">
        <v>57.46</v>
      </c>
      <c r="J358" s="111">
        <v>1140</v>
      </c>
      <c r="K358" s="111">
        <v>1065</v>
      </c>
      <c r="L358" s="111">
        <v>955</v>
      </c>
      <c r="M358" s="111">
        <v>997</v>
      </c>
      <c r="N358" s="111">
        <v>1088</v>
      </c>
      <c r="O358" s="111">
        <v>944</v>
      </c>
      <c r="P358" s="2">
        <f t="shared" si="37"/>
        <v>65504.4</v>
      </c>
      <c r="Q358" s="2">
        <f t="shared" si="38"/>
        <v>61194.9</v>
      </c>
      <c r="R358" s="2">
        <f t="shared" si="39"/>
        <v>54874.3</v>
      </c>
      <c r="S358" s="2">
        <f t="shared" si="40"/>
        <v>57287.62</v>
      </c>
      <c r="T358" s="2">
        <f t="shared" si="41"/>
        <v>62516.480000000003</v>
      </c>
      <c r="U358" s="2">
        <f t="shared" si="42"/>
        <v>54242.239999999998</v>
      </c>
    </row>
    <row r="359" spans="1:21">
      <c r="A359" s="55">
        <v>356</v>
      </c>
      <c r="B359" s="55" t="s">
        <v>521</v>
      </c>
      <c r="C359" s="55" t="s">
        <v>312</v>
      </c>
      <c r="D359" s="55" t="s">
        <v>720</v>
      </c>
      <c r="E359" s="75" t="s">
        <v>917</v>
      </c>
      <c r="F359" s="55" t="s">
        <v>937</v>
      </c>
      <c r="G359" s="55">
        <v>910109001</v>
      </c>
      <c r="H359" s="55" t="s">
        <v>938</v>
      </c>
      <c r="I359" s="55">
        <v>144.66</v>
      </c>
      <c r="J359" s="111">
        <v>1140</v>
      </c>
      <c r="K359" s="111">
        <v>1065</v>
      </c>
      <c r="L359" s="111">
        <v>955</v>
      </c>
      <c r="M359" s="111">
        <v>997</v>
      </c>
      <c r="N359" s="111">
        <v>1088</v>
      </c>
      <c r="O359" s="111">
        <v>944</v>
      </c>
      <c r="P359" s="2">
        <f t="shared" si="37"/>
        <v>164912.4</v>
      </c>
      <c r="Q359" s="2">
        <f t="shared" si="38"/>
        <v>154062.9</v>
      </c>
      <c r="R359" s="2">
        <f t="shared" si="39"/>
        <v>138150.29999999999</v>
      </c>
      <c r="S359" s="2">
        <f t="shared" si="40"/>
        <v>144226.01999999999</v>
      </c>
      <c r="T359" s="2">
        <f t="shared" si="41"/>
        <v>157390.07999999999</v>
      </c>
      <c r="U359" s="2">
        <f t="shared" si="42"/>
        <v>136559.04000000001</v>
      </c>
    </row>
    <row r="360" spans="1:21">
      <c r="A360" s="55">
        <v>357</v>
      </c>
      <c r="B360" s="55" t="s">
        <v>521</v>
      </c>
      <c r="C360" s="55" t="s">
        <v>312</v>
      </c>
      <c r="D360" s="55" t="s">
        <v>720</v>
      </c>
      <c r="E360" s="75" t="s">
        <v>939</v>
      </c>
      <c r="F360" s="55" t="s">
        <v>940</v>
      </c>
      <c r="G360" s="55">
        <v>910201001</v>
      </c>
      <c r="H360" s="55" t="s">
        <v>941</v>
      </c>
      <c r="I360" s="55">
        <v>86.2</v>
      </c>
      <c r="J360" s="111">
        <v>119</v>
      </c>
      <c r="K360" s="111">
        <v>90</v>
      </c>
      <c r="L360" s="111">
        <v>107</v>
      </c>
      <c r="M360" s="111">
        <v>117</v>
      </c>
      <c r="N360" s="111">
        <v>114</v>
      </c>
      <c r="O360" s="111">
        <v>102</v>
      </c>
      <c r="P360" s="2">
        <f t="shared" si="37"/>
        <v>10257.800000000001</v>
      </c>
      <c r="Q360" s="2">
        <f t="shared" si="38"/>
        <v>7758</v>
      </c>
      <c r="R360" s="2">
        <f t="shared" si="39"/>
        <v>9223.4</v>
      </c>
      <c r="S360" s="2">
        <f t="shared" si="40"/>
        <v>10085.4</v>
      </c>
      <c r="T360" s="2">
        <f t="shared" si="41"/>
        <v>9826.8000000000011</v>
      </c>
      <c r="U360" s="2">
        <f t="shared" si="42"/>
        <v>8792.4</v>
      </c>
    </row>
    <row r="361" spans="1:21">
      <c r="A361" s="55">
        <v>358</v>
      </c>
      <c r="B361" s="55" t="s">
        <v>521</v>
      </c>
      <c r="C361" s="55" t="s">
        <v>312</v>
      </c>
      <c r="D361" s="55" t="s">
        <v>720</v>
      </c>
      <c r="E361" s="75" t="s">
        <v>939</v>
      </c>
      <c r="F361" s="55" t="s">
        <v>942</v>
      </c>
      <c r="G361" s="55">
        <v>910201002</v>
      </c>
      <c r="H361" s="55" t="s">
        <v>941</v>
      </c>
      <c r="I361" s="55">
        <v>86.2</v>
      </c>
      <c r="J361" s="111">
        <v>119</v>
      </c>
      <c r="K361" s="111">
        <v>90</v>
      </c>
      <c r="L361" s="111">
        <v>107</v>
      </c>
      <c r="M361" s="111">
        <v>117</v>
      </c>
      <c r="N361" s="111">
        <v>114</v>
      </c>
      <c r="O361" s="111">
        <v>102</v>
      </c>
      <c r="P361" s="2">
        <f t="shared" si="37"/>
        <v>10257.800000000001</v>
      </c>
      <c r="Q361" s="2">
        <f t="shared" si="38"/>
        <v>7758</v>
      </c>
      <c r="R361" s="2">
        <f t="shared" si="39"/>
        <v>9223.4</v>
      </c>
      <c r="S361" s="2">
        <f t="shared" si="40"/>
        <v>10085.4</v>
      </c>
      <c r="T361" s="2">
        <f t="shared" si="41"/>
        <v>9826.8000000000011</v>
      </c>
      <c r="U361" s="2">
        <f t="shared" si="42"/>
        <v>8792.4</v>
      </c>
    </row>
    <row r="362" spans="1:21">
      <c r="A362" s="55">
        <v>359</v>
      </c>
      <c r="B362" s="55" t="s">
        <v>521</v>
      </c>
      <c r="C362" s="55" t="s">
        <v>312</v>
      </c>
      <c r="D362" s="55" t="s">
        <v>720</v>
      </c>
      <c r="E362" s="75" t="s">
        <v>939</v>
      </c>
      <c r="F362" s="55" t="s">
        <v>943</v>
      </c>
      <c r="G362" s="55">
        <v>910201003</v>
      </c>
      <c r="H362" s="55" t="s">
        <v>807</v>
      </c>
      <c r="I362" s="55">
        <v>81.75</v>
      </c>
      <c r="J362" s="111">
        <v>119</v>
      </c>
      <c r="K362" s="111">
        <v>90</v>
      </c>
      <c r="L362" s="111">
        <v>107</v>
      </c>
      <c r="M362" s="111">
        <v>117</v>
      </c>
      <c r="N362" s="111">
        <v>114</v>
      </c>
      <c r="O362" s="111">
        <v>102</v>
      </c>
      <c r="P362" s="2">
        <f t="shared" si="37"/>
        <v>9728.25</v>
      </c>
      <c r="Q362" s="2">
        <f t="shared" si="38"/>
        <v>7357.5</v>
      </c>
      <c r="R362" s="2">
        <f t="shared" si="39"/>
        <v>8747.25</v>
      </c>
      <c r="S362" s="2">
        <f t="shared" si="40"/>
        <v>9564.75</v>
      </c>
      <c r="T362" s="2">
        <f t="shared" si="41"/>
        <v>9319.5</v>
      </c>
      <c r="U362" s="2">
        <f t="shared" si="42"/>
        <v>8338.5</v>
      </c>
    </row>
    <row r="363" spans="1:21">
      <c r="A363" s="55">
        <v>360</v>
      </c>
      <c r="B363" s="55" t="s">
        <v>521</v>
      </c>
      <c r="C363" s="55" t="s">
        <v>312</v>
      </c>
      <c r="D363" s="55" t="s">
        <v>720</v>
      </c>
      <c r="E363" s="75" t="s">
        <v>939</v>
      </c>
      <c r="F363" s="55" t="s">
        <v>944</v>
      </c>
      <c r="G363" s="55">
        <v>910201004</v>
      </c>
      <c r="H363" s="55" t="s">
        <v>807</v>
      </c>
      <c r="I363" s="55">
        <v>81.75</v>
      </c>
      <c r="J363" s="111">
        <v>119</v>
      </c>
      <c r="K363" s="111">
        <v>90</v>
      </c>
      <c r="L363" s="111">
        <v>107</v>
      </c>
      <c r="M363" s="111">
        <v>117</v>
      </c>
      <c r="N363" s="111">
        <v>114</v>
      </c>
      <c r="O363" s="111">
        <v>102</v>
      </c>
      <c r="P363" s="2">
        <f t="shared" si="37"/>
        <v>9728.25</v>
      </c>
      <c r="Q363" s="2">
        <f t="shared" si="38"/>
        <v>7357.5</v>
      </c>
      <c r="R363" s="2">
        <f t="shared" si="39"/>
        <v>8747.25</v>
      </c>
      <c r="S363" s="2">
        <f t="shared" si="40"/>
        <v>9564.75</v>
      </c>
      <c r="T363" s="2">
        <f t="shared" si="41"/>
        <v>9319.5</v>
      </c>
      <c r="U363" s="2">
        <f t="shared" si="42"/>
        <v>8338.5</v>
      </c>
    </row>
    <row r="364" spans="1:21">
      <c r="A364" s="55">
        <v>361</v>
      </c>
      <c r="B364" s="55" t="s">
        <v>521</v>
      </c>
      <c r="C364" s="55" t="s">
        <v>312</v>
      </c>
      <c r="D364" s="55" t="s">
        <v>720</v>
      </c>
      <c r="E364" s="75" t="s">
        <v>939</v>
      </c>
      <c r="F364" s="55" t="s">
        <v>945</v>
      </c>
      <c r="G364" s="55">
        <v>910210001</v>
      </c>
      <c r="H364" s="55" t="s">
        <v>946</v>
      </c>
      <c r="I364" s="55">
        <v>118.42</v>
      </c>
      <c r="J364" s="111">
        <v>119</v>
      </c>
      <c r="K364" s="111">
        <v>90</v>
      </c>
      <c r="L364" s="111">
        <v>107</v>
      </c>
      <c r="M364" s="111">
        <v>117</v>
      </c>
      <c r="N364" s="111">
        <v>114</v>
      </c>
      <c r="O364" s="111">
        <v>102</v>
      </c>
      <c r="P364" s="2">
        <f t="shared" si="37"/>
        <v>14091.98</v>
      </c>
      <c r="Q364" s="2">
        <f t="shared" si="38"/>
        <v>10657.8</v>
      </c>
      <c r="R364" s="2">
        <f t="shared" si="39"/>
        <v>12670.94</v>
      </c>
      <c r="S364" s="2">
        <f t="shared" si="40"/>
        <v>13855.14</v>
      </c>
      <c r="T364" s="2">
        <f t="shared" si="41"/>
        <v>13499.880000000001</v>
      </c>
      <c r="U364" s="2">
        <f t="shared" si="42"/>
        <v>12078.84</v>
      </c>
    </row>
    <row r="365" spans="1:21">
      <c r="A365" s="55">
        <v>362</v>
      </c>
      <c r="B365" s="55" t="s">
        <v>521</v>
      </c>
      <c r="C365" s="55" t="s">
        <v>312</v>
      </c>
      <c r="D365" s="55" t="s">
        <v>720</v>
      </c>
      <c r="E365" s="75" t="s">
        <v>939</v>
      </c>
      <c r="F365" s="55" t="s">
        <v>947</v>
      </c>
      <c r="G365" s="55">
        <v>910217001</v>
      </c>
      <c r="H365" s="55" t="s">
        <v>948</v>
      </c>
      <c r="I365" s="55">
        <v>12.49</v>
      </c>
      <c r="J365" s="111">
        <v>119</v>
      </c>
      <c r="K365" s="111">
        <v>90</v>
      </c>
      <c r="L365" s="111">
        <v>107</v>
      </c>
      <c r="M365" s="111">
        <v>117</v>
      </c>
      <c r="N365" s="111">
        <v>114</v>
      </c>
      <c r="O365" s="111">
        <v>102</v>
      </c>
      <c r="P365" s="2">
        <f t="shared" si="37"/>
        <v>1486.31</v>
      </c>
      <c r="Q365" s="2">
        <f t="shared" si="38"/>
        <v>1124.0999999999999</v>
      </c>
      <c r="R365" s="2">
        <f t="shared" si="39"/>
        <v>1336.43</v>
      </c>
      <c r="S365" s="2">
        <f t="shared" si="40"/>
        <v>1461.33</v>
      </c>
      <c r="T365" s="2">
        <f t="shared" si="41"/>
        <v>1423.8600000000001</v>
      </c>
      <c r="U365" s="2">
        <f t="shared" si="42"/>
        <v>1273.98</v>
      </c>
    </row>
    <row r="366" spans="1:21">
      <c r="A366" s="55">
        <v>363</v>
      </c>
      <c r="B366" s="55" t="s">
        <v>521</v>
      </c>
      <c r="C366" s="55" t="s">
        <v>312</v>
      </c>
      <c r="D366" s="55" t="s">
        <v>720</v>
      </c>
      <c r="E366" s="75" t="s">
        <v>939</v>
      </c>
      <c r="F366" s="55" t="s">
        <v>949</v>
      </c>
      <c r="G366" s="55">
        <v>910301001</v>
      </c>
      <c r="H366" s="55" t="s">
        <v>941</v>
      </c>
      <c r="I366" s="55">
        <v>100.15</v>
      </c>
      <c r="J366" s="111">
        <v>119</v>
      </c>
      <c r="K366" s="111">
        <v>90</v>
      </c>
      <c r="L366" s="111">
        <v>107</v>
      </c>
      <c r="M366" s="111">
        <v>117</v>
      </c>
      <c r="N366" s="111">
        <v>114</v>
      </c>
      <c r="O366" s="111">
        <v>102</v>
      </c>
      <c r="P366" s="2">
        <f t="shared" si="37"/>
        <v>11917.85</v>
      </c>
      <c r="Q366" s="2">
        <f t="shared" si="38"/>
        <v>9013.5</v>
      </c>
      <c r="R366" s="2">
        <f t="shared" si="39"/>
        <v>10716.050000000001</v>
      </c>
      <c r="S366" s="2">
        <f t="shared" si="40"/>
        <v>11717.550000000001</v>
      </c>
      <c r="T366" s="2">
        <f t="shared" si="41"/>
        <v>11417.1</v>
      </c>
      <c r="U366" s="2">
        <f t="shared" si="42"/>
        <v>10215.300000000001</v>
      </c>
    </row>
    <row r="367" spans="1:21">
      <c r="A367" s="55">
        <v>364</v>
      </c>
      <c r="B367" s="55" t="s">
        <v>521</v>
      </c>
      <c r="C367" s="55" t="s">
        <v>312</v>
      </c>
      <c r="D367" s="55" t="s">
        <v>720</v>
      </c>
      <c r="E367" s="75" t="s">
        <v>939</v>
      </c>
      <c r="F367" s="55" t="s">
        <v>950</v>
      </c>
      <c r="G367" s="55">
        <v>910301002</v>
      </c>
      <c r="H367" s="55" t="s">
        <v>941</v>
      </c>
      <c r="I367" s="55">
        <v>100.15</v>
      </c>
      <c r="J367" s="111">
        <v>119</v>
      </c>
      <c r="K367" s="111">
        <v>90</v>
      </c>
      <c r="L367" s="111">
        <v>107</v>
      </c>
      <c r="M367" s="111">
        <v>117</v>
      </c>
      <c r="N367" s="111">
        <v>114</v>
      </c>
      <c r="O367" s="111">
        <v>102</v>
      </c>
      <c r="P367" s="2">
        <f t="shared" si="37"/>
        <v>11917.85</v>
      </c>
      <c r="Q367" s="2">
        <f t="shared" si="38"/>
        <v>9013.5</v>
      </c>
      <c r="R367" s="2">
        <f t="shared" si="39"/>
        <v>10716.050000000001</v>
      </c>
      <c r="S367" s="2">
        <f t="shared" si="40"/>
        <v>11717.550000000001</v>
      </c>
      <c r="T367" s="2">
        <f t="shared" si="41"/>
        <v>11417.1</v>
      </c>
      <c r="U367" s="2">
        <f t="shared" si="42"/>
        <v>10215.300000000001</v>
      </c>
    </row>
    <row r="368" spans="1:21">
      <c r="A368" s="55">
        <v>365</v>
      </c>
      <c r="B368" s="55" t="s">
        <v>521</v>
      </c>
      <c r="C368" s="55" t="s">
        <v>312</v>
      </c>
      <c r="D368" s="55" t="s">
        <v>720</v>
      </c>
      <c r="E368" s="75" t="s">
        <v>939</v>
      </c>
      <c r="F368" s="55" t="s">
        <v>951</v>
      </c>
      <c r="G368" s="55">
        <v>910202001</v>
      </c>
      <c r="H368" s="55" t="s">
        <v>952</v>
      </c>
      <c r="I368" s="55">
        <v>124.14</v>
      </c>
      <c r="J368" s="111">
        <v>119</v>
      </c>
      <c r="K368" s="111">
        <v>90</v>
      </c>
      <c r="L368" s="111">
        <v>107</v>
      </c>
      <c r="M368" s="111">
        <v>117</v>
      </c>
      <c r="N368" s="111">
        <v>114</v>
      </c>
      <c r="O368" s="111">
        <v>102</v>
      </c>
      <c r="P368" s="2">
        <f t="shared" si="37"/>
        <v>14772.66</v>
      </c>
      <c r="Q368" s="2">
        <f t="shared" si="38"/>
        <v>11172.6</v>
      </c>
      <c r="R368" s="2">
        <f t="shared" si="39"/>
        <v>13282.98</v>
      </c>
      <c r="S368" s="2">
        <f t="shared" si="40"/>
        <v>14524.38</v>
      </c>
      <c r="T368" s="2">
        <f t="shared" si="41"/>
        <v>14151.960000000001</v>
      </c>
      <c r="U368" s="2">
        <f t="shared" si="42"/>
        <v>12662.28</v>
      </c>
    </row>
    <row r="369" spans="1:21">
      <c r="A369" s="55">
        <v>366</v>
      </c>
      <c r="B369" s="55" t="s">
        <v>521</v>
      </c>
      <c r="C369" s="55" t="s">
        <v>312</v>
      </c>
      <c r="D369" s="55" t="s">
        <v>953</v>
      </c>
      <c r="E369" s="75" t="s">
        <v>954</v>
      </c>
      <c r="F369" s="55" t="s">
        <v>955</v>
      </c>
      <c r="G369" s="55">
        <v>913903002</v>
      </c>
      <c r="H369" s="55" t="s">
        <v>748</v>
      </c>
      <c r="I369" s="55">
        <v>36.75</v>
      </c>
      <c r="J369" s="111">
        <v>25290</v>
      </c>
      <c r="K369" s="111">
        <v>21768</v>
      </c>
      <c r="L369" s="111">
        <v>221965</v>
      </c>
      <c r="M369" s="111">
        <v>21063</v>
      </c>
      <c r="N369" s="111">
        <v>25274</v>
      </c>
      <c r="O369" s="111">
        <v>22710</v>
      </c>
      <c r="P369" s="2">
        <f t="shared" si="37"/>
        <v>929407.5</v>
      </c>
      <c r="Q369" s="2">
        <f t="shared" si="38"/>
        <v>799974</v>
      </c>
      <c r="R369" s="2">
        <f t="shared" si="39"/>
        <v>8157213.75</v>
      </c>
      <c r="S369" s="2">
        <f t="shared" si="40"/>
        <v>774065.25</v>
      </c>
      <c r="T369" s="2">
        <f t="shared" si="41"/>
        <v>928819.5</v>
      </c>
      <c r="U369" s="2">
        <f t="shared" si="42"/>
        <v>834592.5</v>
      </c>
    </row>
    <row r="370" spans="1:21">
      <c r="A370" s="55">
        <v>367</v>
      </c>
      <c r="B370" s="55" t="s">
        <v>521</v>
      </c>
      <c r="C370" s="55" t="s">
        <v>956</v>
      </c>
      <c r="D370" s="55" t="s">
        <v>957</v>
      </c>
      <c r="E370" s="75" t="s">
        <v>958</v>
      </c>
      <c r="F370" s="55" t="s">
        <v>959</v>
      </c>
      <c r="G370" s="55">
        <v>913502002</v>
      </c>
      <c r="H370" s="55" t="s">
        <v>960</v>
      </c>
      <c r="I370" s="55">
        <v>232.81</v>
      </c>
      <c r="J370" s="111">
        <v>200</v>
      </c>
      <c r="K370" s="111">
        <v>200</v>
      </c>
      <c r="L370" s="111">
        <v>200</v>
      </c>
      <c r="M370" s="111">
        <v>200</v>
      </c>
      <c r="N370" s="111">
        <v>200</v>
      </c>
      <c r="O370" s="111"/>
      <c r="P370" s="2">
        <f t="shared" si="37"/>
        <v>46562</v>
      </c>
      <c r="Q370" s="2">
        <f t="shared" si="38"/>
        <v>46562</v>
      </c>
      <c r="R370" s="2">
        <f t="shared" si="39"/>
        <v>46562</v>
      </c>
      <c r="S370" s="2">
        <f t="shared" si="40"/>
        <v>46562</v>
      </c>
      <c r="T370" s="2">
        <f t="shared" si="41"/>
        <v>46562</v>
      </c>
      <c r="U370" s="2">
        <f t="shared" si="42"/>
        <v>0</v>
      </c>
    </row>
    <row r="371" spans="1:21">
      <c r="A371" s="55">
        <v>368</v>
      </c>
      <c r="B371" s="55" t="s">
        <v>521</v>
      </c>
      <c r="C371" s="55" t="s">
        <v>956</v>
      </c>
      <c r="D371" s="55" t="s">
        <v>957</v>
      </c>
      <c r="E371" s="75" t="s">
        <v>958</v>
      </c>
      <c r="F371" s="55" t="s">
        <v>961</v>
      </c>
      <c r="G371" s="55">
        <v>913503004</v>
      </c>
      <c r="H371" s="55" t="s">
        <v>962</v>
      </c>
      <c r="I371" s="55">
        <v>26.75</v>
      </c>
      <c r="J371" s="111">
        <v>50</v>
      </c>
      <c r="K371" s="111">
        <v>50</v>
      </c>
      <c r="L371" s="111">
        <v>50</v>
      </c>
      <c r="M371" s="111">
        <v>50</v>
      </c>
      <c r="N371" s="111">
        <v>50</v>
      </c>
      <c r="O371" s="111"/>
      <c r="P371" s="2">
        <f t="shared" si="37"/>
        <v>1337.5</v>
      </c>
      <c r="Q371" s="2">
        <f t="shared" si="38"/>
        <v>1337.5</v>
      </c>
      <c r="R371" s="2">
        <f t="shared" si="39"/>
        <v>1337.5</v>
      </c>
      <c r="S371" s="2">
        <f t="shared" si="40"/>
        <v>1337.5</v>
      </c>
      <c r="T371" s="2">
        <f t="shared" si="41"/>
        <v>1337.5</v>
      </c>
      <c r="U371" s="2">
        <f t="shared" si="42"/>
        <v>0</v>
      </c>
    </row>
    <row r="372" spans="1:21">
      <c r="A372" s="55">
        <v>369</v>
      </c>
      <c r="B372" s="55" t="s">
        <v>521</v>
      </c>
      <c r="C372" s="55" t="s">
        <v>956</v>
      </c>
      <c r="D372" s="55" t="s">
        <v>957</v>
      </c>
      <c r="E372" s="75" t="s">
        <v>958</v>
      </c>
      <c r="F372" s="55" t="s">
        <v>963</v>
      </c>
      <c r="G372" s="55">
        <v>913503005</v>
      </c>
      <c r="H372" s="55" t="s">
        <v>964</v>
      </c>
      <c r="I372" s="55">
        <v>33.33</v>
      </c>
      <c r="J372" s="111">
        <v>50</v>
      </c>
      <c r="K372" s="111">
        <v>50</v>
      </c>
      <c r="L372" s="111">
        <v>50</v>
      </c>
      <c r="M372" s="111">
        <v>50</v>
      </c>
      <c r="N372" s="111">
        <v>50</v>
      </c>
      <c r="O372" s="111"/>
      <c r="P372" s="2">
        <f t="shared" si="37"/>
        <v>1666.5</v>
      </c>
      <c r="Q372" s="2">
        <f t="shared" si="38"/>
        <v>1666.5</v>
      </c>
      <c r="R372" s="2">
        <f t="shared" si="39"/>
        <v>1666.5</v>
      </c>
      <c r="S372" s="2">
        <f t="shared" si="40"/>
        <v>1666.5</v>
      </c>
      <c r="T372" s="2">
        <f t="shared" si="41"/>
        <v>1666.5</v>
      </c>
      <c r="U372" s="2">
        <f t="shared" si="42"/>
        <v>0</v>
      </c>
    </row>
    <row r="373" spans="1:21">
      <c r="A373" s="55">
        <v>370</v>
      </c>
      <c r="B373" s="55" t="s">
        <v>521</v>
      </c>
      <c r="C373" s="55" t="s">
        <v>956</v>
      </c>
      <c r="D373" s="55" t="s">
        <v>957</v>
      </c>
      <c r="E373" s="75" t="s">
        <v>958</v>
      </c>
      <c r="F373" s="55" t="s">
        <v>965</v>
      </c>
      <c r="G373" s="55">
        <v>913504001</v>
      </c>
      <c r="H373" s="55" t="s">
        <v>966</v>
      </c>
      <c r="I373" s="55">
        <v>219.73</v>
      </c>
      <c r="J373" s="111">
        <v>100</v>
      </c>
      <c r="K373" s="111">
        <v>100</v>
      </c>
      <c r="L373" s="111">
        <v>100</v>
      </c>
      <c r="M373" s="111">
        <v>100</v>
      </c>
      <c r="N373" s="111">
        <v>100</v>
      </c>
      <c r="O373" s="111"/>
      <c r="P373" s="2">
        <f t="shared" si="37"/>
        <v>21973</v>
      </c>
      <c r="Q373" s="2">
        <f t="shared" si="38"/>
        <v>21973</v>
      </c>
      <c r="R373" s="2">
        <f t="shared" si="39"/>
        <v>21973</v>
      </c>
      <c r="S373" s="2">
        <f t="shared" si="40"/>
        <v>21973</v>
      </c>
      <c r="T373" s="2">
        <f t="shared" si="41"/>
        <v>21973</v>
      </c>
      <c r="U373" s="2">
        <f t="shared" si="42"/>
        <v>0</v>
      </c>
    </row>
    <row r="374" spans="1:21">
      <c r="A374" s="55">
        <v>371</v>
      </c>
      <c r="B374" s="55" t="s">
        <v>521</v>
      </c>
      <c r="C374" s="55" t="s">
        <v>956</v>
      </c>
      <c r="D374" s="55" t="s">
        <v>957</v>
      </c>
      <c r="E374" s="75" t="s">
        <v>958</v>
      </c>
      <c r="F374" s="55" t="s">
        <v>967</v>
      </c>
      <c r="G374" s="55">
        <v>913504003</v>
      </c>
      <c r="H374" s="55" t="s">
        <v>960</v>
      </c>
      <c r="I374" s="55">
        <v>238.29</v>
      </c>
      <c r="J374" s="111">
        <v>50</v>
      </c>
      <c r="K374" s="111">
        <v>50</v>
      </c>
      <c r="L374" s="111">
        <v>50</v>
      </c>
      <c r="M374" s="111">
        <v>50</v>
      </c>
      <c r="N374" s="111">
        <v>50</v>
      </c>
      <c r="O374" s="111"/>
      <c r="P374" s="2">
        <f t="shared" si="37"/>
        <v>11914.5</v>
      </c>
      <c r="Q374" s="2">
        <f t="shared" si="38"/>
        <v>11914.5</v>
      </c>
      <c r="R374" s="2">
        <f t="shared" si="39"/>
        <v>11914.5</v>
      </c>
      <c r="S374" s="2">
        <f t="shared" si="40"/>
        <v>11914.5</v>
      </c>
      <c r="T374" s="2">
        <f t="shared" si="41"/>
        <v>11914.5</v>
      </c>
      <c r="U374" s="2">
        <f t="shared" si="42"/>
        <v>0</v>
      </c>
    </row>
    <row r="375" spans="1:21">
      <c r="A375" s="55">
        <v>372</v>
      </c>
      <c r="B375" s="55" t="s">
        <v>521</v>
      </c>
      <c r="C375" s="55" t="s">
        <v>956</v>
      </c>
      <c r="D375" s="55" t="s">
        <v>957</v>
      </c>
      <c r="E375" s="75" t="s">
        <v>958</v>
      </c>
      <c r="F375" s="55" t="s">
        <v>968</v>
      </c>
      <c r="G375" s="55">
        <v>913502003</v>
      </c>
      <c r="H375" s="55" t="s">
        <v>969</v>
      </c>
      <c r="I375" s="55">
        <v>201.05</v>
      </c>
      <c r="J375" s="111">
        <v>300</v>
      </c>
      <c r="K375" s="111">
        <v>300</v>
      </c>
      <c r="L375" s="111">
        <v>300</v>
      </c>
      <c r="M375" s="111">
        <v>300</v>
      </c>
      <c r="N375" s="111">
        <v>300</v>
      </c>
      <c r="O375" s="111"/>
      <c r="P375" s="2">
        <f t="shared" si="37"/>
        <v>60315</v>
      </c>
      <c r="Q375" s="2">
        <f t="shared" si="38"/>
        <v>60315</v>
      </c>
      <c r="R375" s="2">
        <f t="shared" si="39"/>
        <v>60315</v>
      </c>
      <c r="S375" s="2">
        <f t="shared" si="40"/>
        <v>60315</v>
      </c>
      <c r="T375" s="2">
        <f t="shared" si="41"/>
        <v>60315</v>
      </c>
      <c r="U375" s="2">
        <f t="shared" si="42"/>
        <v>0</v>
      </c>
    </row>
    <row r="376" spans="1:21">
      <c r="A376" s="55">
        <v>373</v>
      </c>
      <c r="B376" s="55" t="s">
        <v>521</v>
      </c>
      <c r="C376" s="55" t="s">
        <v>956</v>
      </c>
      <c r="D376" s="55" t="s">
        <v>957</v>
      </c>
      <c r="E376" s="75" t="s">
        <v>958</v>
      </c>
      <c r="F376" s="55" t="s">
        <v>970</v>
      </c>
      <c r="G376" s="55">
        <v>914104001</v>
      </c>
      <c r="H376" s="55" t="s">
        <v>964</v>
      </c>
      <c r="I376" s="55">
        <v>219.73</v>
      </c>
      <c r="J376" s="111">
        <v>60</v>
      </c>
      <c r="K376" s="111">
        <v>60</v>
      </c>
      <c r="L376" s="111">
        <v>60</v>
      </c>
      <c r="M376" s="111">
        <v>60</v>
      </c>
      <c r="N376" s="111">
        <v>60</v>
      </c>
      <c r="O376" s="111"/>
      <c r="P376" s="2">
        <f t="shared" si="37"/>
        <v>13183.8</v>
      </c>
      <c r="Q376" s="2">
        <f t="shared" si="38"/>
        <v>13183.8</v>
      </c>
      <c r="R376" s="2">
        <f t="shared" si="39"/>
        <v>13183.8</v>
      </c>
      <c r="S376" s="2">
        <f t="shared" si="40"/>
        <v>13183.8</v>
      </c>
      <c r="T376" s="2">
        <f t="shared" si="41"/>
        <v>13183.8</v>
      </c>
      <c r="U376" s="2">
        <f t="shared" si="42"/>
        <v>0</v>
      </c>
    </row>
    <row r="377" spans="1:21">
      <c r="A377" s="55">
        <v>374</v>
      </c>
      <c r="B377" s="55" t="s">
        <v>521</v>
      </c>
      <c r="C377" s="55" t="s">
        <v>956</v>
      </c>
      <c r="D377" s="55" t="s">
        <v>957</v>
      </c>
      <c r="E377" s="75" t="s">
        <v>958</v>
      </c>
      <c r="F377" s="55" t="s">
        <v>971</v>
      </c>
      <c r="G377" s="55">
        <v>914104002</v>
      </c>
      <c r="H377" s="55" t="s">
        <v>966</v>
      </c>
      <c r="I377" s="55">
        <v>219.73</v>
      </c>
      <c r="J377" s="111">
        <v>60</v>
      </c>
      <c r="K377" s="111">
        <v>60</v>
      </c>
      <c r="L377" s="111">
        <v>60</v>
      </c>
      <c r="M377" s="111">
        <v>60</v>
      </c>
      <c r="N377" s="111">
        <v>60</v>
      </c>
      <c r="O377" s="111"/>
      <c r="P377" s="2">
        <f t="shared" si="37"/>
        <v>13183.8</v>
      </c>
      <c r="Q377" s="2">
        <f t="shared" si="38"/>
        <v>13183.8</v>
      </c>
      <c r="R377" s="2">
        <f t="shared" si="39"/>
        <v>13183.8</v>
      </c>
      <c r="S377" s="2">
        <f t="shared" si="40"/>
        <v>13183.8</v>
      </c>
      <c r="T377" s="2">
        <f t="shared" si="41"/>
        <v>13183.8</v>
      </c>
      <c r="U377" s="2">
        <f t="shared" si="42"/>
        <v>0</v>
      </c>
    </row>
    <row r="378" spans="1:21">
      <c r="A378" s="55">
        <v>375</v>
      </c>
      <c r="B378" s="55" t="s">
        <v>521</v>
      </c>
      <c r="C378" s="55" t="s">
        <v>956</v>
      </c>
      <c r="D378" s="55" t="s">
        <v>957</v>
      </c>
      <c r="E378" s="75" t="s">
        <v>958</v>
      </c>
      <c r="F378" s="55" t="s">
        <v>972</v>
      </c>
      <c r="G378" s="55">
        <v>914104003</v>
      </c>
      <c r="H378" s="55" t="s">
        <v>966</v>
      </c>
      <c r="I378" s="55">
        <v>191.84</v>
      </c>
      <c r="J378" s="111">
        <v>60</v>
      </c>
      <c r="K378" s="111">
        <v>60</v>
      </c>
      <c r="L378" s="111">
        <v>60</v>
      </c>
      <c r="M378" s="111">
        <v>60</v>
      </c>
      <c r="N378" s="111">
        <v>60</v>
      </c>
      <c r="O378" s="111"/>
      <c r="P378" s="2">
        <f t="shared" si="37"/>
        <v>11510.4</v>
      </c>
      <c r="Q378" s="2">
        <f t="shared" si="38"/>
        <v>11510.4</v>
      </c>
      <c r="R378" s="2">
        <f t="shared" si="39"/>
        <v>11510.4</v>
      </c>
      <c r="S378" s="2">
        <f t="shared" si="40"/>
        <v>11510.4</v>
      </c>
      <c r="T378" s="2">
        <f t="shared" si="41"/>
        <v>11510.4</v>
      </c>
      <c r="U378" s="2">
        <f t="shared" si="42"/>
        <v>0</v>
      </c>
    </row>
    <row r="379" spans="1:21">
      <c r="A379" s="55">
        <v>376</v>
      </c>
      <c r="B379" s="55" t="s">
        <v>521</v>
      </c>
      <c r="C379" s="55" t="s">
        <v>956</v>
      </c>
      <c r="D379" s="55" t="s">
        <v>957</v>
      </c>
      <c r="E379" s="75" t="s">
        <v>973</v>
      </c>
      <c r="F379" s="55" t="s">
        <v>974</v>
      </c>
      <c r="G379" s="55">
        <v>914104004</v>
      </c>
      <c r="H379" s="55" t="s">
        <v>966</v>
      </c>
      <c r="I379" s="55">
        <v>191.84</v>
      </c>
      <c r="J379" s="111">
        <v>60</v>
      </c>
      <c r="K379" s="111">
        <v>60</v>
      </c>
      <c r="L379" s="111">
        <v>60</v>
      </c>
      <c r="M379" s="111">
        <v>60</v>
      </c>
      <c r="N379" s="111">
        <v>60</v>
      </c>
      <c r="O379" s="111"/>
      <c r="P379" s="2">
        <f t="shared" si="37"/>
        <v>11510.4</v>
      </c>
      <c r="Q379" s="2">
        <f t="shared" si="38"/>
        <v>11510.4</v>
      </c>
      <c r="R379" s="2">
        <f t="shared" si="39"/>
        <v>11510.4</v>
      </c>
      <c r="S379" s="2">
        <f t="shared" si="40"/>
        <v>11510.4</v>
      </c>
      <c r="T379" s="2">
        <f t="shared" si="41"/>
        <v>11510.4</v>
      </c>
      <c r="U379" s="2">
        <f t="shared" si="42"/>
        <v>0</v>
      </c>
    </row>
    <row r="380" spans="1:21">
      <c r="A380" s="55">
        <v>377</v>
      </c>
      <c r="B380" s="55" t="s">
        <v>521</v>
      </c>
      <c r="C380" s="55" t="s">
        <v>956</v>
      </c>
      <c r="D380" s="55" t="s">
        <v>957</v>
      </c>
      <c r="E380" s="75" t="s">
        <v>973</v>
      </c>
      <c r="F380" s="55" t="s">
        <v>975</v>
      </c>
      <c r="G380" s="55">
        <v>914101001</v>
      </c>
      <c r="H380" s="55" t="s">
        <v>976</v>
      </c>
      <c r="I380" s="55">
        <v>165.82</v>
      </c>
      <c r="J380" s="111">
        <v>500</v>
      </c>
      <c r="K380" s="111">
        <v>500</v>
      </c>
      <c r="L380" s="111">
        <v>500</v>
      </c>
      <c r="M380" s="111">
        <v>500</v>
      </c>
      <c r="N380" s="111">
        <v>500</v>
      </c>
      <c r="O380" s="111"/>
      <c r="P380" s="2">
        <f t="shared" si="37"/>
        <v>82910</v>
      </c>
      <c r="Q380" s="2">
        <f t="shared" si="38"/>
        <v>82910</v>
      </c>
      <c r="R380" s="2">
        <f t="shared" si="39"/>
        <v>82910</v>
      </c>
      <c r="S380" s="2">
        <f t="shared" si="40"/>
        <v>82910</v>
      </c>
      <c r="T380" s="2">
        <f t="shared" si="41"/>
        <v>82910</v>
      </c>
      <c r="U380" s="2">
        <f t="shared" si="42"/>
        <v>0</v>
      </c>
    </row>
    <row r="381" spans="1:21">
      <c r="A381" s="55">
        <v>378</v>
      </c>
      <c r="B381" s="55" t="s">
        <v>521</v>
      </c>
      <c r="C381" s="55" t="s">
        <v>956</v>
      </c>
      <c r="D381" s="55" t="s">
        <v>957</v>
      </c>
      <c r="E381" s="75" t="s">
        <v>973</v>
      </c>
      <c r="F381" s="55" t="s">
        <v>977</v>
      </c>
      <c r="G381" s="55">
        <v>914101002</v>
      </c>
      <c r="H381" s="55" t="s">
        <v>978</v>
      </c>
      <c r="I381" s="55">
        <v>165.82</v>
      </c>
      <c r="J381" s="111">
        <v>500</v>
      </c>
      <c r="K381" s="111">
        <v>500</v>
      </c>
      <c r="L381" s="111">
        <v>500</v>
      </c>
      <c r="M381" s="111">
        <v>500</v>
      </c>
      <c r="N381" s="111">
        <v>500</v>
      </c>
      <c r="O381" s="111"/>
      <c r="P381" s="2">
        <f t="shared" si="37"/>
        <v>82910</v>
      </c>
      <c r="Q381" s="2">
        <f t="shared" si="38"/>
        <v>82910</v>
      </c>
      <c r="R381" s="2">
        <f t="shared" si="39"/>
        <v>82910</v>
      </c>
      <c r="S381" s="2">
        <f t="shared" si="40"/>
        <v>82910</v>
      </c>
      <c r="T381" s="2">
        <f t="shared" si="41"/>
        <v>82910</v>
      </c>
      <c r="U381" s="2">
        <f t="shared" si="42"/>
        <v>0</v>
      </c>
    </row>
    <row r="382" spans="1:21">
      <c r="A382" s="55">
        <v>379</v>
      </c>
      <c r="B382" s="55" t="s">
        <v>521</v>
      </c>
      <c r="C382" s="55" t="s">
        <v>956</v>
      </c>
      <c r="D382" s="55" t="s">
        <v>957</v>
      </c>
      <c r="E382" s="75" t="s">
        <v>973</v>
      </c>
      <c r="F382" s="55" t="s">
        <v>979</v>
      </c>
      <c r="G382" s="55">
        <v>914101003</v>
      </c>
      <c r="H382" s="55" t="s">
        <v>980</v>
      </c>
      <c r="I382" s="55">
        <v>161.44</v>
      </c>
      <c r="J382" s="111">
        <v>500</v>
      </c>
      <c r="K382" s="111">
        <v>500</v>
      </c>
      <c r="L382" s="111">
        <v>500</v>
      </c>
      <c r="M382" s="111">
        <v>500</v>
      </c>
      <c r="N382" s="111">
        <v>500</v>
      </c>
      <c r="O382" s="111"/>
      <c r="P382" s="2">
        <f t="shared" si="37"/>
        <v>80720</v>
      </c>
      <c r="Q382" s="2">
        <f t="shared" si="38"/>
        <v>80720</v>
      </c>
      <c r="R382" s="2">
        <f t="shared" si="39"/>
        <v>80720</v>
      </c>
      <c r="S382" s="2">
        <f t="shared" si="40"/>
        <v>80720</v>
      </c>
      <c r="T382" s="2">
        <f t="shared" si="41"/>
        <v>80720</v>
      </c>
      <c r="U382" s="2">
        <f t="shared" si="42"/>
        <v>0</v>
      </c>
    </row>
    <row r="383" spans="1:21">
      <c r="A383" s="55">
        <v>380</v>
      </c>
      <c r="B383" s="55" t="s">
        <v>521</v>
      </c>
      <c r="C383" s="55" t="s">
        <v>956</v>
      </c>
      <c r="D383" s="55" t="s">
        <v>957</v>
      </c>
      <c r="E383" s="75" t="s">
        <v>973</v>
      </c>
      <c r="F383" s="55" t="s">
        <v>981</v>
      </c>
      <c r="G383" s="55">
        <v>914101004</v>
      </c>
      <c r="H383" s="55" t="s">
        <v>982</v>
      </c>
      <c r="I383" s="55">
        <v>161.44</v>
      </c>
      <c r="J383" s="111">
        <v>500</v>
      </c>
      <c r="K383" s="111">
        <v>500</v>
      </c>
      <c r="L383" s="111">
        <v>500</v>
      </c>
      <c r="M383" s="111">
        <v>500</v>
      </c>
      <c r="N383" s="111">
        <v>500</v>
      </c>
      <c r="O383" s="111"/>
      <c r="P383" s="2">
        <f t="shared" si="37"/>
        <v>80720</v>
      </c>
      <c r="Q383" s="2">
        <f t="shared" si="38"/>
        <v>80720</v>
      </c>
      <c r="R383" s="2">
        <f t="shared" si="39"/>
        <v>80720</v>
      </c>
      <c r="S383" s="2">
        <f t="shared" si="40"/>
        <v>80720</v>
      </c>
      <c r="T383" s="2">
        <f t="shared" si="41"/>
        <v>80720</v>
      </c>
      <c r="U383" s="2">
        <f t="shared" si="42"/>
        <v>0</v>
      </c>
    </row>
    <row r="384" spans="1:21">
      <c r="A384" s="55">
        <v>381</v>
      </c>
      <c r="B384" s="55" t="s">
        <v>521</v>
      </c>
      <c r="C384" s="55" t="s">
        <v>956</v>
      </c>
      <c r="D384" s="55" t="s">
        <v>957</v>
      </c>
      <c r="E384" s="75" t="s">
        <v>973</v>
      </c>
      <c r="F384" s="55" t="s">
        <v>983</v>
      </c>
      <c r="G384" s="55">
        <v>914103002</v>
      </c>
      <c r="H384" s="55" t="s">
        <v>984</v>
      </c>
      <c r="I384" s="55">
        <v>30.3</v>
      </c>
      <c r="J384" s="111">
        <v>100</v>
      </c>
      <c r="K384" s="111">
        <v>100</v>
      </c>
      <c r="L384" s="111">
        <v>100</v>
      </c>
      <c r="M384" s="111">
        <v>100</v>
      </c>
      <c r="N384" s="111">
        <v>100</v>
      </c>
      <c r="O384" s="111"/>
      <c r="P384" s="2">
        <f t="shared" si="37"/>
        <v>3030</v>
      </c>
      <c r="Q384" s="2">
        <f t="shared" si="38"/>
        <v>3030</v>
      </c>
      <c r="R384" s="2">
        <f t="shared" si="39"/>
        <v>3030</v>
      </c>
      <c r="S384" s="2">
        <f t="shared" si="40"/>
        <v>3030</v>
      </c>
      <c r="T384" s="2">
        <f t="shared" si="41"/>
        <v>3030</v>
      </c>
      <c r="U384" s="2">
        <f t="shared" si="42"/>
        <v>0</v>
      </c>
    </row>
    <row r="385" spans="1:21">
      <c r="A385" s="55">
        <v>382</v>
      </c>
      <c r="B385" s="55" t="s">
        <v>305</v>
      </c>
      <c r="C385" s="55" t="s">
        <v>306</v>
      </c>
      <c r="D385" s="55" t="s">
        <v>307</v>
      </c>
      <c r="E385" s="75" t="s">
        <v>158</v>
      </c>
      <c r="F385" s="55">
        <v>289473306301</v>
      </c>
      <c r="G385" s="55">
        <v>911104004</v>
      </c>
      <c r="H385" s="55" t="s">
        <v>244</v>
      </c>
      <c r="I385" s="55">
        <v>173.87</v>
      </c>
      <c r="J385" s="111">
        <v>560</v>
      </c>
      <c r="K385" s="111">
        <v>560</v>
      </c>
      <c r="L385" s="111">
        <v>280</v>
      </c>
      <c r="M385" s="111"/>
      <c r="N385" s="111"/>
      <c r="O385" s="111"/>
      <c r="P385" s="2">
        <f t="shared" si="37"/>
        <v>97367.2</v>
      </c>
      <c r="Q385" s="2">
        <f t="shared" si="38"/>
        <v>97367.2</v>
      </c>
      <c r="R385" s="2">
        <f t="shared" si="39"/>
        <v>48683.6</v>
      </c>
      <c r="S385" s="2">
        <f t="shared" si="40"/>
        <v>0</v>
      </c>
      <c r="T385" s="2">
        <f t="shared" si="41"/>
        <v>0</v>
      </c>
      <c r="U385" s="2">
        <f t="shared" si="42"/>
        <v>0</v>
      </c>
    </row>
    <row r="386" spans="1:21">
      <c r="A386" s="55">
        <v>383</v>
      </c>
      <c r="B386" s="55" t="s">
        <v>305</v>
      </c>
      <c r="C386" s="55" t="s">
        <v>306</v>
      </c>
      <c r="D386" s="55" t="s">
        <v>307</v>
      </c>
      <c r="E386" s="75" t="s">
        <v>158</v>
      </c>
      <c r="F386" s="55">
        <v>289473306302</v>
      </c>
      <c r="G386" s="55">
        <v>911104003</v>
      </c>
      <c r="H386" s="55" t="s">
        <v>3</v>
      </c>
      <c r="I386" s="55">
        <v>173.87</v>
      </c>
      <c r="J386" s="111">
        <v>560</v>
      </c>
      <c r="K386" s="111">
        <v>560</v>
      </c>
      <c r="L386" s="111">
        <v>280</v>
      </c>
      <c r="M386" s="111"/>
      <c r="N386" s="111"/>
      <c r="O386" s="111"/>
      <c r="P386" s="2">
        <f t="shared" si="37"/>
        <v>97367.2</v>
      </c>
      <c r="Q386" s="2">
        <f t="shared" si="38"/>
        <v>97367.2</v>
      </c>
      <c r="R386" s="2">
        <f t="shared" si="39"/>
        <v>48683.6</v>
      </c>
      <c r="S386" s="2">
        <f t="shared" si="40"/>
        <v>0</v>
      </c>
      <c r="T386" s="2">
        <f t="shared" si="41"/>
        <v>0</v>
      </c>
      <c r="U386" s="2">
        <f t="shared" si="42"/>
        <v>0</v>
      </c>
    </row>
    <row r="387" spans="1:21">
      <c r="A387" s="55">
        <v>384</v>
      </c>
      <c r="B387" s="55" t="s">
        <v>305</v>
      </c>
      <c r="C387" s="55" t="s">
        <v>306</v>
      </c>
      <c r="D387" s="55" t="s">
        <v>307</v>
      </c>
      <c r="E387" s="75" t="s">
        <v>158</v>
      </c>
      <c r="F387" s="55">
        <v>289473306311</v>
      </c>
      <c r="G387" s="55">
        <v>911104005</v>
      </c>
      <c r="H387" s="55" t="s">
        <v>4</v>
      </c>
      <c r="I387" s="55">
        <v>13.56</v>
      </c>
      <c r="J387" s="111">
        <v>1000</v>
      </c>
      <c r="K387" s="111">
        <v>1500</v>
      </c>
      <c r="L387" s="111">
        <v>1000</v>
      </c>
      <c r="M387" s="111"/>
      <c r="N387" s="111"/>
      <c r="O387" s="111"/>
      <c r="P387" s="2">
        <f t="shared" si="37"/>
        <v>13560</v>
      </c>
      <c r="Q387" s="2">
        <f t="shared" si="38"/>
        <v>20340</v>
      </c>
      <c r="R387" s="2">
        <f t="shared" si="39"/>
        <v>13560</v>
      </c>
      <c r="S387" s="2">
        <f t="shared" si="40"/>
        <v>0</v>
      </c>
      <c r="T387" s="2">
        <f t="shared" si="41"/>
        <v>0</v>
      </c>
      <c r="U387" s="2">
        <f t="shared" si="42"/>
        <v>0</v>
      </c>
    </row>
    <row r="388" spans="1:21">
      <c r="A388" s="55">
        <v>385</v>
      </c>
      <c r="B388" s="55" t="s">
        <v>305</v>
      </c>
      <c r="C388" s="55" t="s">
        <v>306</v>
      </c>
      <c r="D388" s="55" t="s">
        <v>307</v>
      </c>
      <c r="E388" s="75" t="s">
        <v>158</v>
      </c>
      <c r="F388" s="55">
        <v>289473306313</v>
      </c>
      <c r="G388" s="55">
        <v>911104006</v>
      </c>
      <c r="H388" s="55" t="s">
        <v>5</v>
      </c>
      <c r="I388" s="55">
        <v>15.11</v>
      </c>
      <c r="J388" s="111">
        <v>1000</v>
      </c>
      <c r="K388" s="111">
        <v>1500</v>
      </c>
      <c r="L388" s="111">
        <v>1000</v>
      </c>
      <c r="M388" s="111"/>
      <c r="N388" s="111"/>
      <c r="O388" s="111"/>
      <c r="P388" s="2">
        <f t="shared" si="37"/>
        <v>15110</v>
      </c>
      <c r="Q388" s="2">
        <f t="shared" si="38"/>
        <v>22665</v>
      </c>
      <c r="R388" s="2">
        <f t="shared" si="39"/>
        <v>15110</v>
      </c>
      <c r="S388" s="2">
        <f t="shared" si="40"/>
        <v>0</v>
      </c>
      <c r="T388" s="2">
        <f t="shared" si="41"/>
        <v>0</v>
      </c>
      <c r="U388" s="2">
        <f t="shared" si="42"/>
        <v>0</v>
      </c>
    </row>
    <row r="389" spans="1:21">
      <c r="A389" s="55">
        <v>386</v>
      </c>
      <c r="B389" s="55" t="s">
        <v>305</v>
      </c>
      <c r="C389" s="55" t="s">
        <v>306</v>
      </c>
      <c r="D389" s="55" t="s">
        <v>307</v>
      </c>
      <c r="E389" s="75" t="s">
        <v>158</v>
      </c>
      <c r="F389" s="55">
        <v>289472306309</v>
      </c>
      <c r="G389" s="55">
        <v>911104002</v>
      </c>
      <c r="H389" s="55" t="s">
        <v>6</v>
      </c>
      <c r="I389" s="55">
        <v>194.84</v>
      </c>
      <c r="J389" s="111">
        <v>2600</v>
      </c>
      <c r="K389" s="111">
        <v>2520</v>
      </c>
      <c r="L389" s="111">
        <v>1880</v>
      </c>
      <c r="M389" s="111"/>
      <c r="N389" s="111"/>
      <c r="O389" s="111"/>
      <c r="P389" s="2">
        <f t="shared" ref="P389:P452" si="43">J389*I389</f>
        <v>506584</v>
      </c>
      <c r="Q389" s="2">
        <f t="shared" ref="Q389:Q452" si="44">K389*I389</f>
        <v>490996.8</v>
      </c>
      <c r="R389" s="2">
        <f t="shared" ref="R389:R452" si="45">L389*I389</f>
        <v>366299.2</v>
      </c>
      <c r="S389" s="2">
        <f t="shared" ref="S389:S452" si="46">M389*I389</f>
        <v>0</v>
      </c>
      <c r="T389" s="2">
        <f t="shared" ref="T389:T452" si="47">N389*I389</f>
        <v>0</v>
      </c>
      <c r="U389" s="2">
        <f t="shared" ref="U389:U452" si="48">O389*I389</f>
        <v>0</v>
      </c>
    </row>
    <row r="390" spans="1:21">
      <c r="A390" s="55">
        <v>387</v>
      </c>
      <c r="B390" s="55" t="s">
        <v>305</v>
      </c>
      <c r="C390" s="55" t="s">
        <v>306</v>
      </c>
      <c r="D390" s="55" t="s">
        <v>307</v>
      </c>
      <c r="E390" s="75" t="s">
        <v>158</v>
      </c>
      <c r="F390" s="55">
        <v>289472306310</v>
      </c>
      <c r="G390" s="55">
        <v>911104001</v>
      </c>
      <c r="H390" s="55" t="s">
        <v>7</v>
      </c>
      <c r="I390" s="55">
        <v>194.84</v>
      </c>
      <c r="J390" s="111">
        <v>2600</v>
      </c>
      <c r="K390" s="111">
        <v>2520</v>
      </c>
      <c r="L390" s="111">
        <v>1880</v>
      </c>
      <c r="M390" s="111"/>
      <c r="N390" s="111"/>
      <c r="O390" s="111"/>
      <c r="P390" s="2">
        <f t="shared" si="43"/>
        <v>506584</v>
      </c>
      <c r="Q390" s="2">
        <f t="shared" si="44"/>
        <v>490996.8</v>
      </c>
      <c r="R390" s="2">
        <f t="shared" si="45"/>
        <v>366299.2</v>
      </c>
      <c r="S390" s="2">
        <f t="shared" si="46"/>
        <v>0</v>
      </c>
      <c r="T390" s="2">
        <f t="shared" si="47"/>
        <v>0</v>
      </c>
      <c r="U390" s="2">
        <f t="shared" si="48"/>
        <v>0</v>
      </c>
    </row>
    <row r="391" spans="1:21">
      <c r="A391" s="55">
        <v>388</v>
      </c>
      <c r="B391" s="55" t="s">
        <v>305</v>
      </c>
      <c r="C391" s="55" t="s">
        <v>306</v>
      </c>
      <c r="D391" s="55" t="s">
        <v>307</v>
      </c>
      <c r="E391" s="75" t="s">
        <v>158</v>
      </c>
      <c r="F391" s="55">
        <v>289472306303</v>
      </c>
      <c r="G391" s="55">
        <v>911101003</v>
      </c>
      <c r="H391" s="55" t="s">
        <v>8</v>
      </c>
      <c r="I391" s="55">
        <v>279.93</v>
      </c>
      <c r="J391" s="111">
        <v>2580</v>
      </c>
      <c r="K391" s="111">
        <v>2520</v>
      </c>
      <c r="L391" s="111">
        <v>1860</v>
      </c>
      <c r="M391" s="111"/>
      <c r="N391" s="111"/>
      <c r="O391" s="111"/>
      <c r="P391" s="2">
        <f t="shared" si="43"/>
        <v>722219.4</v>
      </c>
      <c r="Q391" s="2">
        <f t="shared" si="44"/>
        <v>705423.6</v>
      </c>
      <c r="R391" s="2">
        <f t="shared" si="45"/>
        <v>520669.8</v>
      </c>
      <c r="S391" s="2">
        <f t="shared" si="46"/>
        <v>0</v>
      </c>
      <c r="T391" s="2">
        <f t="shared" si="47"/>
        <v>0</v>
      </c>
      <c r="U391" s="2">
        <f t="shared" si="48"/>
        <v>0</v>
      </c>
    </row>
    <row r="392" spans="1:21">
      <c r="A392" s="55">
        <v>389</v>
      </c>
      <c r="B392" s="55" t="s">
        <v>305</v>
      </c>
      <c r="C392" s="55" t="s">
        <v>306</v>
      </c>
      <c r="D392" s="55" t="s">
        <v>307</v>
      </c>
      <c r="E392" s="75" t="s">
        <v>158</v>
      </c>
      <c r="F392" s="55">
        <v>289472306304</v>
      </c>
      <c r="G392" s="55">
        <v>911101004</v>
      </c>
      <c r="H392" s="55" t="s">
        <v>9</v>
      </c>
      <c r="I392" s="55">
        <v>279.93</v>
      </c>
      <c r="J392" s="111">
        <v>2580</v>
      </c>
      <c r="K392" s="111">
        <v>2520</v>
      </c>
      <c r="L392" s="111">
        <v>1860</v>
      </c>
      <c r="M392" s="111"/>
      <c r="N392" s="111"/>
      <c r="O392" s="111"/>
      <c r="P392" s="2">
        <f t="shared" si="43"/>
        <v>722219.4</v>
      </c>
      <c r="Q392" s="2">
        <f t="shared" si="44"/>
        <v>705423.6</v>
      </c>
      <c r="R392" s="2">
        <f t="shared" si="45"/>
        <v>520669.8</v>
      </c>
      <c r="S392" s="2">
        <f t="shared" si="46"/>
        <v>0</v>
      </c>
      <c r="T392" s="2">
        <f t="shared" si="47"/>
        <v>0</v>
      </c>
      <c r="U392" s="2">
        <f t="shared" si="48"/>
        <v>0</v>
      </c>
    </row>
    <row r="393" spans="1:21">
      <c r="A393" s="55">
        <v>390</v>
      </c>
      <c r="B393" s="55" t="s">
        <v>305</v>
      </c>
      <c r="C393" s="55" t="s">
        <v>306</v>
      </c>
      <c r="D393" s="55" t="s">
        <v>307</v>
      </c>
      <c r="E393" s="75" t="s">
        <v>158</v>
      </c>
      <c r="F393" s="55">
        <v>289473306303</v>
      </c>
      <c r="G393" s="55">
        <v>911101005</v>
      </c>
      <c r="H393" s="55" t="s">
        <v>10</v>
      </c>
      <c r="I393" s="55">
        <v>268.7</v>
      </c>
      <c r="J393" s="111">
        <v>540</v>
      </c>
      <c r="K393" s="111">
        <v>540</v>
      </c>
      <c r="L393" s="111">
        <v>270</v>
      </c>
      <c r="M393" s="111"/>
      <c r="N393" s="111"/>
      <c r="O393" s="111"/>
      <c r="P393" s="2">
        <f t="shared" si="43"/>
        <v>145098</v>
      </c>
      <c r="Q393" s="2">
        <f t="shared" si="44"/>
        <v>145098</v>
      </c>
      <c r="R393" s="2">
        <f t="shared" si="45"/>
        <v>72549</v>
      </c>
      <c r="S393" s="2">
        <f t="shared" si="46"/>
        <v>0</v>
      </c>
      <c r="T393" s="2">
        <f t="shared" si="47"/>
        <v>0</v>
      </c>
      <c r="U393" s="2">
        <f t="shared" si="48"/>
        <v>0</v>
      </c>
    </row>
    <row r="394" spans="1:21">
      <c r="A394" s="55">
        <v>391</v>
      </c>
      <c r="B394" s="55" t="s">
        <v>305</v>
      </c>
      <c r="C394" s="55" t="s">
        <v>306</v>
      </c>
      <c r="D394" s="55" t="s">
        <v>307</v>
      </c>
      <c r="E394" s="75" t="s">
        <v>158</v>
      </c>
      <c r="F394" s="55">
        <v>289473306304</v>
      </c>
      <c r="G394" s="55">
        <v>911101006</v>
      </c>
      <c r="H394" s="55" t="s">
        <v>11</v>
      </c>
      <c r="I394" s="55">
        <v>268.7</v>
      </c>
      <c r="J394" s="111">
        <v>540</v>
      </c>
      <c r="K394" s="111">
        <v>540</v>
      </c>
      <c r="L394" s="111">
        <v>270</v>
      </c>
      <c r="M394" s="111"/>
      <c r="N394" s="111"/>
      <c r="O394" s="111"/>
      <c r="P394" s="2">
        <f t="shared" si="43"/>
        <v>145098</v>
      </c>
      <c r="Q394" s="2">
        <f t="shared" si="44"/>
        <v>145098</v>
      </c>
      <c r="R394" s="2">
        <f t="shared" si="45"/>
        <v>72549</v>
      </c>
      <c r="S394" s="2">
        <f t="shared" si="46"/>
        <v>0</v>
      </c>
      <c r="T394" s="2">
        <f t="shared" si="47"/>
        <v>0</v>
      </c>
      <c r="U394" s="2">
        <f t="shared" si="48"/>
        <v>0</v>
      </c>
    </row>
    <row r="395" spans="1:21">
      <c r="A395" s="55">
        <v>392</v>
      </c>
      <c r="B395" s="55" t="s">
        <v>305</v>
      </c>
      <c r="C395" s="55" t="s">
        <v>306</v>
      </c>
      <c r="D395" s="55" t="s">
        <v>307</v>
      </c>
      <c r="E395" s="75" t="s">
        <v>158</v>
      </c>
      <c r="F395" s="55">
        <v>289472306301</v>
      </c>
      <c r="G395" s="55">
        <v>911101007</v>
      </c>
      <c r="H395" s="55" t="s">
        <v>12</v>
      </c>
      <c r="I395" s="55">
        <v>184.65</v>
      </c>
      <c r="J395" s="111">
        <v>2600</v>
      </c>
      <c r="K395" s="111">
        <v>2500</v>
      </c>
      <c r="L395" s="111">
        <v>1900</v>
      </c>
      <c r="M395" s="111"/>
      <c r="N395" s="111"/>
      <c r="O395" s="111"/>
      <c r="P395" s="2">
        <f t="shared" si="43"/>
        <v>480090</v>
      </c>
      <c r="Q395" s="2">
        <f t="shared" si="44"/>
        <v>461625</v>
      </c>
      <c r="R395" s="2">
        <f t="shared" si="45"/>
        <v>350835</v>
      </c>
      <c r="S395" s="2">
        <f t="shared" si="46"/>
        <v>0</v>
      </c>
      <c r="T395" s="2">
        <f t="shared" si="47"/>
        <v>0</v>
      </c>
      <c r="U395" s="2">
        <f t="shared" si="48"/>
        <v>0</v>
      </c>
    </row>
    <row r="396" spans="1:21">
      <c r="A396" s="55">
        <v>393</v>
      </c>
      <c r="B396" s="55" t="s">
        <v>305</v>
      </c>
      <c r="C396" s="55" t="s">
        <v>306</v>
      </c>
      <c r="D396" s="55" t="s">
        <v>307</v>
      </c>
      <c r="E396" s="75" t="s">
        <v>158</v>
      </c>
      <c r="F396" s="55">
        <v>289472306302</v>
      </c>
      <c r="G396" s="55">
        <v>911101008</v>
      </c>
      <c r="H396" s="55" t="s">
        <v>13</v>
      </c>
      <c r="I396" s="55">
        <v>184.65</v>
      </c>
      <c r="J396" s="111">
        <v>2600</v>
      </c>
      <c r="K396" s="111">
        <v>2500</v>
      </c>
      <c r="L396" s="111">
        <v>1900</v>
      </c>
      <c r="M396" s="111"/>
      <c r="N396" s="111"/>
      <c r="O396" s="111"/>
      <c r="P396" s="2">
        <f t="shared" si="43"/>
        <v>480090</v>
      </c>
      <c r="Q396" s="2">
        <f t="shared" si="44"/>
        <v>461625</v>
      </c>
      <c r="R396" s="2">
        <f t="shared" si="45"/>
        <v>350835</v>
      </c>
      <c r="S396" s="2">
        <f t="shared" si="46"/>
        <v>0</v>
      </c>
      <c r="T396" s="2">
        <f t="shared" si="47"/>
        <v>0</v>
      </c>
      <c r="U396" s="2">
        <f t="shared" si="48"/>
        <v>0</v>
      </c>
    </row>
    <row r="397" spans="1:21">
      <c r="A397" s="55">
        <v>394</v>
      </c>
      <c r="B397" s="55" t="s">
        <v>305</v>
      </c>
      <c r="C397" s="55" t="s">
        <v>306</v>
      </c>
      <c r="D397" s="55" t="s">
        <v>307</v>
      </c>
      <c r="E397" s="75" t="s">
        <v>158</v>
      </c>
      <c r="F397" s="55">
        <v>289473306305</v>
      </c>
      <c r="G397" s="55">
        <v>911101009</v>
      </c>
      <c r="H397" s="55" t="s">
        <v>14</v>
      </c>
      <c r="I397" s="55">
        <v>172.86</v>
      </c>
      <c r="J397" s="111">
        <v>550</v>
      </c>
      <c r="K397" s="111">
        <v>550</v>
      </c>
      <c r="L397" s="111">
        <v>300</v>
      </c>
      <c r="M397" s="111"/>
      <c r="N397" s="111"/>
      <c r="O397" s="111"/>
      <c r="P397" s="2">
        <f t="shared" si="43"/>
        <v>95073.000000000015</v>
      </c>
      <c r="Q397" s="2">
        <f t="shared" si="44"/>
        <v>95073.000000000015</v>
      </c>
      <c r="R397" s="2">
        <f t="shared" si="45"/>
        <v>51858.000000000007</v>
      </c>
      <c r="S397" s="2">
        <f t="shared" si="46"/>
        <v>0</v>
      </c>
      <c r="T397" s="2">
        <f t="shared" si="47"/>
        <v>0</v>
      </c>
      <c r="U397" s="2">
        <f t="shared" si="48"/>
        <v>0</v>
      </c>
    </row>
    <row r="398" spans="1:21">
      <c r="A398" s="55">
        <v>395</v>
      </c>
      <c r="B398" s="55" t="s">
        <v>305</v>
      </c>
      <c r="C398" s="55" t="s">
        <v>306</v>
      </c>
      <c r="D398" s="55" t="s">
        <v>307</v>
      </c>
      <c r="E398" s="75" t="s">
        <v>158</v>
      </c>
      <c r="F398" s="55">
        <v>289473306306</v>
      </c>
      <c r="G398" s="55">
        <v>911101010</v>
      </c>
      <c r="H398" s="55" t="s">
        <v>15</v>
      </c>
      <c r="I398" s="55">
        <v>172.86</v>
      </c>
      <c r="J398" s="111">
        <v>550</v>
      </c>
      <c r="K398" s="111">
        <v>550</v>
      </c>
      <c r="L398" s="111">
        <v>300</v>
      </c>
      <c r="M398" s="111"/>
      <c r="N398" s="111"/>
      <c r="O398" s="111"/>
      <c r="P398" s="2">
        <f t="shared" si="43"/>
        <v>95073.000000000015</v>
      </c>
      <c r="Q398" s="2">
        <f t="shared" si="44"/>
        <v>95073.000000000015</v>
      </c>
      <c r="R398" s="2">
        <f t="shared" si="45"/>
        <v>51858.000000000007</v>
      </c>
      <c r="S398" s="2">
        <f t="shared" si="46"/>
        <v>0</v>
      </c>
      <c r="T398" s="2">
        <f t="shared" si="47"/>
        <v>0</v>
      </c>
      <c r="U398" s="2">
        <f t="shared" si="48"/>
        <v>0</v>
      </c>
    </row>
    <row r="399" spans="1:21">
      <c r="A399" s="55">
        <v>396</v>
      </c>
      <c r="B399" s="55" t="s">
        <v>305</v>
      </c>
      <c r="C399" s="55" t="s">
        <v>306</v>
      </c>
      <c r="D399" s="55" t="s">
        <v>307</v>
      </c>
      <c r="E399" s="75" t="s">
        <v>158</v>
      </c>
      <c r="F399" s="55">
        <v>289472306305</v>
      </c>
      <c r="G399" s="55">
        <v>911105001</v>
      </c>
      <c r="H399" s="55" t="s">
        <v>16</v>
      </c>
      <c r="I399" s="55">
        <v>82.92</v>
      </c>
      <c r="J399" s="111">
        <v>2600</v>
      </c>
      <c r="K399" s="111">
        <v>2600</v>
      </c>
      <c r="L399" s="111">
        <v>2000</v>
      </c>
      <c r="M399" s="111"/>
      <c r="N399" s="111"/>
      <c r="O399" s="111"/>
      <c r="P399" s="2">
        <f t="shared" si="43"/>
        <v>215592</v>
      </c>
      <c r="Q399" s="2">
        <f t="shared" si="44"/>
        <v>215592</v>
      </c>
      <c r="R399" s="2">
        <f t="shared" si="45"/>
        <v>165840</v>
      </c>
      <c r="S399" s="2">
        <f t="shared" si="46"/>
        <v>0</v>
      </c>
      <c r="T399" s="2">
        <f t="shared" si="47"/>
        <v>0</v>
      </c>
      <c r="U399" s="2">
        <f t="shared" si="48"/>
        <v>0</v>
      </c>
    </row>
    <row r="400" spans="1:21">
      <c r="A400" s="55">
        <v>397</v>
      </c>
      <c r="B400" s="55" t="s">
        <v>305</v>
      </c>
      <c r="C400" s="55" t="s">
        <v>306</v>
      </c>
      <c r="D400" s="55" t="s">
        <v>307</v>
      </c>
      <c r="E400" s="75" t="s">
        <v>158</v>
      </c>
      <c r="F400" s="55">
        <v>289472306306</v>
      </c>
      <c r="G400" s="55">
        <v>911105002</v>
      </c>
      <c r="H400" s="55" t="s">
        <v>17</v>
      </c>
      <c r="I400" s="55">
        <v>82.92</v>
      </c>
      <c r="J400" s="111">
        <v>2600</v>
      </c>
      <c r="K400" s="111">
        <v>2600</v>
      </c>
      <c r="L400" s="111">
        <v>2000</v>
      </c>
      <c r="M400" s="111"/>
      <c r="N400" s="111"/>
      <c r="O400" s="111"/>
      <c r="P400" s="2">
        <f t="shared" si="43"/>
        <v>215592</v>
      </c>
      <c r="Q400" s="2">
        <f t="shared" si="44"/>
        <v>215592</v>
      </c>
      <c r="R400" s="2">
        <f t="shared" si="45"/>
        <v>165840</v>
      </c>
      <c r="S400" s="2">
        <f t="shared" si="46"/>
        <v>0</v>
      </c>
      <c r="T400" s="2">
        <f t="shared" si="47"/>
        <v>0</v>
      </c>
      <c r="U400" s="2">
        <f t="shared" si="48"/>
        <v>0</v>
      </c>
    </row>
    <row r="401" spans="1:21">
      <c r="A401" s="55">
        <v>398</v>
      </c>
      <c r="B401" s="55" t="s">
        <v>305</v>
      </c>
      <c r="C401" s="55" t="s">
        <v>306</v>
      </c>
      <c r="D401" s="55" t="s">
        <v>307</v>
      </c>
      <c r="E401" s="75" t="s">
        <v>158</v>
      </c>
      <c r="F401" s="55">
        <v>289473306309</v>
      </c>
      <c r="G401" s="55">
        <v>911105003</v>
      </c>
      <c r="H401" s="55" t="s">
        <v>18</v>
      </c>
      <c r="I401" s="55">
        <v>77.459999999999994</v>
      </c>
      <c r="J401" s="111">
        <v>600</v>
      </c>
      <c r="K401" s="111">
        <v>600</v>
      </c>
      <c r="L401" s="111">
        <v>400</v>
      </c>
      <c r="M401" s="111"/>
      <c r="N401" s="111"/>
      <c r="O401" s="111"/>
      <c r="P401" s="2">
        <f t="shared" si="43"/>
        <v>46475.999999999993</v>
      </c>
      <c r="Q401" s="2">
        <f t="shared" si="44"/>
        <v>46475.999999999993</v>
      </c>
      <c r="R401" s="2">
        <f t="shared" si="45"/>
        <v>30983.999999999996</v>
      </c>
      <c r="S401" s="2">
        <f t="shared" si="46"/>
        <v>0</v>
      </c>
      <c r="T401" s="2">
        <f t="shared" si="47"/>
        <v>0</v>
      </c>
      <c r="U401" s="2">
        <f t="shared" si="48"/>
        <v>0</v>
      </c>
    </row>
    <row r="402" spans="1:21">
      <c r="A402" s="55">
        <v>399</v>
      </c>
      <c r="B402" s="55" t="s">
        <v>305</v>
      </c>
      <c r="C402" s="55" t="s">
        <v>306</v>
      </c>
      <c r="D402" s="55" t="s">
        <v>307</v>
      </c>
      <c r="E402" s="75" t="s">
        <v>158</v>
      </c>
      <c r="F402" s="55">
        <v>289473306310</v>
      </c>
      <c r="G402" s="55">
        <v>911105004</v>
      </c>
      <c r="H402" s="55" t="s">
        <v>19</v>
      </c>
      <c r="I402" s="55">
        <v>77.459999999999994</v>
      </c>
      <c r="J402" s="111">
        <v>600</v>
      </c>
      <c r="K402" s="111">
        <v>600</v>
      </c>
      <c r="L402" s="111">
        <v>400</v>
      </c>
      <c r="M402" s="111"/>
      <c r="N402" s="111"/>
      <c r="O402" s="111"/>
      <c r="P402" s="2">
        <f t="shared" si="43"/>
        <v>46475.999999999993</v>
      </c>
      <c r="Q402" s="2">
        <f t="shared" si="44"/>
        <v>46475.999999999993</v>
      </c>
      <c r="R402" s="2">
        <f t="shared" si="45"/>
        <v>30983.999999999996</v>
      </c>
      <c r="S402" s="2">
        <f t="shared" si="46"/>
        <v>0</v>
      </c>
      <c r="T402" s="2">
        <f t="shared" si="47"/>
        <v>0</v>
      </c>
      <c r="U402" s="2">
        <f t="shared" si="48"/>
        <v>0</v>
      </c>
    </row>
    <row r="403" spans="1:21">
      <c r="A403" s="55">
        <v>400</v>
      </c>
      <c r="B403" s="55" t="s">
        <v>305</v>
      </c>
      <c r="C403" s="55" t="s">
        <v>306</v>
      </c>
      <c r="D403" s="55" t="s">
        <v>307</v>
      </c>
      <c r="E403" s="75" t="s">
        <v>158</v>
      </c>
      <c r="F403" s="55">
        <v>289488706304</v>
      </c>
      <c r="G403" s="55">
        <v>911103002</v>
      </c>
      <c r="H403" s="55" t="s">
        <v>20</v>
      </c>
      <c r="I403" s="55">
        <v>97.68</v>
      </c>
      <c r="J403" s="111">
        <v>2600</v>
      </c>
      <c r="K403" s="111">
        <v>2500</v>
      </c>
      <c r="L403" s="111">
        <v>1900</v>
      </c>
      <c r="M403" s="111"/>
      <c r="N403" s="111"/>
      <c r="O403" s="111"/>
      <c r="P403" s="2">
        <f t="shared" si="43"/>
        <v>253968.00000000003</v>
      </c>
      <c r="Q403" s="2">
        <f t="shared" si="44"/>
        <v>244200.00000000003</v>
      </c>
      <c r="R403" s="2">
        <f t="shared" si="45"/>
        <v>185592</v>
      </c>
      <c r="S403" s="2">
        <f t="shared" si="46"/>
        <v>0</v>
      </c>
      <c r="T403" s="2">
        <f t="shared" si="47"/>
        <v>0</v>
      </c>
      <c r="U403" s="2">
        <f t="shared" si="48"/>
        <v>0</v>
      </c>
    </row>
    <row r="404" spans="1:21">
      <c r="A404" s="55">
        <v>401</v>
      </c>
      <c r="B404" s="55" t="s">
        <v>305</v>
      </c>
      <c r="C404" s="55" t="s">
        <v>306</v>
      </c>
      <c r="D404" s="55" t="s">
        <v>307</v>
      </c>
      <c r="E404" s="75" t="s">
        <v>158</v>
      </c>
      <c r="F404" s="55">
        <v>289488706303</v>
      </c>
      <c r="G404" s="55">
        <v>911103001</v>
      </c>
      <c r="H404" s="55" t="s">
        <v>21</v>
      </c>
      <c r="I404" s="55">
        <v>97.68</v>
      </c>
      <c r="J404" s="111">
        <v>400</v>
      </c>
      <c r="K404" s="111">
        <v>400</v>
      </c>
      <c r="L404" s="111">
        <v>0</v>
      </c>
      <c r="M404" s="111"/>
      <c r="N404" s="111"/>
      <c r="O404" s="111"/>
      <c r="P404" s="2">
        <f t="shared" si="43"/>
        <v>39072</v>
      </c>
      <c r="Q404" s="2">
        <f t="shared" si="44"/>
        <v>39072</v>
      </c>
      <c r="R404" s="2">
        <f t="shared" si="45"/>
        <v>0</v>
      </c>
      <c r="S404" s="2">
        <f t="shared" si="46"/>
        <v>0</v>
      </c>
      <c r="T404" s="2">
        <f t="shared" si="47"/>
        <v>0</v>
      </c>
      <c r="U404" s="2">
        <f t="shared" si="48"/>
        <v>0</v>
      </c>
    </row>
    <row r="405" spans="1:21">
      <c r="A405" s="55">
        <v>402</v>
      </c>
      <c r="B405" s="55" t="s">
        <v>305</v>
      </c>
      <c r="C405" s="55" t="s">
        <v>306</v>
      </c>
      <c r="D405" s="55" t="s">
        <v>307</v>
      </c>
      <c r="E405" s="75" t="s">
        <v>158</v>
      </c>
      <c r="F405" s="55">
        <v>289472306307</v>
      </c>
      <c r="G405" s="55">
        <v>911105005</v>
      </c>
      <c r="H405" s="55" t="s">
        <v>22</v>
      </c>
      <c r="I405" s="55">
        <v>90.34</v>
      </c>
      <c r="J405" s="111">
        <v>2600</v>
      </c>
      <c r="K405" s="111">
        <v>2600</v>
      </c>
      <c r="L405" s="111">
        <v>2000</v>
      </c>
      <c r="M405" s="111"/>
      <c r="N405" s="111"/>
      <c r="O405" s="111"/>
      <c r="P405" s="2">
        <f t="shared" si="43"/>
        <v>234884</v>
      </c>
      <c r="Q405" s="2">
        <f t="shared" si="44"/>
        <v>234884</v>
      </c>
      <c r="R405" s="2">
        <f t="shared" si="45"/>
        <v>180680</v>
      </c>
      <c r="S405" s="2">
        <f t="shared" si="46"/>
        <v>0</v>
      </c>
      <c r="T405" s="2">
        <f t="shared" si="47"/>
        <v>0</v>
      </c>
      <c r="U405" s="2">
        <f t="shared" si="48"/>
        <v>0</v>
      </c>
    </row>
    <row r="406" spans="1:21">
      <c r="A406" s="55">
        <v>403</v>
      </c>
      <c r="B406" s="55" t="s">
        <v>305</v>
      </c>
      <c r="C406" s="55" t="s">
        <v>306</v>
      </c>
      <c r="D406" s="55" t="s">
        <v>307</v>
      </c>
      <c r="E406" s="75" t="s">
        <v>158</v>
      </c>
      <c r="F406" s="55">
        <v>289472306308</v>
      </c>
      <c r="G406" s="55">
        <v>911105006</v>
      </c>
      <c r="H406" s="55" t="s">
        <v>23</v>
      </c>
      <c r="I406" s="55">
        <v>100.16</v>
      </c>
      <c r="J406" s="111">
        <v>2600</v>
      </c>
      <c r="K406" s="111">
        <v>2600</v>
      </c>
      <c r="L406" s="111">
        <v>2000</v>
      </c>
      <c r="M406" s="111"/>
      <c r="N406" s="111"/>
      <c r="O406" s="111"/>
      <c r="P406" s="2">
        <f t="shared" si="43"/>
        <v>260416</v>
      </c>
      <c r="Q406" s="2">
        <f t="shared" si="44"/>
        <v>260416</v>
      </c>
      <c r="R406" s="2">
        <f t="shared" si="45"/>
        <v>200320</v>
      </c>
      <c r="S406" s="2">
        <f t="shared" si="46"/>
        <v>0</v>
      </c>
      <c r="T406" s="2">
        <f t="shared" si="47"/>
        <v>0</v>
      </c>
      <c r="U406" s="2">
        <f t="shared" si="48"/>
        <v>0</v>
      </c>
    </row>
    <row r="407" spans="1:21">
      <c r="A407" s="55">
        <v>404</v>
      </c>
      <c r="B407" s="55" t="s">
        <v>305</v>
      </c>
      <c r="C407" s="55" t="s">
        <v>306</v>
      </c>
      <c r="D407" s="55" t="s">
        <v>307</v>
      </c>
      <c r="E407" s="75" t="s">
        <v>158</v>
      </c>
      <c r="F407" s="55">
        <v>289473306307</v>
      </c>
      <c r="G407" s="55">
        <v>911105007</v>
      </c>
      <c r="H407" s="55" t="s">
        <v>24</v>
      </c>
      <c r="I407" s="55">
        <v>79.89</v>
      </c>
      <c r="J407" s="111">
        <v>600</v>
      </c>
      <c r="K407" s="111">
        <v>600</v>
      </c>
      <c r="L407" s="111">
        <v>400</v>
      </c>
      <c r="M407" s="111"/>
      <c r="N407" s="111"/>
      <c r="O407" s="111"/>
      <c r="P407" s="2">
        <f t="shared" si="43"/>
        <v>47934</v>
      </c>
      <c r="Q407" s="2">
        <f t="shared" si="44"/>
        <v>47934</v>
      </c>
      <c r="R407" s="2">
        <f t="shared" si="45"/>
        <v>31956</v>
      </c>
      <c r="S407" s="2">
        <f t="shared" si="46"/>
        <v>0</v>
      </c>
      <c r="T407" s="2">
        <f t="shared" si="47"/>
        <v>0</v>
      </c>
      <c r="U407" s="2">
        <f t="shared" si="48"/>
        <v>0</v>
      </c>
    </row>
    <row r="408" spans="1:21">
      <c r="A408" s="55">
        <v>405</v>
      </c>
      <c r="B408" s="55" t="s">
        <v>305</v>
      </c>
      <c r="C408" s="55" t="s">
        <v>306</v>
      </c>
      <c r="D408" s="55" t="s">
        <v>307</v>
      </c>
      <c r="E408" s="75" t="s">
        <v>158</v>
      </c>
      <c r="F408" s="55">
        <v>289473306308</v>
      </c>
      <c r="G408" s="55">
        <v>911105008</v>
      </c>
      <c r="H408" s="55" t="s">
        <v>25</v>
      </c>
      <c r="I408" s="55">
        <v>79.89</v>
      </c>
      <c r="J408" s="111">
        <v>600</v>
      </c>
      <c r="K408" s="111">
        <v>600</v>
      </c>
      <c r="L408" s="111">
        <v>400</v>
      </c>
      <c r="M408" s="111"/>
      <c r="N408" s="111"/>
      <c r="O408" s="111"/>
      <c r="P408" s="2">
        <f t="shared" si="43"/>
        <v>47934</v>
      </c>
      <c r="Q408" s="2">
        <f t="shared" si="44"/>
        <v>47934</v>
      </c>
      <c r="R408" s="2">
        <f t="shared" si="45"/>
        <v>31956</v>
      </c>
      <c r="S408" s="2">
        <f t="shared" si="46"/>
        <v>0</v>
      </c>
      <c r="T408" s="2">
        <f t="shared" si="47"/>
        <v>0</v>
      </c>
      <c r="U408" s="2">
        <f t="shared" si="48"/>
        <v>0</v>
      </c>
    </row>
    <row r="409" spans="1:21">
      <c r="A409" s="55">
        <v>406</v>
      </c>
      <c r="B409" s="55" t="s">
        <v>305</v>
      </c>
      <c r="C409" s="55" t="s">
        <v>306</v>
      </c>
      <c r="D409" s="55" t="s">
        <v>307</v>
      </c>
      <c r="E409" s="75" t="s">
        <v>158</v>
      </c>
      <c r="F409" s="55">
        <v>289467106301</v>
      </c>
      <c r="G409" s="55">
        <v>911109001</v>
      </c>
      <c r="H409" s="55" t="s">
        <v>26</v>
      </c>
      <c r="I409" s="55">
        <v>186.27</v>
      </c>
      <c r="J409" s="111">
        <v>2600</v>
      </c>
      <c r="K409" s="111">
        <v>2500</v>
      </c>
      <c r="L409" s="111">
        <v>1900</v>
      </c>
      <c r="M409" s="111"/>
      <c r="N409" s="111"/>
      <c r="O409" s="111"/>
      <c r="P409" s="2">
        <f t="shared" si="43"/>
        <v>484302</v>
      </c>
      <c r="Q409" s="2">
        <f t="shared" si="44"/>
        <v>465675</v>
      </c>
      <c r="R409" s="2">
        <f t="shared" si="45"/>
        <v>353913</v>
      </c>
      <c r="S409" s="2">
        <f t="shared" si="46"/>
        <v>0</v>
      </c>
      <c r="T409" s="2">
        <f t="shared" si="47"/>
        <v>0</v>
      </c>
      <c r="U409" s="2">
        <f t="shared" si="48"/>
        <v>0</v>
      </c>
    </row>
    <row r="410" spans="1:21">
      <c r="A410" s="55">
        <v>407</v>
      </c>
      <c r="B410" s="55" t="s">
        <v>305</v>
      </c>
      <c r="C410" s="55" t="s">
        <v>306</v>
      </c>
      <c r="D410" s="55" t="s">
        <v>307</v>
      </c>
      <c r="E410" s="75" t="s">
        <v>158</v>
      </c>
      <c r="F410" s="55">
        <v>289481106307</v>
      </c>
      <c r="G410" s="55">
        <v>911119002</v>
      </c>
      <c r="H410" s="55" t="s">
        <v>27</v>
      </c>
      <c r="I410" s="55">
        <v>166.86</v>
      </c>
      <c r="J410" s="111">
        <v>540</v>
      </c>
      <c r="K410" s="111">
        <v>540</v>
      </c>
      <c r="L410" s="111">
        <v>300</v>
      </c>
      <c r="M410" s="111"/>
      <c r="N410" s="111"/>
      <c r="O410" s="111"/>
      <c r="P410" s="2">
        <f t="shared" si="43"/>
        <v>90104.400000000009</v>
      </c>
      <c r="Q410" s="2">
        <f t="shared" si="44"/>
        <v>90104.400000000009</v>
      </c>
      <c r="R410" s="2">
        <f t="shared" si="45"/>
        <v>50058.000000000007</v>
      </c>
      <c r="S410" s="2">
        <f t="shared" si="46"/>
        <v>0</v>
      </c>
      <c r="T410" s="2">
        <f t="shared" si="47"/>
        <v>0</v>
      </c>
      <c r="U410" s="2">
        <f t="shared" si="48"/>
        <v>0</v>
      </c>
    </row>
    <row r="411" spans="1:21">
      <c r="A411" s="55">
        <v>408</v>
      </c>
      <c r="B411" s="55" t="s">
        <v>305</v>
      </c>
      <c r="C411" s="55" t="s">
        <v>306</v>
      </c>
      <c r="D411" s="55" t="s">
        <v>307</v>
      </c>
      <c r="E411" s="75" t="s">
        <v>158</v>
      </c>
      <c r="F411" s="55">
        <v>289481106308</v>
      </c>
      <c r="G411" s="55">
        <v>911119001</v>
      </c>
      <c r="H411" s="55" t="s">
        <v>28</v>
      </c>
      <c r="I411" s="55">
        <v>166.86</v>
      </c>
      <c r="J411" s="111">
        <v>540</v>
      </c>
      <c r="K411" s="111">
        <v>540</v>
      </c>
      <c r="L411" s="111">
        <v>300</v>
      </c>
      <c r="M411" s="111"/>
      <c r="N411" s="111"/>
      <c r="O411" s="111"/>
      <c r="P411" s="2">
        <f t="shared" si="43"/>
        <v>90104.400000000009</v>
      </c>
      <c r="Q411" s="2">
        <f t="shared" si="44"/>
        <v>90104.400000000009</v>
      </c>
      <c r="R411" s="2">
        <f t="shared" si="45"/>
        <v>50058.000000000007</v>
      </c>
      <c r="S411" s="2">
        <f t="shared" si="46"/>
        <v>0</v>
      </c>
      <c r="T411" s="2">
        <f t="shared" si="47"/>
        <v>0</v>
      </c>
      <c r="U411" s="2">
        <f t="shared" si="48"/>
        <v>0</v>
      </c>
    </row>
    <row r="412" spans="1:21">
      <c r="A412" s="55">
        <v>409</v>
      </c>
      <c r="B412" s="55" t="s">
        <v>305</v>
      </c>
      <c r="C412" s="55" t="s">
        <v>306</v>
      </c>
      <c r="D412" s="55" t="s">
        <v>307</v>
      </c>
      <c r="E412" s="75" t="s">
        <v>158</v>
      </c>
      <c r="F412" s="55">
        <v>289481106317</v>
      </c>
      <c r="G412" s="55">
        <v>911111001</v>
      </c>
      <c r="H412" s="55" t="s">
        <v>29</v>
      </c>
      <c r="I412" s="55">
        <v>60.2</v>
      </c>
      <c r="J412" s="111">
        <v>2600</v>
      </c>
      <c r="K412" s="111">
        <v>2500</v>
      </c>
      <c r="L412" s="111">
        <v>1900</v>
      </c>
      <c r="M412" s="111"/>
      <c r="N412" s="111"/>
      <c r="O412" s="111"/>
      <c r="P412" s="2">
        <f t="shared" si="43"/>
        <v>156520</v>
      </c>
      <c r="Q412" s="2">
        <f t="shared" si="44"/>
        <v>150500</v>
      </c>
      <c r="R412" s="2">
        <f t="shared" si="45"/>
        <v>114380</v>
      </c>
      <c r="S412" s="2">
        <f t="shared" si="46"/>
        <v>0</v>
      </c>
      <c r="T412" s="2">
        <f t="shared" si="47"/>
        <v>0</v>
      </c>
      <c r="U412" s="2">
        <f t="shared" si="48"/>
        <v>0</v>
      </c>
    </row>
    <row r="413" spans="1:21">
      <c r="A413" s="55">
        <v>410</v>
      </c>
      <c r="B413" s="55" t="s">
        <v>305</v>
      </c>
      <c r="C413" s="55" t="s">
        <v>306</v>
      </c>
      <c r="D413" s="55" t="s">
        <v>307</v>
      </c>
      <c r="E413" s="75" t="s">
        <v>158</v>
      </c>
      <c r="F413" s="55">
        <v>289467106302</v>
      </c>
      <c r="G413" s="55">
        <v>911117001</v>
      </c>
      <c r="H413" s="55" t="s">
        <v>30</v>
      </c>
      <c r="I413" s="55">
        <v>1.82</v>
      </c>
      <c r="J413" s="111">
        <v>8000</v>
      </c>
      <c r="K413" s="111">
        <v>8000</v>
      </c>
      <c r="L413" s="111">
        <v>6000</v>
      </c>
      <c r="M413" s="111"/>
      <c r="N413" s="111"/>
      <c r="O413" s="111"/>
      <c r="P413" s="2">
        <f t="shared" si="43"/>
        <v>14560</v>
      </c>
      <c r="Q413" s="2">
        <f t="shared" si="44"/>
        <v>14560</v>
      </c>
      <c r="R413" s="2">
        <f t="shared" si="45"/>
        <v>10920</v>
      </c>
      <c r="S413" s="2">
        <f t="shared" si="46"/>
        <v>0</v>
      </c>
      <c r="T413" s="2">
        <f t="shared" si="47"/>
        <v>0</v>
      </c>
      <c r="U413" s="2">
        <f t="shared" si="48"/>
        <v>0</v>
      </c>
    </row>
    <row r="414" spans="1:21">
      <c r="A414" s="55">
        <v>411</v>
      </c>
      <c r="B414" s="55" t="s">
        <v>305</v>
      </c>
      <c r="C414" s="55" t="s">
        <v>306</v>
      </c>
      <c r="D414" s="55" t="s">
        <v>307</v>
      </c>
      <c r="E414" s="75" t="s">
        <v>158</v>
      </c>
      <c r="F414" s="55">
        <v>289681100120</v>
      </c>
      <c r="G414" s="55">
        <v>911104007</v>
      </c>
      <c r="H414" s="55" t="s">
        <v>31</v>
      </c>
      <c r="I414" s="55">
        <v>120.83</v>
      </c>
      <c r="J414" s="111">
        <v>60</v>
      </c>
      <c r="K414" s="111">
        <v>60</v>
      </c>
      <c r="L414" s="111">
        <v>0</v>
      </c>
      <c r="M414" s="111"/>
      <c r="N414" s="111"/>
      <c r="O414" s="111"/>
      <c r="P414" s="2">
        <f t="shared" si="43"/>
        <v>7249.8</v>
      </c>
      <c r="Q414" s="2">
        <f t="shared" si="44"/>
        <v>7249.8</v>
      </c>
      <c r="R414" s="2">
        <f t="shared" si="45"/>
        <v>0</v>
      </c>
      <c r="S414" s="2">
        <f t="shared" si="46"/>
        <v>0</v>
      </c>
      <c r="T414" s="2">
        <f t="shared" si="47"/>
        <v>0</v>
      </c>
      <c r="U414" s="2">
        <f t="shared" si="48"/>
        <v>0</v>
      </c>
    </row>
    <row r="415" spans="1:21">
      <c r="A415" s="55">
        <v>412</v>
      </c>
      <c r="B415" s="55" t="s">
        <v>305</v>
      </c>
      <c r="C415" s="55" t="s">
        <v>306</v>
      </c>
      <c r="D415" s="55" t="s">
        <v>307</v>
      </c>
      <c r="E415" s="75" t="s">
        <v>158</v>
      </c>
      <c r="F415" s="55">
        <v>289681100121</v>
      </c>
      <c r="G415" s="55">
        <v>911104008</v>
      </c>
      <c r="H415" s="55" t="s">
        <v>32</v>
      </c>
      <c r="I415" s="55">
        <v>120.83</v>
      </c>
      <c r="J415" s="111">
        <v>60</v>
      </c>
      <c r="K415" s="111">
        <v>60</v>
      </c>
      <c r="L415" s="111">
        <v>0</v>
      </c>
      <c r="M415" s="111"/>
      <c r="N415" s="111"/>
      <c r="O415" s="111"/>
      <c r="P415" s="2">
        <f t="shared" si="43"/>
        <v>7249.8</v>
      </c>
      <c r="Q415" s="2">
        <f t="shared" si="44"/>
        <v>7249.8</v>
      </c>
      <c r="R415" s="2">
        <f t="shared" si="45"/>
        <v>0</v>
      </c>
      <c r="S415" s="2">
        <f t="shared" si="46"/>
        <v>0</v>
      </c>
      <c r="T415" s="2">
        <f t="shared" si="47"/>
        <v>0</v>
      </c>
      <c r="U415" s="2">
        <f t="shared" si="48"/>
        <v>0</v>
      </c>
    </row>
    <row r="416" spans="1:21">
      <c r="A416" s="55">
        <v>413</v>
      </c>
      <c r="B416" s="55" t="s">
        <v>305</v>
      </c>
      <c r="C416" s="55" t="s">
        <v>306</v>
      </c>
      <c r="D416" s="55" t="s">
        <v>307</v>
      </c>
      <c r="E416" s="75" t="s">
        <v>158</v>
      </c>
      <c r="F416" s="55">
        <v>289881100109</v>
      </c>
      <c r="G416" s="55">
        <v>911104009</v>
      </c>
      <c r="H416" s="55" t="s">
        <v>156</v>
      </c>
      <c r="I416" s="55">
        <v>83.58</v>
      </c>
      <c r="J416" s="111">
        <v>2040</v>
      </c>
      <c r="K416" s="111">
        <v>1980</v>
      </c>
      <c r="L416" s="111">
        <v>1620</v>
      </c>
      <c r="M416" s="111"/>
      <c r="N416" s="111"/>
      <c r="O416" s="111"/>
      <c r="P416" s="2">
        <f t="shared" si="43"/>
        <v>170503.19999999998</v>
      </c>
      <c r="Q416" s="2">
        <f t="shared" si="44"/>
        <v>165488.4</v>
      </c>
      <c r="R416" s="2">
        <f t="shared" si="45"/>
        <v>135399.6</v>
      </c>
      <c r="S416" s="2">
        <f t="shared" si="46"/>
        <v>0</v>
      </c>
      <c r="T416" s="2">
        <f t="shared" si="47"/>
        <v>0</v>
      </c>
      <c r="U416" s="2">
        <f t="shared" si="48"/>
        <v>0</v>
      </c>
    </row>
    <row r="417" spans="1:21">
      <c r="A417" s="55">
        <v>414</v>
      </c>
      <c r="B417" s="55" t="s">
        <v>305</v>
      </c>
      <c r="C417" s="55" t="s">
        <v>306</v>
      </c>
      <c r="D417" s="55" t="s">
        <v>307</v>
      </c>
      <c r="E417" s="75" t="s">
        <v>158</v>
      </c>
      <c r="F417" s="55">
        <v>289881100110</v>
      </c>
      <c r="G417" s="55">
        <v>911104010</v>
      </c>
      <c r="H417" s="55" t="s">
        <v>157</v>
      </c>
      <c r="I417" s="55">
        <v>83.58</v>
      </c>
      <c r="J417" s="111">
        <v>2040</v>
      </c>
      <c r="K417" s="111">
        <v>1980</v>
      </c>
      <c r="L417" s="111">
        <v>1620</v>
      </c>
      <c r="M417" s="111"/>
      <c r="N417" s="111"/>
      <c r="O417" s="111"/>
      <c r="P417" s="2">
        <f t="shared" si="43"/>
        <v>170503.19999999998</v>
      </c>
      <c r="Q417" s="2">
        <f t="shared" si="44"/>
        <v>165488.4</v>
      </c>
      <c r="R417" s="2">
        <f t="shared" si="45"/>
        <v>135399.6</v>
      </c>
      <c r="S417" s="2">
        <f t="shared" si="46"/>
        <v>0</v>
      </c>
      <c r="T417" s="2">
        <f t="shared" si="47"/>
        <v>0</v>
      </c>
      <c r="U417" s="2">
        <f t="shared" si="48"/>
        <v>0</v>
      </c>
    </row>
    <row r="418" spans="1:21">
      <c r="A418" s="55">
        <v>415</v>
      </c>
      <c r="B418" s="55" t="s">
        <v>305</v>
      </c>
      <c r="C418" s="55" t="s">
        <v>306</v>
      </c>
      <c r="D418" s="55" t="s">
        <v>307</v>
      </c>
      <c r="E418" s="75" t="s">
        <v>300</v>
      </c>
      <c r="F418" s="55">
        <v>265188706310</v>
      </c>
      <c r="G418" s="55">
        <v>911103003</v>
      </c>
      <c r="H418" s="55" t="s">
        <v>172</v>
      </c>
      <c r="I418" s="55">
        <v>108.44</v>
      </c>
      <c r="J418" s="111">
        <v>1108</v>
      </c>
      <c r="K418" s="111">
        <v>1043</v>
      </c>
      <c r="L418" s="111">
        <v>1043</v>
      </c>
      <c r="M418" s="111"/>
      <c r="N418" s="111"/>
      <c r="O418" s="111"/>
      <c r="P418" s="2">
        <f t="shared" si="43"/>
        <v>120151.52</v>
      </c>
      <c r="Q418" s="2">
        <f t="shared" si="44"/>
        <v>113102.92</v>
      </c>
      <c r="R418" s="2">
        <f t="shared" si="45"/>
        <v>113102.92</v>
      </c>
      <c r="S418" s="2">
        <f t="shared" si="46"/>
        <v>0</v>
      </c>
      <c r="T418" s="2">
        <f t="shared" si="47"/>
        <v>0</v>
      </c>
      <c r="U418" s="2">
        <f t="shared" si="48"/>
        <v>0</v>
      </c>
    </row>
    <row r="419" spans="1:21">
      <c r="A419" s="55">
        <v>416</v>
      </c>
      <c r="B419" s="55" t="s">
        <v>305</v>
      </c>
      <c r="C419" s="55" t="s">
        <v>306</v>
      </c>
      <c r="D419" s="55" t="s">
        <v>307</v>
      </c>
      <c r="E419" s="75" t="s">
        <v>159</v>
      </c>
      <c r="F419" s="55">
        <v>544272547701</v>
      </c>
      <c r="G419" s="55">
        <v>919401001</v>
      </c>
      <c r="H419" s="55" t="s">
        <v>33</v>
      </c>
      <c r="I419" s="55">
        <v>293.48</v>
      </c>
      <c r="J419" s="111">
        <v>7000</v>
      </c>
      <c r="K419" s="111">
        <v>7000</v>
      </c>
      <c r="L419" s="111">
        <v>7000</v>
      </c>
      <c r="M419" s="111"/>
      <c r="N419" s="111"/>
      <c r="O419" s="111"/>
      <c r="P419" s="2">
        <f t="shared" si="43"/>
        <v>2054360.0000000002</v>
      </c>
      <c r="Q419" s="2">
        <f t="shared" si="44"/>
        <v>2054360.0000000002</v>
      </c>
      <c r="R419" s="2">
        <f t="shared" si="45"/>
        <v>2054360.0000000002</v>
      </c>
      <c r="S419" s="2">
        <f t="shared" si="46"/>
        <v>0</v>
      </c>
      <c r="T419" s="2">
        <f t="shared" si="47"/>
        <v>0</v>
      </c>
      <c r="U419" s="2">
        <f t="shared" si="48"/>
        <v>0</v>
      </c>
    </row>
    <row r="420" spans="1:21">
      <c r="A420" s="55">
        <v>417</v>
      </c>
      <c r="B420" s="55" t="s">
        <v>305</v>
      </c>
      <c r="C420" s="55" t="s">
        <v>306</v>
      </c>
      <c r="D420" s="55" t="s">
        <v>307</v>
      </c>
      <c r="E420" s="75" t="s">
        <v>159</v>
      </c>
      <c r="F420" s="55">
        <v>544272547702</v>
      </c>
      <c r="G420" s="55">
        <v>919401002</v>
      </c>
      <c r="H420" s="55" t="s">
        <v>33</v>
      </c>
      <c r="I420" s="55">
        <v>293.48</v>
      </c>
      <c r="J420" s="111">
        <v>7000</v>
      </c>
      <c r="K420" s="111">
        <v>7000</v>
      </c>
      <c r="L420" s="111">
        <v>7000</v>
      </c>
      <c r="M420" s="111"/>
      <c r="N420" s="111"/>
      <c r="O420" s="111"/>
      <c r="P420" s="2">
        <f t="shared" si="43"/>
        <v>2054360.0000000002</v>
      </c>
      <c r="Q420" s="2">
        <f t="shared" si="44"/>
        <v>2054360.0000000002</v>
      </c>
      <c r="R420" s="2">
        <f t="shared" si="45"/>
        <v>2054360.0000000002</v>
      </c>
      <c r="S420" s="2">
        <f t="shared" si="46"/>
        <v>0</v>
      </c>
      <c r="T420" s="2">
        <f t="shared" si="47"/>
        <v>0</v>
      </c>
      <c r="U420" s="2">
        <f t="shared" si="48"/>
        <v>0</v>
      </c>
    </row>
    <row r="421" spans="1:21">
      <c r="A421" s="55">
        <v>418</v>
      </c>
      <c r="B421" s="55" t="s">
        <v>305</v>
      </c>
      <c r="C421" s="55" t="s">
        <v>306</v>
      </c>
      <c r="D421" s="55" t="s">
        <v>307</v>
      </c>
      <c r="E421" s="75" t="s">
        <v>159</v>
      </c>
      <c r="F421" s="55">
        <v>544273537701</v>
      </c>
      <c r="G421" s="55">
        <v>919401003</v>
      </c>
      <c r="H421" s="55" t="s">
        <v>34</v>
      </c>
      <c r="I421" s="55">
        <v>281.72000000000003</v>
      </c>
      <c r="J421" s="111">
        <v>7000</v>
      </c>
      <c r="K421" s="111">
        <v>7000</v>
      </c>
      <c r="L421" s="111">
        <v>7000</v>
      </c>
      <c r="M421" s="111"/>
      <c r="N421" s="111"/>
      <c r="O421" s="111"/>
      <c r="P421" s="2">
        <f t="shared" si="43"/>
        <v>1972040.0000000002</v>
      </c>
      <c r="Q421" s="2">
        <f t="shared" si="44"/>
        <v>1972040.0000000002</v>
      </c>
      <c r="R421" s="2">
        <f t="shared" si="45"/>
        <v>1972040.0000000002</v>
      </c>
      <c r="S421" s="2">
        <f t="shared" si="46"/>
        <v>0</v>
      </c>
      <c r="T421" s="2">
        <f t="shared" si="47"/>
        <v>0</v>
      </c>
      <c r="U421" s="2">
        <f t="shared" si="48"/>
        <v>0</v>
      </c>
    </row>
    <row r="422" spans="1:21">
      <c r="A422" s="55">
        <v>419</v>
      </c>
      <c r="B422" s="55" t="s">
        <v>305</v>
      </c>
      <c r="C422" s="55" t="s">
        <v>306</v>
      </c>
      <c r="D422" s="55" t="s">
        <v>307</v>
      </c>
      <c r="E422" s="75" t="s">
        <v>159</v>
      </c>
      <c r="F422" s="55">
        <v>544273537702</v>
      </c>
      <c r="G422" s="55">
        <v>919401004</v>
      </c>
      <c r="H422" s="55" t="s">
        <v>34</v>
      </c>
      <c r="I422" s="55">
        <v>281.72000000000003</v>
      </c>
      <c r="J422" s="111">
        <v>7000</v>
      </c>
      <c r="K422" s="111">
        <v>7000</v>
      </c>
      <c r="L422" s="111">
        <v>7000</v>
      </c>
      <c r="M422" s="111"/>
      <c r="N422" s="111"/>
      <c r="O422" s="111"/>
      <c r="P422" s="2">
        <f t="shared" si="43"/>
        <v>1972040.0000000002</v>
      </c>
      <c r="Q422" s="2">
        <f t="shared" si="44"/>
        <v>1972040.0000000002</v>
      </c>
      <c r="R422" s="2">
        <f t="shared" si="45"/>
        <v>1972040.0000000002</v>
      </c>
      <c r="S422" s="2">
        <f t="shared" si="46"/>
        <v>0</v>
      </c>
      <c r="T422" s="2">
        <f t="shared" si="47"/>
        <v>0</v>
      </c>
      <c r="U422" s="2">
        <f t="shared" si="48"/>
        <v>0</v>
      </c>
    </row>
    <row r="423" spans="1:21">
      <c r="A423" s="55">
        <v>420</v>
      </c>
      <c r="B423" s="55" t="s">
        <v>305</v>
      </c>
      <c r="C423" s="55" t="s">
        <v>306</v>
      </c>
      <c r="D423" s="55" t="s">
        <v>307</v>
      </c>
      <c r="E423" s="75" t="s">
        <v>159</v>
      </c>
      <c r="F423" s="55">
        <v>544272567701</v>
      </c>
      <c r="G423" s="55">
        <v>919404001</v>
      </c>
      <c r="H423" s="55" t="s">
        <v>35</v>
      </c>
      <c r="I423" s="55">
        <v>697.85</v>
      </c>
      <c r="J423" s="111">
        <v>7000</v>
      </c>
      <c r="K423" s="111">
        <v>7000</v>
      </c>
      <c r="L423" s="111">
        <v>7000</v>
      </c>
      <c r="M423" s="111"/>
      <c r="N423" s="111"/>
      <c r="O423" s="111"/>
      <c r="P423" s="2">
        <f t="shared" si="43"/>
        <v>4884950</v>
      </c>
      <c r="Q423" s="2">
        <f t="shared" si="44"/>
        <v>4884950</v>
      </c>
      <c r="R423" s="2">
        <f t="shared" si="45"/>
        <v>4884950</v>
      </c>
      <c r="S423" s="2">
        <f t="shared" si="46"/>
        <v>0</v>
      </c>
      <c r="T423" s="2">
        <f t="shared" si="47"/>
        <v>0</v>
      </c>
      <c r="U423" s="2">
        <f t="shared" si="48"/>
        <v>0</v>
      </c>
    </row>
    <row r="424" spans="1:21">
      <c r="A424" s="55">
        <v>421</v>
      </c>
      <c r="B424" s="55" t="s">
        <v>305</v>
      </c>
      <c r="C424" s="55" t="s">
        <v>306</v>
      </c>
      <c r="D424" s="55" t="s">
        <v>307</v>
      </c>
      <c r="E424" s="75" t="s">
        <v>159</v>
      </c>
      <c r="F424" s="55">
        <v>544272567702</v>
      </c>
      <c r="G424" s="55">
        <v>919404002</v>
      </c>
      <c r="H424" s="55" t="s">
        <v>7</v>
      </c>
      <c r="I424" s="55">
        <v>697.85</v>
      </c>
      <c r="J424" s="111">
        <v>7000</v>
      </c>
      <c r="K424" s="111">
        <v>7000</v>
      </c>
      <c r="L424" s="111">
        <v>7000</v>
      </c>
      <c r="M424" s="111"/>
      <c r="N424" s="111"/>
      <c r="O424" s="111"/>
      <c r="P424" s="2">
        <f t="shared" si="43"/>
        <v>4884950</v>
      </c>
      <c r="Q424" s="2">
        <f t="shared" si="44"/>
        <v>4884950</v>
      </c>
      <c r="R424" s="2">
        <f t="shared" si="45"/>
        <v>4884950</v>
      </c>
      <c r="S424" s="2">
        <f t="shared" si="46"/>
        <v>0</v>
      </c>
      <c r="T424" s="2">
        <f t="shared" si="47"/>
        <v>0</v>
      </c>
      <c r="U424" s="2">
        <f t="shared" si="48"/>
        <v>0</v>
      </c>
    </row>
    <row r="425" spans="1:21">
      <c r="A425" s="55">
        <v>422</v>
      </c>
      <c r="B425" s="55" t="s">
        <v>305</v>
      </c>
      <c r="C425" s="55" t="s">
        <v>306</v>
      </c>
      <c r="D425" s="55" t="s">
        <v>307</v>
      </c>
      <c r="E425" s="75" t="s">
        <v>159</v>
      </c>
      <c r="F425" s="55">
        <v>544273557701</v>
      </c>
      <c r="G425" s="55">
        <v>919404003</v>
      </c>
      <c r="H425" s="55" t="s">
        <v>2</v>
      </c>
      <c r="I425" s="55">
        <v>586</v>
      </c>
      <c r="J425" s="111">
        <v>7000</v>
      </c>
      <c r="K425" s="111">
        <v>7000</v>
      </c>
      <c r="L425" s="111">
        <v>7000</v>
      </c>
      <c r="M425" s="111"/>
      <c r="N425" s="111"/>
      <c r="O425" s="111"/>
      <c r="P425" s="2">
        <f t="shared" si="43"/>
        <v>4102000</v>
      </c>
      <c r="Q425" s="2">
        <f t="shared" si="44"/>
        <v>4102000</v>
      </c>
      <c r="R425" s="2">
        <f t="shared" si="45"/>
        <v>4102000</v>
      </c>
      <c r="S425" s="2">
        <f t="shared" si="46"/>
        <v>0</v>
      </c>
      <c r="T425" s="2">
        <f t="shared" si="47"/>
        <v>0</v>
      </c>
      <c r="U425" s="2">
        <f t="shared" si="48"/>
        <v>0</v>
      </c>
    </row>
    <row r="426" spans="1:21">
      <c r="A426" s="55">
        <v>423</v>
      </c>
      <c r="B426" s="55" t="s">
        <v>305</v>
      </c>
      <c r="C426" s="55" t="s">
        <v>306</v>
      </c>
      <c r="D426" s="55" t="s">
        <v>307</v>
      </c>
      <c r="E426" s="75" t="s">
        <v>159</v>
      </c>
      <c r="F426" s="55">
        <v>544273557702</v>
      </c>
      <c r="G426" s="55">
        <v>919404004</v>
      </c>
      <c r="H426" s="55" t="s">
        <v>3</v>
      </c>
      <c r="I426" s="55">
        <v>586</v>
      </c>
      <c r="J426" s="111">
        <v>7000</v>
      </c>
      <c r="K426" s="111">
        <v>7000</v>
      </c>
      <c r="L426" s="111">
        <v>7000</v>
      </c>
      <c r="M426" s="111"/>
      <c r="N426" s="111"/>
      <c r="O426" s="111"/>
      <c r="P426" s="2">
        <f t="shared" si="43"/>
        <v>4102000</v>
      </c>
      <c r="Q426" s="2">
        <f t="shared" si="44"/>
        <v>4102000</v>
      </c>
      <c r="R426" s="2">
        <f t="shared" si="45"/>
        <v>4102000</v>
      </c>
      <c r="S426" s="2">
        <f t="shared" si="46"/>
        <v>0</v>
      </c>
      <c r="T426" s="2">
        <f t="shared" si="47"/>
        <v>0</v>
      </c>
      <c r="U426" s="2">
        <f t="shared" si="48"/>
        <v>0</v>
      </c>
    </row>
    <row r="427" spans="1:21">
      <c r="A427" s="55">
        <v>424</v>
      </c>
      <c r="B427" s="55" t="s">
        <v>305</v>
      </c>
      <c r="C427" s="55" t="s">
        <v>306</v>
      </c>
      <c r="D427" s="55" t="s">
        <v>307</v>
      </c>
      <c r="E427" s="75" t="s">
        <v>159</v>
      </c>
      <c r="F427" s="55">
        <v>544272547705</v>
      </c>
      <c r="G427" s="55">
        <v>919411001</v>
      </c>
      <c r="H427" s="55" t="s">
        <v>36</v>
      </c>
      <c r="I427" s="55">
        <v>107.44</v>
      </c>
      <c r="J427" s="111">
        <v>7000</v>
      </c>
      <c r="K427" s="111">
        <v>7000</v>
      </c>
      <c r="L427" s="111">
        <v>7000</v>
      </c>
      <c r="M427" s="111"/>
      <c r="N427" s="111"/>
      <c r="O427" s="111"/>
      <c r="P427" s="2">
        <f t="shared" si="43"/>
        <v>752080</v>
      </c>
      <c r="Q427" s="2">
        <f t="shared" si="44"/>
        <v>752080</v>
      </c>
      <c r="R427" s="2">
        <f t="shared" si="45"/>
        <v>752080</v>
      </c>
      <c r="S427" s="2">
        <f t="shared" si="46"/>
        <v>0</v>
      </c>
      <c r="T427" s="2">
        <f t="shared" si="47"/>
        <v>0</v>
      </c>
      <c r="U427" s="2">
        <f t="shared" si="48"/>
        <v>0</v>
      </c>
    </row>
    <row r="428" spans="1:21">
      <c r="A428" s="55">
        <v>425</v>
      </c>
      <c r="B428" s="55" t="s">
        <v>305</v>
      </c>
      <c r="C428" s="55" t="s">
        <v>306</v>
      </c>
      <c r="D428" s="55" t="s">
        <v>307</v>
      </c>
      <c r="E428" s="75" t="s">
        <v>159</v>
      </c>
      <c r="F428" s="55">
        <v>544272547706</v>
      </c>
      <c r="G428" s="55">
        <v>919411002</v>
      </c>
      <c r="H428" s="55" t="s">
        <v>37</v>
      </c>
      <c r="I428" s="55">
        <v>107.44</v>
      </c>
      <c r="J428" s="111">
        <v>7000</v>
      </c>
      <c r="K428" s="111">
        <v>7000</v>
      </c>
      <c r="L428" s="111">
        <v>7000</v>
      </c>
      <c r="M428" s="111"/>
      <c r="N428" s="111"/>
      <c r="O428" s="111"/>
      <c r="P428" s="2">
        <f t="shared" si="43"/>
        <v>752080</v>
      </c>
      <c r="Q428" s="2">
        <f t="shared" si="44"/>
        <v>752080</v>
      </c>
      <c r="R428" s="2">
        <f t="shared" si="45"/>
        <v>752080</v>
      </c>
      <c r="S428" s="2">
        <f t="shared" si="46"/>
        <v>0</v>
      </c>
      <c r="T428" s="2">
        <f t="shared" si="47"/>
        <v>0</v>
      </c>
      <c r="U428" s="2">
        <f t="shared" si="48"/>
        <v>0</v>
      </c>
    </row>
    <row r="429" spans="1:21">
      <c r="A429" s="55">
        <v>426</v>
      </c>
      <c r="B429" s="55" t="s">
        <v>305</v>
      </c>
      <c r="C429" s="55" t="s">
        <v>306</v>
      </c>
      <c r="D429" s="55" t="s">
        <v>307</v>
      </c>
      <c r="E429" s="75" t="s">
        <v>159</v>
      </c>
      <c r="F429" s="55">
        <v>544273537705</v>
      </c>
      <c r="G429" s="55">
        <v>919411003</v>
      </c>
      <c r="H429" s="55" t="s">
        <v>38</v>
      </c>
      <c r="I429" s="55">
        <v>61.03</v>
      </c>
      <c r="J429" s="111">
        <v>7000</v>
      </c>
      <c r="K429" s="111">
        <v>7000</v>
      </c>
      <c r="L429" s="111">
        <v>7000</v>
      </c>
      <c r="M429" s="111"/>
      <c r="N429" s="111"/>
      <c r="O429" s="111"/>
      <c r="P429" s="2">
        <f t="shared" si="43"/>
        <v>427210</v>
      </c>
      <c r="Q429" s="2">
        <f t="shared" si="44"/>
        <v>427210</v>
      </c>
      <c r="R429" s="2">
        <f t="shared" si="45"/>
        <v>427210</v>
      </c>
      <c r="S429" s="2">
        <f t="shared" si="46"/>
        <v>0</v>
      </c>
      <c r="T429" s="2">
        <f t="shared" si="47"/>
        <v>0</v>
      </c>
      <c r="U429" s="2">
        <f t="shared" si="48"/>
        <v>0</v>
      </c>
    </row>
    <row r="430" spans="1:21">
      <c r="A430" s="55">
        <v>427</v>
      </c>
      <c r="B430" s="55" t="s">
        <v>305</v>
      </c>
      <c r="C430" s="55" t="s">
        <v>306</v>
      </c>
      <c r="D430" s="55" t="s">
        <v>307</v>
      </c>
      <c r="E430" s="75" t="s">
        <v>159</v>
      </c>
      <c r="F430" s="55">
        <v>544273537706</v>
      </c>
      <c r="G430" s="55">
        <v>919411004</v>
      </c>
      <c r="H430" s="55" t="s">
        <v>39</v>
      </c>
      <c r="I430" s="55">
        <v>61.03</v>
      </c>
      <c r="J430" s="111">
        <v>7000</v>
      </c>
      <c r="K430" s="111">
        <v>7000</v>
      </c>
      <c r="L430" s="111">
        <v>7000</v>
      </c>
      <c r="M430" s="111"/>
      <c r="N430" s="111"/>
      <c r="O430" s="111"/>
      <c r="P430" s="2">
        <f t="shared" si="43"/>
        <v>427210</v>
      </c>
      <c r="Q430" s="2">
        <f t="shared" si="44"/>
        <v>427210</v>
      </c>
      <c r="R430" s="2">
        <f t="shared" si="45"/>
        <v>427210</v>
      </c>
      <c r="S430" s="2">
        <f t="shared" si="46"/>
        <v>0</v>
      </c>
      <c r="T430" s="2">
        <f t="shared" si="47"/>
        <v>0</v>
      </c>
      <c r="U430" s="2">
        <f t="shared" si="48"/>
        <v>0</v>
      </c>
    </row>
    <row r="431" spans="1:21">
      <c r="A431" s="55">
        <v>428</v>
      </c>
      <c r="B431" s="55" t="s">
        <v>305</v>
      </c>
      <c r="C431" s="55" t="s">
        <v>306</v>
      </c>
      <c r="D431" s="55" t="s">
        <v>307</v>
      </c>
      <c r="E431" s="75" t="s">
        <v>159</v>
      </c>
      <c r="F431" s="55">
        <v>286881106312</v>
      </c>
      <c r="G431" s="55">
        <v>911306002</v>
      </c>
      <c r="H431" s="55" t="s">
        <v>40</v>
      </c>
      <c r="I431" s="55">
        <v>0.64</v>
      </c>
      <c r="J431" s="111">
        <v>40000</v>
      </c>
      <c r="K431" s="111">
        <v>40000</v>
      </c>
      <c r="L431" s="111">
        <v>40000</v>
      </c>
      <c r="M431" s="111"/>
      <c r="N431" s="111"/>
      <c r="O431" s="111"/>
      <c r="P431" s="2">
        <f t="shared" si="43"/>
        <v>25600</v>
      </c>
      <c r="Q431" s="2">
        <f t="shared" si="44"/>
        <v>25600</v>
      </c>
      <c r="R431" s="2">
        <f t="shared" si="45"/>
        <v>25600</v>
      </c>
      <c r="S431" s="2">
        <f t="shared" si="46"/>
        <v>0</v>
      </c>
      <c r="T431" s="2">
        <f t="shared" si="47"/>
        <v>0</v>
      </c>
      <c r="U431" s="2">
        <f t="shared" si="48"/>
        <v>0</v>
      </c>
    </row>
    <row r="432" spans="1:21">
      <c r="A432" s="55">
        <v>429</v>
      </c>
      <c r="B432" s="55" t="s">
        <v>305</v>
      </c>
      <c r="C432" s="55" t="s">
        <v>306</v>
      </c>
      <c r="D432" s="55" t="s">
        <v>307</v>
      </c>
      <c r="E432" s="75" t="s">
        <v>160</v>
      </c>
      <c r="F432" s="55">
        <v>541272547701</v>
      </c>
      <c r="G432" s="55">
        <v>919001005</v>
      </c>
      <c r="H432" s="55" t="s">
        <v>41</v>
      </c>
      <c r="I432" s="55">
        <v>443.16</v>
      </c>
      <c r="J432" s="111">
        <v>6500</v>
      </c>
      <c r="K432" s="111">
        <v>6500</v>
      </c>
      <c r="L432" s="111">
        <v>6500</v>
      </c>
      <c r="M432" s="111"/>
      <c r="N432" s="111"/>
      <c r="O432" s="111"/>
      <c r="P432" s="2">
        <f t="shared" si="43"/>
        <v>2880540</v>
      </c>
      <c r="Q432" s="2">
        <f t="shared" si="44"/>
        <v>2880540</v>
      </c>
      <c r="R432" s="2">
        <f t="shared" si="45"/>
        <v>2880540</v>
      </c>
      <c r="S432" s="2">
        <f t="shared" si="46"/>
        <v>0</v>
      </c>
      <c r="T432" s="2">
        <f t="shared" si="47"/>
        <v>0</v>
      </c>
      <c r="U432" s="2">
        <f t="shared" si="48"/>
        <v>0</v>
      </c>
    </row>
    <row r="433" spans="1:21">
      <c r="A433" s="55">
        <v>430</v>
      </c>
      <c r="B433" s="55" t="s">
        <v>305</v>
      </c>
      <c r="C433" s="55" t="s">
        <v>306</v>
      </c>
      <c r="D433" s="55" t="s">
        <v>307</v>
      </c>
      <c r="E433" s="75" t="s">
        <v>160</v>
      </c>
      <c r="F433" s="55">
        <v>541272547702</v>
      </c>
      <c r="G433" s="55">
        <v>919001006</v>
      </c>
      <c r="H433" s="55" t="s">
        <v>42</v>
      </c>
      <c r="I433" s="55">
        <v>432.06</v>
      </c>
      <c r="J433" s="111">
        <v>6500</v>
      </c>
      <c r="K433" s="111">
        <v>6500</v>
      </c>
      <c r="L433" s="111">
        <v>6500</v>
      </c>
      <c r="M433" s="111"/>
      <c r="N433" s="111"/>
      <c r="O433" s="111"/>
      <c r="P433" s="2">
        <f t="shared" si="43"/>
        <v>2808390</v>
      </c>
      <c r="Q433" s="2">
        <f t="shared" si="44"/>
        <v>2808390</v>
      </c>
      <c r="R433" s="2">
        <f t="shared" si="45"/>
        <v>2808390</v>
      </c>
      <c r="S433" s="2">
        <f t="shared" si="46"/>
        <v>0</v>
      </c>
      <c r="T433" s="2">
        <f t="shared" si="47"/>
        <v>0</v>
      </c>
      <c r="U433" s="2">
        <f t="shared" si="48"/>
        <v>0</v>
      </c>
    </row>
    <row r="434" spans="1:21">
      <c r="A434" s="55">
        <v>431</v>
      </c>
      <c r="B434" s="55" t="s">
        <v>305</v>
      </c>
      <c r="C434" s="55" t="s">
        <v>306</v>
      </c>
      <c r="D434" s="55" t="s">
        <v>307</v>
      </c>
      <c r="E434" s="75" t="s">
        <v>160</v>
      </c>
      <c r="F434" s="55">
        <v>541273537701</v>
      </c>
      <c r="G434" s="55">
        <v>919001007</v>
      </c>
      <c r="H434" s="55" t="s">
        <v>43</v>
      </c>
      <c r="I434" s="55">
        <v>420.17</v>
      </c>
      <c r="J434" s="111">
        <v>6500</v>
      </c>
      <c r="K434" s="111">
        <v>6500</v>
      </c>
      <c r="L434" s="111">
        <v>6500</v>
      </c>
      <c r="M434" s="111"/>
      <c r="N434" s="111"/>
      <c r="O434" s="111"/>
      <c r="P434" s="2">
        <f t="shared" si="43"/>
        <v>2731105</v>
      </c>
      <c r="Q434" s="2">
        <f t="shared" si="44"/>
        <v>2731105</v>
      </c>
      <c r="R434" s="2">
        <f t="shared" si="45"/>
        <v>2731105</v>
      </c>
      <c r="S434" s="2">
        <f t="shared" si="46"/>
        <v>0</v>
      </c>
      <c r="T434" s="2">
        <f t="shared" si="47"/>
        <v>0</v>
      </c>
      <c r="U434" s="2">
        <f t="shared" si="48"/>
        <v>0</v>
      </c>
    </row>
    <row r="435" spans="1:21">
      <c r="A435" s="55">
        <v>432</v>
      </c>
      <c r="B435" s="55" t="s">
        <v>305</v>
      </c>
      <c r="C435" s="55" t="s">
        <v>306</v>
      </c>
      <c r="D435" s="55" t="s">
        <v>307</v>
      </c>
      <c r="E435" s="75" t="s">
        <v>160</v>
      </c>
      <c r="F435" s="55">
        <v>541273537702</v>
      </c>
      <c r="G435" s="55">
        <v>919001008</v>
      </c>
      <c r="H435" s="55" t="s">
        <v>44</v>
      </c>
      <c r="I435" s="55">
        <v>409.38</v>
      </c>
      <c r="J435" s="111">
        <v>6500</v>
      </c>
      <c r="K435" s="111">
        <v>6500</v>
      </c>
      <c r="L435" s="111">
        <v>6500</v>
      </c>
      <c r="M435" s="111"/>
      <c r="N435" s="111"/>
      <c r="O435" s="111"/>
      <c r="P435" s="2">
        <f t="shared" si="43"/>
        <v>2660970</v>
      </c>
      <c r="Q435" s="2">
        <f t="shared" si="44"/>
        <v>2660970</v>
      </c>
      <c r="R435" s="2">
        <f t="shared" si="45"/>
        <v>2660970</v>
      </c>
      <c r="S435" s="2">
        <f t="shared" si="46"/>
        <v>0</v>
      </c>
      <c r="T435" s="2">
        <f t="shared" si="47"/>
        <v>0</v>
      </c>
      <c r="U435" s="2">
        <f t="shared" si="48"/>
        <v>0</v>
      </c>
    </row>
    <row r="436" spans="1:21">
      <c r="A436" s="55">
        <v>433</v>
      </c>
      <c r="B436" s="55" t="s">
        <v>305</v>
      </c>
      <c r="C436" s="55" t="s">
        <v>306</v>
      </c>
      <c r="D436" s="55" t="s">
        <v>307</v>
      </c>
      <c r="E436" s="75" t="s">
        <v>160</v>
      </c>
      <c r="F436" s="55">
        <v>541272557701</v>
      </c>
      <c r="G436" s="55">
        <v>919001001</v>
      </c>
      <c r="H436" s="55" t="s">
        <v>45</v>
      </c>
      <c r="I436" s="55">
        <v>228.77</v>
      </c>
      <c r="J436" s="111">
        <v>6500</v>
      </c>
      <c r="K436" s="111">
        <v>6500</v>
      </c>
      <c r="L436" s="111">
        <v>6500</v>
      </c>
      <c r="M436" s="111"/>
      <c r="N436" s="111"/>
      <c r="O436" s="111"/>
      <c r="P436" s="2">
        <f t="shared" si="43"/>
        <v>1487005</v>
      </c>
      <c r="Q436" s="2">
        <f t="shared" si="44"/>
        <v>1487005</v>
      </c>
      <c r="R436" s="2">
        <f t="shared" si="45"/>
        <v>1487005</v>
      </c>
      <c r="S436" s="2">
        <f t="shared" si="46"/>
        <v>0</v>
      </c>
      <c r="T436" s="2">
        <f t="shared" si="47"/>
        <v>0</v>
      </c>
      <c r="U436" s="2">
        <f t="shared" si="48"/>
        <v>0</v>
      </c>
    </row>
    <row r="437" spans="1:21">
      <c r="A437" s="55">
        <v>434</v>
      </c>
      <c r="B437" s="55" t="s">
        <v>305</v>
      </c>
      <c r="C437" s="55" t="s">
        <v>306</v>
      </c>
      <c r="D437" s="55" t="s">
        <v>307</v>
      </c>
      <c r="E437" s="75" t="s">
        <v>160</v>
      </c>
      <c r="F437" s="55">
        <v>541272557702</v>
      </c>
      <c r="G437" s="55">
        <v>919001002</v>
      </c>
      <c r="H437" s="55" t="s">
        <v>46</v>
      </c>
      <c r="I437" s="55">
        <v>214.65</v>
      </c>
      <c r="J437" s="111">
        <v>6500</v>
      </c>
      <c r="K437" s="111">
        <v>6500</v>
      </c>
      <c r="L437" s="111">
        <v>6500</v>
      </c>
      <c r="M437" s="111"/>
      <c r="N437" s="111"/>
      <c r="O437" s="111"/>
      <c r="P437" s="2">
        <f t="shared" si="43"/>
        <v>1395225</v>
      </c>
      <c r="Q437" s="2">
        <f t="shared" si="44"/>
        <v>1395225</v>
      </c>
      <c r="R437" s="2">
        <f t="shared" si="45"/>
        <v>1395225</v>
      </c>
      <c r="S437" s="2">
        <f t="shared" si="46"/>
        <v>0</v>
      </c>
      <c r="T437" s="2">
        <f t="shared" si="47"/>
        <v>0</v>
      </c>
      <c r="U437" s="2">
        <f t="shared" si="48"/>
        <v>0</v>
      </c>
    </row>
    <row r="438" spans="1:21">
      <c r="A438" s="55">
        <v>435</v>
      </c>
      <c r="B438" s="55" t="s">
        <v>305</v>
      </c>
      <c r="C438" s="55" t="s">
        <v>306</v>
      </c>
      <c r="D438" s="55" t="s">
        <v>307</v>
      </c>
      <c r="E438" s="75" t="s">
        <v>160</v>
      </c>
      <c r="F438" s="55">
        <v>541273547701</v>
      </c>
      <c r="G438" s="55">
        <v>919001003</v>
      </c>
      <c r="H438" s="55" t="s">
        <v>47</v>
      </c>
      <c r="I438" s="55">
        <v>221.16</v>
      </c>
      <c r="J438" s="111">
        <v>6500</v>
      </c>
      <c r="K438" s="111">
        <v>6500</v>
      </c>
      <c r="L438" s="111">
        <v>6500</v>
      </c>
      <c r="M438" s="111"/>
      <c r="N438" s="111"/>
      <c r="O438" s="111"/>
      <c r="P438" s="2">
        <f t="shared" si="43"/>
        <v>1437540</v>
      </c>
      <c r="Q438" s="2">
        <f t="shared" si="44"/>
        <v>1437540</v>
      </c>
      <c r="R438" s="2">
        <f t="shared" si="45"/>
        <v>1437540</v>
      </c>
      <c r="S438" s="2">
        <f t="shared" si="46"/>
        <v>0</v>
      </c>
      <c r="T438" s="2">
        <f t="shared" si="47"/>
        <v>0</v>
      </c>
      <c r="U438" s="2">
        <f t="shared" si="48"/>
        <v>0</v>
      </c>
    </row>
    <row r="439" spans="1:21">
      <c r="A439" s="55">
        <v>436</v>
      </c>
      <c r="B439" s="55" t="s">
        <v>305</v>
      </c>
      <c r="C439" s="55" t="s">
        <v>306</v>
      </c>
      <c r="D439" s="55" t="s">
        <v>307</v>
      </c>
      <c r="E439" s="75" t="s">
        <v>160</v>
      </c>
      <c r="F439" s="55">
        <v>541273547702</v>
      </c>
      <c r="G439" s="55">
        <v>919001004</v>
      </c>
      <c r="H439" s="55" t="s">
        <v>48</v>
      </c>
      <c r="I439" s="55">
        <v>210.58</v>
      </c>
      <c r="J439" s="111">
        <v>6500</v>
      </c>
      <c r="K439" s="111">
        <v>6500</v>
      </c>
      <c r="L439" s="111">
        <v>6500</v>
      </c>
      <c r="M439" s="111"/>
      <c r="N439" s="111"/>
      <c r="O439" s="111"/>
      <c r="P439" s="2">
        <f t="shared" si="43"/>
        <v>1368770</v>
      </c>
      <c r="Q439" s="2">
        <f t="shared" si="44"/>
        <v>1368770</v>
      </c>
      <c r="R439" s="2">
        <f t="shared" si="45"/>
        <v>1368770</v>
      </c>
      <c r="S439" s="2">
        <f t="shared" si="46"/>
        <v>0</v>
      </c>
      <c r="T439" s="2">
        <f t="shared" si="47"/>
        <v>0</v>
      </c>
      <c r="U439" s="2">
        <f t="shared" si="48"/>
        <v>0</v>
      </c>
    </row>
    <row r="440" spans="1:21">
      <c r="A440" s="55">
        <v>437</v>
      </c>
      <c r="B440" s="55" t="s">
        <v>305</v>
      </c>
      <c r="C440" s="55" t="s">
        <v>306</v>
      </c>
      <c r="D440" s="55" t="s">
        <v>307</v>
      </c>
      <c r="E440" s="75" t="s">
        <v>160</v>
      </c>
      <c r="F440" s="55">
        <v>541272567710</v>
      </c>
      <c r="G440" s="55">
        <v>919004017</v>
      </c>
      <c r="H440" s="55" t="s">
        <v>49</v>
      </c>
      <c r="I440" s="55">
        <v>1008.55</v>
      </c>
      <c r="J440" s="111">
        <v>200</v>
      </c>
      <c r="K440" s="111">
        <v>200</v>
      </c>
      <c r="L440" s="111">
        <v>200</v>
      </c>
      <c r="M440" s="111"/>
      <c r="N440" s="111"/>
      <c r="O440" s="111"/>
      <c r="P440" s="2">
        <f t="shared" si="43"/>
        <v>201710</v>
      </c>
      <c r="Q440" s="2">
        <f t="shared" si="44"/>
        <v>201710</v>
      </c>
      <c r="R440" s="2">
        <f t="shared" si="45"/>
        <v>201710</v>
      </c>
      <c r="S440" s="2">
        <f t="shared" si="46"/>
        <v>0</v>
      </c>
      <c r="T440" s="2">
        <f t="shared" si="47"/>
        <v>0</v>
      </c>
      <c r="U440" s="2">
        <f t="shared" si="48"/>
        <v>0</v>
      </c>
    </row>
    <row r="441" spans="1:21">
      <c r="A441" s="55">
        <v>438</v>
      </c>
      <c r="B441" s="55" t="s">
        <v>305</v>
      </c>
      <c r="C441" s="55" t="s">
        <v>306</v>
      </c>
      <c r="D441" s="55" t="s">
        <v>307</v>
      </c>
      <c r="E441" s="75" t="s">
        <v>160</v>
      </c>
      <c r="F441" s="55">
        <v>541272567711</v>
      </c>
      <c r="G441" s="55">
        <v>919004018</v>
      </c>
      <c r="H441" s="55" t="s">
        <v>50</v>
      </c>
      <c r="I441" s="55">
        <v>1008.55</v>
      </c>
      <c r="J441" s="111">
        <v>200</v>
      </c>
      <c r="K441" s="111">
        <v>200</v>
      </c>
      <c r="L441" s="111">
        <v>200</v>
      </c>
      <c r="M441" s="111"/>
      <c r="N441" s="111"/>
      <c r="O441" s="111"/>
      <c r="P441" s="2">
        <f t="shared" si="43"/>
        <v>201710</v>
      </c>
      <c r="Q441" s="2">
        <f t="shared" si="44"/>
        <v>201710</v>
      </c>
      <c r="R441" s="2">
        <f t="shared" si="45"/>
        <v>201710</v>
      </c>
      <c r="S441" s="2">
        <f t="shared" si="46"/>
        <v>0</v>
      </c>
      <c r="T441" s="2">
        <f t="shared" si="47"/>
        <v>0</v>
      </c>
      <c r="U441" s="2">
        <f t="shared" si="48"/>
        <v>0</v>
      </c>
    </row>
    <row r="442" spans="1:21">
      <c r="A442" s="55">
        <v>439</v>
      </c>
      <c r="B442" s="55" t="s">
        <v>305</v>
      </c>
      <c r="C442" s="55" t="s">
        <v>306</v>
      </c>
      <c r="D442" s="55" t="s">
        <v>307</v>
      </c>
      <c r="E442" s="75" t="s">
        <v>160</v>
      </c>
      <c r="F442" s="55">
        <v>541273557719</v>
      </c>
      <c r="G442" s="55">
        <v>919004019</v>
      </c>
      <c r="H442" s="55" t="s">
        <v>51</v>
      </c>
      <c r="I442" s="55">
        <v>922.25</v>
      </c>
      <c r="J442" s="111">
        <v>200</v>
      </c>
      <c r="K442" s="111">
        <v>200</v>
      </c>
      <c r="L442" s="111">
        <v>200</v>
      </c>
      <c r="M442" s="111"/>
      <c r="N442" s="111"/>
      <c r="O442" s="111"/>
      <c r="P442" s="2">
        <f t="shared" si="43"/>
        <v>184450</v>
      </c>
      <c r="Q442" s="2">
        <f t="shared" si="44"/>
        <v>184450</v>
      </c>
      <c r="R442" s="2">
        <f t="shared" si="45"/>
        <v>184450</v>
      </c>
      <c r="S442" s="2">
        <f t="shared" si="46"/>
        <v>0</v>
      </c>
      <c r="T442" s="2">
        <f t="shared" si="47"/>
        <v>0</v>
      </c>
      <c r="U442" s="2">
        <f t="shared" si="48"/>
        <v>0</v>
      </c>
    </row>
    <row r="443" spans="1:21">
      <c r="A443" s="55">
        <v>440</v>
      </c>
      <c r="B443" s="55" t="s">
        <v>305</v>
      </c>
      <c r="C443" s="55" t="s">
        <v>306</v>
      </c>
      <c r="D443" s="55" t="s">
        <v>307</v>
      </c>
      <c r="E443" s="75" t="s">
        <v>160</v>
      </c>
      <c r="F443" s="55">
        <v>541273557720</v>
      </c>
      <c r="G443" s="55">
        <v>919004020</v>
      </c>
      <c r="H443" s="55" t="s">
        <v>52</v>
      </c>
      <c r="I443" s="55">
        <v>905.69</v>
      </c>
      <c r="J443" s="111">
        <v>200</v>
      </c>
      <c r="K443" s="111">
        <v>200</v>
      </c>
      <c r="L443" s="111">
        <v>200</v>
      </c>
      <c r="M443" s="111"/>
      <c r="N443" s="111"/>
      <c r="O443" s="111"/>
      <c r="P443" s="2">
        <f t="shared" si="43"/>
        <v>181138</v>
      </c>
      <c r="Q443" s="2">
        <f t="shared" si="44"/>
        <v>181138</v>
      </c>
      <c r="R443" s="2">
        <f t="shared" si="45"/>
        <v>181138</v>
      </c>
      <c r="S443" s="2">
        <f t="shared" si="46"/>
        <v>0</v>
      </c>
      <c r="T443" s="2">
        <f t="shared" si="47"/>
        <v>0</v>
      </c>
      <c r="U443" s="2">
        <f t="shared" si="48"/>
        <v>0</v>
      </c>
    </row>
    <row r="444" spans="1:21">
      <c r="A444" s="55">
        <v>441</v>
      </c>
      <c r="B444" s="55" t="s">
        <v>305</v>
      </c>
      <c r="C444" s="55" t="s">
        <v>306</v>
      </c>
      <c r="D444" s="55" t="s">
        <v>307</v>
      </c>
      <c r="E444" s="75" t="s">
        <v>160</v>
      </c>
      <c r="F444" s="55">
        <v>541272567703</v>
      </c>
      <c r="G444" s="55">
        <v>919004005</v>
      </c>
      <c r="H444" s="55" t="s">
        <v>53</v>
      </c>
      <c r="I444" s="55">
        <v>1037.8399999999999</v>
      </c>
      <c r="J444" s="111">
        <v>2000</v>
      </c>
      <c r="K444" s="111">
        <v>2000</v>
      </c>
      <c r="L444" s="111">
        <v>2000</v>
      </c>
      <c r="M444" s="111"/>
      <c r="N444" s="111"/>
      <c r="O444" s="111"/>
      <c r="P444" s="2">
        <f t="shared" si="43"/>
        <v>2075679.9999999998</v>
      </c>
      <c r="Q444" s="2">
        <f t="shared" si="44"/>
        <v>2075679.9999999998</v>
      </c>
      <c r="R444" s="2">
        <f t="shared" si="45"/>
        <v>2075679.9999999998</v>
      </c>
      <c r="S444" s="2">
        <f t="shared" si="46"/>
        <v>0</v>
      </c>
      <c r="T444" s="2">
        <f t="shared" si="47"/>
        <v>0</v>
      </c>
      <c r="U444" s="2">
        <f t="shared" si="48"/>
        <v>0</v>
      </c>
    </row>
    <row r="445" spans="1:21">
      <c r="A445" s="55">
        <v>442</v>
      </c>
      <c r="B445" s="55" t="s">
        <v>305</v>
      </c>
      <c r="C445" s="55" t="s">
        <v>306</v>
      </c>
      <c r="D445" s="55" t="s">
        <v>307</v>
      </c>
      <c r="E445" s="75" t="s">
        <v>160</v>
      </c>
      <c r="F445" s="55">
        <v>541272567704</v>
      </c>
      <c r="G445" s="55">
        <v>919004006</v>
      </c>
      <c r="H445" s="55" t="s">
        <v>54</v>
      </c>
      <c r="I445" s="55">
        <v>1037.8399999999999</v>
      </c>
      <c r="J445" s="111">
        <v>2000</v>
      </c>
      <c r="K445" s="111">
        <v>2000</v>
      </c>
      <c r="L445" s="111">
        <v>2000</v>
      </c>
      <c r="M445" s="111"/>
      <c r="N445" s="111"/>
      <c r="O445" s="111"/>
      <c r="P445" s="2">
        <f t="shared" si="43"/>
        <v>2075679.9999999998</v>
      </c>
      <c r="Q445" s="2">
        <f t="shared" si="44"/>
        <v>2075679.9999999998</v>
      </c>
      <c r="R445" s="2">
        <f t="shared" si="45"/>
        <v>2075679.9999999998</v>
      </c>
      <c r="S445" s="2">
        <f t="shared" si="46"/>
        <v>0</v>
      </c>
      <c r="T445" s="2">
        <f t="shared" si="47"/>
        <v>0</v>
      </c>
      <c r="U445" s="2">
        <f t="shared" si="48"/>
        <v>0</v>
      </c>
    </row>
    <row r="446" spans="1:21">
      <c r="A446" s="55">
        <v>443</v>
      </c>
      <c r="B446" s="55" t="s">
        <v>305</v>
      </c>
      <c r="C446" s="55" t="s">
        <v>306</v>
      </c>
      <c r="D446" s="55" t="s">
        <v>307</v>
      </c>
      <c r="E446" s="75" t="s">
        <v>160</v>
      </c>
      <c r="F446" s="55">
        <v>541273557703</v>
      </c>
      <c r="G446" s="55">
        <v>919004007</v>
      </c>
      <c r="H446" s="55" t="s">
        <v>55</v>
      </c>
      <c r="I446" s="55">
        <v>1112.29</v>
      </c>
      <c r="J446" s="111">
        <v>2000</v>
      </c>
      <c r="K446" s="111">
        <v>2000</v>
      </c>
      <c r="L446" s="111">
        <v>2000</v>
      </c>
      <c r="M446" s="111"/>
      <c r="N446" s="111"/>
      <c r="O446" s="111"/>
      <c r="P446" s="2">
        <f t="shared" si="43"/>
        <v>2224580</v>
      </c>
      <c r="Q446" s="2">
        <f t="shared" si="44"/>
        <v>2224580</v>
      </c>
      <c r="R446" s="2">
        <f t="shared" si="45"/>
        <v>2224580</v>
      </c>
      <c r="S446" s="2">
        <f t="shared" si="46"/>
        <v>0</v>
      </c>
      <c r="T446" s="2">
        <f t="shared" si="47"/>
        <v>0</v>
      </c>
      <c r="U446" s="2">
        <f t="shared" si="48"/>
        <v>0</v>
      </c>
    </row>
    <row r="447" spans="1:21">
      <c r="A447" s="55">
        <v>444</v>
      </c>
      <c r="B447" s="55" t="s">
        <v>305</v>
      </c>
      <c r="C447" s="55" t="s">
        <v>306</v>
      </c>
      <c r="D447" s="55" t="s">
        <v>307</v>
      </c>
      <c r="E447" s="75" t="s">
        <v>160</v>
      </c>
      <c r="F447" s="55">
        <v>541273557704</v>
      </c>
      <c r="G447" s="55">
        <v>919004008</v>
      </c>
      <c r="H447" s="55" t="s">
        <v>56</v>
      </c>
      <c r="I447" s="55">
        <v>1112.29</v>
      </c>
      <c r="J447" s="111">
        <v>2000</v>
      </c>
      <c r="K447" s="111">
        <v>2000</v>
      </c>
      <c r="L447" s="111">
        <v>2000</v>
      </c>
      <c r="M447" s="111"/>
      <c r="N447" s="111"/>
      <c r="O447" s="111"/>
      <c r="P447" s="2">
        <f t="shared" si="43"/>
        <v>2224580</v>
      </c>
      <c r="Q447" s="2">
        <f t="shared" si="44"/>
        <v>2224580</v>
      </c>
      <c r="R447" s="2">
        <f t="shared" si="45"/>
        <v>2224580</v>
      </c>
      <c r="S447" s="2">
        <f t="shared" si="46"/>
        <v>0</v>
      </c>
      <c r="T447" s="2">
        <f t="shared" si="47"/>
        <v>0</v>
      </c>
      <c r="U447" s="2">
        <f t="shared" si="48"/>
        <v>0</v>
      </c>
    </row>
    <row r="448" spans="1:21">
      <c r="A448" s="55">
        <v>445</v>
      </c>
      <c r="B448" s="55" t="s">
        <v>305</v>
      </c>
      <c r="C448" s="55" t="s">
        <v>306</v>
      </c>
      <c r="D448" s="55" t="s">
        <v>307</v>
      </c>
      <c r="E448" s="75" t="s">
        <v>160</v>
      </c>
      <c r="F448" s="55">
        <v>541272567708</v>
      </c>
      <c r="G448" s="55">
        <v>919004013</v>
      </c>
      <c r="H448" s="55" t="s">
        <v>57</v>
      </c>
      <c r="I448" s="55">
        <v>1483.68</v>
      </c>
      <c r="J448" s="111">
        <v>4500</v>
      </c>
      <c r="K448" s="111">
        <v>4500</v>
      </c>
      <c r="L448" s="111">
        <v>4500</v>
      </c>
      <c r="M448" s="111"/>
      <c r="N448" s="111"/>
      <c r="O448" s="111"/>
      <c r="P448" s="2">
        <f t="shared" si="43"/>
        <v>6676560</v>
      </c>
      <c r="Q448" s="2">
        <f t="shared" si="44"/>
        <v>6676560</v>
      </c>
      <c r="R448" s="2">
        <f t="shared" si="45"/>
        <v>6676560</v>
      </c>
      <c r="S448" s="2">
        <f t="shared" si="46"/>
        <v>0</v>
      </c>
      <c r="T448" s="2">
        <f t="shared" si="47"/>
        <v>0</v>
      </c>
      <c r="U448" s="2">
        <f t="shared" si="48"/>
        <v>0</v>
      </c>
    </row>
    <row r="449" spans="1:21">
      <c r="A449" s="55">
        <v>446</v>
      </c>
      <c r="B449" s="55" t="s">
        <v>305</v>
      </c>
      <c r="C449" s="55" t="s">
        <v>306</v>
      </c>
      <c r="D449" s="55" t="s">
        <v>307</v>
      </c>
      <c r="E449" s="75" t="s">
        <v>160</v>
      </c>
      <c r="F449" s="55">
        <v>541272567709</v>
      </c>
      <c r="G449" s="55">
        <v>919004014</v>
      </c>
      <c r="H449" s="55" t="s">
        <v>58</v>
      </c>
      <c r="I449" s="55">
        <v>1483.68</v>
      </c>
      <c r="J449" s="111">
        <v>4500</v>
      </c>
      <c r="K449" s="111">
        <v>4500</v>
      </c>
      <c r="L449" s="111">
        <v>4500</v>
      </c>
      <c r="M449" s="111"/>
      <c r="N449" s="111"/>
      <c r="O449" s="111"/>
      <c r="P449" s="2">
        <f t="shared" si="43"/>
        <v>6676560</v>
      </c>
      <c r="Q449" s="2">
        <f t="shared" si="44"/>
        <v>6676560</v>
      </c>
      <c r="R449" s="2">
        <f t="shared" si="45"/>
        <v>6676560</v>
      </c>
      <c r="S449" s="2">
        <f t="shared" si="46"/>
        <v>0</v>
      </c>
      <c r="T449" s="2">
        <f t="shared" si="47"/>
        <v>0</v>
      </c>
      <c r="U449" s="2">
        <f t="shared" si="48"/>
        <v>0</v>
      </c>
    </row>
    <row r="450" spans="1:21">
      <c r="A450" s="55">
        <v>447</v>
      </c>
      <c r="B450" s="55" t="s">
        <v>305</v>
      </c>
      <c r="C450" s="55" t="s">
        <v>306</v>
      </c>
      <c r="D450" s="55" t="s">
        <v>307</v>
      </c>
      <c r="E450" s="75" t="s">
        <v>160</v>
      </c>
      <c r="F450" s="55">
        <v>541273557715</v>
      </c>
      <c r="G450" s="55">
        <v>919004015</v>
      </c>
      <c r="H450" s="55" t="s">
        <v>59</v>
      </c>
      <c r="I450" s="55">
        <v>1326.42</v>
      </c>
      <c r="J450" s="111">
        <v>4500</v>
      </c>
      <c r="K450" s="111">
        <v>4500</v>
      </c>
      <c r="L450" s="111">
        <v>4500</v>
      </c>
      <c r="M450" s="111"/>
      <c r="N450" s="111"/>
      <c r="O450" s="111"/>
      <c r="P450" s="2">
        <f t="shared" si="43"/>
        <v>5968890</v>
      </c>
      <c r="Q450" s="2">
        <f t="shared" si="44"/>
        <v>5968890</v>
      </c>
      <c r="R450" s="2">
        <f t="shared" si="45"/>
        <v>5968890</v>
      </c>
      <c r="S450" s="2">
        <f t="shared" si="46"/>
        <v>0</v>
      </c>
      <c r="T450" s="2">
        <f t="shared" si="47"/>
        <v>0</v>
      </c>
      <c r="U450" s="2">
        <f t="shared" si="48"/>
        <v>0</v>
      </c>
    </row>
    <row r="451" spans="1:21">
      <c r="A451" s="55">
        <v>448</v>
      </c>
      <c r="B451" s="55" t="s">
        <v>305</v>
      </c>
      <c r="C451" s="55" t="s">
        <v>306</v>
      </c>
      <c r="D451" s="55" t="s">
        <v>307</v>
      </c>
      <c r="E451" s="75" t="s">
        <v>160</v>
      </c>
      <c r="F451" s="55">
        <v>541273557716</v>
      </c>
      <c r="G451" s="55">
        <v>919004016</v>
      </c>
      <c r="H451" s="55" t="s">
        <v>60</v>
      </c>
      <c r="I451" s="55">
        <v>1326.42</v>
      </c>
      <c r="J451" s="111">
        <v>4500</v>
      </c>
      <c r="K451" s="111">
        <v>4500</v>
      </c>
      <c r="L451" s="111">
        <v>4500</v>
      </c>
      <c r="M451" s="111"/>
      <c r="N451" s="111"/>
      <c r="O451" s="111"/>
      <c r="P451" s="2">
        <f t="shared" si="43"/>
        <v>5968890</v>
      </c>
      <c r="Q451" s="2">
        <f t="shared" si="44"/>
        <v>5968890</v>
      </c>
      <c r="R451" s="2">
        <f t="shared" si="45"/>
        <v>5968890</v>
      </c>
      <c r="S451" s="2">
        <f t="shared" si="46"/>
        <v>0</v>
      </c>
      <c r="T451" s="2">
        <f t="shared" si="47"/>
        <v>0</v>
      </c>
      <c r="U451" s="2">
        <f t="shared" si="48"/>
        <v>0</v>
      </c>
    </row>
    <row r="452" spans="1:21">
      <c r="A452" s="55">
        <v>449</v>
      </c>
      <c r="B452" s="55" t="s">
        <v>305</v>
      </c>
      <c r="C452" s="55" t="s">
        <v>306</v>
      </c>
      <c r="D452" s="55" t="s">
        <v>307</v>
      </c>
      <c r="E452" s="75" t="s">
        <v>160</v>
      </c>
      <c r="F452" s="55">
        <v>541272557721</v>
      </c>
      <c r="G452" s="55">
        <v>919011009</v>
      </c>
      <c r="H452" s="55" t="s">
        <v>61</v>
      </c>
      <c r="I452" s="55">
        <v>119.64</v>
      </c>
      <c r="J452" s="111">
        <v>6500</v>
      </c>
      <c r="K452" s="111">
        <v>6500</v>
      </c>
      <c r="L452" s="111">
        <v>6500</v>
      </c>
      <c r="M452" s="111"/>
      <c r="N452" s="111"/>
      <c r="O452" s="111"/>
      <c r="P452" s="2">
        <f t="shared" si="43"/>
        <v>777660</v>
      </c>
      <c r="Q452" s="2">
        <f t="shared" si="44"/>
        <v>777660</v>
      </c>
      <c r="R452" s="2">
        <f t="shared" si="45"/>
        <v>777660</v>
      </c>
      <c r="S452" s="2">
        <f t="shared" si="46"/>
        <v>0</v>
      </c>
      <c r="T452" s="2">
        <f t="shared" si="47"/>
        <v>0</v>
      </c>
      <c r="U452" s="2">
        <f t="shared" si="48"/>
        <v>0</v>
      </c>
    </row>
    <row r="453" spans="1:21">
      <c r="A453" s="55">
        <v>450</v>
      </c>
      <c r="B453" s="55" t="s">
        <v>305</v>
      </c>
      <c r="C453" s="55" t="s">
        <v>306</v>
      </c>
      <c r="D453" s="55" t="s">
        <v>307</v>
      </c>
      <c r="E453" s="75" t="s">
        <v>160</v>
      </c>
      <c r="F453" s="55">
        <v>541272557722</v>
      </c>
      <c r="G453" s="55">
        <v>919011010</v>
      </c>
      <c r="H453" s="55" t="s">
        <v>62</v>
      </c>
      <c r="I453" s="55">
        <v>108.97</v>
      </c>
      <c r="J453" s="111">
        <v>6500</v>
      </c>
      <c r="K453" s="111">
        <v>6500</v>
      </c>
      <c r="L453" s="111">
        <v>6500</v>
      </c>
      <c r="M453" s="111"/>
      <c r="N453" s="111"/>
      <c r="O453" s="111"/>
      <c r="P453" s="2">
        <f t="shared" ref="P453:P516" si="49">J453*I453</f>
        <v>708305</v>
      </c>
      <c r="Q453" s="2">
        <f t="shared" ref="Q453:Q516" si="50">K453*I453</f>
        <v>708305</v>
      </c>
      <c r="R453" s="2">
        <f t="shared" ref="R453:R516" si="51">L453*I453</f>
        <v>708305</v>
      </c>
      <c r="S453" s="2">
        <f t="shared" ref="S453:S516" si="52">M453*I453</f>
        <v>0</v>
      </c>
      <c r="T453" s="2">
        <f t="shared" ref="T453:T516" si="53">N453*I453</f>
        <v>0</v>
      </c>
      <c r="U453" s="2">
        <f t="shared" ref="U453:U516" si="54">O453*I453</f>
        <v>0</v>
      </c>
    </row>
    <row r="454" spans="1:21">
      <c r="A454" s="55">
        <v>451</v>
      </c>
      <c r="B454" s="55" t="s">
        <v>305</v>
      </c>
      <c r="C454" s="55" t="s">
        <v>306</v>
      </c>
      <c r="D454" s="55" t="s">
        <v>307</v>
      </c>
      <c r="E454" s="75" t="s">
        <v>161</v>
      </c>
      <c r="F454" s="55" t="s">
        <v>63</v>
      </c>
      <c r="G454" s="55">
        <v>917124005</v>
      </c>
      <c r="H454" s="55" t="s">
        <v>64</v>
      </c>
      <c r="I454" s="55">
        <v>276.23</v>
      </c>
      <c r="J454" s="111">
        <v>17650</v>
      </c>
      <c r="K454" s="111">
        <v>17620</v>
      </c>
      <c r="L454" s="111">
        <v>17620</v>
      </c>
      <c r="M454" s="111"/>
      <c r="N454" s="111"/>
      <c r="O454" s="111"/>
      <c r="P454" s="2">
        <f t="shared" si="49"/>
        <v>4875459.5</v>
      </c>
      <c r="Q454" s="2">
        <f t="shared" si="50"/>
        <v>4867172.6000000006</v>
      </c>
      <c r="R454" s="2">
        <f t="shared" si="51"/>
        <v>4867172.6000000006</v>
      </c>
      <c r="S454" s="2">
        <f t="shared" si="52"/>
        <v>0</v>
      </c>
      <c r="T454" s="2">
        <f t="shared" si="53"/>
        <v>0</v>
      </c>
      <c r="U454" s="2">
        <f t="shared" si="54"/>
        <v>0</v>
      </c>
    </row>
    <row r="455" spans="1:21">
      <c r="A455" s="55">
        <v>452</v>
      </c>
      <c r="B455" s="55" t="s">
        <v>305</v>
      </c>
      <c r="C455" s="55" t="s">
        <v>306</v>
      </c>
      <c r="D455" s="55" t="s">
        <v>307</v>
      </c>
      <c r="E455" s="75" t="s">
        <v>161</v>
      </c>
      <c r="F455" s="55" t="s">
        <v>65</v>
      </c>
      <c r="G455" s="55">
        <v>917124006</v>
      </c>
      <c r="H455" s="55" t="s">
        <v>66</v>
      </c>
      <c r="I455" s="55">
        <v>276.23</v>
      </c>
      <c r="J455" s="111">
        <v>17650</v>
      </c>
      <c r="K455" s="111">
        <v>17620</v>
      </c>
      <c r="L455" s="111">
        <v>17620</v>
      </c>
      <c r="M455" s="111"/>
      <c r="N455" s="111"/>
      <c r="O455" s="111"/>
      <c r="P455" s="2">
        <f t="shared" si="49"/>
        <v>4875459.5</v>
      </c>
      <c r="Q455" s="2">
        <f t="shared" si="50"/>
        <v>4867172.6000000006</v>
      </c>
      <c r="R455" s="2">
        <f t="shared" si="51"/>
        <v>4867172.6000000006</v>
      </c>
      <c r="S455" s="2">
        <f t="shared" si="52"/>
        <v>0</v>
      </c>
      <c r="T455" s="2">
        <f t="shared" si="53"/>
        <v>0</v>
      </c>
      <c r="U455" s="2">
        <f t="shared" si="54"/>
        <v>0</v>
      </c>
    </row>
    <row r="456" spans="1:21">
      <c r="A456" s="55">
        <v>453</v>
      </c>
      <c r="B456" s="55" t="s">
        <v>305</v>
      </c>
      <c r="C456" s="55" t="s">
        <v>306</v>
      </c>
      <c r="D456" s="55" t="s">
        <v>307</v>
      </c>
      <c r="E456" s="75" t="s">
        <v>161</v>
      </c>
      <c r="F456" s="55" t="s">
        <v>67</v>
      </c>
      <c r="G456" s="55">
        <v>917124007</v>
      </c>
      <c r="H456" s="55" t="s">
        <v>68</v>
      </c>
      <c r="I456" s="55">
        <v>256.85000000000002</v>
      </c>
      <c r="J456" s="111">
        <v>17650</v>
      </c>
      <c r="K456" s="111">
        <v>17620</v>
      </c>
      <c r="L456" s="111">
        <v>17620</v>
      </c>
      <c r="M456" s="111"/>
      <c r="N456" s="111"/>
      <c r="O456" s="111"/>
      <c r="P456" s="2">
        <f t="shared" si="49"/>
        <v>4533402.5</v>
      </c>
      <c r="Q456" s="2">
        <f t="shared" si="50"/>
        <v>4525697</v>
      </c>
      <c r="R456" s="2">
        <f t="shared" si="51"/>
        <v>4525697</v>
      </c>
      <c r="S456" s="2">
        <f t="shared" si="52"/>
        <v>0</v>
      </c>
      <c r="T456" s="2">
        <f t="shared" si="53"/>
        <v>0</v>
      </c>
      <c r="U456" s="2">
        <f t="shared" si="54"/>
        <v>0</v>
      </c>
    </row>
    <row r="457" spans="1:21">
      <c r="A457" s="55">
        <v>454</v>
      </c>
      <c r="B457" s="55" t="s">
        <v>305</v>
      </c>
      <c r="C457" s="55" t="s">
        <v>306</v>
      </c>
      <c r="D457" s="55" t="s">
        <v>307</v>
      </c>
      <c r="E457" s="75" t="s">
        <v>161</v>
      </c>
      <c r="F457" s="55" t="s">
        <v>69</v>
      </c>
      <c r="G457" s="55">
        <v>917124008</v>
      </c>
      <c r="H457" s="55" t="s">
        <v>70</v>
      </c>
      <c r="I457" s="55">
        <v>256.85000000000002</v>
      </c>
      <c r="J457" s="111">
        <v>17650</v>
      </c>
      <c r="K457" s="111">
        <v>17620</v>
      </c>
      <c r="L457" s="111">
        <v>17620</v>
      </c>
      <c r="M457" s="111"/>
      <c r="N457" s="111"/>
      <c r="O457" s="111"/>
      <c r="P457" s="2">
        <f t="shared" si="49"/>
        <v>4533402.5</v>
      </c>
      <c r="Q457" s="2">
        <f t="shared" si="50"/>
        <v>4525697</v>
      </c>
      <c r="R457" s="2">
        <f t="shared" si="51"/>
        <v>4525697</v>
      </c>
      <c r="S457" s="2">
        <f t="shared" si="52"/>
        <v>0</v>
      </c>
      <c r="T457" s="2">
        <f t="shared" si="53"/>
        <v>0</v>
      </c>
      <c r="U457" s="2">
        <f t="shared" si="54"/>
        <v>0</v>
      </c>
    </row>
    <row r="458" spans="1:21">
      <c r="A458" s="55">
        <v>455</v>
      </c>
      <c r="B458" s="55" t="s">
        <v>305</v>
      </c>
      <c r="C458" s="55" t="s">
        <v>306</v>
      </c>
      <c r="D458" s="55" t="s">
        <v>307</v>
      </c>
      <c r="E458" s="75" t="s">
        <v>161</v>
      </c>
      <c r="F458" s="55" t="s">
        <v>71</v>
      </c>
      <c r="G458" s="55">
        <v>917104008</v>
      </c>
      <c r="H458" s="55" t="s">
        <v>49</v>
      </c>
      <c r="I458" s="55">
        <v>201.8</v>
      </c>
      <c r="J458" s="111">
        <v>17650</v>
      </c>
      <c r="K458" s="111">
        <v>17620</v>
      </c>
      <c r="L458" s="111">
        <v>17620</v>
      </c>
      <c r="M458" s="111"/>
      <c r="N458" s="111"/>
      <c r="O458" s="111"/>
      <c r="P458" s="2">
        <f t="shared" si="49"/>
        <v>3561770</v>
      </c>
      <c r="Q458" s="2">
        <f t="shared" si="50"/>
        <v>3555716</v>
      </c>
      <c r="R458" s="2">
        <f t="shared" si="51"/>
        <v>3555716</v>
      </c>
      <c r="S458" s="2">
        <f t="shared" si="52"/>
        <v>0</v>
      </c>
      <c r="T458" s="2">
        <f t="shared" si="53"/>
        <v>0</v>
      </c>
      <c r="U458" s="2">
        <f t="shared" si="54"/>
        <v>0</v>
      </c>
    </row>
    <row r="459" spans="1:21">
      <c r="A459" s="55">
        <v>456</v>
      </c>
      <c r="B459" s="55" t="s">
        <v>305</v>
      </c>
      <c r="C459" s="55" t="s">
        <v>306</v>
      </c>
      <c r="D459" s="55" t="s">
        <v>307</v>
      </c>
      <c r="E459" s="75" t="s">
        <v>161</v>
      </c>
      <c r="F459" s="55" t="s">
        <v>72</v>
      </c>
      <c r="G459" s="55">
        <v>917104007</v>
      </c>
      <c r="H459" s="55" t="s">
        <v>50</v>
      </c>
      <c r="I459" s="55">
        <v>201.8</v>
      </c>
      <c r="J459" s="111">
        <v>17650</v>
      </c>
      <c r="K459" s="111">
        <v>17620</v>
      </c>
      <c r="L459" s="111">
        <v>17620</v>
      </c>
      <c r="M459" s="111"/>
      <c r="N459" s="111"/>
      <c r="O459" s="111"/>
      <c r="P459" s="2">
        <f t="shared" si="49"/>
        <v>3561770</v>
      </c>
      <c r="Q459" s="2">
        <f t="shared" si="50"/>
        <v>3555716</v>
      </c>
      <c r="R459" s="2">
        <f t="shared" si="51"/>
        <v>3555716</v>
      </c>
      <c r="S459" s="2">
        <f t="shared" si="52"/>
        <v>0</v>
      </c>
      <c r="T459" s="2">
        <f t="shared" si="53"/>
        <v>0</v>
      </c>
      <c r="U459" s="2">
        <f t="shared" si="54"/>
        <v>0</v>
      </c>
    </row>
    <row r="460" spans="1:21">
      <c r="A460" s="55">
        <v>457</v>
      </c>
      <c r="B460" s="55" t="s">
        <v>305</v>
      </c>
      <c r="C460" s="55" t="s">
        <v>306</v>
      </c>
      <c r="D460" s="55" t="s">
        <v>307</v>
      </c>
      <c r="E460" s="75" t="s">
        <v>161</v>
      </c>
      <c r="F460" s="55" t="s">
        <v>73</v>
      </c>
      <c r="G460" s="55">
        <v>917104006</v>
      </c>
      <c r="H460" s="55" t="s">
        <v>51</v>
      </c>
      <c r="I460" s="55">
        <v>168.13</v>
      </c>
      <c r="J460" s="111">
        <v>17650</v>
      </c>
      <c r="K460" s="111">
        <v>17620</v>
      </c>
      <c r="L460" s="111">
        <v>17620</v>
      </c>
      <c r="M460" s="111"/>
      <c r="N460" s="111"/>
      <c r="O460" s="111"/>
      <c r="P460" s="2">
        <f t="shared" si="49"/>
        <v>2967494.5</v>
      </c>
      <c r="Q460" s="2">
        <f t="shared" si="50"/>
        <v>2962450.6</v>
      </c>
      <c r="R460" s="2">
        <f t="shared" si="51"/>
        <v>2962450.6</v>
      </c>
      <c r="S460" s="2">
        <f t="shared" si="52"/>
        <v>0</v>
      </c>
      <c r="T460" s="2">
        <f t="shared" si="53"/>
        <v>0</v>
      </c>
      <c r="U460" s="2">
        <f t="shared" si="54"/>
        <v>0</v>
      </c>
    </row>
    <row r="461" spans="1:21">
      <c r="A461" s="55">
        <v>458</v>
      </c>
      <c r="B461" s="55" t="s">
        <v>305</v>
      </c>
      <c r="C461" s="55" t="s">
        <v>306</v>
      </c>
      <c r="D461" s="55" t="s">
        <v>307</v>
      </c>
      <c r="E461" s="75" t="s">
        <v>161</v>
      </c>
      <c r="F461" s="55" t="s">
        <v>74</v>
      </c>
      <c r="G461" s="55">
        <v>917104005</v>
      </c>
      <c r="H461" s="55" t="s">
        <v>52</v>
      </c>
      <c r="I461" s="55">
        <v>168.13</v>
      </c>
      <c r="J461" s="111">
        <v>17650</v>
      </c>
      <c r="K461" s="111">
        <v>17620</v>
      </c>
      <c r="L461" s="111">
        <v>17620</v>
      </c>
      <c r="M461" s="111"/>
      <c r="N461" s="111"/>
      <c r="O461" s="111"/>
      <c r="P461" s="2">
        <f t="shared" si="49"/>
        <v>2967494.5</v>
      </c>
      <c r="Q461" s="2">
        <f t="shared" si="50"/>
        <v>2962450.6</v>
      </c>
      <c r="R461" s="2">
        <f t="shared" si="51"/>
        <v>2962450.6</v>
      </c>
      <c r="S461" s="2">
        <f t="shared" si="52"/>
        <v>0</v>
      </c>
      <c r="T461" s="2">
        <f t="shared" si="53"/>
        <v>0</v>
      </c>
      <c r="U461" s="2">
        <f t="shared" si="54"/>
        <v>0</v>
      </c>
    </row>
    <row r="462" spans="1:21">
      <c r="A462" s="55">
        <v>459</v>
      </c>
      <c r="B462" s="55" t="s">
        <v>305</v>
      </c>
      <c r="C462" s="55" t="s">
        <v>306</v>
      </c>
      <c r="D462" s="55" t="s">
        <v>307</v>
      </c>
      <c r="E462" s="75" t="s">
        <v>161</v>
      </c>
      <c r="F462" s="55" t="s">
        <v>75</v>
      </c>
      <c r="G462" s="55">
        <v>917110002</v>
      </c>
      <c r="H462" s="55" t="s">
        <v>76</v>
      </c>
      <c r="I462" s="55">
        <v>270.89</v>
      </c>
      <c r="J462" s="111">
        <v>17650</v>
      </c>
      <c r="K462" s="111">
        <v>17620</v>
      </c>
      <c r="L462" s="111">
        <v>17620</v>
      </c>
      <c r="M462" s="111"/>
      <c r="N462" s="111"/>
      <c r="O462" s="111"/>
      <c r="P462" s="2">
        <f t="shared" si="49"/>
        <v>4781208.5</v>
      </c>
      <c r="Q462" s="2">
        <f t="shared" si="50"/>
        <v>4773081.8</v>
      </c>
      <c r="R462" s="2">
        <f t="shared" si="51"/>
        <v>4773081.8</v>
      </c>
      <c r="S462" s="2">
        <f t="shared" si="52"/>
        <v>0</v>
      </c>
      <c r="T462" s="2">
        <f t="shared" si="53"/>
        <v>0</v>
      </c>
      <c r="U462" s="2">
        <f t="shared" si="54"/>
        <v>0</v>
      </c>
    </row>
    <row r="463" spans="1:21">
      <c r="A463" s="55">
        <v>460</v>
      </c>
      <c r="B463" s="55" t="s">
        <v>305</v>
      </c>
      <c r="C463" s="55" t="s">
        <v>306</v>
      </c>
      <c r="D463" s="55" t="s">
        <v>307</v>
      </c>
      <c r="E463" s="75" t="s">
        <v>162</v>
      </c>
      <c r="F463" s="55">
        <v>585872506318</v>
      </c>
      <c r="G463" s="55">
        <v>913304009</v>
      </c>
      <c r="H463" s="55" t="s">
        <v>77</v>
      </c>
      <c r="I463" s="55">
        <v>302.76</v>
      </c>
      <c r="J463" s="111">
        <v>1430</v>
      </c>
      <c r="K463" s="111">
        <v>1535</v>
      </c>
      <c r="L463" s="111">
        <v>1535</v>
      </c>
      <c r="M463" s="111"/>
      <c r="N463" s="111"/>
      <c r="O463" s="111"/>
      <c r="P463" s="2">
        <f t="shared" si="49"/>
        <v>432946.8</v>
      </c>
      <c r="Q463" s="2">
        <f t="shared" si="50"/>
        <v>464736.6</v>
      </c>
      <c r="R463" s="2">
        <f t="shared" si="51"/>
        <v>464736.6</v>
      </c>
      <c r="S463" s="2">
        <f t="shared" si="52"/>
        <v>0</v>
      </c>
      <c r="T463" s="2">
        <f t="shared" si="53"/>
        <v>0</v>
      </c>
      <c r="U463" s="2">
        <f t="shared" si="54"/>
        <v>0</v>
      </c>
    </row>
    <row r="464" spans="1:21">
      <c r="A464" s="55">
        <v>461</v>
      </c>
      <c r="B464" s="55" t="s">
        <v>305</v>
      </c>
      <c r="C464" s="55" t="s">
        <v>306</v>
      </c>
      <c r="D464" s="55" t="s">
        <v>307</v>
      </c>
      <c r="E464" s="75" t="s">
        <v>162</v>
      </c>
      <c r="F464" s="55">
        <v>585872506319</v>
      </c>
      <c r="G464" s="55">
        <v>913304010</v>
      </c>
      <c r="H464" s="55" t="s">
        <v>78</v>
      </c>
      <c r="I464" s="55">
        <v>302.76</v>
      </c>
      <c r="J464" s="111">
        <v>1430</v>
      </c>
      <c r="K464" s="111">
        <v>1535</v>
      </c>
      <c r="L464" s="111">
        <v>1535</v>
      </c>
      <c r="M464" s="111"/>
      <c r="N464" s="111"/>
      <c r="O464" s="111"/>
      <c r="P464" s="2">
        <f t="shared" si="49"/>
        <v>432946.8</v>
      </c>
      <c r="Q464" s="2">
        <f t="shared" si="50"/>
        <v>464736.6</v>
      </c>
      <c r="R464" s="2">
        <f t="shared" si="51"/>
        <v>464736.6</v>
      </c>
      <c r="S464" s="2">
        <f t="shared" si="52"/>
        <v>0</v>
      </c>
      <c r="T464" s="2">
        <f t="shared" si="53"/>
        <v>0</v>
      </c>
      <c r="U464" s="2">
        <f t="shared" si="54"/>
        <v>0</v>
      </c>
    </row>
    <row r="465" spans="1:21">
      <c r="A465" s="55">
        <v>462</v>
      </c>
      <c r="B465" s="55" t="s">
        <v>305</v>
      </c>
      <c r="C465" s="55" t="s">
        <v>306</v>
      </c>
      <c r="D465" s="55" t="s">
        <v>307</v>
      </c>
      <c r="E465" s="75" t="s">
        <v>162</v>
      </c>
      <c r="F465" s="55">
        <v>585872506324</v>
      </c>
      <c r="G465" s="55">
        <v>913305007</v>
      </c>
      <c r="H465" s="55" t="s">
        <v>79</v>
      </c>
      <c r="I465" s="55">
        <v>107.16</v>
      </c>
      <c r="J465" s="111">
        <v>1430</v>
      </c>
      <c r="K465" s="111">
        <v>1535</v>
      </c>
      <c r="L465" s="111">
        <v>1535</v>
      </c>
      <c r="M465" s="111"/>
      <c r="N465" s="111"/>
      <c r="O465" s="111"/>
      <c r="P465" s="2">
        <f t="shared" si="49"/>
        <v>153238.79999999999</v>
      </c>
      <c r="Q465" s="2">
        <f t="shared" si="50"/>
        <v>164490.6</v>
      </c>
      <c r="R465" s="2">
        <f t="shared" si="51"/>
        <v>164490.6</v>
      </c>
      <c r="S465" s="2">
        <f t="shared" si="52"/>
        <v>0</v>
      </c>
      <c r="T465" s="2">
        <f t="shared" si="53"/>
        <v>0</v>
      </c>
      <c r="U465" s="2">
        <f t="shared" si="54"/>
        <v>0</v>
      </c>
    </row>
    <row r="466" spans="1:21">
      <c r="A466" s="55">
        <v>463</v>
      </c>
      <c r="B466" s="55" t="s">
        <v>305</v>
      </c>
      <c r="C466" s="55" t="s">
        <v>306</v>
      </c>
      <c r="D466" s="55" t="s">
        <v>307</v>
      </c>
      <c r="E466" s="75" t="s">
        <v>162</v>
      </c>
      <c r="F466" s="55">
        <v>585872506325</v>
      </c>
      <c r="G466" s="55">
        <v>913305008</v>
      </c>
      <c r="H466" s="55" t="s">
        <v>80</v>
      </c>
      <c r="I466" s="55">
        <v>107.16</v>
      </c>
      <c r="J466" s="111">
        <v>1430</v>
      </c>
      <c r="K466" s="111">
        <v>1535</v>
      </c>
      <c r="L466" s="111">
        <v>1535</v>
      </c>
      <c r="M466" s="111"/>
      <c r="N466" s="111"/>
      <c r="O466" s="111"/>
      <c r="P466" s="2">
        <f t="shared" si="49"/>
        <v>153238.79999999999</v>
      </c>
      <c r="Q466" s="2">
        <f t="shared" si="50"/>
        <v>164490.6</v>
      </c>
      <c r="R466" s="2">
        <f t="shared" si="51"/>
        <v>164490.6</v>
      </c>
      <c r="S466" s="2">
        <f t="shared" si="52"/>
        <v>0</v>
      </c>
      <c r="T466" s="2">
        <f t="shared" si="53"/>
        <v>0</v>
      </c>
      <c r="U466" s="2">
        <f t="shared" si="54"/>
        <v>0</v>
      </c>
    </row>
    <row r="467" spans="1:21">
      <c r="A467" s="55">
        <v>464</v>
      </c>
      <c r="B467" s="55" t="s">
        <v>305</v>
      </c>
      <c r="C467" s="55" t="s">
        <v>306</v>
      </c>
      <c r="D467" s="55" t="s">
        <v>307</v>
      </c>
      <c r="E467" s="75" t="s">
        <v>162</v>
      </c>
      <c r="F467" s="55">
        <v>585872506320</v>
      </c>
      <c r="G467" s="55">
        <v>913305009</v>
      </c>
      <c r="H467" s="55" t="s">
        <v>81</v>
      </c>
      <c r="I467" s="55">
        <v>75.63</v>
      </c>
      <c r="J467" s="111">
        <v>1430</v>
      </c>
      <c r="K467" s="111">
        <v>1535</v>
      </c>
      <c r="L467" s="111">
        <v>1535</v>
      </c>
      <c r="M467" s="111"/>
      <c r="N467" s="111"/>
      <c r="O467" s="111"/>
      <c r="P467" s="2">
        <f t="shared" si="49"/>
        <v>108150.9</v>
      </c>
      <c r="Q467" s="2">
        <f t="shared" si="50"/>
        <v>116092.04999999999</v>
      </c>
      <c r="R467" s="2">
        <f t="shared" si="51"/>
        <v>116092.04999999999</v>
      </c>
      <c r="S467" s="2">
        <f t="shared" si="52"/>
        <v>0</v>
      </c>
      <c r="T467" s="2">
        <f t="shared" si="53"/>
        <v>0</v>
      </c>
      <c r="U467" s="2">
        <f t="shared" si="54"/>
        <v>0</v>
      </c>
    </row>
    <row r="468" spans="1:21">
      <c r="A468" s="55">
        <v>465</v>
      </c>
      <c r="B468" s="55" t="s">
        <v>305</v>
      </c>
      <c r="C468" s="55" t="s">
        <v>306</v>
      </c>
      <c r="D468" s="55" t="s">
        <v>307</v>
      </c>
      <c r="E468" s="75" t="s">
        <v>162</v>
      </c>
      <c r="F468" s="55">
        <v>585872506321</v>
      </c>
      <c r="G468" s="55">
        <v>913305010</v>
      </c>
      <c r="H468" s="55" t="s">
        <v>82</v>
      </c>
      <c r="I468" s="55">
        <v>75.63</v>
      </c>
      <c r="J468" s="111">
        <v>1430</v>
      </c>
      <c r="K468" s="111">
        <v>1535</v>
      </c>
      <c r="L468" s="111">
        <v>1535</v>
      </c>
      <c r="M468" s="111"/>
      <c r="N468" s="111"/>
      <c r="O468" s="111"/>
      <c r="P468" s="2">
        <f t="shared" si="49"/>
        <v>108150.9</v>
      </c>
      <c r="Q468" s="2">
        <f t="shared" si="50"/>
        <v>116092.04999999999</v>
      </c>
      <c r="R468" s="2">
        <f t="shared" si="51"/>
        <v>116092.04999999999</v>
      </c>
      <c r="S468" s="2">
        <f t="shared" si="52"/>
        <v>0</v>
      </c>
      <c r="T468" s="2">
        <f t="shared" si="53"/>
        <v>0</v>
      </c>
      <c r="U468" s="2">
        <f t="shared" si="54"/>
        <v>0</v>
      </c>
    </row>
    <row r="469" spans="1:21">
      <c r="A469" s="55">
        <v>466</v>
      </c>
      <c r="B469" s="55" t="s">
        <v>305</v>
      </c>
      <c r="C469" s="55" t="s">
        <v>306</v>
      </c>
      <c r="D469" s="55" t="s">
        <v>307</v>
      </c>
      <c r="E469" s="75" t="s">
        <v>162</v>
      </c>
      <c r="F469" s="55">
        <v>585867806303</v>
      </c>
      <c r="G469" s="55">
        <v>913309004</v>
      </c>
      <c r="H469" s="55" t="s">
        <v>83</v>
      </c>
      <c r="I469" s="55">
        <v>262.49</v>
      </c>
      <c r="J469" s="111">
        <v>1280</v>
      </c>
      <c r="K469" s="111">
        <v>1388</v>
      </c>
      <c r="L469" s="111">
        <v>1388</v>
      </c>
      <c r="M469" s="111"/>
      <c r="N469" s="111"/>
      <c r="O469" s="111"/>
      <c r="P469" s="2">
        <f t="shared" si="49"/>
        <v>335987.20000000001</v>
      </c>
      <c r="Q469" s="2">
        <f t="shared" si="50"/>
        <v>364336.12</v>
      </c>
      <c r="R469" s="2">
        <f t="shared" si="51"/>
        <v>364336.12</v>
      </c>
      <c r="S469" s="2">
        <f t="shared" si="52"/>
        <v>0</v>
      </c>
      <c r="T469" s="2">
        <f t="shared" si="53"/>
        <v>0</v>
      </c>
      <c r="U469" s="2">
        <f t="shared" si="54"/>
        <v>0</v>
      </c>
    </row>
    <row r="470" spans="1:21">
      <c r="A470" s="55">
        <v>467</v>
      </c>
      <c r="B470" s="55" t="s">
        <v>305</v>
      </c>
      <c r="C470" s="55" t="s">
        <v>306</v>
      </c>
      <c r="D470" s="55" t="s">
        <v>307</v>
      </c>
      <c r="E470" s="75" t="s">
        <v>162</v>
      </c>
      <c r="F470" s="55">
        <v>585872506314</v>
      </c>
      <c r="G470" s="55">
        <v>913301010</v>
      </c>
      <c r="H470" s="55" t="s">
        <v>84</v>
      </c>
      <c r="I470" s="55">
        <v>385.49</v>
      </c>
      <c r="J470" s="111">
        <v>1430</v>
      </c>
      <c r="K470" s="111">
        <v>1535</v>
      </c>
      <c r="L470" s="111">
        <v>1535</v>
      </c>
      <c r="M470" s="111"/>
      <c r="N470" s="111"/>
      <c r="O470" s="111"/>
      <c r="P470" s="2">
        <f t="shared" si="49"/>
        <v>551250.70000000007</v>
      </c>
      <c r="Q470" s="2">
        <f t="shared" si="50"/>
        <v>591727.15</v>
      </c>
      <c r="R470" s="2">
        <f t="shared" si="51"/>
        <v>591727.15</v>
      </c>
      <c r="S470" s="2">
        <f t="shared" si="52"/>
        <v>0</v>
      </c>
      <c r="T470" s="2">
        <f t="shared" si="53"/>
        <v>0</v>
      </c>
      <c r="U470" s="2">
        <f t="shared" si="54"/>
        <v>0</v>
      </c>
    </row>
    <row r="471" spans="1:21">
      <c r="A471" s="55">
        <v>468</v>
      </c>
      <c r="B471" s="55" t="s">
        <v>305</v>
      </c>
      <c r="C471" s="55" t="s">
        <v>306</v>
      </c>
      <c r="D471" s="55" t="s">
        <v>307</v>
      </c>
      <c r="E471" s="75" t="s">
        <v>162</v>
      </c>
      <c r="F471" s="55">
        <v>585872506315</v>
      </c>
      <c r="G471" s="55">
        <v>913301009</v>
      </c>
      <c r="H471" s="55" t="s">
        <v>85</v>
      </c>
      <c r="I471" s="55">
        <v>385.49</v>
      </c>
      <c r="J471" s="111">
        <v>1430</v>
      </c>
      <c r="K471" s="111">
        <v>1535</v>
      </c>
      <c r="L471" s="111">
        <v>1535</v>
      </c>
      <c r="M471" s="111"/>
      <c r="N471" s="111"/>
      <c r="O471" s="111"/>
      <c r="P471" s="2">
        <f t="shared" si="49"/>
        <v>551250.70000000007</v>
      </c>
      <c r="Q471" s="2">
        <f t="shared" si="50"/>
        <v>591727.15</v>
      </c>
      <c r="R471" s="2">
        <f t="shared" si="51"/>
        <v>591727.15</v>
      </c>
      <c r="S471" s="2">
        <f t="shared" si="52"/>
        <v>0</v>
      </c>
      <c r="T471" s="2">
        <f t="shared" si="53"/>
        <v>0</v>
      </c>
      <c r="U471" s="2">
        <f t="shared" si="54"/>
        <v>0</v>
      </c>
    </row>
    <row r="472" spans="1:21">
      <c r="A472" s="55">
        <v>469</v>
      </c>
      <c r="B472" s="55" t="s">
        <v>305</v>
      </c>
      <c r="C472" s="55" t="s">
        <v>306</v>
      </c>
      <c r="D472" s="55" t="s">
        <v>307</v>
      </c>
      <c r="E472" s="75" t="s">
        <v>162</v>
      </c>
      <c r="F472" s="55">
        <v>585872506316</v>
      </c>
      <c r="G472" s="55">
        <v>913301012</v>
      </c>
      <c r="H472" s="55" t="s">
        <v>86</v>
      </c>
      <c r="I472" s="55">
        <v>210.74</v>
      </c>
      <c r="J472" s="111">
        <v>1430</v>
      </c>
      <c r="K472" s="111">
        <v>1535</v>
      </c>
      <c r="L472" s="111">
        <v>1535</v>
      </c>
      <c r="M472" s="111"/>
      <c r="N472" s="111"/>
      <c r="O472" s="111"/>
      <c r="P472" s="2">
        <f t="shared" si="49"/>
        <v>301358.2</v>
      </c>
      <c r="Q472" s="2">
        <f t="shared" si="50"/>
        <v>323485.90000000002</v>
      </c>
      <c r="R472" s="2">
        <f t="shared" si="51"/>
        <v>323485.90000000002</v>
      </c>
      <c r="S472" s="2">
        <f t="shared" si="52"/>
        <v>0</v>
      </c>
      <c r="T472" s="2">
        <f t="shared" si="53"/>
        <v>0</v>
      </c>
      <c r="U472" s="2">
        <f t="shared" si="54"/>
        <v>0</v>
      </c>
    </row>
    <row r="473" spans="1:21">
      <c r="A473" s="55">
        <v>470</v>
      </c>
      <c r="B473" s="55" t="s">
        <v>305</v>
      </c>
      <c r="C473" s="55" t="s">
        <v>306</v>
      </c>
      <c r="D473" s="55" t="s">
        <v>307</v>
      </c>
      <c r="E473" s="75" t="s">
        <v>162</v>
      </c>
      <c r="F473" s="55">
        <v>585872506317</v>
      </c>
      <c r="G473" s="55">
        <v>913301011</v>
      </c>
      <c r="H473" s="55" t="s">
        <v>87</v>
      </c>
      <c r="I473" s="55">
        <v>210.74</v>
      </c>
      <c r="J473" s="111">
        <v>1430</v>
      </c>
      <c r="K473" s="111">
        <v>1535</v>
      </c>
      <c r="L473" s="111">
        <v>1535</v>
      </c>
      <c r="M473" s="111"/>
      <c r="N473" s="111"/>
      <c r="O473" s="111"/>
      <c r="P473" s="2">
        <f t="shared" si="49"/>
        <v>301358.2</v>
      </c>
      <c r="Q473" s="2">
        <f t="shared" si="50"/>
        <v>323485.90000000002</v>
      </c>
      <c r="R473" s="2">
        <f t="shared" si="51"/>
        <v>323485.90000000002</v>
      </c>
      <c r="S473" s="2">
        <f t="shared" si="52"/>
        <v>0</v>
      </c>
      <c r="T473" s="2">
        <f t="shared" si="53"/>
        <v>0</v>
      </c>
      <c r="U473" s="2">
        <f t="shared" si="54"/>
        <v>0</v>
      </c>
    </row>
    <row r="474" spans="1:21">
      <c r="A474" s="55">
        <v>471</v>
      </c>
      <c r="B474" s="55" t="s">
        <v>305</v>
      </c>
      <c r="C474" s="55" t="s">
        <v>306</v>
      </c>
      <c r="D474" s="55" t="s">
        <v>307</v>
      </c>
      <c r="E474" s="75" t="s">
        <v>162</v>
      </c>
      <c r="F474" s="55">
        <v>585867106316</v>
      </c>
      <c r="G474" s="55">
        <v>913309003</v>
      </c>
      <c r="H474" s="55" t="s">
        <v>88</v>
      </c>
      <c r="I474" s="55">
        <v>128.26</v>
      </c>
      <c r="J474" s="111">
        <v>1280</v>
      </c>
      <c r="K474" s="111">
        <v>1388</v>
      </c>
      <c r="L474" s="111">
        <v>1388</v>
      </c>
      <c r="M474" s="111"/>
      <c r="N474" s="111"/>
      <c r="O474" s="111"/>
      <c r="P474" s="2">
        <f t="shared" si="49"/>
        <v>164172.79999999999</v>
      </c>
      <c r="Q474" s="2">
        <f t="shared" si="50"/>
        <v>178024.87999999998</v>
      </c>
      <c r="R474" s="2">
        <f t="shared" si="51"/>
        <v>178024.87999999998</v>
      </c>
      <c r="S474" s="2">
        <f t="shared" si="52"/>
        <v>0</v>
      </c>
      <c r="T474" s="2">
        <f t="shared" si="53"/>
        <v>0</v>
      </c>
      <c r="U474" s="2">
        <f t="shared" si="54"/>
        <v>0</v>
      </c>
    </row>
    <row r="475" spans="1:21">
      <c r="A475" s="55">
        <v>472</v>
      </c>
      <c r="B475" s="55" t="s">
        <v>305</v>
      </c>
      <c r="C475" s="55" t="s">
        <v>306</v>
      </c>
      <c r="D475" s="55" t="s">
        <v>307</v>
      </c>
      <c r="E475" s="75" t="s">
        <v>162</v>
      </c>
      <c r="F475" s="55">
        <v>585888406304</v>
      </c>
      <c r="G475" s="55">
        <v>913317010</v>
      </c>
      <c r="H475" s="55" t="s">
        <v>89</v>
      </c>
      <c r="I475" s="55">
        <v>32.450000000000003</v>
      </c>
      <c r="J475" s="111">
        <v>1677</v>
      </c>
      <c r="K475" s="111">
        <v>1883</v>
      </c>
      <c r="L475" s="111">
        <v>1883</v>
      </c>
      <c r="M475" s="111"/>
      <c r="N475" s="111"/>
      <c r="O475" s="111"/>
      <c r="P475" s="2">
        <f t="shared" si="49"/>
        <v>54418.65</v>
      </c>
      <c r="Q475" s="2">
        <f t="shared" si="50"/>
        <v>61103.350000000006</v>
      </c>
      <c r="R475" s="2">
        <f t="shared" si="51"/>
        <v>61103.350000000006</v>
      </c>
      <c r="S475" s="2">
        <f t="shared" si="52"/>
        <v>0</v>
      </c>
      <c r="T475" s="2">
        <f t="shared" si="53"/>
        <v>0</v>
      </c>
      <c r="U475" s="2">
        <f t="shared" si="54"/>
        <v>0</v>
      </c>
    </row>
    <row r="476" spans="1:21">
      <c r="A476" s="55">
        <v>473</v>
      </c>
      <c r="B476" s="55" t="s">
        <v>305</v>
      </c>
      <c r="C476" s="55" t="s">
        <v>306</v>
      </c>
      <c r="D476" s="55" t="s">
        <v>307</v>
      </c>
      <c r="E476" s="75" t="s">
        <v>162</v>
      </c>
      <c r="F476" s="55">
        <v>585888406305</v>
      </c>
      <c r="G476" s="55">
        <v>913317011</v>
      </c>
      <c r="H476" s="55" t="s">
        <v>90</v>
      </c>
      <c r="I476" s="55">
        <v>32.450000000000003</v>
      </c>
      <c r="J476" s="111">
        <v>1677</v>
      </c>
      <c r="K476" s="111">
        <v>1883</v>
      </c>
      <c r="L476" s="111">
        <v>1883</v>
      </c>
      <c r="M476" s="111"/>
      <c r="N476" s="111"/>
      <c r="O476" s="111"/>
      <c r="P476" s="2">
        <f t="shared" si="49"/>
        <v>54418.65</v>
      </c>
      <c r="Q476" s="2">
        <f t="shared" si="50"/>
        <v>61103.350000000006</v>
      </c>
      <c r="R476" s="2">
        <f t="shared" si="51"/>
        <v>61103.350000000006</v>
      </c>
      <c r="S476" s="2">
        <f t="shared" si="52"/>
        <v>0</v>
      </c>
      <c r="T476" s="2">
        <f t="shared" si="53"/>
        <v>0</v>
      </c>
      <c r="U476" s="2">
        <f t="shared" si="54"/>
        <v>0</v>
      </c>
    </row>
    <row r="477" spans="1:21">
      <c r="A477" s="55">
        <v>474</v>
      </c>
      <c r="B477" s="55" t="s">
        <v>305</v>
      </c>
      <c r="C477" s="55" t="s">
        <v>306</v>
      </c>
      <c r="D477" s="55" t="s">
        <v>307</v>
      </c>
      <c r="E477" s="75" t="s">
        <v>162</v>
      </c>
      <c r="F477" s="55">
        <v>585867106318</v>
      </c>
      <c r="G477" s="55">
        <v>913309005</v>
      </c>
      <c r="H477" s="55" t="s">
        <v>91</v>
      </c>
      <c r="I477" s="55">
        <v>132.46</v>
      </c>
      <c r="J477" s="111">
        <v>150</v>
      </c>
      <c r="K477" s="111">
        <v>147</v>
      </c>
      <c r="L477" s="111">
        <v>147</v>
      </c>
      <c r="M477" s="111"/>
      <c r="N477" s="111"/>
      <c r="O477" s="111"/>
      <c r="P477" s="2">
        <f t="shared" si="49"/>
        <v>19869</v>
      </c>
      <c r="Q477" s="2">
        <f t="shared" si="50"/>
        <v>19471.620000000003</v>
      </c>
      <c r="R477" s="2">
        <f t="shared" si="51"/>
        <v>19471.620000000003</v>
      </c>
      <c r="S477" s="2">
        <f t="shared" si="52"/>
        <v>0</v>
      </c>
      <c r="T477" s="2">
        <f t="shared" si="53"/>
        <v>0</v>
      </c>
      <c r="U477" s="2">
        <f t="shared" si="54"/>
        <v>0</v>
      </c>
    </row>
    <row r="478" spans="1:21">
      <c r="A478" s="55">
        <v>475</v>
      </c>
      <c r="B478" s="55" t="s">
        <v>305</v>
      </c>
      <c r="C478" s="55" t="s">
        <v>306</v>
      </c>
      <c r="D478" s="55" t="s">
        <v>307</v>
      </c>
      <c r="E478" s="75" t="s">
        <v>162</v>
      </c>
      <c r="F478" s="55">
        <v>585867806304</v>
      </c>
      <c r="G478" s="55">
        <v>913309006</v>
      </c>
      <c r="H478" s="55" t="s">
        <v>92</v>
      </c>
      <c r="I478" s="55">
        <v>272.58</v>
      </c>
      <c r="J478" s="111">
        <v>150</v>
      </c>
      <c r="K478" s="111">
        <v>147</v>
      </c>
      <c r="L478" s="111">
        <v>147</v>
      </c>
      <c r="M478" s="111"/>
      <c r="N478" s="111"/>
      <c r="O478" s="111"/>
      <c r="P478" s="2">
        <f t="shared" si="49"/>
        <v>40887</v>
      </c>
      <c r="Q478" s="2">
        <f t="shared" si="50"/>
        <v>40069.259999999995</v>
      </c>
      <c r="R478" s="2">
        <f t="shared" si="51"/>
        <v>40069.259999999995</v>
      </c>
      <c r="S478" s="2">
        <f t="shared" si="52"/>
        <v>0</v>
      </c>
      <c r="T478" s="2">
        <f t="shared" si="53"/>
        <v>0</v>
      </c>
      <c r="U478" s="2">
        <f t="shared" si="54"/>
        <v>0</v>
      </c>
    </row>
    <row r="479" spans="1:21">
      <c r="A479" s="55">
        <v>476</v>
      </c>
      <c r="B479" s="55" t="s">
        <v>305</v>
      </c>
      <c r="C479" s="55" t="s">
        <v>306</v>
      </c>
      <c r="D479" s="55" t="s">
        <v>307</v>
      </c>
      <c r="E479" s="75" t="s">
        <v>162</v>
      </c>
      <c r="F479" s="55">
        <v>585872506322</v>
      </c>
      <c r="G479" s="55">
        <v>913317014</v>
      </c>
      <c r="H479" s="55" t="s">
        <v>93</v>
      </c>
      <c r="I479" s="55">
        <v>60.36</v>
      </c>
      <c r="J479" s="111">
        <v>0</v>
      </c>
      <c r="K479" s="111">
        <v>0</v>
      </c>
      <c r="L479" s="111">
        <v>0</v>
      </c>
      <c r="M479" s="111"/>
      <c r="N479" s="111"/>
      <c r="O479" s="111"/>
      <c r="P479" s="2">
        <f t="shared" si="49"/>
        <v>0</v>
      </c>
      <c r="Q479" s="2">
        <f t="shared" si="50"/>
        <v>0</v>
      </c>
      <c r="R479" s="2">
        <f t="shared" si="51"/>
        <v>0</v>
      </c>
      <c r="S479" s="2">
        <f t="shared" si="52"/>
        <v>0</v>
      </c>
      <c r="T479" s="2">
        <f t="shared" si="53"/>
        <v>0</v>
      </c>
      <c r="U479" s="2">
        <f t="shared" si="54"/>
        <v>0</v>
      </c>
    </row>
    <row r="480" spans="1:21">
      <c r="A480" s="55">
        <v>477</v>
      </c>
      <c r="B480" s="55" t="s">
        <v>305</v>
      </c>
      <c r="C480" s="55" t="s">
        <v>306</v>
      </c>
      <c r="D480" s="55" t="s">
        <v>307</v>
      </c>
      <c r="E480" s="75" t="s">
        <v>162</v>
      </c>
      <c r="F480" s="55">
        <v>585872506323</v>
      </c>
      <c r="G480" s="55">
        <v>913317015</v>
      </c>
      <c r="H480" s="55" t="s">
        <v>94</v>
      </c>
      <c r="I480" s="55">
        <v>60.35</v>
      </c>
      <c r="J480" s="111">
        <v>0</v>
      </c>
      <c r="K480" s="111">
        <v>0</v>
      </c>
      <c r="L480" s="111">
        <v>0</v>
      </c>
      <c r="M480" s="111"/>
      <c r="N480" s="111"/>
      <c r="O480" s="111"/>
      <c r="P480" s="2">
        <f t="shared" si="49"/>
        <v>0</v>
      </c>
      <c r="Q480" s="2">
        <f t="shared" si="50"/>
        <v>0</v>
      </c>
      <c r="R480" s="2">
        <f t="shared" si="51"/>
        <v>0</v>
      </c>
      <c r="S480" s="2">
        <f t="shared" si="52"/>
        <v>0</v>
      </c>
      <c r="T480" s="2">
        <f t="shared" si="53"/>
        <v>0</v>
      </c>
      <c r="U480" s="2">
        <f t="shared" si="54"/>
        <v>0</v>
      </c>
    </row>
    <row r="481" spans="1:21">
      <c r="A481" s="55">
        <v>478</v>
      </c>
      <c r="B481" s="55" t="s">
        <v>305</v>
      </c>
      <c r="C481" s="55" t="s">
        <v>306</v>
      </c>
      <c r="D481" s="55" t="s">
        <v>308</v>
      </c>
      <c r="E481" s="75" t="s">
        <v>294</v>
      </c>
      <c r="F481" s="55">
        <v>281681106315</v>
      </c>
      <c r="G481" s="55">
        <v>913301008</v>
      </c>
      <c r="H481" s="55" t="s">
        <v>95</v>
      </c>
      <c r="I481" s="55">
        <v>140.03</v>
      </c>
      <c r="J481" s="111">
        <v>600</v>
      </c>
      <c r="K481" s="111">
        <v>500</v>
      </c>
      <c r="L481" s="111">
        <v>500</v>
      </c>
      <c r="M481" s="111"/>
      <c r="N481" s="111"/>
      <c r="O481" s="111"/>
      <c r="P481" s="2">
        <f t="shared" si="49"/>
        <v>84018</v>
      </c>
      <c r="Q481" s="2">
        <f t="shared" si="50"/>
        <v>70015</v>
      </c>
      <c r="R481" s="2">
        <f t="shared" si="51"/>
        <v>70015</v>
      </c>
      <c r="S481" s="2">
        <f t="shared" si="52"/>
        <v>0</v>
      </c>
      <c r="T481" s="2">
        <f t="shared" si="53"/>
        <v>0</v>
      </c>
      <c r="U481" s="2">
        <f t="shared" si="54"/>
        <v>0</v>
      </c>
    </row>
    <row r="482" spans="1:21">
      <c r="A482" s="55">
        <v>479</v>
      </c>
      <c r="B482" s="55" t="s">
        <v>305</v>
      </c>
      <c r="C482" s="55" t="s">
        <v>306</v>
      </c>
      <c r="D482" s="55" t="s">
        <v>308</v>
      </c>
      <c r="E482" s="75" t="s">
        <v>294</v>
      </c>
      <c r="F482" s="55">
        <v>281681106316</v>
      </c>
      <c r="G482" s="55">
        <v>913301007</v>
      </c>
      <c r="H482" s="55" t="s">
        <v>96</v>
      </c>
      <c r="I482" s="55">
        <v>140.03</v>
      </c>
      <c r="J482" s="111">
        <v>600</v>
      </c>
      <c r="K482" s="111">
        <v>500</v>
      </c>
      <c r="L482" s="111">
        <v>500</v>
      </c>
      <c r="M482" s="111"/>
      <c r="N482" s="111"/>
      <c r="O482" s="111"/>
      <c r="P482" s="2">
        <f t="shared" si="49"/>
        <v>84018</v>
      </c>
      <c r="Q482" s="2">
        <f t="shared" si="50"/>
        <v>70015</v>
      </c>
      <c r="R482" s="2">
        <f t="shared" si="51"/>
        <v>70015</v>
      </c>
      <c r="S482" s="2">
        <f t="shared" si="52"/>
        <v>0</v>
      </c>
      <c r="T482" s="2">
        <f t="shared" si="53"/>
        <v>0</v>
      </c>
      <c r="U482" s="2">
        <f t="shared" si="54"/>
        <v>0</v>
      </c>
    </row>
    <row r="483" spans="1:21">
      <c r="A483" s="55">
        <v>480</v>
      </c>
      <c r="B483" s="55" t="s">
        <v>305</v>
      </c>
      <c r="C483" s="55" t="s">
        <v>306</v>
      </c>
      <c r="D483" s="55" t="s">
        <v>308</v>
      </c>
      <c r="E483" s="75" t="s">
        <v>294</v>
      </c>
      <c r="F483" s="55">
        <v>281667106301</v>
      </c>
      <c r="G483" s="55">
        <v>913309001</v>
      </c>
      <c r="H483" s="55" t="s">
        <v>97</v>
      </c>
      <c r="I483" s="55">
        <v>335.42</v>
      </c>
      <c r="J483" s="111">
        <v>800</v>
      </c>
      <c r="K483" s="111">
        <v>500</v>
      </c>
      <c r="L483" s="111">
        <v>500</v>
      </c>
      <c r="M483" s="111"/>
      <c r="N483" s="111"/>
      <c r="O483" s="111"/>
      <c r="P483" s="2">
        <f t="shared" si="49"/>
        <v>268336</v>
      </c>
      <c r="Q483" s="2">
        <f t="shared" si="50"/>
        <v>167710</v>
      </c>
      <c r="R483" s="2">
        <f t="shared" si="51"/>
        <v>167710</v>
      </c>
      <c r="S483" s="2">
        <f t="shared" si="52"/>
        <v>0</v>
      </c>
      <c r="T483" s="2">
        <f t="shared" si="53"/>
        <v>0</v>
      </c>
      <c r="U483" s="2">
        <f t="shared" si="54"/>
        <v>0</v>
      </c>
    </row>
    <row r="484" spans="1:21">
      <c r="A484" s="55">
        <v>481</v>
      </c>
      <c r="B484" s="55" t="s">
        <v>305</v>
      </c>
      <c r="C484" s="55" t="s">
        <v>306</v>
      </c>
      <c r="D484" s="55" t="s">
        <v>308</v>
      </c>
      <c r="E484" s="75" t="s">
        <v>294</v>
      </c>
      <c r="F484" s="55">
        <v>281672500105</v>
      </c>
      <c r="G484" s="55">
        <v>913305002</v>
      </c>
      <c r="H484" s="55" t="s">
        <v>98</v>
      </c>
      <c r="I484" s="55">
        <v>101.66</v>
      </c>
      <c r="J484" s="111">
        <v>0</v>
      </c>
      <c r="K484" s="111">
        <v>0</v>
      </c>
      <c r="L484" s="111">
        <v>0</v>
      </c>
      <c r="M484" s="111"/>
      <c r="N484" s="111"/>
      <c r="O484" s="111"/>
      <c r="P484" s="2">
        <f t="shared" si="49"/>
        <v>0</v>
      </c>
      <c r="Q484" s="2">
        <f t="shared" si="50"/>
        <v>0</v>
      </c>
      <c r="R484" s="2">
        <f t="shared" si="51"/>
        <v>0</v>
      </c>
      <c r="S484" s="2">
        <f t="shared" si="52"/>
        <v>0</v>
      </c>
      <c r="T484" s="2">
        <f t="shared" si="53"/>
        <v>0</v>
      </c>
      <c r="U484" s="2">
        <f t="shared" si="54"/>
        <v>0</v>
      </c>
    </row>
    <row r="485" spans="1:21">
      <c r="A485" s="55">
        <v>482</v>
      </c>
      <c r="B485" s="55" t="s">
        <v>305</v>
      </c>
      <c r="C485" s="55" t="s">
        <v>306</v>
      </c>
      <c r="D485" s="55" t="s">
        <v>308</v>
      </c>
      <c r="E485" s="75" t="s">
        <v>294</v>
      </c>
      <c r="F485" s="55">
        <v>281672500106</v>
      </c>
      <c r="G485" s="55">
        <v>913305001</v>
      </c>
      <c r="H485" s="55" t="s">
        <v>99</v>
      </c>
      <c r="I485" s="55">
        <v>101.66</v>
      </c>
      <c r="J485" s="111">
        <v>0</v>
      </c>
      <c r="K485" s="111">
        <v>0</v>
      </c>
      <c r="L485" s="111">
        <v>0</v>
      </c>
      <c r="M485" s="111"/>
      <c r="N485" s="111"/>
      <c r="O485" s="111"/>
      <c r="P485" s="2">
        <f t="shared" si="49"/>
        <v>0</v>
      </c>
      <c r="Q485" s="2">
        <f t="shared" si="50"/>
        <v>0</v>
      </c>
      <c r="R485" s="2">
        <f t="shared" si="51"/>
        <v>0</v>
      </c>
      <c r="S485" s="2">
        <f t="shared" si="52"/>
        <v>0</v>
      </c>
      <c r="T485" s="2">
        <f t="shared" si="53"/>
        <v>0</v>
      </c>
      <c r="U485" s="2">
        <f t="shared" si="54"/>
        <v>0</v>
      </c>
    </row>
    <row r="486" spans="1:21">
      <c r="A486" s="55">
        <v>483</v>
      </c>
      <c r="B486" s="55" t="s">
        <v>305</v>
      </c>
      <c r="C486" s="55" t="s">
        <v>306</v>
      </c>
      <c r="D486" s="55" t="s">
        <v>308</v>
      </c>
      <c r="E486" s="75" t="s">
        <v>294</v>
      </c>
      <c r="F486" s="55">
        <v>281667806301</v>
      </c>
      <c r="G486" s="55">
        <v>913310001</v>
      </c>
      <c r="H486" s="55" t="s">
        <v>100</v>
      </c>
      <c r="I486" s="55">
        <v>519.69000000000005</v>
      </c>
      <c r="J486" s="111">
        <v>700</v>
      </c>
      <c r="K486" s="111">
        <v>500</v>
      </c>
      <c r="L486" s="111">
        <v>500</v>
      </c>
      <c r="M486" s="111"/>
      <c r="N486" s="111"/>
      <c r="O486" s="111"/>
      <c r="P486" s="2">
        <f t="shared" si="49"/>
        <v>363783.00000000006</v>
      </c>
      <c r="Q486" s="2">
        <f t="shared" si="50"/>
        <v>259845.00000000003</v>
      </c>
      <c r="R486" s="2">
        <f t="shared" si="51"/>
        <v>259845.00000000003</v>
      </c>
      <c r="S486" s="2">
        <f t="shared" si="52"/>
        <v>0</v>
      </c>
      <c r="T486" s="2">
        <f t="shared" si="53"/>
        <v>0</v>
      </c>
      <c r="U486" s="2">
        <f t="shared" si="54"/>
        <v>0</v>
      </c>
    </row>
    <row r="487" spans="1:21">
      <c r="A487" s="55">
        <v>484</v>
      </c>
      <c r="B487" s="55" t="s">
        <v>305</v>
      </c>
      <c r="C487" s="55" t="s">
        <v>306</v>
      </c>
      <c r="D487" s="55" t="s">
        <v>308</v>
      </c>
      <c r="E487" s="75" t="s">
        <v>294</v>
      </c>
      <c r="F487" s="55">
        <v>281667806302</v>
      </c>
      <c r="G487" s="55">
        <v>913310002</v>
      </c>
      <c r="H487" s="55" t="s">
        <v>101</v>
      </c>
      <c r="I487" s="55">
        <v>969.64</v>
      </c>
      <c r="J487" s="111">
        <v>100</v>
      </c>
      <c r="K487" s="111">
        <v>50</v>
      </c>
      <c r="L487" s="111">
        <v>100</v>
      </c>
      <c r="M487" s="111"/>
      <c r="N487" s="111"/>
      <c r="O487" s="111"/>
      <c r="P487" s="2">
        <f t="shared" si="49"/>
        <v>96964</v>
      </c>
      <c r="Q487" s="2">
        <f t="shared" si="50"/>
        <v>48482</v>
      </c>
      <c r="R487" s="2">
        <f t="shared" si="51"/>
        <v>96964</v>
      </c>
      <c r="S487" s="2">
        <f t="shared" si="52"/>
        <v>0</v>
      </c>
      <c r="T487" s="2">
        <f t="shared" si="53"/>
        <v>0</v>
      </c>
      <c r="U487" s="2">
        <f t="shared" si="54"/>
        <v>0</v>
      </c>
    </row>
    <row r="488" spans="1:21">
      <c r="A488" s="55">
        <v>485</v>
      </c>
      <c r="B488" s="55" t="s">
        <v>305</v>
      </c>
      <c r="C488" s="55" t="s">
        <v>306</v>
      </c>
      <c r="D488" s="55" t="s">
        <v>308</v>
      </c>
      <c r="E488" s="75" t="s">
        <v>294</v>
      </c>
      <c r="F488" s="55">
        <v>281667306301</v>
      </c>
      <c r="G488" s="55">
        <v>913313002</v>
      </c>
      <c r="H488" s="55" t="s">
        <v>102</v>
      </c>
      <c r="I488" s="55">
        <v>312.99</v>
      </c>
      <c r="J488" s="111">
        <v>100</v>
      </c>
      <c r="K488" s="111">
        <v>50</v>
      </c>
      <c r="L488" s="111">
        <v>50</v>
      </c>
      <c r="M488" s="111"/>
      <c r="N488" s="111"/>
      <c r="O488" s="111"/>
      <c r="P488" s="2">
        <f t="shared" si="49"/>
        <v>31299</v>
      </c>
      <c r="Q488" s="2">
        <f t="shared" si="50"/>
        <v>15649.5</v>
      </c>
      <c r="R488" s="2">
        <f t="shared" si="51"/>
        <v>15649.5</v>
      </c>
      <c r="S488" s="2">
        <f t="shared" si="52"/>
        <v>0</v>
      </c>
      <c r="T488" s="2">
        <f t="shared" si="53"/>
        <v>0</v>
      </c>
      <c r="U488" s="2">
        <f t="shared" si="54"/>
        <v>0</v>
      </c>
    </row>
    <row r="489" spans="1:21">
      <c r="A489" s="55">
        <v>486</v>
      </c>
      <c r="B489" s="55" t="s">
        <v>305</v>
      </c>
      <c r="C489" s="55" t="s">
        <v>306</v>
      </c>
      <c r="D489" s="55" t="s">
        <v>308</v>
      </c>
      <c r="E489" s="75" t="s">
        <v>294</v>
      </c>
      <c r="F489" s="55">
        <v>281667306302</v>
      </c>
      <c r="G489" s="55">
        <v>913313001</v>
      </c>
      <c r="H489" s="55" t="s">
        <v>103</v>
      </c>
      <c r="I489" s="55">
        <v>312.99</v>
      </c>
      <c r="J489" s="111">
        <v>100</v>
      </c>
      <c r="K489" s="111">
        <v>50</v>
      </c>
      <c r="L489" s="111">
        <v>50</v>
      </c>
      <c r="M489" s="111"/>
      <c r="N489" s="111"/>
      <c r="O489" s="111"/>
      <c r="P489" s="2">
        <f t="shared" si="49"/>
        <v>31299</v>
      </c>
      <c r="Q489" s="2">
        <f t="shared" si="50"/>
        <v>15649.5</v>
      </c>
      <c r="R489" s="2">
        <f t="shared" si="51"/>
        <v>15649.5</v>
      </c>
      <c r="S489" s="2">
        <f t="shared" si="52"/>
        <v>0</v>
      </c>
      <c r="T489" s="2">
        <f t="shared" si="53"/>
        <v>0</v>
      </c>
      <c r="U489" s="2">
        <f t="shared" si="54"/>
        <v>0</v>
      </c>
    </row>
    <row r="490" spans="1:21">
      <c r="A490" s="55">
        <v>487</v>
      </c>
      <c r="B490" s="55" t="s">
        <v>305</v>
      </c>
      <c r="C490" s="55" t="s">
        <v>306</v>
      </c>
      <c r="D490" s="55" t="s">
        <v>308</v>
      </c>
      <c r="E490" s="75" t="s">
        <v>294</v>
      </c>
      <c r="F490" s="55">
        <v>281681106313</v>
      </c>
      <c r="G490" s="55">
        <v>913301006</v>
      </c>
      <c r="H490" s="55" t="s">
        <v>104</v>
      </c>
      <c r="I490" s="55">
        <v>409.77</v>
      </c>
      <c r="J490" s="111">
        <v>600</v>
      </c>
      <c r="K490" s="111">
        <v>500</v>
      </c>
      <c r="L490" s="111">
        <v>500</v>
      </c>
      <c r="M490" s="111"/>
      <c r="N490" s="111"/>
      <c r="O490" s="111"/>
      <c r="P490" s="2">
        <f t="shared" si="49"/>
        <v>245862</v>
      </c>
      <c r="Q490" s="2">
        <f t="shared" si="50"/>
        <v>204885</v>
      </c>
      <c r="R490" s="2">
        <f t="shared" si="51"/>
        <v>204885</v>
      </c>
      <c r="S490" s="2">
        <f t="shared" si="52"/>
        <v>0</v>
      </c>
      <c r="T490" s="2">
        <f t="shared" si="53"/>
        <v>0</v>
      </c>
      <c r="U490" s="2">
        <f t="shared" si="54"/>
        <v>0</v>
      </c>
    </row>
    <row r="491" spans="1:21">
      <c r="A491" s="55">
        <v>488</v>
      </c>
      <c r="B491" s="55" t="s">
        <v>305</v>
      </c>
      <c r="C491" s="55" t="s">
        <v>306</v>
      </c>
      <c r="D491" s="55" t="s">
        <v>308</v>
      </c>
      <c r="E491" s="75" t="s">
        <v>294</v>
      </c>
      <c r="F491" s="55">
        <v>281681106314</v>
      </c>
      <c r="G491" s="55">
        <v>913301005</v>
      </c>
      <c r="H491" s="55" t="s">
        <v>105</v>
      </c>
      <c r="I491" s="55">
        <v>409.77</v>
      </c>
      <c r="J491" s="111">
        <v>600</v>
      </c>
      <c r="K491" s="111">
        <v>500</v>
      </c>
      <c r="L491" s="111">
        <v>500</v>
      </c>
      <c r="M491" s="111"/>
      <c r="N491" s="111"/>
      <c r="O491" s="111"/>
      <c r="P491" s="2">
        <f t="shared" si="49"/>
        <v>245862</v>
      </c>
      <c r="Q491" s="2">
        <f t="shared" si="50"/>
        <v>204885</v>
      </c>
      <c r="R491" s="2">
        <f t="shared" si="51"/>
        <v>204885</v>
      </c>
      <c r="S491" s="2">
        <f t="shared" si="52"/>
        <v>0</v>
      </c>
      <c r="T491" s="2">
        <f t="shared" si="53"/>
        <v>0</v>
      </c>
      <c r="U491" s="2">
        <f t="shared" si="54"/>
        <v>0</v>
      </c>
    </row>
    <row r="492" spans="1:21">
      <c r="A492" s="55">
        <v>489</v>
      </c>
      <c r="B492" s="55" t="s">
        <v>305</v>
      </c>
      <c r="C492" s="55" t="s">
        <v>306</v>
      </c>
      <c r="D492" s="55" t="s">
        <v>308</v>
      </c>
      <c r="E492" s="75" t="s">
        <v>294</v>
      </c>
      <c r="F492" s="55">
        <v>281681106309</v>
      </c>
      <c r="G492" s="55">
        <v>913306007</v>
      </c>
      <c r="H492" s="55" t="s">
        <v>106</v>
      </c>
      <c r="I492" s="55">
        <v>170.53</v>
      </c>
      <c r="J492" s="111">
        <v>100</v>
      </c>
      <c r="K492" s="111">
        <v>100</v>
      </c>
      <c r="L492" s="111">
        <v>100</v>
      </c>
      <c r="M492" s="111"/>
      <c r="N492" s="111"/>
      <c r="O492" s="111"/>
      <c r="P492" s="2">
        <f t="shared" si="49"/>
        <v>17053</v>
      </c>
      <c r="Q492" s="2">
        <f t="shared" si="50"/>
        <v>17053</v>
      </c>
      <c r="R492" s="2">
        <f t="shared" si="51"/>
        <v>17053</v>
      </c>
      <c r="S492" s="2">
        <f t="shared" si="52"/>
        <v>0</v>
      </c>
      <c r="T492" s="2">
        <f t="shared" si="53"/>
        <v>0</v>
      </c>
      <c r="U492" s="2">
        <f t="shared" si="54"/>
        <v>0</v>
      </c>
    </row>
    <row r="493" spans="1:21">
      <c r="A493" s="55">
        <v>490</v>
      </c>
      <c r="B493" s="55" t="s">
        <v>305</v>
      </c>
      <c r="C493" s="55" t="s">
        <v>306</v>
      </c>
      <c r="D493" s="55" t="s">
        <v>308</v>
      </c>
      <c r="E493" s="75" t="s">
        <v>294</v>
      </c>
      <c r="F493" s="55">
        <v>281675506302</v>
      </c>
      <c r="G493" s="55">
        <v>913317002</v>
      </c>
      <c r="H493" s="55" t="s">
        <v>107</v>
      </c>
      <c r="I493" s="55">
        <v>112.82</v>
      </c>
      <c r="J493" s="111">
        <v>100</v>
      </c>
      <c r="K493" s="111">
        <v>100</v>
      </c>
      <c r="L493" s="111">
        <v>100</v>
      </c>
      <c r="M493" s="111"/>
      <c r="N493" s="111"/>
      <c r="O493" s="111"/>
      <c r="P493" s="2">
        <f t="shared" si="49"/>
        <v>11282</v>
      </c>
      <c r="Q493" s="2">
        <f t="shared" si="50"/>
        <v>11282</v>
      </c>
      <c r="R493" s="2">
        <f t="shared" si="51"/>
        <v>11282</v>
      </c>
      <c r="S493" s="2">
        <f t="shared" si="52"/>
        <v>0</v>
      </c>
      <c r="T493" s="2">
        <f t="shared" si="53"/>
        <v>0</v>
      </c>
      <c r="U493" s="2">
        <f t="shared" si="54"/>
        <v>0</v>
      </c>
    </row>
    <row r="494" spans="1:21">
      <c r="A494" s="55">
        <v>491</v>
      </c>
      <c r="B494" s="55" t="s">
        <v>305</v>
      </c>
      <c r="C494" s="55" t="s">
        <v>306</v>
      </c>
      <c r="D494" s="55" t="s">
        <v>308</v>
      </c>
      <c r="E494" s="75" t="s">
        <v>294</v>
      </c>
      <c r="F494" s="55">
        <v>281675506303</v>
      </c>
      <c r="G494" s="55">
        <v>913317001</v>
      </c>
      <c r="H494" s="55" t="s">
        <v>108</v>
      </c>
      <c r="I494" s="55">
        <v>112.82</v>
      </c>
      <c r="J494" s="111">
        <v>100</v>
      </c>
      <c r="K494" s="111">
        <v>100</v>
      </c>
      <c r="L494" s="111">
        <v>100</v>
      </c>
      <c r="M494" s="111"/>
      <c r="N494" s="111"/>
      <c r="O494" s="111"/>
      <c r="P494" s="2">
        <f t="shared" si="49"/>
        <v>11282</v>
      </c>
      <c r="Q494" s="2">
        <f t="shared" si="50"/>
        <v>11282</v>
      </c>
      <c r="R494" s="2">
        <f t="shared" si="51"/>
        <v>11282</v>
      </c>
      <c r="S494" s="2">
        <f t="shared" si="52"/>
        <v>0</v>
      </c>
      <c r="T494" s="2">
        <f t="shared" si="53"/>
        <v>0</v>
      </c>
      <c r="U494" s="2">
        <f t="shared" si="54"/>
        <v>0</v>
      </c>
    </row>
    <row r="495" spans="1:21">
      <c r="A495" s="55">
        <v>492</v>
      </c>
      <c r="B495" s="55" t="s">
        <v>305</v>
      </c>
      <c r="C495" s="55" t="s">
        <v>306</v>
      </c>
      <c r="D495" s="55" t="s">
        <v>308</v>
      </c>
      <c r="E495" s="75" t="s">
        <v>294</v>
      </c>
      <c r="F495" s="55">
        <v>281672506306</v>
      </c>
      <c r="G495" s="55">
        <v>913304006</v>
      </c>
      <c r="H495" s="55" t="s">
        <v>109</v>
      </c>
      <c r="I495" s="55">
        <v>105.65</v>
      </c>
      <c r="J495" s="111">
        <v>0</v>
      </c>
      <c r="K495" s="111">
        <v>0</v>
      </c>
      <c r="L495" s="111">
        <v>0</v>
      </c>
      <c r="M495" s="111"/>
      <c r="N495" s="111"/>
      <c r="O495" s="111"/>
      <c r="P495" s="2">
        <f t="shared" si="49"/>
        <v>0</v>
      </c>
      <c r="Q495" s="2">
        <f t="shared" si="50"/>
        <v>0</v>
      </c>
      <c r="R495" s="2">
        <f t="shared" si="51"/>
        <v>0</v>
      </c>
      <c r="S495" s="2">
        <f t="shared" si="52"/>
        <v>0</v>
      </c>
      <c r="T495" s="2">
        <f t="shared" si="53"/>
        <v>0</v>
      </c>
      <c r="U495" s="2">
        <f t="shared" si="54"/>
        <v>0</v>
      </c>
    </row>
    <row r="496" spans="1:21">
      <c r="A496" s="55">
        <v>493</v>
      </c>
      <c r="B496" s="55" t="s">
        <v>305</v>
      </c>
      <c r="C496" s="55" t="s">
        <v>306</v>
      </c>
      <c r="D496" s="55" t="s">
        <v>308</v>
      </c>
      <c r="E496" s="75" t="s">
        <v>294</v>
      </c>
      <c r="F496" s="55">
        <v>281672506307</v>
      </c>
      <c r="G496" s="55">
        <v>913304005</v>
      </c>
      <c r="H496" s="55" t="s">
        <v>110</v>
      </c>
      <c r="I496" s="55">
        <v>105.33</v>
      </c>
      <c r="J496" s="111">
        <v>0</v>
      </c>
      <c r="K496" s="111">
        <v>0</v>
      </c>
      <c r="L496" s="111">
        <v>0</v>
      </c>
      <c r="M496" s="111"/>
      <c r="N496" s="111"/>
      <c r="O496" s="111"/>
      <c r="P496" s="2">
        <f t="shared" si="49"/>
        <v>0</v>
      </c>
      <c r="Q496" s="2">
        <f t="shared" si="50"/>
        <v>0</v>
      </c>
      <c r="R496" s="2">
        <f t="shared" si="51"/>
        <v>0</v>
      </c>
      <c r="S496" s="2">
        <f t="shared" si="52"/>
        <v>0</v>
      </c>
      <c r="T496" s="2">
        <f t="shared" si="53"/>
        <v>0</v>
      </c>
      <c r="U496" s="2">
        <f t="shared" si="54"/>
        <v>0</v>
      </c>
    </row>
    <row r="497" spans="1:21">
      <c r="A497" s="55">
        <v>494</v>
      </c>
      <c r="B497" s="55" t="s">
        <v>305</v>
      </c>
      <c r="C497" s="55" t="s">
        <v>306</v>
      </c>
      <c r="D497" s="55" t="s">
        <v>308</v>
      </c>
      <c r="E497" s="75" t="s">
        <v>294</v>
      </c>
      <c r="F497" s="55">
        <v>281672506313</v>
      </c>
      <c r="G497" s="55">
        <v>913304013</v>
      </c>
      <c r="H497" s="55" t="s">
        <v>111</v>
      </c>
      <c r="I497" s="55">
        <v>167.92</v>
      </c>
      <c r="J497" s="111">
        <v>500</v>
      </c>
      <c r="K497" s="111">
        <v>500</v>
      </c>
      <c r="L497" s="111">
        <v>500</v>
      </c>
      <c r="M497" s="111"/>
      <c r="N497" s="111"/>
      <c r="O497" s="111"/>
      <c r="P497" s="2">
        <f t="shared" si="49"/>
        <v>83960</v>
      </c>
      <c r="Q497" s="2">
        <f t="shared" si="50"/>
        <v>83960</v>
      </c>
      <c r="R497" s="2">
        <f t="shared" si="51"/>
        <v>83960</v>
      </c>
      <c r="S497" s="2">
        <f t="shared" si="52"/>
        <v>0</v>
      </c>
      <c r="T497" s="2">
        <f t="shared" si="53"/>
        <v>0</v>
      </c>
      <c r="U497" s="2">
        <f t="shared" si="54"/>
        <v>0</v>
      </c>
    </row>
    <row r="498" spans="1:21">
      <c r="A498" s="55">
        <v>495</v>
      </c>
      <c r="B498" s="55" t="s">
        <v>305</v>
      </c>
      <c r="C498" s="55" t="s">
        <v>306</v>
      </c>
      <c r="D498" s="55" t="s">
        <v>308</v>
      </c>
      <c r="E498" s="75" t="s">
        <v>294</v>
      </c>
      <c r="F498" s="55">
        <v>281672506314</v>
      </c>
      <c r="G498" s="55">
        <v>913304014</v>
      </c>
      <c r="H498" s="55" t="s">
        <v>112</v>
      </c>
      <c r="I498" s="55">
        <v>167.92</v>
      </c>
      <c r="J498" s="111">
        <v>500</v>
      </c>
      <c r="K498" s="111">
        <v>500</v>
      </c>
      <c r="L498" s="111">
        <v>500</v>
      </c>
      <c r="M498" s="111"/>
      <c r="N498" s="111"/>
      <c r="O498" s="111"/>
      <c r="P498" s="2">
        <f t="shared" si="49"/>
        <v>83960</v>
      </c>
      <c r="Q498" s="2">
        <f t="shared" si="50"/>
        <v>83960</v>
      </c>
      <c r="R498" s="2">
        <f t="shared" si="51"/>
        <v>83960</v>
      </c>
      <c r="S498" s="2">
        <f t="shared" si="52"/>
        <v>0</v>
      </c>
      <c r="T498" s="2">
        <f t="shared" si="53"/>
        <v>0</v>
      </c>
      <c r="U498" s="2">
        <f t="shared" si="54"/>
        <v>0</v>
      </c>
    </row>
    <row r="499" spans="1:21">
      <c r="A499" s="55">
        <v>496</v>
      </c>
      <c r="B499" s="55" t="s">
        <v>305</v>
      </c>
      <c r="C499" s="55" t="s">
        <v>306</v>
      </c>
      <c r="D499" s="55" t="s">
        <v>308</v>
      </c>
      <c r="E499" s="75" t="s">
        <v>294</v>
      </c>
      <c r="F499" s="55">
        <v>281672500107</v>
      </c>
      <c r="G499" s="55">
        <v>913305004</v>
      </c>
      <c r="H499" s="55" t="s">
        <v>113</v>
      </c>
      <c r="I499" s="55">
        <v>101.12</v>
      </c>
      <c r="J499" s="111">
        <v>500</v>
      </c>
      <c r="K499" s="111">
        <v>500</v>
      </c>
      <c r="L499" s="111">
        <v>500</v>
      </c>
      <c r="M499" s="111"/>
      <c r="N499" s="111"/>
      <c r="O499" s="111"/>
      <c r="P499" s="2">
        <f t="shared" si="49"/>
        <v>50560</v>
      </c>
      <c r="Q499" s="2">
        <f t="shared" si="50"/>
        <v>50560</v>
      </c>
      <c r="R499" s="2">
        <f t="shared" si="51"/>
        <v>50560</v>
      </c>
      <c r="S499" s="2">
        <f t="shared" si="52"/>
        <v>0</v>
      </c>
      <c r="T499" s="2">
        <f t="shared" si="53"/>
        <v>0</v>
      </c>
      <c r="U499" s="2">
        <f t="shared" si="54"/>
        <v>0</v>
      </c>
    </row>
    <row r="500" spans="1:21">
      <c r="A500" s="55">
        <v>497</v>
      </c>
      <c r="B500" s="55" t="s">
        <v>305</v>
      </c>
      <c r="C500" s="55" t="s">
        <v>306</v>
      </c>
      <c r="D500" s="55" t="s">
        <v>308</v>
      </c>
      <c r="E500" s="75" t="s">
        <v>294</v>
      </c>
      <c r="F500" s="55">
        <v>281672500108</v>
      </c>
      <c r="G500" s="55">
        <v>913305003</v>
      </c>
      <c r="H500" s="55" t="s">
        <v>114</v>
      </c>
      <c r="I500" s="55">
        <v>101.12</v>
      </c>
      <c r="J500" s="111">
        <v>500</v>
      </c>
      <c r="K500" s="111">
        <v>500</v>
      </c>
      <c r="L500" s="111">
        <v>500</v>
      </c>
      <c r="M500" s="111"/>
      <c r="N500" s="111"/>
      <c r="O500" s="111"/>
      <c r="P500" s="2">
        <f t="shared" si="49"/>
        <v>50560</v>
      </c>
      <c r="Q500" s="2">
        <f t="shared" si="50"/>
        <v>50560</v>
      </c>
      <c r="R500" s="2">
        <f t="shared" si="51"/>
        <v>50560</v>
      </c>
      <c r="S500" s="2">
        <f t="shared" si="52"/>
        <v>0</v>
      </c>
      <c r="T500" s="2">
        <f t="shared" si="53"/>
        <v>0</v>
      </c>
      <c r="U500" s="2">
        <f t="shared" si="54"/>
        <v>0</v>
      </c>
    </row>
    <row r="501" spans="1:21">
      <c r="A501" s="55">
        <v>498</v>
      </c>
      <c r="B501" s="55" t="s">
        <v>305</v>
      </c>
      <c r="C501" s="55" t="s">
        <v>306</v>
      </c>
      <c r="D501" s="55" t="s">
        <v>308</v>
      </c>
      <c r="E501" s="75" t="s">
        <v>294</v>
      </c>
      <c r="F501" s="55">
        <v>281681100101</v>
      </c>
      <c r="G501" s="55">
        <v>913317005</v>
      </c>
      <c r="H501" s="55" t="s">
        <v>115</v>
      </c>
      <c r="I501" s="55">
        <v>41.59</v>
      </c>
      <c r="J501" s="111">
        <v>800</v>
      </c>
      <c r="K501" s="111">
        <v>500</v>
      </c>
      <c r="L501" s="111">
        <v>500</v>
      </c>
      <c r="M501" s="111"/>
      <c r="N501" s="111"/>
      <c r="O501" s="111"/>
      <c r="P501" s="2">
        <f t="shared" si="49"/>
        <v>33272</v>
      </c>
      <c r="Q501" s="2">
        <f t="shared" si="50"/>
        <v>20795</v>
      </c>
      <c r="R501" s="2">
        <f t="shared" si="51"/>
        <v>20795</v>
      </c>
      <c r="S501" s="2">
        <f t="shared" si="52"/>
        <v>0</v>
      </c>
      <c r="T501" s="2">
        <f t="shared" si="53"/>
        <v>0</v>
      </c>
      <c r="U501" s="2">
        <f t="shared" si="54"/>
        <v>0</v>
      </c>
    </row>
    <row r="502" spans="1:21">
      <c r="A502" s="55">
        <v>499</v>
      </c>
      <c r="B502" s="55" t="s">
        <v>305</v>
      </c>
      <c r="C502" s="55" t="s">
        <v>306</v>
      </c>
      <c r="D502" s="55" t="s">
        <v>308</v>
      </c>
      <c r="E502" s="75" t="s">
        <v>294</v>
      </c>
      <c r="F502" s="55">
        <v>281681100102</v>
      </c>
      <c r="G502" s="55">
        <v>913317004</v>
      </c>
      <c r="H502" s="55" t="s">
        <v>116</v>
      </c>
      <c r="I502" s="55">
        <v>41.59</v>
      </c>
      <c r="J502" s="111">
        <v>800</v>
      </c>
      <c r="K502" s="111">
        <v>500</v>
      </c>
      <c r="L502" s="111">
        <v>500</v>
      </c>
      <c r="M502" s="111"/>
      <c r="N502" s="111"/>
      <c r="O502" s="111"/>
      <c r="P502" s="2">
        <f t="shared" si="49"/>
        <v>33272</v>
      </c>
      <c r="Q502" s="2">
        <f t="shared" si="50"/>
        <v>20795</v>
      </c>
      <c r="R502" s="2">
        <f t="shared" si="51"/>
        <v>20795</v>
      </c>
      <c r="S502" s="2">
        <f t="shared" si="52"/>
        <v>0</v>
      </c>
      <c r="T502" s="2">
        <f t="shared" si="53"/>
        <v>0</v>
      </c>
      <c r="U502" s="2">
        <f t="shared" si="54"/>
        <v>0</v>
      </c>
    </row>
    <row r="503" spans="1:21">
      <c r="A503" s="55">
        <v>500</v>
      </c>
      <c r="B503" s="55" t="s">
        <v>305</v>
      </c>
      <c r="C503" s="55" t="s">
        <v>306</v>
      </c>
      <c r="D503" s="55" t="s">
        <v>308</v>
      </c>
      <c r="E503" s="75" t="s">
        <v>294</v>
      </c>
      <c r="F503" s="55">
        <v>281672506308</v>
      </c>
      <c r="G503" s="55" t="s">
        <v>117</v>
      </c>
      <c r="H503" s="55" t="s">
        <v>118</v>
      </c>
      <c r="I503" s="55">
        <v>36.92</v>
      </c>
      <c r="J503" s="111">
        <v>0</v>
      </c>
      <c r="K503" s="111">
        <v>0</v>
      </c>
      <c r="L503" s="111">
        <v>0</v>
      </c>
      <c r="M503" s="111"/>
      <c r="N503" s="111"/>
      <c r="O503" s="111"/>
      <c r="P503" s="2">
        <f t="shared" si="49"/>
        <v>0</v>
      </c>
      <c r="Q503" s="2">
        <f t="shared" si="50"/>
        <v>0</v>
      </c>
      <c r="R503" s="2">
        <f t="shared" si="51"/>
        <v>0</v>
      </c>
      <c r="S503" s="2">
        <f t="shared" si="52"/>
        <v>0</v>
      </c>
      <c r="T503" s="2">
        <f t="shared" si="53"/>
        <v>0</v>
      </c>
      <c r="U503" s="2">
        <f t="shared" si="54"/>
        <v>0</v>
      </c>
    </row>
    <row r="504" spans="1:21">
      <c r="A504" s="55">
        <v>501</v>
      </c>
      <c r="B504" s="55" t="s">
        <v>305</v>
      </c>
      <c r="C504" s="55" t="s">
        <v>306</v>
      </c>
      <c r="D504" s="55" t="s">
        <v>308</v>
      </c>
      <c r="E504" s="75" t="s">
        <v>294</v>
      </c>
      <c r="F504" s="55">
        <v>281681106310</v>
      </c>
      <c r="G504" s="55">
        <v>913306008</v>
      </c>
      <c r="H504" s="55" t="s">
        <v>119</v>
      </c>
      <c r="I504" s="55">
        <v>151.6</v>
      </c>
      <c r="J504" s="111">
        <v>100</v>
      </c>
      <c r="K504" s="111">
        <v>100</v>
      </c>
      <c r="L504" s="111">
        <v>100</v>
      </c>
      <c r="M504" s="111"/>
      <c r="N504" s="111"/>
      <c r="O504" s="111"/>
      <c r="P504" s="2">
        <f t="shared" si="49"/>
        <v>15160</v>
      </c>
      <c r="Q504" s="2">
        <f t="shared" si="50"/>
        <v>15160</v>
      </c>
      <c r="R504" s="2">
        <f t="shared" si="51"/>
        <v>15160</v>
      </c>
      <c r="S504" s="2">
        <f t="shared" si="52"/>
        <v>0</v>
      </c>
      <c r="T504" s="2">
        <f t="shared" si="53"/>
        <v>0</v>
      </c>
      <c r="U504" s="2">
        <f t="shared" si="54"/>
        <v>0</v>
      </c>
    </row>
    <row r="505" spans="1:21">
      <c r="A505" s="55">
        <v>502</v>
      </c>
      <c r="B505" s="55" t="s">
        <v>305</v>
      </c>
      <c r="C505" s="55" t="s">
        <v>306</v>
      </c>
      <c r="D505" s="55" t="s">
        <v>308</v>
      </c>
      <c r="E505" s="75" t="s">
        <v>294</v>
      </c>
      <c r="F505" s="55">
        <v>281672506315</v>
      </c>
      <c r="G505" s="55">
        <v>913304015</v>
      </c>
      <c r="H505" s="55" t="s">
        <v>120</v>
      </c>
      <c r="I505" s="55">
        <v>57.61</v>
      </c>
      <c r="J505" s="111">
        <v>1600</v>
      </c>
      <c r="K505" s="111">
        <v>2000</v>
      </c>
      <c r="L505" s="111">
        <v>2000</v>
      </c>
      <c r="M505" s="111"/>
      <c r="N505" s="111"/>
      <c r="O505" s="111"/>
      <c r="P505" s="2">
        <f t="shared" si="49"/>
        <v>92176</v>
      </c>
      <c r="Q505" s="2">
        <f t="shared" si="50"/>
        <v>115220</v>
      </c>
      <c r="R505" s="2">
        <f t="shared" si="51"/>
        <v>115220</v>
      </c>
      <c r="S505" s="2">
        <f t="shared" si="52"/>
        <v>0</v>
      </c>
      <c r="T505" s="2">
        <f t="shared" si="53"/>
        <v>0</v>
      </c>
      <c r="U505" s="2">
        <f t="shared" si="54"/>
        <v>0</v>
      </c>
    </row>
    <row r="506" spans="1:21">
      <c r="A506" s="55">
        <v>503</v>
      </c>
      <c r="B506" s="55" t="s">
        <v>305</v>
      </c>
      <c r="C506" s="55" t="s">
        <v>306</v>
      </c>
      <c r="D506" s="55" t="s">
        <v>308</v>
      </c>
      <c r="E506" s="75" t="s">
        <v>294</v>
      </c>
      <c r="F506" s="55">
        <v>281667106303</v>
      </c>
      <c r="G506" s="55">
        <v>913317003</v>
      </c>
      <c r="H506" s="55" t="s">
        <v>121</v>
      </c>
      <c r="I506" s="55">
        <v>10.11</v>
      </c>
      <c r="J506" s="111">
        <v>1600</v>
      </c>
      <c r="K506" s="111">
        <v>1600</v>
      </c>
      <c r="L506" s="111">
        <v>1600</v>
      </c>
      <c r="M506" s="111"/>
      <c r="N506" s="111"/>
      <c r="O506" s="111"/>
      <c r="P506" s="2">
        <f t="shared" si="49"/>
        <v>16176</v>
      </c>
      <c r="Q506" s="2">
        <f t="shared" si="50"/>
        <v>16176</v>
      </c>
      <c r="R506" s="2">
        <f t="shared" si="51"/>
        <v>16176</v>
      </c>
      <c r="S506" s="2">
        <f t="shared" si="52"/>
        <v>0</v>
      </c>
      <c r="T506" s="2">
        <f t="shared" si="53"/>
        <v>0</v>
      </c>
      <c r="U506" s="2">
        <f t="shared" si="54"/>
        <v>0</v>
      </c>
    </row>
    <row r="507" spans="1:21">
      <c r="A507" s="55">
        <v>504</v>
      </c>
      <c r="B507" s="55" t="s">
        <v>305</v>
      </c>
      <c r="C507" s="55" t="s">
        <v>306</v>
      </c>
      <c r="D507" s="55" t="s">
        <v>308</v>
      </c>
      <c r="E507" s="75" t="s">
        <v>294</v>
      </c>
      <c r="F507" s="55">
        <v>281681106325</v>
      </c>
      <c r="G507" s="55">
        <v>913317006</v>
      </c>
      <c r="H507" s="55" t="s">
        <v>122</v>
      </c>
      <c r="I507" s="55">
        <v>18.63</v>
      </c>
      <c r="J507" s="111">
        <v>200</v>
      </c>
      <c r="K507" s="111">
        <v>300</v>
      </c>
      <c r="L507" s="111">
        <v>300</v>
      </c>
      <c r="M507" s="111"/>
      <c r="N507" s="111"/>
      <c r="O507" s="111"/>
      <c r="P507" s="2">
        <f t="shared" si="49"/>
        <v>3726</v>
      </c>
      <c r="Q507" s="2">
        <f t="shared" si="50"/>
        <v>5589</v>
      </c>
      <c r="R507" s="2">
        <f t="shared" si="51"/>
        <v>5589</v>
      </c>
      <c r="S507" s="2">
        <f t="shared" si="52"/>
        <v>0</v>
      </c>
      <c r="T507" s="2">
        <f t="shared" si="53"/>
        <v>0</v>
      </c>
      <c r="U507" s="2">
        <f t="shared" si="54"/>
        <v>0</v>
      </c>
    </row>
    <row r="508" spans="1:21">
      <c r="A508" s="55">
        <v>505</v>
      </c>
      <c r="B508" s="55" t="s">
        <v>305</v>
      </c>
      <c r="C508" s="55" t="s">
        <v>306</v>
      </c>
      <c r="D508" s="55" t="s">
        <v>308</v>
      </c>
      <c r="E508" s="75" t="s">
        <v>294</v>
      </c>
      <c r="F508" s="55">
        <v>281681106326</v>
      </c>
      <c r="G508" s="55">
        <v>913317007</v>
      </c>
      <c r="H508" s="55" t="s">
        <v>123</v>
      </c>
      <c r="I508" s="55">
        <v>35.880000000000003</v>
      </c>
      <c r="J508" s="111">
        <v>200</v>
      </c>
      <c r="K508" s="111">
        <v>300</v>
      </c>
      <c r="L508" s="111">
        <v>300</v>
      </c>
      <c r="M508" s="111"/>
      <c r="N508" s="111"/>
      <c r="O508" s="111"/>
      <c r="P508" s="2">
        <f t="shared" si="49"/>
        <v>7176.0000000000009</v>
      </c>
      <c r="Q508" s="2">
        <f t="shared" si="50"/>
        <v>10764</v>
      </c>
      <c r="R508" s="2">
        <f t="shared" si="51"/>
        <v>10764</v>
      </c>
      <c r="S508" s="2">
        <f t="shared" si="52"/>
        <v>0</v>
      </c>
      <c r="T508" s="2">
        <f t="shared" si="53"/>
        <v>0</v>
      </c>
      <c r="U508" s="2">
        <f t="shared" si="54"/>
        <v>0</v>
      </c>
    </row>
    <row r="509" spans="1:21">
      <c r="A509" s="55">
        <v>506</v>
      </c>
      <c r="B509" s="55" t="s">
        <v>305</v>
      </c>
      <c r="C509" s="55" t="s">
        <v>306</v>
      </c>
      <c r="D509" s="55" t="s">
        <v>308</v>
      </c>
      <c r="E509" s="75" t="s">
        <v>294</v>
      </c>
      <c r="F509" s="55">
        <v>281681106312</v>
      </c>
      <c r="G509" s="55">
        <v>913306004</v>
      </c>
      <c r="H509" s="55" t="s">
        <v>124</v>
      </c>
      <c r="I509" s="55">
        <v>110.57</v>
      </c>
      <c r="J509" s="111">
        <v>1200</v>
      </c>
      <c r="K509" s="111">
        <v>1000</v>
      </c>
      <c r="L509" s="111">
        <v>1000</v>
      </c>
      <c r="M509" s="111"/>
      <c r="N509" s="111"/>
      <c r="O509" s="111"/>
      <c r="P509" s="2">
        <f t="shared" si="49"/>
        <v>132684</v>
      </c>
      <c r="Q509" s="2">
        <f t="shared" si="50"/>
        <v>110570</v>
      </c>
      <c r="R509" s="2">
        <f t="shared" si="51"/>
        <v>110570</v>
      </c>
      <c r="S509" s="2">
        <f t="shared" si="52"/>
        <v>0</v>
      </c>
      <c r="T509" s="2">
        <f t="shared" si="53"/>
        <v>0</v>
      </c>
      <c r="U509" s="2">
        <f t="shared" si="54"/>
        <v>0</v>
      </c>
    </row>
    <row r="510" spans="1:21">
      <c r="A510" s="55">
        <v>507</v>
      </c>
      <c r="B510" s="55" t="s">
        <v>305</v>
      </c>
      <c r="C510" s="55" t="s">
        <v>306</v>
      </c>
      <c r="D510" s="55" t="s">
        <v>307</v>
      </c>
      <c r="E510" s="75" t="s">
        <v>171</v>
      </c>
      <c r="F510" s="55">
        <v>544572557701</v>
      </c>
      <c r="G510" s="55">
        <v>919804001</v>
      </c>
      <c r="H510" s="55" t="s">
        <v>152</v>
      </c>
      <c r="I510" s="55">
        <v>858.26</v>
      </c>
      <c r="J510" s="111">
        <v>12000</v>
      </c>
      <c r="K510" s="111">
        <v>12000</v>
      </c>
      <c r="L510" s="111">
        <v>12000</v>
      </c>
      <c r="M510" s="111"/>
      <c r="N510" s="111"/>
      <c r="O510" s="111"/>
      <c r="P510" s="2">
        <f t="shared" si="49"/>
        <v>10299120</v>
      </c>
      <c r="Q510" s="2">
        <f t="shared" si="50"/>
        <v>10299120</v>
      </c>
      <c r="R510" s="2">
        <f t="shared" si="51"/>
        <v>10299120</v>
      </c>
      <c r="S510" s="2">
        <f t="shared" si="52"/>
        <v>0</v>
      </c>
      <c r="T510" s="2">
        <f t="shared" si="53"/>
        <v>0</v>
      </c>
      <c r="U510" s="2">
        <f t="shared" si="54"/>
        <v>0</v>
      </c>
    </row>
    <row r="511" spans="1:21">
      <c r="A511" s="55">
        <v>508</v>
      </c>
      <c r="B511" s="55" t="s">
        <v>305</v>
      </c>
      <c r="C511" s="55" t="s">
        <v>306</v>
      </c>
      <c r="D511" s="55" t="s">
        <v>307</v>
      </c>
      <c r="E511" s="75" t="s">
        <v>171</v>
      </c>
      <c r="F511" s="55">
        <v>544572557702</v>
      </c>
      <c r="G511" s="55">
        <v>919804002</v>
      </c>
      <c r="H511" s="55" t="s">
        <v>152</v>
      </c>
      <c r="I511" s="55">
        <v>848.21</v>
      </c>
      <c r="J511" s="111">
        <v>12000</v>
      </c>
      <c r="K511" s="111">
        <v>12000</v>
      </c>
      <c r="L511" s="111">
        <v>12000</v>
      </c>
      <c r="M511" s="111"/>
      <c r="N511" s="111"/>
      <c r="O511" s="111"/>
      <c r="P511" s="2">
        <f t="shared" si="49"/>
        <v>10178520</v>
      </c>
      <c r="Q511" s="2">
        <f t="shared" si="50"/>
        <v>10178520</v>
      </c>
      <c r="R511" s="2">
        <f t="shared" si="51"/>
        <v>10178520</v>
      </c>
      <c r="S511" s="2">
        <f t="shared" si="52"/>
        <v>0</v>
      </c>
      <c r="T511" s="2">
        <f t="shared" si="53"/>
        <v>0</v>
      </c>
      <c r="U511" s="2">
        <f t="shared" si="54"/>
        <v>0</v>
      </c>
    </row>
    <row r="512" spans="1:21">
      <c r="A512" s="55">
        <v>509</v>
      </c>
      <c r="B512" s="55" t="s">
        <v>305</v>
      </c>
      <c r="C512" s="55" t="s">
        <v>306</v>
      </c>
      <c r="D512" s="55" t="s">
        <v>307</v>
      </c>
      <c r="E512" s="75" t="s">
        <v>171</v>
      </c>
      <c r="F512" s="55">
        <v>544573557701</v>
      </c>
      <c r="G512" s="55">
        <v>919804003</v>
      </c>
      <c r="H512" s="55" t="s">
        <v>153</v>
      </c>
      <c r="I512" s="55">
        <v>712.16</v>
      </c>
      <c r="J512" s="111">
        <v>12000</v>
      </c>
      <c r="K512" s="111">
        <v>12000</v>
      </c>
      <c r="L512" s="111">
        <v>12000</v>
      </c>
      <c r="M512" s="111"/>
      <c r="N512" s="111"/>
      <c r="O512" s="111"/>
      <c r="P512" s="2">
        <f t="shared" si="49"/>
        <v>8545920</v>
      </c>
      <c r="Q512" s="2">
        <f t="shared" si="50"/>
        <v>8545920</v>
      </c>
      <c r="R512" s="2">
        <f t="shared" si="51"/>
        <v>8545920</v>
      </c>
      <c r="S512" s="2">
        <f t="shared" si="52"/>
        <v>0</v>
      </c>
      <c r="T512" s="2">
        <f t="shared" si="53"/>
        <v>0</v>
      </c>
      <c r="U512" s="2">
        <f t="shared" si="54"/>
        <v>0</v>
      </c>
    </row>
    <row r="513" spans="1:21">
      <c r="A513" s="55">
        <v>510</v>
      </c>
      <c r="B513" s="55" t="s">
        <v>305</v>
      </c>
      <c r="C513" s="55" t="s">
        <v>306</v>
      </c>
      <c r="D513" s="55" t="s">
        <v>307</v>
      </c>
      <c r="E513" s="75" t="s">
        <v>171</v>
      </c>
      <c r="F513" s="55">
        <v>544573557702</v>
      </c>
      <c r="G513" s="55">
        <v>919804004</v>
      </c>
      <c r="H513" s="55" t="s">
        <v>153</v>
      </c>
      <c r="I513" s="55">
        <v>712.16</v>
      </c>
      <c r="J513" s="111">
        <v>12000</v>
      </c>
      <c r="K513" s="111">
        <v>12000</v>
      </c>
      <c r="L513" s="111">
        <v>12000</v>
      </c>
      <c r="M513" s="111"/>
      <c r="N513" s="111"/>
      <c r="O513" s="111"/>
      <c r="P513" s="2">
        <f t="shared" si="49"/>
        <v>8545920</v>
      </c>
      <c r="Q513" s="2">
        <f t="shared" si="50"/>
        <v>8545920</v>
      </c>
      <c r="R513" s="2">
        <f t="shared" si="51"/>
        <v>8545920</v>
      </c>
      <c r="S513" s="2">
        <f t="shared" si="52"/>
        <v>0</v>
      </c>
      <c r="T513" s="2">
        <f t="shared" si="53"/>
        <v>0</v>
      </c>
      <c r="U513" s="2">
        <f t="shared" si="54"/>
        <v>0</v>
      </c>
    </row>
    <row r="514" spans="1:21">
      <c r="A514" s="55">
        <v>511</v>
      </c>
      <c r="B514" s="55" t="s">
        <v>305</v>
      </c>
      <c r="C514" s="55" t="s">
        <v>306</v>
      </c>
      <c r="D514" s="55" t="s">
        <v>307</v>
      </c>
      <c r="E514" s="75" t="s">
        <v>171</v>
      </c>
      <c r="F514" s="55">
        <v>544572537701</v>
      </c>
      <c r="G514" s="55">
        <v>919801001</v>
      </c>
      <c r="H514" s="55" t="s">
        <v>154</v>
      </c>
      <c r="I514" s="55">
        <v>420.26</v>
      </c>
      <c r="J514" s="111">
        <v>12000</v>
      </c>
      <c r="K514" s="111">
        <v>12000</v>
      </c>
      <c r="L514" s="111">
        <v>12000</v>
      </c>
      <c r="M514" s="111"/>
      <c r="N514" s="111"/>
      <c r="O514" s="111"/>
      <c r="P514" s="2">
        <f t="shared" si="49"/>
        <v>5043120</v>
      </c>
      <c r="Q514" s="2">
        <f t="shared" si="50"/>
        <v>5043120</v>
      </c>
      <c r="R514" s="2">
        <f t="shared" si="51"/>
        <v>5043120</v>
      </c>
      <c r="S514" s="2">
        <f t="shared" si="52"/>
        <v>0</v>
      </c>
      <c r="T514" s="2">
        <f t="shared" si="53"/>
        <v>0</v>
      </c>
      <c r="U514" s="2">
        <f t="shared" si="54"/>
        <v>0</v>
      </c>
    </row>
    <row r="515" spans="1:21">
      <c r="A515" s="55">
        <v>512</v>
      </c>
      <c r="B515" s="55" t="s">
        <v>305</v>
      </c>
      <c r="C515" s="55" t="s">
        <v>306</v>
      </c>
      <c r="D515" s="55" t="s">
        <v>307</v>
      </c>
      <c r="E515" s="75" t="s">
        <v>171</v>
      </c>
      <c r="F515" s="55">
        <v>544572537702</v>
      </c>
      <c r="G515" s="55">
        <v>919801002</v>
      </c>
      <c r="H515" s="55" t="s">
        <v>154</v>
      </c>
      <c r="I515" s="55">
        <v>420.26</v>
      </c>
      <c r="J515" s="111">
        <v>12000</v>
      </c>
      <c r="K515" s="111">
        <v>12000</v>
      </c>
      <c r="L515" s="111">
        <v>12000</v>
      </c>
      <c r="M515" s="111"/>
      <c r="N515" s="111"/>
      <c r="O515" s="111"/>
      <c r="P515" s="2">
        <f t="shared" si="49"/>
        <v>5043120</v>
      </c>
      <c r="Q515" s="2">
        <f t="shared" si="50"/>
        <v>5043120</v>
      </c>
      <c r="R515" s="2">
        <f t="shared" si="51"/>
        <v>5043120</v>
      </c>
      <c r="S515" s="2">
        <f t="shared" si="52"/>
        <v>0</v>
      </c>
      <c r="T515" s="2">
        <f t="shared" si="53"/>
        <v>0</v>
      </c>
      <c r="U515" s="2">
        <f t="shared" si="54"/>
        <v>0</v>
      </c>
    </row>
    <row r="516" spans="1:21">
      <c r="A516" s="55">
        <v>513</v>
      </c>
      <c r="B516" s="55" t="s">
        <v>305</v>
      </c>
      <c r="C516" s="55" t="s">
        <v>306</v>
      </c>
      <c r="D516" s="55" t="s">
        <v>307</v>
      </c>
      <c r="E516" s="75" t="s">
        <v>171</v>
      </c>
      <c r="F516" s="55">
        <v>544573537701</v>
      </c>
      <c r="G516" s="55">
        <v>919801003</v>
      </c>
      <c r="H516" s="55" t="s">
        <v>155</v>
      </c>
      <c r="I516" s="55">
        <v>391.89</v>
      </c>
      <c r="J516" s="111">
        <v>12000</v>
      </c>
      <c r="K516" s="111">
        <v>12000</v>
      </c>
      <c r="L516" s="111">
        <v>12000</v>
      </c>
      <c r="M516" s="111"/>
      <c r="N516" s="111"/>
      <c r="O516" s="111"/>
      <c r="P516" s="2">
        <f t="shared" si="49"/>
        <v>4702680</v>
      </c>
      <c r="Q516" s="2">
        <f t="shared" si="50"/>
        <v>4702680</v>
      </c>
      <c r="R516" s="2">
        <f t="shared" si="51"/>
        <v>4702680</v>
      </c>
      <c r="S516" s="2">
        <f t="shared" si="52"/>
        <v>0</v>
      </c>
      <c r="T516" s="2">
        <f t="shared" si="53"/>
        <v>0</v>
      </c>
      <c r="U516" s="2">
        <f t="shared" si="54"/>
        <v>0</v>
      </c>
    </row>
    <row r="517" spans="1:21">
      <c r="A517" s="55">
        <v>514</v>
      </c>
      <c r="B517" s="55" t="s">
        <v>305</v>
      </c>
      <c r="C517" s="55" t="s">
        <v>306</v>
      </c>
      <c r="D517" s="55" t="s">
        <v>307</v>
      </c>
      <c r="E517" s="75" t="s">
        <v>171</v>
      </c>
      <c r="F517" s="55">
        <v>544573537702</v>
      </c>
      <c r="G517" s="55">
        <v>919801004</v>
      </c>
      <c r="H517" s="55" t="s">
        <v>155</v>
      </c>
      <c r="I517" s="55">
        <v>391.89</v>
      </c>
      <c r="J517" s="111">
        <v>12000</v>
      </c>
      <c r="K517" s="111">
        <v>12000</v>
      </c>
      <c r="L517" s="111">
        <v>12000</v>
      </c>
      <c r="M517" s="111"/>
      <c r="N517" s="111"/>
      <c r="O517" s="111"/>
      <c r="P517" s="2">
        <f t="shared" ref="P517:P580" si="55">J517*I517</f>
        <v>4702680</v>
      </c>
      <c r="Q517" s="2">
        <f t="shared" ref="Q517:Q580" si="56">K517*I517</f>
        <v>4702680</v>
      </c>
      <c r="R517" s="2">
        <f t="shared" ref="R517:R580" si="57">L517*I517</f>
        <v>4702680</v>
      </c>
      <c r="S517" s="2">
        <f t="shared" ref="S517:S580" si="58">M517*I517</f>
        <v>0</v>
      </c>
      <c r="T517" s="2">
        <f t="shared" ref="T517:T580" si="59">N517*I517</f>
        <v>0</v>
      </c>
      <c r="U517" s="2">
        <f t="shared" ref="U517:U580" si="60">O517*I517</f>
        <v>0</v>
      </c>
    </row>
    <row r="518" spans="1:21">
      <c r="A518" s="55">
        <v>515</v>
      </c>
      <c r="B518" s="55" t="s">
        <v>305</v>
      </c>
      <c r="C518" s="55" t="s">
        <v>309</v>
      </c>
      <c r="D518" s="55" t="s">
        <v>307</v>
      </c>
      <c r="E518" s="75" t="s">
        <v>1</v>
      </c>
      <c r="F518" s="55" t="s">
        <v>174</v>
      </c>
      <c r="G518" s="55">
        <v>915104009</v>
      </c>
      <c r="H518" s="55" t="s">
        <v>173</v>
      </c>
      <c r="I518" s="55">
        <v>375.73</v>
      </c>
      <c r="J518" s="111">
        <v>0</v>
      </c>
      <c r="K518" s="111">
        <v>0</v>
      </c>
      <c r="L518" s="111">
        <v>0</v>
      </c>
      <c r="M518" s="111"/>
      <c r="N518" s="111"/>
      <c r="O518" s="111"/>
      <c r="P518" s="2">
        <f t="shared" si="55"/>
        <v>0</v>
      </c>
      <c r="Q518" s="2">
        <f t="shared" si="56"/>
        <v>0</v>
      </c>
      <c r="R518" s="2">
        <f t="shared" si="57"/>
        <v>0</v>
      </c>
      <c r="S518" s="2">
        <f t="shared" si="58"/>
        <v>0</v>
      </c>
      <c r="T518" s="2">
        <f t="shared" si="59"/>
        <v>0</v>
      </c>
      <c r="U518" s="2">
        <f t="shared" si="60"/>
        <v>0</v>
      </c>
    </row>
    <row r="519" spans="1:21">
      <c r="A519" s="55">
        <v>516</v>
      </c>
      <c r="B519" s="55" t="s">
        <v>305</v>
      </c>
      <c r="C519" s="55" t="s">
        <v>309</v>
      </c>
      <c r="D519" s="55" t="s">
        <v>307</v>
      </c>
      <c r="E519" s="75" t="s">
        <v>1</v>
      </c>
      <c r="F519" s="55" t="s">
        <v>176</v>
      </c>
      <c r="G519" s="55">
        <v>915104010</v>
      </c>
      <c r="H519" s="55" t="s">
        <v>175</v>
      </c>
      <c r="I519" s="55">
        <v>375.73</v>
      </c>
      <c r="J519" s="111">
        <v>0</v>
      </c>
      <c r="K519" s="111">
        <v>0</v>
      </c>
      <c r="L519" s="111">
        <v>0</v>
      </c>
      <c r="M519" s="111"/>
      <c r="N519" s="111"/>
      <c r="O519" s="111"/>
      <c r="P519" s="2">
        <f t="shared" si="55"/>
        <v>0</v>
      </c>
      <c r="Q519" s="2">
        <f t="shared" si="56"/>
        <v>0</v>
      </c>
      <c r="R519" s="2">
        <f t="shared" si="57"/>
        <v>0</v>
      </c>
      <c r="S519" s="2">
        <f t="shared" si="58"/>
        <v>0</v>
      </c>
      <c r="T519" s="2">
        <f t="shared" si="59"/>
        <v>0</v>
      </c>
      <c r="U519" s="2">
        <f t="shared" si="60"/>
        <v>0</v>
      </c>
    </row>
    <row r="520" spans="1:21">
      <c r="A520" s="55">
        <v>517</v>
      </c>
      <c r="B520" s="55" t="s">
        <v>305</v>
      </c>
      <c r="C520" s="55" t="s">
        <v>309</v>
      </c>
      <c r="D520" s="55" t="s">
        <v>307</v>
      </c>
      <c r="E520" s="75" t="s">
        <v>1</v>
      </c>
      <c r="F520" s="55" t="s">
        <v>178</v>
      </c>
      <c r="G520" s="55">
        <v>915104011</v>
      </c>
      <c r="H520" s="55" t="s">
        <v>177</v>
      </c>
      <c r="I520" s="55">
        <v>328.86</v>
      </c>
      <c r="J520" s="111">
        <v>0</v>
      </c>
      <c r="K520" s="111">
        <v>0</v>
      </c>
      <c r="L520" s="111">
        <v>0</v>
      </c>
      <c r="M520" s="111"/>
      <c r="N520" s="111"/>
      <c r="O520" s="111"/>
      <c r="P520" s="2">
        <f t="shared" si="55"/>
        <v>0</v>
      </c>
      <c r="Q520" s="2">
        <f t="shared" si="56"/>
        <v>0</v>
      </c>
      <c r="R520" s="2">
        <f t="shared" si="57"/>
        <v>0</v>
      </c>
      <c r="S520" s="2">
        <f t="shared" si="58"/>
        <v>0</v>
      </c>
      <c r="T520" s="2">
        <f t="shared" si="59"/>
        <v>0</v>
      </c>
      <c r="U520" s="2">
        <f t="shared" si="60"/>
        <v>0</v>
      </c>
    </row>
    <row r="521" spans="1:21">
      <c r="A521" s="55">
        <v>518</v>
      </c>
      <c r="B521" s="55" t="s">
        <v>305</v>
      </c>
      <c r="C521" s="55" t="s">
        <v>309</v>
      </c>
      <c r="D521" s="55" t="s">
        <v>307</v>
      </c>
      <c r="E521" s="75" t="s">
        <v>1</v>
      </c>
      <c r="F521" s="55" t="s">
        <v>180</v>
      </c>
      <c r="G521" s="55">
        <v>915104012</v>
      </c>
      <c r="H521" s="55" t="s">
        <v>179</v>
      </c>
      <c r="I521" s="55">
        <v>328.86</v>
      </c>
      <c r="J521" s="111">
        <v>0</v>
      </c>
      <c r="K521" s="111">
        <v>0</v>
      </c>
      <c r="L521" s="111">
        <v>0</v>
      </c>
      <c r="M521" s="111"/>
      <c r="N521" s="111"/>
      <c r="O521" s="111"/>
      <c r="P521" s="2">
        <f t="shared" si="55"/>
        <v>0</v>
      </c>
      <c r="Q521" s="2">
        <f t="shared" si="56"/>
        <v>0</v>
      </c>
      <c r="R521" s="2">
        <f t="shared" si="57"/>
        <v>0</v>
      </c>
      <c r="S521" s="2">
        <f t="shared" si="58"/>
        <v>0</v>
      </c>
      <c r="T521" s="2">
        <f t="shared" si="59"/>
        <v>0</v>
      </c>
      <c r="U521" s="2">
        <f t="shared" si="60"/>
        <v>0</v>
      </c>
    </row>
    <row r="522" spans="1:21">
      <c r="A522" s="55">
        <v>519</v>
      </c>
      <c r="B522" s="55" t="s">
        <v>305</v>
      </c>
      <c r="C522" s="55" t="s">
        <v>309</v>
      </c>
      <c r="D522" s="55" t="s">
        <v>307</v>
      </c>
      <c r="E522" s="75" t="s">
        <v>1</v>
      </c>
      <c r="F522" s="55" t="s">
        <v>182</v>
      </c>
      <c r="G522" s="55">
        <v>915105001</v>
      </c>
      <c r="H522" s="55" t="s">
        <v>181</v>
      </c>
      <c r="I522" s="55">
        <v>96.19</v>
      </c>
      <c r="J522" s="111">
        <v>0</v>
      </c>
      <c r="K522" s="111">
        <v>0</v>
      </c>
      <c r="L522" s="111">
        <v>0</v>
      </c>
      <c r="M522" s="111"/>
      <c r="N522" s="111"/>
      <c r="O522" s="111"/>
      <c r="P522" s="2">
        <f t="shared" si="55"/>
        <v>0</v>
      </c>
      <c r="Q522" s="2">
        <f t="shared" si="56"/>
        <v>0</v>
      </c>
      <c r="R522" s="2">
        <f t="shared" si="57"/>
        <v>0</v>
      </c>
      <c r="S522" s="2">
        <f t="shared" si="58"/>
        <v>0</v>
      </c>
      <c r="T522" s="2">
        <f t="shared" si="59"/>
        <v>0</v>
      </c>
      <c r="U522" s="2">
        <f t="shared" si="60"/>
        <v>0</v>
      </c>
    </row>
    <row r="523" spans="1:21">
      <c r="A523" s="55">
        <v>520</v>
      </c>
      <c r="B523" s="55" t="s">
        <v>305</v>
      </c>
      <c r="C523" s="55" t="s">
        <v>309</v>
      </c>
      <c r="D523" s="55" t="s">
        <v>307</v>
      </c>
      <c r="E523" s="75" t="s">
        <v>1</v>
      </c>
      <c r="F523" s="55" t="s">
        <v>184</v>
      </c>
      <c r="G523" s="55">
        <v>915105002</v>
      </c>
      <c r="H523" s="55" t="s">
        <v>183</v>
      </c>
      <c r="I523" s="55">
        <v>96.19</v>
      </c>
      <c r="J523" s="111">
        <v>0</v>
      </c>
      <c r="K523" s="111">
        <v>0</v>
      </c>
      <c r="L523" s="111">
        <v>0</v>
      </c>
      <c r="M523" s="111"/>
      <c r="N523" s="111"/>
      <c r="O523" s="111"/>
      <c r="P523" s="2">
        <f t="shared" si="55"/>
        <v>0</v>
      </c>
      <c r="Q523" s="2">
        <f t="shared" si="56"/>
        <v>0</v>
      </c>
      <c r="R523" s="2">
        <f t="shared" si="57"/>
        <v>0</v>
      </c>
      <c r="S523" s="2">
        <f t="shared" si="58"/>
        <v>0</v>
      </c>
      <c r="T523" s="2">
        <f t="shared" si="59"/>
        <v>0</v>
      </c>
      <c r="U523" s="2">
        <f t="shared" si="60"/>
        <v>0</v>
      </c>
    </row>
    <row r="524" spans="1:21">
      <c r="A524" s="55">
        <v>521</v>
      </c>
      <c r="B524" s="55" t="s">
        <v>305</v>
      </c>
      <c r="C524" s="55" t="s">
        <v>309</v>
      </c>
      <c r="D524" s="55" t="s">
        <v>307</v>
      </c>
      <c r="E524" s="75" t="s">
        <v>1</v>
      </c>
      <c r="F524" s="55" t="s">
        <v>186</v>
      </c>
      <c r="G524" s="55">
        <v>915105003</v>
      </c>
      <c r="H524" s="55" t="s">
        <v>185</v>
      </c>
      <c r="I524" s="55">
        <v>93.01</v>
      </c>
      <c r="J524" s="111">
        <v>0</v>
      </c>
      <c r="K524" s="111">
        <v>0</v>
      </c>
      <c r="L524" s="111">
        <v>0</v>
      </c>
      <c r="M524" s="111"/>
      <c r="N524" s="111"/>
      <c r="O524" s="111"/>
      <c r="P524" s="2">
        <f t="shared" si="55"/>
        <v>0</v>
      </c>
      <c r="Q524" s="2">
        <f t="shared" si="56"/>
        <v>0</v>
      </c>
      <c r="R524" s="2">
        <f t="shared" si="57"/>
        <v>0</v>
      </c>
      <c r="S524" s="2">
        <f t="shared" si="58"/>
        <v>0</v>
      </c>
      <c r="T524" s="2">
        <f t="shared" si="59"/>
        <v>0</v>
      </c>
      <c r="U524" s="2">
        <f t="shared" si="60"/>
        <v>0</v>
      </c>
    </row>
    <row r="525" spans="1:21">
      <c r="A525" s="55">
        <v>522</v>
      </c>
      <c r="B525" s="55" t="s">
        <v>305</v>
      </c>
      <c r="C525" s="55" t="s">
        <v>309</v>
      </c>
      <c r="D525" s="55" t="s">
        <v>307</v>
      </c>
      <c r="E525" s="75" t="s">
        <v>1</v>
      </c>
      <c r="F525" s="55" t="s">
        <v>188</v>
      </c>
      <c r="G525" s="55">
        <v>915105004</v>
      </c>
      <c r="H525" s="55" t="s">
        <v>187</v>
      </c>
      <c r="I525" s="55">
        <v>93.01</v>
      </c>
      <c r="J525" s="111">
        <v>0</v>
      </c>
      <c r="K525" s="111">
        <v>0</v>
      </c>
      <c r="L525" s="111">
        <v>0</v>
      </c>
      <c r="M525" s="111"/>
      <c r="N525" s="111"/>
      <c r="O525" s="111"/>
      <c r="P525" s="2">
        <f t="shared" si="55"/>
        <v>0</v>
      </c>
      <c r="Q525" s="2">
        <f t="shared" si="56"/>
        <v>0</v>
      </c>
      <c r="R525" s="2">
        <f t="shared" si="57"/>
        <v>0</v>
      </c>
      <c r="S525" s="2">
        <f t="shared" si="58"/>
        <v>0</v>
      </c>
      <c r="T525" s="2">
        <f t="shared" si="59"/>
        <v>0</v>
      </c>
      <c r="U525" s="2">
        <f t="shared" si="60"/>
        <v>0</v>
      </c>
    </row>
    <row r="526" spans="1:21">
      <c r="A526" s="55">
        <v>523</v>
      </c>
      <c r="B526" s="55" t="s">
        <v>305</v>
      </c>
      <c r="C526" s="55" t="s">
        <v>309</v>
      </c>
      <c r="D526" s="55" t="s">
        <v>307</v>
      </c>
      <c r="E526" s="75" t="s">
        <v>1</v>
      </c>
      <c r="F526" s="55" t="s">
        <v>190</v>
      </c>
      <c r="G526" s="55">
        <v>915105005</v>
      </c>
      <c r="H526" s="55" t="s">
        <v>189</v>
      </c>
      <c r="I526" s="55">
        <v>35.31</v>
      </c>
      <c r="J526" s="111">
        <v>0</v>
      </c>
      <c r="K526" s="111">
        <v>0</v>
      </c>
      <c r="L526" s="111">
        <v>0</v>
      </c>
      <c r="M526" s="111"/>
      <c r="N526" s="111"/>
      <c r="O526" s="111"/>
      <c r="P526" s="2">
        <f t="shared" si="55"/>
        <v>0</v>
      </c>
      <c r="Q526" s="2">
        <f t="shared" si="56"/>
        <v>0</v>
      </c>
      <c r="R526" s="2">
        <f t="shared" si="57"/>
        <v>0</v>
      </c>
      <c r="S526" s="2">
        <f t="shared" si="58"/>
        <v>0</v>
      </c>
      <c r="T526" s="2">
        <f t="shared" si="59"/>
        <v>0</v>
      </c>
      <c r="U526" s="2">
        <f t="shared" si="60"/>
        <v>0</v>
      </c>
    </row>
    <row r="527" spans="1:21">
      <c r="A527" s="55">
        <v>524</v>
      </c>
      <c r="B527" s="55" t="s">
        <v>305</v>
      </c>
      <c r="C527" s="55" t="s">
        <v>309</v>
      </c>
      <c r="D527" s="55" t="s">
        <v>307</v>
      </c>
      <c r="E527" s="75" t="s">
        <v>1</v>
      </c>
      <c r="F527" s="55" t="s">
        <v>192</v>
      </c>
      <c r="G527" s="55">
        <v>915105006</v>
      </c>
      <c r="H527" s="55" t="s">
        <v>191</v>
      </c>
      <c r="I527" s="55">
        <v>35.31</v>
      </c>
      <c r="J527" s="111">
        <v>0</v>
      </c>
      <c r="K527" s="111">
        <v>0</v>
      </c>
      <c r="L527" s="111">
        <v>0</v>
      </c>
      <c r="M527" s="111"/>
      <c r="N527" s="111"/>
      <c r="O527" s="111"/>
      <c r="P527" s="2">
        <f t="shared" si="55"/>
        <v>0</v>
      </c>
      <c r="Q527" s="2">
        <f t="shared" si="56"/>
        <v>0</v>
      </c>
      <c r="R527" s="2">
        <f t="shared" si="57"/>
        <v>0</v>
      </c>
      <c r="S527" s="2">
        <f t="shared" si="58"/>
        <v>0</v>
      </c>
      <c r="T527" s="2">
        <f t="shared" si="59"/>
        <v>0</v>
      </c>
      <c r="U527" s="2">
        <f t="shared" si="60"/>
        <v>0</v>
      </c>
    </row>
    <row r="528" spans="1:21">
      <c r="A528" s="55">
        <v>525</v>
      </c>
      <c r="B528" s="55" t="s">
        <v>305</v>
      </c>
      <c r="C528" s="55" t="s">
        <v>309</v>
      </c>
      <c r="D528" s="55" t="s">
        <v>307</v>
      </c>
      <c r="E528" s="75" t="s">
        <v>1</v>
      </c>
      <c r="F528" s="55" t="s">
        <v>194</v>
      </c>
      <c r="G528" s="55">
        <v>915105007</v>
      </c>
      <c r="H528" s="55" t="s">
        <v>193</v>
      </c>
      <c r="I528" s="55">
        <v>31.67</v>
      </c>
      <c r="J528" s="111">
        <v>0</v>
      </c>
      <c r="K528" s="111">
        <v>0</v>
      </c>
      <c r="L528" s="111">
        <v>0</v>
      </c>
      <c r="M528" s="111"/>
      <c r="N528" s="111"/>
      <c r="O528" s="111"/>
      <c r="P528" s="2">
        <f t="shared" si="55"/>
        <v>0</v>
      </c>
      <c r="Q528" s="2">
        <f t="shared" si="56"/>
        <v>0</v>
      </c>
      <c r="R528" s="2">
        <f t="shared" si="57"/>
        <v>0</v>
      </c>
      <c r="S528" s="2">
        <f t="shared" si="58"/>
        <v>0</v>
      </c>
      <c r="T528" s="2">
        <f t="shared" si="59"/>
        <v>0</v>
      </c>
      <c r="U528" s="2">
        <f t="shared" si="60"/>
        <v>0</v>
      </c>
    </row>
    <row r="529" spans="1:21">
      <c r="A529" s="55">
        <v>526</v>
      </c>
      <c r="B529" s="55" t="s">
        <v>305</v>
      </c>
      <c r="C529" s="55" t="s">
        <v>309</v>
      </c>
      <c r="D529" s="55" t="s">
        <v>307</v>
      </c>
      <c r="E529" s="75" t="s">
        <v>1</v>
      </c>
      <c r="F529" s="55" t="s">
        <v>196</v>
      </c>
      <c r="G529" s="55">
        <v>915105008</v>
      </c>
      <c r="H529" s="55" t="s">
        <v>195</v>
      </c>
      <c r="I529" s="55">
        <v>31.67</v>
      </c>
      <c r="J529" s="111">
        <v>0</v>
      </c>
      <c r="K529" s="111">
        <v>0</v>
      </c>
      <c r="L529" s="111">
        <v>0</v>
      </c>
      <c r="M529" s="111"/>
      <c r="N529" s="111"/>
      <c r="O529" s="111"/>
      <c r="P529" s="2">
        <f t="shared" si="55"/>
        <v>0</v>
      </c>
      <c r="Q529" s="2">
        <f t="shared" si="56"/>
        <v>0</v>
      </c>
      <c r="R529" s="2">
        <f t="shared" si="57"/>
        <v>0</v>
      </c>
      <c r="S529" s="2">
        <f t="shared" si="58"/>
        <v>0</v>
      </c>
      <c r="T529" s="2">
        <f t="shared" si="59"/>
        <v>0</v>
      </c>
      <c r="U529" s="2">
        <f t="shared" si="60"/>
        <v>0</v>
      </c>
    </row>
    <row r="530" spans="1:21">
      <c r="A530" s="55">
        <v>527</v>
      </c>
      <c r="B530" s="55" t="s">
        <v>305</v>
      </c>
      <c r="C530" s="55" t="s">
        <v>309</v>
      </c>
      <c r="D530" s="55" t="s">
        <v>307</v>
      </c>
      <c r="E530" s="75" t="s">
        <v>0</v>
      </c>
      <c r="F530" s="55" t="s">
        <v>198</v>
      </c>
      <c r="G530" s="55">
        <v>915104013</v>
      </c>
      <c r="H530" s="55" t="s">
        <v>197</v>
      </c>
      <c r="I530" s="55">
        <v>365.9</v>
      </c>
      <c r="J530" s="111">
        <v>0</v>
      </c>
      <c r="K530" s="111">
        <v>0</v>
      </c>
      <c r="L530" s="111">
        <v>0</v>
      </c>
      <c r="M530" s="111"/>
      <c r="N530" s="111"/>
      <c r="O530" s="111"/>
      <c r="P530" s="2">
        <f t="shared" si="55"/>
        <v>0</v>
      </c>
      <c r="Q530" s="2">
        <f t="shared" si="56"/>
        <v>0</v>
      </c>
      <c r="R530" s="2">
        <f t="shared" si="57"/>
        <v>0</v>
      </c>
      <c r="S530" s="2">
        <f t="shared" si="58"/>
        <v>0</v>
      </c>
      <c r="T530" s="2">
        <f t="shared" si="59"/>
        <v>0</v>
      </c>
      <c r="U530" s="2">
        <f t="shared" si="60"/>
        <v>0</v>
      </c>
    </row>
    <row r="531" spans="1:21">
      <c r="A531" s="55">
        <v>528</v>
      </c>
      <c r="B531" s="55" t="s">
        <v>305</v>
      </c>
      <c r="C531" s="55" t="s">
        <v>309</v>
      </c>
      <c r="D531" s="55" t="s">
        <v>307</v>
      </c>
      <c r="E531" s="75" t="s">
        <v>0</v>
      </c>
      <c r="F531" s="55" t="s">
        <v>200</v>
      </c>
      <c r="G531" s="55">
        <v>915104014</v>
      </c>
      <c r="H531" s="55" t="s">
        <v>199</v>
      </c>
      <c r="I531" s="55">
        <v>365.9</v>
      </c>
      <c r="J531" s="111">
        <v>0</v>
      </c>
      <c r="K531" s="111">
        <v>0</v>
      </c>
      <c r="L531" s="111">
        <v>0</v>
      </c>
      <c r="M531" s="111"/>
      <c r="N531" s="111"/>
      <c r="O531" s="111"/>
      <c r="P531" s="2">
        <f t="shared" si="55"/>
        <v>0</v>
      </c>
      <c r="Q531" s="2">
        <f t="shared" si="56"/>
        <v>0</v>
      </c>
      <c r="R531" s="2">
        <f t="shared" si="57"/>
        <v>0</v>
      </c>
      <c r="S531" s="2">
        <f t="shared" si="58"/>
        <v>0</v>
      </c>
      <c r="T531" s="2">
        <f t="shared" si="59"/>
        <v>0</v>
      </c>
      <c r="U531" s="2">
        <f t="shared" si="60"/>
        <v>0</v>
      </c>
    </row>
    <row r="532" spans="1:21">
      <c r="A532" s="55">
        <v>529</v>
      </c>
      <c r="B532" s="55" t="s">
        <v>305</v>
      </c>
      <c r="C532" s="55" t="s">
        <v>309</v>
      </c>
      <c r="D532" s="55" t="s">
        <v>307</v>
      </c>
      <c r="E532" s="75" t="s">
        <v>0</v>
      </c>
      <c r="F532" s="55" t="s">
        <v>202</v>
      </c>
      <c r="G532" s="55">
        <v>915104015</v>
      </c>
      <c r="H532" s="55" t="s">
        <v>201</v>
      </c>
      <c r="I532" s="55">
        <v>318.91000000000003</v>
      </c>
      <c r="J532" s="111">
        <v>0</v>
      </c>
      <c r="K532" s="111">
        <v>0</v>
      </c>
      <c r="L532" s="111">
        <v>0</v>
      </c>
      <c r="M532" s="111"/>
      <c r="N532" s="111"/>
      <c r="O532" s="111"/>
      <c r="P532" s="2">
        <f t="shared" si="55"/>
        <v>0</v>
      </c>
      <c r="Q532" s="2">
        <f t="shared" si="56"/>
        <v>0</v>
      </c>
      <c r="R532" s="2">
        <f t="shared" si="57"/>
        <v>0</v>
      </c>
      <c r="S532" s="2">
        <f t="shared" si="58"/>
        <v>0</v>
      </c>
      <c r="T532" s="2">
        <f t="shared" si="59"/>
        <v>0</v>
      </c>
      <c r="U532" s="2">
        <f t="shared" si="60"/>
        <v>0</v>
      </c>
    </row>
    <row r="533" spans="1:21">
      <c r="A533" s="55">
        <v>530</v>
      </c>
      <c r="B533" s="55" t="s">
        <v>305</v>
      </c>
      <c r="C533" s="55" t="s">
        <v>309</v>
      </c>
      <c r="D533" s="55" t="s">
        <v>307</v>
      </c>
      <c r="E533" s="75" t="s">
        <v>0</v>
      </c>
      <c r="F533" s="55" t="s">
        <v>204</v>
      </c>
      <c r="G533" s="55">
        <v>915104016</v>
      </c>
      <c r="H533" s="55" t="s">
        <v>203</v>
      </c>
      <c r="I533" s="55">
        <v>318.91000000000003</v>
      </c>
      <c r="J533" s="111">
        <v>0</v>
      </c>
      <c r="K533" s="111">
        <v>0</v>
      </c>
      <c r="L533" s="111">
        <v>0</v>
      </c>
      <c r="M533" s="111"/>
      <c r="N533" s="111"/>
      <c r="O533" s="111"/>
      <c r="P533" s="2">
        <f t="shared" si="55"/>
        <v>0</v>
      </c>
      <c r="Q533" s="2">
        <f t="shared" si="56"/>
        <v>0</v>
      </c>
      <c r="R533" s="2">
        <f t="shared" si="57"/>
        <v>0</v>
      </c>
      <c r="S533" s="2">
        <f t="shared" si="58"/>
        <v>0</v>
      </c>
      <c r="T533" s="2">
        <f t="shared" si="59"/>
        <v>0</v>
      </c>
      <c r="U533" s="2">
        <f t="shared" si="60"/>
        <v>0</v>
      </c>
    </row>
    <row r="534" spans="1:21">
      <c r="A534" s="55">
        <v>531</v>
      </c>
      <c r="B534" s="55" t="s">
        <v>305</v>
      </c>
      <c r="C534" s="55" t="s">
        <v>309</v>
      </c>
      <c r="D534" s="55" t="s">
        <v>307</v>
      </c>
      <c r="E534" s="75" t="s">
        <v>0</v>
      </c>
      <c r="F534" s="55" t="s">
        <v>206</v>
      </c>
      <c r="G534" s="55">
        <v>915105009</v>
      </c>
      <c r="H534" s="55" t="s">
        <v>205</v>
      </c>
      <c r="I534" s="55">
        <v>94.37</v>
      </c>
      <c r="J534" s="111">
        <v>0</v>
      </c>
      <c r="K534" s="111">
        <v>0</v>
      </c>
      <c r="L534" s="111">
        <v>0</v>
      </c>
      <c r="M534" s="111"/>
      <c r="N534" s="111"/>
      <c r="O534" s="111"/>
      <c r="P534" s="2">
        <f t="shared" si="55"/>
        <v>0</v>
      </c>
      <c r="Q534" s="2">
        <f t="shared" si="56"/>
        <v>0</v>
      </c>
      <c r="R534" s="2">
        <f t="shared" si="57"/>
        <v>0</v>
      </c>
      <c r="S534" s="2">
        <f t="shared" si="58"/>
        <v>0</v>
      </c>
      <c r="T534" s="2">
        <f t="shared" si="59"/>
        <v>0</v>
      </c>
      <c r="U534" s="2">
        <f t="shared" si="60"/>
        <v>0</v>
      </c>
    </row>
    <row r="535" spans="1:21">
      <c r="A535" s="55">
        <v>532</v>
      </c>
      <c r="B535" s="55" t="s">
        <v>305</v>
      </c>
      <c r="C535" s="55" t="s">
        <v>309</v>
      </c>
      <c r="D535" s="55" t="s">
        <v>307</v>
      </c>
      <c r="E535" s="75" t="s">
        <v>0</v>
      </c>
      <c r="F535" s="55" t="s">
        <v>208</v>
      </c>
      <c r="G535" s="55">
        <v>915105010</v>
      </c>
      <c r="H535" s="55" t="s">
        <v>207</v>
      </c>
      <c r="I535" s="55">
        <v>94.37</v>
      </c>
      <c r="J535" s="111">
        <v>0</v>
      </c>
      <c r="K535" s="111">
        <v>0</v>
      </c>
      <c r="L535" s="111">
        <v>0</v>
      </c>
      <c r="M535" s="111"/>
      <c r="N535" s="111"/>
      <c r="O535" s="111"/>
      <c r="P535" s="2">
        <f t="shared" si="55"/>
        <v>0</v>
      </c>
      <c r="Q535" s="2">
        <f t="shared" si="56"/>
        <v>0</v>
      </c>
      <c r="R535" s="2">
        <f t="shared" si="57"/>
        <v>0</v>
      </c>
      <c r="S535" s="2">
        <f t="shared" si="58"/>
        <v>0</v>
      </c>
      <c r="T535" s="2">
        <f t="shared" si="59"/>
        <v>0</v>
      </c>
      <c r="U535" s="2">
        <f t="shared" si="60"/>
        <v>0</v>
      </c>
    </row>
    <row r="536" spans="1:21">
      <c r="A536" s="55">
        <v>533</v>
      </c>
      <c r="B536" s="55" t="s">
        <v>305</v>
      </c>
      <c r="C536" s="55" t="s">
        <v>309</v>
      </c>
      <c r="D536" s="55" t="s">
        <v>307</v>
      </c>
      <c r="E536" s="75" t="s">
        <v>0</v>
      </c>
      <c r="F536" s="55" t="s">
        <v>210</v>
      </c>
      <c r="G536" s="55">
        <v>915105011</v>
      </c>
      <c r="H536" s="55" t="s">
        <v>209</v>
      </c>
      <c r="I536" s="55">
        <v>95.22</v>
      </c>
      <c r="J536" s="111">
        <v>0</v>
      </c>
      <c r="K536" s="111">
        <v>0</v>
      </c>
      <c r="L536" s="111">
        <v>0</v>
      </c>
      <c r="M536" s="111"/>
      <c r="N536" s="111"/>
      <c r="O536" s="111"/>
      <c r="P536" s="2">
        <f t="shared" si="55"/>
        <v>0</v>
      </c>
      <c r="Q536" s="2">
        <f t="shared" si="56"/>
        <v>0</v>
      </c>
      <c r="R536" s="2">
        <f t="shared" si="57"/>
        <v>0</v>
      </c>
      <c r="S536" s="2">
        <f t="shared" si="58"/>
        <v>0</v>
      </c>
      <c r="T536" s="2">
        <f t="shared" si="59"/>
        <v>0</v>
      </c>
      <c r="U536" s="2">
        <f t="shared" si="60"/>
        <v>0</v>
      </c>
    </row>
    <row r="537" spans="1:21">
      <c r="A537" s="55">
        <v>534</v>
      </c>
      <c r="B537" s="55" t="s">
        <v>305</v>
      </c>
      <c r="C537" s="55" t="s">
        <v>309</v>
      </c>
      <c r="D537" s="55" t="s">
        <v>307</v>
      </c>
      <c r="E537" s="75" t="s">
        <v>0</v>
      </c>
      <c r="F537" s="55" t="s">
        <v>212</v>
      </c>
      <c r="G537" s="55">
        <v>915105012</v>
      </c>
      <c r="H537" s="55" t="s">
        <v>211</v>
      </c>
      <c r="I537" s="55">
        <v>95.22</v>
      </c>
      <c r="J537" s="111">
        <v>0</v>
      </c>
      <c r="K537" s="111">
        <v>0</v>
      </c>
      <c r="L537" s="111">
        <v>0</v>
      </c>
      <c r="M537" s="111"/>
      <c r="N537" s="111"/>
      <c r="O537" s="111"/>
      <c r="P537" s="2">
        <f t="shared" si="55"/>
        <v>0</v>
      </c>
      <c r="Q537" s="2">
        <f t="shared" si="56"/>
        <v>0</v>
      </c>
      <c r="R537" s="2">
        <f t="shared" si="57"/>
        <v>0</v>
      </c>
      <c r="S537" s="2">
        <f t="shared" si="58"/>
        <v>0</v>
      </c>
      <c r="T537" s="2">
        <f t="shared" si="59"/>
        <v>0</v>
      </c>
      <c r="U537" s="2">
        <f t="shared" si="60"/>
        <v>0</v>
      </c>
    </row>
    <row r="538" spans="1:21">
      <c r="A538" s="55">
        <v>535</v>
      </c>
      <c r="B538" s="55" t="s">
        <v>305</v>
      </c>
      <c r="C538" s="55" t="s">
        <v>309</v>
      </c>
      <c r="D538" s="55" t="s">
        <v>307</v>
      </c>
      <c r="E538" s="75" t="s">
        <v>0</v>
      </c>
      <c r="F538" s="55" t="s">
        <v>214</v>
      </c>
      <c r="G538" s="55">
        <v>915105013</v>
      </c>
      <c r="H538" s="55" t="s">
        <v>213</v>
      </c>
      <c r="I538" s="55">
        <v>38.22</v>
      </c>
      <c r="J538" s="111">
        <v>0</v>
      </c>
      <c r="K538" s="111">
        <v>0</v>
      </c>
      <c r="L538" s="111">
        <v>0</v>
      </c>
      <c r="M538" s="111"/>
      <c r="N538" s="111"/>
      <c r="O538" s="111"/>
      <c r="P538" s="2">
        <f t="shared" si="55"/>
        <v>0</v>
      </c>
      <c r="Q538" s="2">
        <f t="shared" si="56"/>
        <v>0</v>
      </c>
      <c r="R538" s="2">
        <f t="shared" si="57"/>
        <v>0</v>
      </c>
      <c r="S538" s="2">
        <f t="shared" si="58"/>
        <v>0</v>
      </c>
      <c r="T538" s="2">
        <f t="shared" si="59"/>
        <v>0</v>
      </c>
      <c r="U538" s="2">
        <f t="shared" si="60"/>
        <v>0</v>
      </c>
    </row>
    <row r="539" spans="1:21">
      <c r="A539" s="55">
        <v>536</v>
      </c>
      <c r="B539" s="55" t="s">
        <v>305</v>
      </c>
      <c r="C539" s="55" t="s">
        <v>309</v>
      </c>
      <c r="D539" s="55" t="s">
        <v>307</v>
      </c>
      <c r="E539" s="75" t="s">
        <v>0</v>
      </c>
      <c r="F539" s="55" t="s">
        <v>216</v>
      </c>
      <c r="G539" s="55">
        <v>915105014</v>
      </c>
      <c r="H539" s="55" t="s">
        <v>215</v>
      </c>
      <c r="I539" s="55">
        <v>38.22</v>
      </c>
      <c r="J539" s="111">
        <v>0</v>
      </c>
      <c r="K539" s="111">
        <v>0</v>
      </c>
      <c r="L539" s="111">
        <v>0</v>
      </c>
      <c r="M539" s="111"/>
      <c r="N539" s="111"/>
      <c r="O539" s="111"/>
      <c r="P539" s="2">
        <f t="shared" si="55"/>
        <v>0</v>
      </c>
      <c r="Q539" s="2">
        <f t="shared" si="56"/>
        <v>0</v>
      </c>
      <c r="R539" s="2">
        <f t="shared" si="57"/>
        <v>0</v>
      </c>
      <c r="S539" s="2">
        <f t="shared" si="58"/>
        <v>0</v>
      </c>
      <c r="T539" s="2">
        <f t="shared" si="59"/>
        <v>0</v>
      </c>
      <c r="U539" s="2">
        <f t="shared" si="60"/>
        <v>0</v>
      </c>
    </row>
    <row r="540" spans="1:21">
      <c r="A540" s="55">
        <v>537</v>
      </c>
      <c r="B540" s="55" t="s">
        <v>305</v>
      </c>
      <c r="C540" s="55" t="s">
        <v>309</v>
      </c>
      <c r="D540" s="55" t="s">
        <v>307</v>
      </c>
      <c r="E540" s="75" t="s">
        <v>0</v>
      </c>
      <c r="F540" s="55" t="s">
        <v>218</v>
      </c>
      <c r="G540" s="55">
        <v>915105015</v>
      </c>
      <c r="H540" s="55" t="s">
        <v>217</v>
      </c>
      <c r="I540" s="55">
        <v>36.450000000000003</v>
      </c>
      <c r="J540" s="111">
        <v>0</v>
      </c>
      <c r="K540" s="111">
        <v>0</v>
      </c>
      <c r="L540" s="111">
        <v>0</v>
      </c>
      <c r="M540" s="111"/>
      <c r="N540" s="111"/>
      <c r="O540" s="111"/>
      <c r="P540" s="2">
        <f t="shared" si="55"/>
        <v>0</v>
      </c>
      <c r="Q540" s="2">
        <f t="shared" si="56"/>
        <v>0</v>
      </c>
      <c r="R540" s="2">
        <f t="shared" si="57"/>
        <v>0</v>
      </c>
      <c r="S540" s="2">
        <f t="shared" si="58"/>
        <v>0</v>
      </c>
      <c r="T540" s="2">
        <f t="shared" si="59"/>
        <v>0</v>
      </c>
      <c r="U540" s="2">
        <f t="shared" si="60"/>
        <v>0</v>
      </c>
    </row>
    <row r="541" spans="1:21">
      <c r="A541" s="55">
        <v>538</v>
      </c>
      <c r="B541" s="55" t="s">
        <v>305</v>
      </c>
      <c r="C541" s="55" t="s">
        <v>309</v>
      </c>
      <c r="D541" s="55" t="s">
        <v>307</v>
      </c>
      <c r="E541" s="75" t="s">
        <v>0</v>
      </c>
      <c r="F541" s="55" t="s">
        <v>220</v>
      </c>
      <c r="G541" s="55">
        <v>915105016</v>
      </c>
      <c r="H541" s="55" t="s">
        <v>219</v>
      </c>
      <c r="I541" s="55">
        <v>36.450000000000003</v>
      </c>
      <c r="J541" s="111">
        <v>0</v>
      </c>
      <c r="K541" s="111">
        <v>0</v>
      </c>
      <c r="L541" s="111">
        <v>0</v>
      </c>
      <c r="M541" s="111"/>
      <c r="N541" s="111"/>
      <c r="O541" s="111"/>
      <c r="P541" s="2">
        <f t="shared" si="55"/>
        <v>0</v>
      </c>
      <c r="Q541" s="2">
        <f t="shared" si="56"/>
        <v>0</v>
      </c>
      <c r="R541" s="2">
        <f t="shared" si="57"/>
        <v>0</v>
      </c>
      <c r="S541" s="2">
        <f t="shared" si="58"/>
        <v>0</v>
      </c>
      <c r="T541" s="2">
        <f t="shared" si="59"/>
        <v>0</v>
      </c>
      <c r="U541" s="2">
        <f t="shared" si="60"/>
        <v>0</v>
      </c>
    </row>
    <row r="542" spans="1:21">
      <c r="A542" s="55">
        <v>539</v>
      </c>
      <c r="B542" s="55" t="s">
        <v>305</v>
      </c>
      <c r="C542" s="55" t="s">
        <v>309</v>
      </c>
      <c r="D542" s="55" t="s">
        <v>307</v>
      </c>
      <c r="E542" s="75" t="s">
        <v>295</v>
      </c>
      <c r="F542" s="55" t="s">
        <v>222</v>
      </c>
      <c r="G542" s="55">
        <v>918004001</v>
      </c>
      <c r="H542" s="55" t="s">
        <v>221</v>
      </c>
      <c r="I542" s="55">
        <v>523.79999999999995</v>
      </c>
      <c r="J542" s="111">
        <v>2160</v>
      </c>
      <c r="K542" s="111">
        <v>12960</v>
      </c>
      <c r="L542" s="111">
        <v>2080</v>
      </c>
      <c r="M542" s="111">
        <v>9840</v>
      </c>
      <c r="N542" s="111"/>
      <c r="O542" s="111"/>
      <c r="P542" s="2">
        <f t="shared" si="55"/>
        <v>1131408</v>
      </c>
      <c r="Q542" s="2">
        <f t="shared" si="56"/>
        <v>6788447.9999999991</v>
      </c>
      <c r="R542" s="2">
        <f t="shared" si="57"/>
        <v>1089504</v>
      </c>
      <c r="S542" s="2">
        <f t="shared" si="58"/>
        <v>5154192</v>
      </c>
      <c r="T542" s="2">
        <f t="shared" si="59"/>
        <v>0</v>
      </c>
      <c r="U542" s="2">
        <f t="shared" si="60"/>
        <v>0</v>
      </c>
    </row>
    <row r="543" spans="1:21">
      <c r="A543" s="55">
        <v>540</v>
      </c>
      <c r="B543" s="55" t="s">
        <v>305</v>
      </c>
      <c r="C543" s="55" t="s">
        <v>309</v>
      </c>
      <c r="D543" s="55" t="s">
        <v>307</v>
      </c>
      <c r="E543" s="75" t="s">
        <v>295</v>
      </c>
      <c r="F543" s="55" t="s">
        <v>224</v>
      </c>
      <c r="G543" s="55">
        <v>918004002</v>
      </c>
      <c r="H543" s="55" t="s">
        <v>223</v>
      </c>
      <c r="I543" s="55">
        <v>523.79999999999995</v>
      </c>
      <c r="J543" s="111">
        <v>1600</v>
      </c>
      <c r="K543" s="111">
        <v>12960</v>
      </c>
      <c r="L543" s="111">
        <v>2080</v>
      </c>
      <c r="M543" s="111">
        <v>9840</v>
      </c>
      <c r="N543" s="111"/>
      <c r="O543" s="111"/>
      <c r="P543" s="2">
        <f t="shared" si="55"/>
        <v>838079.99999999988</v>
      </c>
      <c r="Q543" s="2">
        <f t="shared" si="56"/>
        <v>6788447.9999999991</v>
      </c>
      <c r="R543" s="2">
        <f t="shared" si="57"/>
        <v>1089504</v>
      </c>
      <c r="S543" s="2">
        <f t="shared" si="58"/>
        <v>5154192</v>
      </c>
      <c r="T543" s="2">
        <f t="shared" si="59"/>
        <v>0</v>
      </c>
      <c r="U543" s="2">
        <f t="shared" si="60"/>
        <v>0</v>
      </c>
    </row>
    <row r="544" spans="1:21">
      <c r="A544" s="55">
        <v>541</v>
      </c>
      <c r="B544" s="55" t="s">
        <v>305</v>
      </c>
      <c r="C544" s="55" t="s">
        <v>309</v>
      </c>
      <c r="D544" s="55" t="s">
        <v>307</v>
      </c>
      <c r="E544" s="75" t="s">
        <v>295</v>
      </c>
      <c r="F544" s="55" t="s">
        <v>226</v>
      </c>
      <c r="G544" s="55">
        <v>918004003</v>
      </c>
      <c r="H544" s="55" t="s">
        <v>225</v>
      </c>
      <c r="I544" s="55">
        <v>572.15</v>
      </c>
      <c r="J544" s="111">
        <v>3500</v>
      </c>
      <c r="K544" s="111">
        <v>13000</v>
      </c>
      <c r="L544" s="111">
        <v>2050</v>
      </c>
      <c r="M544" s="111">
        <v>9950</v>
      </c>
      <c r="N544" s="111"/>
      <c r="O544" s="111"/>
      <c r="P544" s="2">
        <f t="shared" si="55"/>
        <v>2002525</v>
      </c>
      <c r="Q544" s="2">
        <f t="shared" si="56"/>
        <v>7437950</v>
      </c>
      <c r="R544" s="2">
        <f t="shared" si="57"/>
        <v>1172907.5</v>
      </c>
      <c r="S544" s="2">
        <f t="shared" si="58"/>
        <v>5692892.5</v>
      </c>
      <c r="T544" s="2">
        <f t="shared" si="59"/>
        <v>0</v>
      </c>
      <c r="U544" s="2">
        <f t="shared" si="60"/>
        <v>0</v>
      </c>
    </row>
    <row r="545" spans="1:21">
      <c r="A545" s="55">
        <v>542</v>
      </c>
      <c r="B545" s="55" t="s">
        <v>305</v>
      </c>
      <c r="C545" s="55" t="s">
        <v>309</v>
      </c>
      <c r="D545" s="55" t="s">
        <v>307</v>
      </c>
      <c r="E545" s="75" t="s">
        <v>295</v>
      </c>
      <c r="F545" s="55" t="s">
        <v>228</v>
      </c>
      <c r="G545" s="55">
        <v>918004004</v>
      </c>
      <c r="H545" s="55" t="s">
        <v>227</v>
      </c>
      <c r="I545" s="55">
        <v>572.15</v>
      </c>
      <c r="J545" s="111">
        <v>3400</v>
      </c>
      <c r="K545" s="111">
        <v>13000</v>
      </c>
      <c r="L545" s="111">
        <v>2050</v>
      </c>
      <c r="M545" s="111">
        <v>9950</v>
      </c>
      <c r="N545" s="111"/>
      <c r="O545" s="111"/>
      <c r="P545" s="2">
        <f t="shared" si="55"/>
        <v>1945310</v>
      </c>
      <c r="Q545" s="2">
        <f t="shared" si="56"/>
        <v>7437950</v>
      </c>
      <c r="R545" s="2">
        <f t="shared" si="57"/>
        <v>1172907.5</v>
      </c>
      <c r="S545" s="2">
        <f t="shared" si="58"/>
        <v>5692892.5</v>
      </c>
      <c r="T545" s="2">
        <f t="shared" si="59"/>
        <v>0</v>
      </c>
      <c r="U545" s="2">
        <f t="shared" si="60"/>
        <v>0</v>
      </c>
    </row>
    <row r="546" spans="1:21">
      <c r="A546" s="55">
        <v>543</v>
      </c>
      <c r="B546" s="55" t="s">
        <v>305</v>
      </c>
      <c r="C546" s="55" t="s">
        <v>309</v>
      </c>
      <c r="D546" s="55" t="s">
        <v>307</v>
      </c>
      <c r="E546" s="75" t="s">
        <v>295</v>
      </c>
      <c r="F546" s="55" t="s">
        <v>230</v>
      </c>
      <c r="G546" s="55">
        <v>918005005</v>
      </c>
      <c r="H546" s="55" t="s">
        <v>229</v>
      </c>
      <c r="I546" s="55">
        <v>133.86000000000001</v>
      </c>
      <c r="J546" s="111">
        <v>600</v>
      </c>
      <c r="K546" s="111">
        <v>5400</v>
      </c>
      <c r="L546" s="111">
        <v>300</v>
      </c>
      <c r="M546" s="111">
        <v>3600</v>
      </c>
      <c r="N546" s="111"/>
      <c r="O546" s="111"/>
      <c r="P546" s="2">
        <f t="shared" si="55"/>
        <v>80316.000000000015</v>
      </c>
      <c r="Q546" s="2">
        <f t="shared" si="56"/>
        <v>722844.00000000012</v>
      </c>
      <c r="R546" s="2">
        <f t="shared" si="57"/>
        <v>40158.000000000007</v>
      </c>
      <c r="S546" s="2">
        <f t="shared" si="58"/>
        <v>481896.00000000006</v>
      </c>
      <c r="T546" s="2">
        <f t="shared" si="59"/>
        <v>0</v>
      </c>
      <c r="U546" s="2">
        <f t="shared" si="60"/>
        <v>0</v>
      </c>
    </row>
    <row r="547" spans="1:21">
      <c r="A547" s="55">
        <v>544</v>
      </c>
      <c r="B547" s="55" t="s">
        <v>305</v>
      </c>
      <c r="C547" s="55" t="s">
        <v>309</v>
      </c>
      <c r="D547" s="55" t="s">
        <v>307</v>
      </c>
      <c r="E547" s="75" t="s">
        <v>295</v>
      </c>
      <c r="F547" s="55" t="s">
        <v>231</v>
      </c>
      <c r="G547" s="55">
        <v>918005006</v>
      </c>
      <c r="H547" s="55" t="s">
        <v>229</v>
      </c>
      <c r="I547" s="55">
        <v>133.86000000000001</v>
      </c>
      <c r="J547" s="111">
        <v>600</v>
      </c>
      <c r="K547" s="111">
        <v>5400</v>
      </c>
      <c r="L547" s="111">
        <v>300</v>
      </c>
      <c r="M547" s="111">
        <v>3600</v>
      </c>
      <c r="N547" s="111"/>
      <c r="O547" s="111"/>
      <c r="P547" s="2">
        <f t="shared" si="55"/>
        <v>80316.000000000015</v>
      </c>
      <c r="Q547" s="2">
        <f t="shared" si="56"/>
        <v>722844.00000000012</v>
      </c>
      <c r="R547" s="2">
        <f t="shared" si="57"/>
        <v>40158.000000000007</v>
      </c>
      <c r="S547" s="2">
        <f t="shared" si="58"/>
        <v>481896.00000000006</v>
      </c>
      <c r="T547" s="2">
        <f t="shared" si="59"/>
        <v>0</v>
      </c>
      <c r="U547" s="2">
        <f t="shared" si="60"/>
        <v>0</v>
      </c>
    </row>
    <row r="548" spans="1:21">
      <c r="A548" s="55">
        <v>545</v>
      </c>
      <c r="B548" s="55" t="s">
        <v>305</v>
      </c>
      <c r="C548" s="55" t="s">
        <v>309</v>
      </c>
      <c r="D548" s="55" t="s">
        <v>307</v>
      </c>
      <c r="E548" s="75" t="s">
        <v>295</v>
      </c>
      <c r="F548" s="55" t="s">
        <v>232</v>
      </c>
      <c r="G548" s="55">
        <v>918005007</v>
      </c>
      <c r="H548" s="55" t="s">
        <v>229</v>
      </c>
      <c r="I548" s="55">
        <v>158.5</v>
      </c>
      <c r="J548" s="111">
        <v>1200</v>
      </c>
      <c r="K548" s="111">
        <v>5100</v>
      </c>
      <c r="L548" s="111">
        <v>450</v>
      </c>
      <c r="M548" s="111">
        <v>3150</v>
      </c>
      <c r="N548" s="111"/>
      <c r="O548" s="111"/>
      <c r="P548" s="2">
        <f t="shared" si="55"/>
        <v>190200</v>
      </c>
      <c r="Q548" s="2">
        <f t="shared" si="56"/>
        <v>808350</v>
      </c>
      <c r="R548" s="2">
        <f t="shared" si="57"/>
        <v>71325</v>
      </c>
      <c r="S548" s="2">
        <f t="shared" si="58"/>
        <v>499275</v>
      </c>
      <c r="T548" s="2">
        <f t="shared" si="59"/>
        <v>0</v>
      </c>
      <c r="U548" s="2">
        <f t="shared" si="60"/>
        <v>0</v>
      </c>
    </row>
    <row r="549" spans="1:21">
      <c r="A549" s="55">
        <v>546</v>
      </c>
      <c r="B549" s="55" t="s">
        <v>305</v>
      </c>
      <c r="C549" s="55" t="s">
        <v>309</v>
      </c>
      <c r="D549" s="55" t="s">
        <v>307</v>
      </c>
      <c r="E549" s="75" t="s">
        <v>295</v>
      </c>
      <c r="F549" s="55" t="s">
        <v>233</v>
      </c>
      <c r="G549" s="55">
        <v>918005008</v>
      </c>
      <c r="H549" s="55" t="s">
        <v>229</v>
      </c>
      <c r="I549" s="55">
        <v>158.5</v>
      </c>
      <c r="J549" s="111">
        <v>900</v>
      </c>
      <c r="K549" s="111">
        <v>5100</v>
      </c>
      <c r="L549" s="111">
        <v>450</v>
      </c>
      <c r="M549" s="111">
        <v>3150</v>
      </c>
      <c r="N549" s="111"/>
      <c r="O549" s="111"/>
      <c r="P549" s="2">
        <f t="shared" si="55"/>
        <v>142650</v>
      </c>
      <c r="Q549" s="2">
        <f t="shared" si="56"/>
        <v>808350</v>
      </c>
      <c r="R549" s="2">
        <f t="shared" si="57"/>
        <v>71325</v>
      </c>
      <c r="S549" s="2">
        <f t="shared" si="58"/>
        <v>499275</v>
      </c>
      <c r="T549" s="2">
        <f t="shared" si="59"/>
        <v>0</v>
      </c>
      <c r="U549" s="2">
        <f t="shared" si="60"/>
        <v>0</v>
      </c>
    </row>
    <row r="550" spans="1:21">
      <c r="A550" s="55">
        <v>547</v>
      </c>
      <c r="B550" s="55" t="s">
        <v>305</v>
      </c>
      <c r="C550" s="55" t="s">
        <v>309</v>
      </c>
      <c r="D550" s="55" t="s">
        <v>307</v>
      </c>
      <c r="E550" s="75" t="s">
        <v>295</v>
      </c>
      <c r="F550" s="55" t="s">
        <v>235</v>
      </c>
      <c r="G550" s="55">
        <v>918005001</v>
      </c>
      <c r="H550" s="55" t="s">
        <v>234</v>
      </c>
      <c r="I550" s="55">
        <v>75.37</v>
      </c>
      <c r="J550" s="111">
        <v>3300</v>
      </c>
      <c r="K550" s="111">
        <v>13200</v>
      </c>
      <c r="L550" s="111">
        <v>1950</v>
      </c>
      <c r="M550" s="111">
        <v>9750</v>
      </c>
      <c r="N550" s="111"/>
      <c r="O550" s="111"/>
      <c r="P550" s="2">
        <f t="shared" si="55"/>
        <v>248721.00000000003</v>
      </c>
      <c r="Q550" s="2">
        <f t="shared" si="56"/>
        <v>994884.00000000012</v>
      </c>
      <c r="R550" s="2">
        <f t="shared" si="57"/>
        <v>146971.5</v>
      </c>
      <c r="S550" s="2">
        <f t="shared" si="58"/>
        <v>734857.5</v>
      </c>
      <c r="T550" s="2">
        <f t="shared" si="59"/>
        <v>0</v>
      </c>
      <c r="U550" s="2">
        <f t="shared" si="60"/>
        <v>0</v>
      </c>
    </row>
    <row r="551" spans="1:21">
      <c r="A551" s="55">
        <v>548</v>
      </c>
      <c r="B551" s="55" t="s">
        <v>305</v>
      </c>
      <c r="C551" s="55" t="s">
        <v>309</v>
      </c>
      <c r="D551" s="55" t="s">
        <v>307</v>
      </c>
      <c r="E551" s="75" t="s">
        <v>295</v>
      </c>
      <c r="F551" s="55" t="s">
        <v>236</v>
      </c>
      <c r="G551" s="55">
        <v>918005002</v>
      </c>
      <c r="H551" s="55" t="s">
        <v>234</v>
      </c>
      <c r="I551" s="55">
        <v>75.37</v>
      </c>
      <c r="J551" s="111">
        <v>3600</v>
      </c>
      <c r="K551" s="111">
        <v>12900</v>
      </c>
      <c r="L551" s="111">
        <v>2250</v>
      </c>
      <c r="M551" s="111">
        <v>9750</v>
      </c>
      <c r="N551" s="111"/>
      <c r="O551" s="111"/>
      <c r="P551" s="2">
        <f t="shared" si="55"/>
        <v>271332</v>
      </c>
      <c r="Q551" s="2">
        <f t="shared" si="56"/>
        <v>972273.00000000012</v>
      </c>
      <c r="R551" s="2">
        <f t="shared" si="57"/>
        <v>169582.5</v>
      </c>
      <c r="S551" s="2">
        <f t="shared" si="58"/>
        <v>734857.5</v>
      </c>
      <c r="T551" s="2">
        <f t="shared" si="59"/>
        <v>0</v>
      </c>
      <c r="U551" s="2">
        <f t="shared" si="60"/>
        <v>0</v>
      </c>
    </row>
    <row r="552" spans="1:21">
      <c r="A552" s="55">
        <v>549</v>
      </c>
      <c r="B552" s="55" t="s">
        <v>305</v>
      </c>
      <c r="C552" s="55" t="s">
        <v>309</v>
      </c>
      <c r="D552" s="55" t="s">
        <v>307</v>
      </c>
      <c r="E552" s="75" t="s">
        <v>295</v>
      </c>
      <c r="F552" s="55" t="s">
        <v>238</v>
      </c>
      <c r="G552" s="55">
        <v>918005003</v>
      </c>
      <c r="H552" s="55" t="s">
        <v>237</v>
      </c>
      <c r="I552" s="55">
        <v>66.81</v>
      </c>
      <c r="J552" s="111">
        <v>4200</v>
      </c>
      <c r="K552" s="111">
        <v>12900</v>
      </c>
      <c r="L552" s="111">
        <v>2100</v>
      </c>
      <c r="M552" s="111">
        <v>9900</v>
      </c>
      <c r="N552" s="111"/>
      <c r="O552" s="111"/>
      <c r="P552" s="2">
        <f t="shared" si="55"/>
        <v>280602</v>
      </c>
      <c r="Q552" s="2">
        <f t="shared" si="56"/>
        <v>861849</v>
      </c>
      <c r="R552" s="2">
        <f t="shared" si="57"/>
        <v>140301</v>
      </c>
      <c r="S552" s="2">
        <f t="shared" si="58"/>
        <v>661419</v>
      </c>
      <c r="T552" s="2">
        <f t="shared" si="59"/>
        <v>0</v>
      </c>
      <c r="U552" s="2">
        <f t="shared" si="60"/>
        <v>0</v>
      </c>
    </row>
    <row r="553" spans="1:21">
      <c r="A553" s="55">
        <v>550</v>
      </c>
      <c r="B553" s="55" t="s">
        <v>305</v>
      </c>
      <c r="C553" s="55" t="s">
        <v>309</v>
      </c>
      <c r="D553" s="55" t="s">
        <v>307</v>
      </c>
      <c r="E553" s="75" t="s">
        <v>295</v>
      </c>
      <c r="F553" s="55" t="s">
        <v>240</v>
      </c>
      <c r="G553" s="55">
        <v>918005004</v>
      </c>
      <c r="H553" s="55" t="s">
        <v>239</v>
      </c>
      <c r="I553" s="55">
        <v>66.81</v>
      </c>
      <c r="J553" s="111">
        <v>4200</v>
      </c>
      <c r="K553" s="111">
        <v>12900</v>
      </c>
      <c r="L553" s="111">
        <v>2100</v>
      </c>
      <c r="M553" s="111">
        <v>9900</v>
      </c>
      <c r="N553" s="111"/>
      <c r="O553" s="111"/>
      <c r="P553" s="2">
        <f t="shared" si="55"/>
        <v>280602</v>
      </c>
      <c r="Q553" s="2">
        <f t="shared" si="56"/>
        <v>861849</v>
      </c>
      <c r="R553" s="2">
        <f t="shared" si="57"/>
        <v>140301</v>
      </c>
      <c r="S553" s="2">
        <f t="shared" si="58"/>
        <v>661419</v>
      </c>
      <c r="T553" s="2">
        <f t="shared" si="59"/>
        <v>0</v>
      </c>
      <c r="U553" s="2">
        <f t="shared" si="60"/>
        <v>0</v>
      </c>
    </row>
    <row r="554" spans="1:21">
      <c r="A554" s="55">
        <v>551</v>
      </c>
      <c r="B554" s="55" t="s">
        <v>305</v>
      </c>
      <c r="C554" s="55" t="s">
        <v>309</v>
      </c>
      <c r="D554" s="55" t="s">
        <v>307</v>
      </c>
      <c r="E554" s="75" t="s">
        <v>296</v>
      </c>
      <c r="F554" s="55" t="s">
        <v>245</v>
      </c>
      <c r="G554" s="55">
        <v>918204001</v>
      </c>
      <c r="H554" s="55" t="s">
        <v>246</v>
      </c>
      <c r="I554" s="55">
        <v>482.65</v>
      </c>
      <c r="J554" s="111">
        <v>6480</v>
      </c>
      <c r="K554" s="111">
        <v>6800</v>
      </c>
      <c r="L554" s="111">
        <v>3360</v>
      </c>
      <c r="M554" s="111">
        <v>8640</v>
      </c>
      <c r="N554" s="111"/>
      <c r="O554" s="111"/>
      <c r="P554" s="2">
        <f t="shared" si="55"/>
        <v>3127572</v>
      </c>
      <c r="Q554" s="2">
        <f t="shared" si="56"/>
        <v>3282020</v>
      </c>
      <c r="R554" s="2">
        <f t="shared" si="57"/>
        <v>1621704</v>
      </c>
      <c r="S554" s="2">
        <f t="shared" si="58"/>
        <v>4170096</v>
      </c>
      <c r="T554" s="2">
        <f t="shared" si="59"/>
        <v>0</v>
      </c>
      <c r="U554" s="2">
        <f t="shared" si="60"/>
        <v>0</v>
      </c>
    </row>
    <row r="555" spans="1:21">
      <c r="A555" s="55">
        <v>552</v>
      </c>
      <c r="B555" s="55" t="s">
        <v>305</v>
      </c>
      <c r="C555" s="55" t="s">
        <v>309</v>
      </c>
      <c r="D555" s="55" t="s">
        <v>307</v>
      </c>
      <c r="E555" s="75" t="s">
        <v>296</v>
      </c>
      <c r="F555" s="55" t="s">
        <v>247</v>
      </c>
      <c r="G555" s="55">
        <v>918204002</v>
      </c>
      <c r="H555" s="55" t="s">
        <v>248</v>
      </c>
      <c r="I555" s="55">
        <v>482.65</v>
      </c>
      <c r="J555" s="111">
        <v>6000</v>
      </c>
      <c r="K555" s="111">
        <v>6800</v>
      </c>
      <c r="L555" s="111">
        <v>3360</v>
      </c>
      <c r="M555" s="111">
        <v>8640</v>
      </c>
      <c r="N555" s="111"/>
      <c r="O555" s="111"/>
      <c r="P555" s="2">
        <f t="shared" si="55"/>
        <v>2895900</v>
      </c>
      <c r="Q555" s="2">
        <f t="shared" si="56"/>
        <v>3282020</v>
      </c>
      <c r="R555" s="2">
        <f t="shared" si="57"/>
        <v>1621704</v>
      </c>
      <c r="S555" s="2">
        <f t="shared" si="58"/>
        <v>4170096</v>
      </c>
      <c r="T555" s="2">
        <f t="shared" si="59"/>
        <v>0</v>
      </c>
      <c r="U555" s="2">
        <f t="shared" si="60"/>
        <v>0</v>
      </c>
    </row>
    <row r="556" spans="1:21">
      <c r="A556" s="55">
        <v>553</v>
      </c>
      <c r="B556" s="55" t="s">
        <v>305</v>
      </c>
      <c r="C556" s="55" t="s">
        <v>309</v>
      </c>
      <c r="D556" s="55" t="s">
        <v>307</v>
      </c>
      <c r="E556" s="75" t="s">
        <v>296</v>
      </c>
      <c r="F556" s="55" t="s">
        <v>249</v>
      </c>
      <c r="G556" s="55">
        <v>918204003</v>
      </c>
      <c r="H556" s="55" t="s">
        <v>250</v>
      </c>
      <c r="I556" s="55">
        <v>458.19</v>
      </c>
      <c r="J556" s="111">
        <v>6900</v>
      </c>
      <c r="K556" s="111">
        <v>6800</v>
      </c>
      <c r="L556" s="111">
        <v>3400</v>
      </c>
      <c r="M556" s="111">
        <v>8600</v>
      </c>
      <c r="N556" s="111"/>
      <c r="O556" s="111"/>
      <c r="P556" s="2">
        <f t="shared" si="55"/>
        <v>3161511</v>
      </c>
      <c r="Q556" s="2">
        <f t="shared" si="56"/>
        <v>3115692</v>
      </c>
      <c r="R556" s="2">
        <f t="shared" si="57"/>
        <v>1557846</v>
      </c>
      <c r="S556" s="2">
        <f t="shared" si="58"/>
        <v>3940434</v>
      </c>
      <c r="T556" s="2">
        <f t="shared" si="59"/>
        <v>0</v>
      </c>
      <c r="U556" s="2">
        <f t="shared" si="60"/>
        <v>0</v>
      </c>
    </row>
    <row r="557" spans="1:21">
      <c r="A557" s="55">
        <v>554</v>
      </c>
      <c r="B557" s="55" t="s">
        <v>305</v>
      </c>
      <c r="C557" s="55" t="s">
        <v>309</v>
      </c>
      <c r="D557" s="55" t="s">
        <v>307</v>
      </c>
      <c r="E557" s="75" t="s">
        <v>296</v>
      </c>
      <c r="F557" s="55" t="s">
        <v>251</v>
      </c>
      <c r="G557" s="55">
        <v>918204004</v>
      </c>
      <c r="H557" s="55" t="s">
        <v>252</v>
      </c>
      <c r="I557" s="55">
        <v>458.19</v>
      </c>
      <c r="J557" s="111">
        <v>8010</v>
      </c>
      <c r="K557" s="111">
        <v>6800</v>
      </c>
      <c r="L557" s="111">
        <v>3350</v>
      </c>
      <c r="M557" s="111">
        <v>8750</v>
      </c>
      <c r="N557" s="111"/>
      <c r="O557" s="111"/>
      <c r="P557" s="2">
        <f t="shared" si="55"/>
        <v>3670101.9</v>
      </c>
      <c r="Q557" s="2">
        <f t="shared" si="56"/>
        <v>3115692</v>
      </c>
      <c r="R557" s="2">
        <f t="shared" si="57"/>
        <v>1534936.5</v>
      </c>
      <c r="S557" s="2">
        <f t="shared" si="58"/>
        <v>4009162.5</v>
      </c>
      <c r="T557" s="2">
        <f t="shared" si="59"/>
        <v>0</v>
      </c>
      <c r="U557" s="2">
        <f t="shared" si="60"/>
        <v>0</v>
      </c>
    </row>
    <row r="558" spans="1:21">
      <c r="A558" s="55">
        <v>555</v>
      </c>
      <c r="B558" s="55" t="s">
        <v>305</v>
      </c>
      <c r="C558" s="55" t="s">
        <v>309</v>
      </c>
      <c r="D558" s="55" t="s">
        <v>307</v>
      </c>
      <c r="E558" s="75" t="s">
        <v>296</v>
      </c>
      <c r="F558" s="55" t="s">
        <v>253</v>
      </c>
      <c r="G558" s="55">
        <v>918205001</v>
      </c>
      <c r="H558" s="55" t="s">
        <v>254</v>
      </c>
      <c r="I558" s="55">
        <v>129.1</v>
      </c>
      <c r="J558" s="111">
        <v>3000</v>
      </c>
      <c r="K558" s="111">
        <v>3000</v>
      </c>
      <c r="L558" s="111">
        <v>1350</v>
      </c>
      <c r="M558" s="111">
        <v>4050</v>
      </c>
      <c r="N558" s="111"/>
      <c r="O558" s="111"/>
      <c r="P558" s="2">
        <f t="shared" si="55"/>
        <v>387300</v>
      </c>
      <c r="Q558" s="2">
        <f t="shared" si="56"/>
        <v>387300</v>
      </c>
      <c r="R558" s="2">
        <f t="shared" si="57"/>
        <v>174285</v>
      </c>
      <c r="S558" s="2">
        <f t="shared" si="58"/>
        <v>522855</v>
      </c>
      <c r="T558" s="2">
        <f t="shared" si="59"/>
        <v>0</v>
      </c>
      <c r="U558" s="2">
        <f t="shared" si="60"/>
        <v>0</v>
      </c>
    </row>
    <row r="559" spans="1:21">
      <c r="A559" s="55">
        <v>556</v>
      </c>
      <c r="B559" s="55" t="s">
        <v>305</v>
      </c>
      <c r="C559" s="55" t="s">
        <v>309</v>
      </c>
      <c r="D559" s="55" t="s">
        <v>307</v>
      </c>
      <c r="E559" s="75" t="s">
        <v>296</v>
      </c>
      <c r="F559" s="55" t="s">
        <v>255</v>
      </c>
      <c r="G559" s="55">
        <v>918205002</v>
      </c>
      <c r="H559" s="55" t="s">
        <v>254</v>
      </c>
      <c r="I559" s="55">
        <v>129.1</v>
      </c>
      <c r="J559" s="111">
        <v>3300</v>
      </c>
      <c r="K559" s="111">
        <v>3000</v>
      </c>
      <c r="L559" s="111">
        <v>1200</v>
      </c>
      <c r="M559" s="111">
        <v>3600</v>
      </c>
      <c r="N559" s="111"/>
      <c r="O559" s="111"/>
      <c r="P559" s="2">
        <f t="shared" si="55"/>
        <v>426030</v>
      </c>
      <c r="Q559" s="2">
        <f t="shared" si="56"/>
        <v>387300</v>
      </c>
      <c r="R559" s="2">
        <f t="shared" si="57"/>
        <v>154920</v>
      </c>
      <c r="S559" s="2">
        <f t="shared" si="58"/>
        <v>464760</v>
      </c>
      <c r="T559" s="2">
        <f t="shared" si="59"/>
        <v>0</v>
      </c>
      <c r="U559" s="2">
        <f t="shared" si="60"/>
        <v>0</v>
      </c>
    </row>
    <row r="560" spans="1:21">
      <c r="A560" s="55">
        <v>557</v>
      </c>
      <c r="B560" s="55" t="s">
        <v>305</v>
      </c>
      <c r="C560" s="55" t="s">
        <v>309</v>
      </c>
      <c r="D560" s="55" t="s">
        <v>307</v>
      </c>
      <c r="E560" s="75" t="s">
        <v>296</v>
      </c>
      <c r="F560" s="55" t="s">
        <v>256</v>
      </c>
      <c r="G560" s="55">
        <v>918205003</v>
      </c>
      <c r="H560" s="55" t="s">
        <v>254</v>
      </c>
      <c r="I560" s="55">
        <v>125.78</v>
      </c>
      <c r="J560" s="111">
        <v>4500</v>
      </c>
      <c r="K560" s="111">
        <v>3000</v>
      </c>
      <c r="L560" s="111">
        <v>1350</v>
      </c>
      <c r="M560" s="111">
        <v>4050</v>
      </c>
      <c r="N560" s="111"/>
      <c r="O560" s="111"/>
      <c r="P560" s="2">
        <f t="shared" si="55"/>
        <v>566010</v>
      </c>
      <c r="Q560" s="2">
        <f t="shared" si="56"/>
        <v>377340</v>
      </c>
      <c r="R560" s="2">
        <f t="shared" si="57"/>
        <v>169803</v>
      </c>
      <c r="S560" s="2">
        <f t="shared" si="58"/>
        <v>509409</v>
      </c>
      <c r="T560" s="2">
        <f t="shared" si="59"/>
        <v>0</v>
      </c>
      <c r="U560" s="2">
        <f t="shared" si="60"/>
        <v>0</v>
      </c>
    </row>
    <row r="561" spans="1:21">
      <c r="A561" s="55">
        <v>558</v>
      </c>
      <c r="B561" s="55" t="s">
        <v>305</v>
      </c>
      <c r="C561" s="55" t="s">
        <v>309</v>
      </c>
      <c r="D561" s="55" t="s">
        <v>307</v>
      </c>
      <c r="E561" s="75" t="s">
        <v>296</v>
      </c>
      <c r="F561" s="55" t="s">
        <v>257</v>
      </c>
      <c r="G561" s="55">
        <v>918205004</v>
      </c>
      <c r="H561" s="55" t="s">
        <v>254</v>
      </c>
      <c r="I561" s="55">
        <v>125.78</v>
      </c>
      <c r="J561" s="111">
        <v>3900</v>
      </c>
      <c r="K561" s="111">
        <v>3000</v>
      </c>
      <c r="L561" s="111">
        <v>1350</v>
      </c>
      <c r="M561" s="111">
        <v>4050</v>
      </c>
      <c r="N561" s="111"/>
      <c r="O561" s="111"/>
      <c r="P561" s="2">
        <f t="shared" si="55"/>
        <v>490542</v>
      </c>
      <c r="Q561" s="2">
        <f t="shared" si="56"/>
        <v>377340</v>
      </c>
      <c r="R561" s="2">
        <f t="shared" si="57"/>
        <v>169803</v>
      </c>
      <c r="S561" s="2">
        <f t="shared" si="58"/>
        <v>509409</v>
      </c>
      <c r="T561" s="2">
        <f t="shared" si="59"/>
        <v>0</v>
      </c>
      <c r="U561" s="2">
        <f t="shared" si="60"/>
        <v>0</v>
      </c>
    </row>
    <row r="562" spans="1:21">
      <c r="A562" s="55">
        <v>559</v>
      </c>
      <c r="B562" s="55" t="s">
        <v>305</v>
      </c>
      <c r="C562" s="55" t="s">
        <v>309</v>
      </c>
      <c r="D562" s="55" t="s">
        <v>307</v>
      </c>
      <c r="E562" s="75" t="s">
        <v>296</v>
      </c>
      <c r="F562" s="55" t="s">
        <v>258</v>
      </c>
      <c r="G562" s="55">
        <v>918205005</v>
      </c>
      <c r="H562" s="55" t="s">
        <v>259</v>
      </c>
      <c r="I562" s="55">
        <v>81.180000000000007</v>
      </c>
      <c r="J562" s="111">
        <v>8460</v>
      </c>
      <c r="K562" s="111">
        <v>6600</v>
      </c>
      <c r="L562" s="111">
        <v>3450</v>
      </c>
      <c r="M562" s="111">
        <v>8550</v>
      </c>
      <c r="N562" s="111"/>
      <c r="O562" s="111"/>
      <c r="P562" s="2">
        <f t="shared" si="55"/>
        <v>686782.8</v>
      </c>
      <c r="Q562" s="2">
        <f t="shared" si="56"/>
        <v>535788</v>
      </c>
      <c r="R562" s="2">
        <f t="shared" si="57"/>
        <v>280071</v>
      </c>
      <c r="S562" s="2">
        <f t="shared" si="58"/>
        <v>694089.00000000012</v>
      </c>
      <c r="T562" s="2">
        <f t="shared" si="59"/>
        <v>0</v>
      </c>
      <c r="U562" s="2">
        <f t="shared" si="60"/>
        <v>0</v>
      </c>
    </row>
    <row r="563" spans="1:21">
      <c r="A563" s="55">
        <v>560</v>
      </c>
      <c r="B563" s="55" t="s">
        <v>305</v>
      </c>
      <c r="C563" s="55" t="s">
        <v>309</v>
      </c>
      <c r="D563" s="55" t="s">
        <v>307</v>
      </c>
      <c r="E563" s="75" t="s">
        <v>296</v>
      </c>
      <c r="F563" s="55" t="s">
        <v>260</v>
      </c>
      <c r="G563" s="55">
        <v>918205006</v>
      </c>
      <c r="H563" s="55" t="s">
        <v>259</v>
      </c>
      <c r="I563" s="55">
        <v>81.180000000000007</v>
      </c>
      <c r="J563" s="111">
        <v>8600</v>
      </c>
      <c r="K563" s="111">
        <v>6600</v>
      </c>
      <c r="L563" s="111">
        <v>3450</v>
      </c>
      <c r="M563" s="111">
        <v>8550</v>
      </c>
      <c r="N563" s="111"/>
      <c r="O563" s="111"/>
      <c r="P563" s="2">
        <f t="shared" si="55"/>
        <v>698148.00000000012</v>
      </c>
      <c r="Q563" s="2">
        <f t="shared" si="56"/>
        <v>535788</v>
      </c>
      <c r="R563" s="2">
        <f t="shared" si="57"/>
        <v>280071</v>
      </c>
      <c r="S563" s="2">
        <f t="shared" si="58"/>
        <v>694089.00000000012</v>
      </c>
      <c r="T563" s="2">
        <f t="shared" si="59"/>
        <v>0</v>
      </c>
      <c r="U563" s="2">
        <f t="shared" si="60"/>
        <v>0</v>
      </c>
    </row>
    <row r="564" spans="1:21">
      <c r="A564" s="55">
        <v>561</v>
      </c>
      <c r="B564" s="55" t="s">
        <v>305</v>
      </c>
      <c r="C564" s="55" t="s">
        <v>309</v>
      </c>
      <c r="D564" s="55" t="s">
        <v>307</v>
      </c>
      <c r="E564" s="75" t="s">
        <v>296</v>
      </c>
      <c r="F564" s="55" t="s">
        <v>261</v>
      </c>
      <c r="G564" s="55">
        <v>918205007</v>
      </c>
      <c r="H564" s="55" t="s">
        <v>259</v>
      </c>
      <c r="I564" s="55">
        <v>75.11</v>
      </c>
      <c r="J564" s="111">
        <v>8400</v>
      </c>
      <c r="K564" s="111">
        <v>6600</v>
      </c>
      <c r="L564" s="111">
        <v>3450</v>
      </c>
      <c r="M564" s="111">
        <v>8550</v>
      </c>
      <c r="N564" s="111"/>
      <c r="O564" s="111"/>
      <c r="P564" s="2">
        <f t="shared" si="55"/>
        <v>630924</v>
      </c>
      <c r="Q564" s="2">
        <f t="shared" si="56"/>
        <v>495726</v>
      </c>
      <c r="R564" s="2">
        <f t="shared" si="57"/>
        <v>259129.5</v>
      </c>
      <c r="S564" s="2">
        <f t="shared" si="58"/>
        <v>642190.5</v>
      </c>
      <c r="T564" s="2">
        <f t="shared" si="59"/>
        <v>0</v>
      </c>
      <c r="U564" s="2">
        <f t="shared" si="60"/>
        <v>0</v>
      </c>
    </row>
    <row r="565" spans="1:21">
      <c r="A565" s="55">
        <v>562</v>
      </c>
      <c r="B565" s="55" t="s">
        <v>305</v>
      </c>
      <c r="C565" s="55" t="s">
        <v>309</v>
      </c>
      <c r="D565" s="55" t="s">
        <v>307</v>
      </c>
      <c r="E565" s="75" t="s">
        <v>296</v>
      </c>
      <c r="F565" s="55" t="s">
        <v>262</v>
      </c>
      <c r="G565" s="55">
        <v>918205008</v>
      </c>
      <c r="H565" s="55" t="s">
        <v>259</v>
      </c>
      <c r="I565" s="55">
        <v>75.11</v>
      </c>
      <c r="J565" s="111">
        <v>7800</v>
      </c>
      <c r="K565" s="111">
        <v>6900</v>
      </c>
      <c r="L565" s="111">
        <v>3450</v>
      </c>
      <c r="M565" s="111">
        <v>8550</v>
      </c>
      <c r="N565" s="111"/>
      <c r="O565" s="111"/>
      <c r="P565" s="2">
        <f t="shared" si="55"/>
        <v>585858</v>
      </c>
      <c r="Q565" s="2">
        <f t="shared" si="56"/>
        <v>518259</v>
      </c>
      <c r="R565" s="2">
        <f t="shared" si="57"/>
        <v>259129.5</v>
      </c>
      <c r="S565" s="2">
        <f t="shared" si="58"/>
        <v>642190.5</v>
      </c>
      <c r="T565" s="2">
        <f t="shared" si="59"/>
        <v>0</v>
      </c>
      <c r="U565" s="2">
        <f t="shared" si="60"/>
        <v>0</v>
      </c>
    </row>
    <row r="566" spans="1:21">
      <c r="A566" s="55">
        <v>563</v>
      </c>
      <c r="B566" s="55" t="s">
        <v>305</v>
      </c>
      <c r="C566" s="55" t="s">
        <v>310</v>
      </c>
      <c r="D566" s="55" t="s">
        <v>311</v>
      </c>
      <c r="E566" s="75" t="s">
        <v>297</v>
      </c>
      <c r="F566" s="55" t="s">
        <v>281</v>
      </c>
      <c r="G566" s="55">
        <v>911604050</v>
      </c>
      <c r="H566" s="55" t="s">
        <v>167</v>
      </c>
      <c r="I566" s="55">
        <v>231.23</v>
      </c>
      <c r="J566" s="111">
        <v>0</v>
      </c>
      <c r="K566" s="111">
        <v>0</v>
      </c>
      <c r="L566" s="111">
        <v>0</v>
      </c>
      <c r="M566" s="111"/>
      <c r="N566" s="111"/>
      <c r="O566" s="111"/>
      <c r="P566" s="2">
        <f t="shared" si="55"/>
        <v>0</v>
      </c>
      <c r="Q566" s="2">
        <f t="shared" si="56"/>
        <v>0</v>
      </c>
      <c r="R566" s="2">
        <f t="shared" si="57"/>
        <v>0</v>
      </c>
      <c r="S566" s="2">
        <f t="shared" si="58"/>
        <v>0</v>
      </c>
      <c r="T566" s="2">
        <f t="shared" si="59"/>
        <v>0</v>
      </c>
      <c r="U566" s="2">
        <f t="shared" si="60"/>
        <v>0</v>
      </c>
    </row>
    <row r="567" spans="1:21">
      <c r="A567" s="55">
        <v>564</v>
      </c>
      <c r="B567" s="55" t="s">
        <v>305</v>
      </c>
      <c r="C567" s="55" t="s">
        <v>310</v>
      </c>
      <c r="D567" s="55" t="s">
        <v>311</v>
      </c>
      <c r="E567" s="75" t="s">
        <v>297</v>
      </c>
      <c r="F567" s="55" t="s">
        <v>282</v>
      </c>
      <c r="G567" s="55">
        <v>911604051</v>
      </c>
      <c r="H567" s="55" t="s">
        <v>168</v>
      </c>
      <c r="I567" s="55">
        <v>231.23</v>
      </c>
      <c r="J567" s="111">
        <v>0</v>
      </c>
      <c r="K567" s="111">
        <v>0</v>
      </c>
      <c r="L567" s="111">
        <v>0</v>
      </c>
      <c r="M567" s="111"/>
      <c r="N567" s="111"/>
      <c r="O567" s="111"/>
      <c r="P567" s="2">
        <f t="shared" si="55"/>
        <v>0</v>
      </c>
      <c r="Q567" s="2">
        <f t="shared" si="56"/>
        <v>0</v>
      </c>
      <c r="R567" s="2">
        <f t="shared" si="57"/>
        <v>0</v>
      </c>
      <c r="S567" s="2">
        <f t="shared" si="58"/>
        <v>0</v>
      </c>
      <c r="T567" s="2">
        <f t="shared" si="59"/>
        <v>0</v>
      </c>
      <c r="U567" s="2">
        <f t="shared" si="60"/>
        <v>0</v>
      </c>
    </row>
    <row r="568" spans="1:21">
      <c r="A568" s="55">
        <v>565</v>
      </c>
      <c r="B568" s="55" t="s">
        <v>305</v>
      </c>
      <c r="C568" s="55" t="s">
        <v>310</v>
      </c>
      <c r="D568" s="55" t="s">
        <v>311</v>
      </c>
      <c r="E568" s="75" t="s">
        <v>297</v>
      </c>
      <c r="F568" s="55" t="s">
        <v>283</v>
      </c>
      <c r="G568" s="55">
        <v>911724025</v>
      </c>
      <c r="H568" s="55" t="s">
        <v>169</v>
      </c>
      <c r="I568" s="55">
        <v>216.42</v>
      </c>
      <c r="J568" s="111">
        <v>0</v>
      </c>
      <c r="K568" s="111">
        <v>0</v>
      </c>
      <c r="L568" s="111">
        <v>0</v>
      </c>
      <c r="M568" s="111"/>
      <c r="N568" s="111"/>
      <c r="O568" s="111"/>
      <c r="P568" s="2">
        <f t="shared" si="55"/>
        <v>0</v>
      </c>
      <c r="Q568" s="2">
        <f t="shared" si="56"/>
        <v>0</v>
      </c>
      <c r="R568" s="2">
        <f t="shared" si="57"/>
        <v>0</v>
      </c>
      <c r="S568" s="2">
        <f t="shared" si="58"/>
        <v>0</v>
      </c>
      <c r="T568" s="2">
        <f t="shared" si="59"/>
        <v>0</v>
      </c>
      <c r="U568" s="2">
        <f t="shared" si="60"/>
        <v>0</v>
      </c>
    </row>
    <row r="569" spans="1:21">
      <c r="A569" s="55">
        <v>566</v>
      </c>
      <c r="B569" s="55" t="s">
        <v>305</v>
      </c>
      <c r="C569" s="55" t="s">
        <v>310</v>
      </c>
      <c r="D569" s="55" t="s">
        <v>311</v>
      </c>
      <c r="E569" s="75" t="s">
        <v>297</v>
      </c>
      <c r="F569" s="55" t="s">
        <v>284</v>
      </c>
      <c r="G569" s="55">
        <v>911724026</v>
      </c>
      <c r="H569" s="55" t="s">
        <v>170</v>
      </c>
      <c r="I569" s="55">
        <v>21642</v>
      </c>
      <c r="J569" s="111">
        <v>0</v>
      </c>
      <c r="K569" s="111">
        <v>0</v>
      </c>
      <c r="L569" s="111">
        <v>0</v>
      </c>
      <c r="M569" s="111"/>
      <c r="N569" s="111"/>
      <c r="O569" s="111"/>
      <c r="P569" s="2">
        <f t="shared" si="55"/>
        <v>0</v>
      </c>
      <c r="Q569" s="2">
        <f t="shared" si="56"/>
        <v>0</v>
      </c>
      <c r="R569" s="2">
        <f t="shared" si="57"/>
        <v>0</v>
      </c>
      <c r="S569" s="2">
        <f t="shared" si="58"/>
        <v>0</v>
      </c>
      <c r="T569" s="2">
        <f t="shared" si="59"/>
        <v>0</v>
      </c>
      <c r="U569" s="2">
        <f t="shared" si="60"/>
        <v>0</v>
      </c>
    </row>
    <row r="570" spans="1:21">
      <c r="A570" s="55">
        <v>567</v>
      </c>
      <c r="B570" s="55" t="s">
        <v>305</v>
      </c>
      <c r="C570" s="55" t="s">
        <v>310</v>
      </c>
      <c r="D570" s="55" t="s">
        <v>311</v>
      </c>
      <c r="E570" s="75" t="s">
        <v>297</v>
      </c>
      <c r="F570" s="55" t="s">
        <v>285</v>
      </c>
      <c r="G570" s="55">
        <v>911605053</v>
      </c>
      <c r="H570" s="55" t="s">
        <v>164</v>
      </c>
      <c r="I570" s="55">
        <v>110.15</v>
      </c>
      <c r="J570" s="111">
        <v>0</v>
      </c>
      <c r="K570" s="111">
        <v>0</v>
      </c>
      <c r="L570" s="111">
        <v>0</v>
      </c>
      <c r="M570" s="111"/>
      <c r="N570" s="111"/>
      <c r="O570" s="111"/>
      <c r="P570" s="2">
        <f t="shared" si="55"/>
        <v>0</v>
      </c>
      <c r="Q570" s="2">
        <f t="shared" si="56"/>
        <v>0</v>
      </c>
      <c r="R570" s="2">
        <f t="shared" si="57"/>
        <v>0</v>
      </c>
      <c r="S570" s="2">
        <f t="shared" si="58"/>
        <v>0</v>
      </c>
      <c r="T570" s="2">
        <f t="shared" si="59"/>
        <v>0</v>
      </c>
      <c r="U570" s="2">
        <f t="shared" si="60"/>
        <v>0</v>
      </c>
    </row>
    <row r="571" spans="1:21">
      <c r="A571" s="55">
        <v>568</v>
      </c>
      <c r="B571" s="55" t="s">
        <v>305</v>
      </c>
      <c r="C571" s="55" t="s">
        <v>310</v>
      </c>
      <c r="D571" s="55" t="s">
        <v>311</v>
      </c>
      <c r="E571" s="75" t="s">
        <v>297</v>
      </c>
      <c r="F571" s="55" t="s">
        <v>286</v>
      </c>
      <c r="G571" s="55">
        <v>911605052</v>
      </c>
      <c r="H571" s="55" t="s">
        <v>164</v>
      </c>
      <c r="I571" s="55">
        <v>110.15</v>
      </c>
      <c r="J571" s="111">
        <v>0</v>
      </c>
      <c r="K571" s="111">
        <v>0</v>
      </c>
      <c r="L571" s="111">
        <v>0</v>
      </c>
      <c r="M571" s="111"/>
      <c r="N571" s="111"/>
      <c r="O571" s="111"/>
      <c r="P571" s="2">
        <f t="shared" si="55"/>
        <v>0</v>
      </c>
      <c r="Q571" s="2">
        <f t="shared" si="56"/>
        <v>0</v>
      </c>
      <c r="R571" s="2">
        <f t="shared" si="57"/>
        <v>0</v>
      </c>
      <c r="S571" s="2">
        <f t="shared" si="58"/>
        <v>0</v>
      </c>
      <c r="T571" s="2">
        <f t="shared" si="59"/>
        <v>0</v>
      </c>
      <c r="U571" s="2">
        <f t="shared" si="60"/>
        <v>0</v>
      </c>
    </row>
    <row r="572" spans="1:21">
      <c r="A572" s="55">
        <v>569</v>
      </c>
      <c r="B572" s="55" t="s">
        <v>305</v>
      </c>
      <c r="C572" s="55" t="s">
        <v>310</v>
      </c>
      <c r="D572" s="55" t="s">
        <v>311</v>
      </c>
      <c r="E572" s="75" t="s">
        <v>297</v>
      </c>
      <c r="F572" s="55" t="s">
        <v>267</v>
      </c>
      <c r="G572" s="55">
        <v>911605048</v>
      </c>
      <c r="H572" s="55" t="s">
        <v>165</v>
      </c>
      <c r="I572" s="55">
        <v>89.32</v>
      </c>
      <c r="J572" s="111">
        <v>0</v>
      </c>
      <c r="K572" s="111">
        <v>0</v>
      </c>
      <c r="L572" s="111">
        <v>0</v>
      </c>
      <c r="M572" s="111"/>
      <c r="N572" s="111"/>
      <c r="O572" s="111"/>
      <c r="P572" s="2">
        <f t="shared" si="55"/>
        <v>0</v>
      </c>
      <c r="Q572" s="2">
        <f t="shared" si="56"/>
        <v>0</v>
      </c>
      <c r="R572" s="2">
        <f t="shared" si="57"/>
        <v>0</v>
      </c>
      <c r="S572" s="2">
        <f t="shared" si="58"/>
        <v>0</v>
      </c>
      <c r="T572" s="2">
        <f t="shared" si="59"/>
        <v>0</v>
      </c>
      <c r="U572" s="2">
        <f t="shared" si="60"/>
        <v>0</v>
      </c>
    </row>
    <row r="573" spans="1:21">
      <c r="A573" s="55">
        <v>570</v>
      </c>
      <c r="B573" s="55" t="s">
        <v>305</v>
      </c>
      <c r="C573" s="55" t="s">
        <v>310</v>
      </c>
      <c r="D573" s="55" t="s">
        <v>311</v>
      </c>
      <c r="E573" s="75" t="s">
        <v>297</v>
      </c>
      <c r="F573" s="55" t="s">
        <v>268</v>
      </c>
      <c r="G573" s="55">
        <v>911605049</v>
      </c>
      <c r="H573" s="55" t="s">
        <v>165</v>
      </c>
      <c r="I573" s="55">
        <v>89.32</v>
      </c>
      <c r="J573" s="111">
        <v>0</v>
      </c>
      <c r="K573" s="111">
        <v>0</v>
      </c>
      <c r="L573" s="111">
        <v>0</v>
      </c>
      <c r="M573" s="111"/>
      <c r="N573" s="111"/>
      <c r="O573" s="111"/>
      <c r="P573" s="2">
        <f t="shared" si="55"/>
        <v>0</v>
      </c>
      <c r="Q573" s="2">
        <f t="shared" si="56"/>
        <v>0</v>
      </c>
      <c r="R573" s="2">
        <f t="shared" si="57"/>
        <v>0</v>
      </c>
      <c r="S573" s="2">
        <f t="shared" si="58"/>
        <v>0</v>
      </c>
      <c r="T573" s="2">
        <f t="shared" si="59"/>
        <v>0</v>
      </c>
      <c r="U573" s="2">
        <f t="shared" si="60"/>
        <v>0</v>
      </c>
    </row>
    <row r="574" spans="1:21">
      <c r="A574" s="55">
        <v>571</v>
      </c>
      <c r="B574" s="55" t="s">
        <v>305</v>
      </c>
      <c r="C574" s="55" t="s">
        <v>310</v>
      </c>
      <c r="D574" s="55" t="s">
        <v>311</v>
      </c>
      <c r="E574" s="75" t="s">
        <v>297</v>
      </c>
      <c r="F574" s="55" t="s">
        <v>269</v>
      </c>
      <c r="G574" s="55">
        <v>911605050</v>
      </c>
      <c r="H574" s="55" t="s">
        <v>166</v>
      </c>
      <c r="I574" s="55">
        <v>84.05</v>
      </c>
      <c r="J574" s="111">
        <v>0</v>
      </c>
      <c r="K574" s="111">
        <v>0</v>
      </c>
      <c r="L574" s="111">
        <v>0</v>
      </c>
      <c r="M574" s="111"/>
      <c r="N574" s="111"/>
      <c r="O574" s="111"/>
      <c r="P574" s="2">
        <f t="shared" si="55"/>
        <v>0</v>
      </c>
      <c r="Q574" s="2">
        <f t="shared" si="56"/>
        <v>0</v>
      </c>
      <c r="R574" s="2">
        <f t="shared" si="57"/>
        <v>0</v>
      </c>
      <c r="S574" s="2">
        <f t="shared" si="58"/>
        <v>0</v>
      </c>
      <c r="T574" s="2">
        <f t="shared" si="59"/>
        <v>0</v>
      </c>
      <c r="U574" s="2">
        <f t="shared" si="60"/>
        <v>0</v>
      </c>
    </row>
    <row r="575" spans="1:21">
      <c r="A575" s="55">
        <v>572</v>
      </c>
      <c r="B575" s="55" t="s">
        <v>305</v>
      </c>
      <c r="C575" s="55" t="s">
        <v>310</v>
      </c>
      <c r="D575" s="55" t="s">
        <v>311</v>
      </c>
      <c r="E575" s="75" t="s">
        <v>297</v>
      </c>
      <c r="F575" s="55" t="s">
        <v>270</v>
      </c>
      <c r="G575" s="55">
        <v>911605051</v>
      </c>
      <c r="H575" s="55" t="s">
        <v>166</v>
      </c>
      <c r="I575" s="55">
        <v>84.05</v>
      </c>
      <c r="J575" s="111">
        <v>0</v>
      </c>
      <c r="K575" s="111">
        <v>0</v>
      </c>
      <c r="L575" s="111">
        <v>0</v>
      </c>
      <c r="M575" s="111"/>
      <c r="N575" s="111"/>
      <c r="O575" s="111"/>
      <c r="P575" s="2">
        <f t="shared" si="55"/>
        <v>0</v>
      </c>
      <c r="Q575" s="2">
        <f t="shared" si="56"/>
        <v>0</v>
      </c>
      <c r="R575" s="2">
        <f t="shared" si="57"/>
        <v>0</v>
      </c>
      <c r="S575" s="2">
        <f t="shared" si="58"/>
        <v>0</v>
      </c>
      <c r="T575" s="2">
        <f t="shared" si="59"/>
        <v>0</v>
      </c>
      <c r="U575" s="2">
        <f t="shared" si="60"/>
        <v>0</v>
      </c>
    </row>
    <row r="576" spans="1:21">
      <c r="A576" s="55">
        <v>573</v>
      </c>
      <c r="B576" s="55" t="s">
        <v>305</v>
      </c>
      <c r="C576" s="55" t="s">
        <v>310</v>
      </c>
      <c r="D576" s="55" t="s">
        <v>311</v>
      </c>
      <c r="E576" s="75" t="s">
        <v>297</v>
      </c>
      <c r="F576" s="55" t="s">
        <v>287</v>
      </c>
      <c r="G576" s="55">
        <v>911605026</v>
      </c>
      <c r="H576" s="55" t="s">
        <v>133</v>
      </c>
      <c r="I576" s="55">
        <v>81.88</v>
      </c>
      <c r="J576" s="111">
        <v>0</v>
      </c>
      <c r="K576" s="111">
        <v>0</v>
      </c>
      <c r="L576" s="111">
        <v>0</v>
      </c>
      <c r="M576" s="111"/>
      <c r="N576" s="111"/>
      <c r="O576" s="111"/>
      <c r="P576" s="2">
        <f t="shared" si="55"/>
        <v>0</v>
      </c>
      <c r="Q576" s="2">
        <f t="shared" si="56"/>
        <v>0</v>
      </c>
      <c r="R576" s="2">
        <f t="shared" si="57"/>
        <v>0</v>
      </c>
      <c r="S576" s="2">
        <f t="shared" si="58"/>
        <v>0</v>
      </c>
      <c r="T576" s="2">
        <f t="shared" si="59"/>
        <v>0</v>
      </c>
      <c r="U576" s="2">
        <f t="shared" si="60"/>
        <v>0</v>
      </c>
    </row>
    <row r="577" spans="1:21">
      <c r="A577" s="55">
        <v>574</v>
      </c>
      <c r="B577" s="55" t="s">
        <v>305</v>
      </c>
      <c r="C577" s="55" t="s">
        <v>310</v>
      </c>
      <c r="D577" s="55" t="s">
        <v>311</v>
      </c>
      <c r="E577" s="75" t="s">
        <v>297</v>
      </c>
      <c r="F577" s="55" t="s">
        <v>288</v>
      </c>
      <c r="G577" s="55">
        <v>911605025</v>
      </c>
      <c r="H577" s="55" t="s">
        <v>134</v>
      </c>
      <c r="I577" s="55">
        <v>81.88</v>
      </c>
      <c r="J577" s="111">
        <v>0</v>
      </c>
      <c r="K577" s="111">
        <v>0</v>
      </c>
      <c r="L577" s="111">
        <v>0</v>
      </c>
      <c r="M577" s="111"/>
      <c r="N577" s="111"/>
      <c r="O577" s="111"/>
      <c r="P577" s="2">
        <f t="shared" si="55"/>
        <v>0</v>
      </c>
      <c r="Q577" s="2">
        <f t="shared" si="56"/>
        <v>0</v>
      </c>
      <c r="R577" s="2">
        <f t="shared" si="57"/>
        <v>0</v>
      </c>
      <c r="S577" s="2">
        <f t="shared" si="58"/>
        <v>0</v>
      </c>
      <c r="T577" s="2">
        <f t="shared" si="59"/>
        <v>0</v>
      </c>
      <c r="U577" s="2">
        <f t="shared" si="60"/>
        <v>0</v>
      </c>
    </row>
    <row r="578" spans="1:21">
      <c r="A578" s="55">
        <v>575</v>
      </c>
      <c r="B578" s="55" t="s">
        <v>305</v>
      </c>
      <c r="C578" s="55" t="s">
        <v>310</v>
      </c>
      <c r="D578" s="55" t="s">
        <v>311</v>
      </c>
      <c r="E578" s="75" t="s">
        <v>297</v>
      </c>
      <c r="F578" s="55" t="s">
        <v>289</v>
      </c>
      <c r="G578" s="55">
        <v>911605028</v>
      </c>
      <c r="H578" s="55" t="s">
        <v>135</v>
      </c>
      <c r="I578" s="55">
        <v>74.7</v>
      </c>
      <c r="J578" s="111">
        <v>0</v>
      </c>
      <c r="K578" s="111">
        <v>0</v>
      </c>
      <c r="L578" s="111">
        <v>0</v>
      </c>
      <c r="M578" s="111"/>
      <c r="N578" s="111"/>
      <c r="O578" s="111"/>
      <c r="P578" s="2">
        <f t="shared" si="55"/>
        <v>0</v>
      </c>
      <c r="Q578" s="2">
        <f t="shared" si="56"/>
        <v>0</v>
      </c>
      <c r="R578" s="2">
        <f t="shared" si="57"/>
        <v>0</v>
      </c>
      <c r="S578" s="2">
        <f t="shared" si="58"/>
        <v>0</v>
      </c>
      <c r="T578" s="2">
        <f t="shared" si="59"/>
        <v>0</v>
      </c>
      <c r="U578" s="2">
        <f t="shared" si="60"/>
        <v>0</v>
      </c>
    </row>
    <row r="579" spans="1:21">
      <c r="A579" s="55">
        <v>576</v>
      </c>
      <c r="B579" s="55" t="s">
        <v>305</v>
      </c>
      <c r="C579" s="55" t="s">
        <v>310</v>
      </c>
      <c r="D579" s="55" t="s">
        <v>311</v>
      </c>
      <c r="E579" s="75" t="s">
        <v>297</v>
      </c>
      <c r="F579" s="55" t="s">
        <v>290</v>
      </c>
      <c r="G579" s="55">
        <v>911605027</v>
      </c>
      <c r="H579" s="55" t="s">
        <v>136</v>
      </c>
      <c r="I579" s="55">
        <v>74.7</v>
      </c>
      <c r="J579" s="111">
        <v>0</v>
      </c>
      <c r="K579" s="111">
        <v>0</v>
      </c>
      <c r="L579" s="111">
        <v>0</v>
      </c>
      <c r="M579" s="111"/>
      <c r="N579" s="111"/>
      <c r="O579" s="111"/>
      <c r="P579" s="2">
        <f t="shared" si="55"/>
        <v>0</v>
      </c>
      <c r="Q579" s="2">
        <f t="shared" si="56"/>
        <v>0</v>
      </c>
      <c r="R579" s="2">
        <f t="shared" si="57"/>
        <v>0</v>
      </c>
      <c r="S579" s="2">
        <f t="shared" si="58"/>
        <v>0</v>
      </c>
      <c r="T579" s="2">
        <f t="shared" si="59"/>
        <v>0</v>
      </c>
      <c r="U579" s="2">
        <f t="shared" si="60"/>
        <v>0</v>
      </c>
    </row>
    <row r="580" spans="1:21">
      <c r="A580" s="55">
        <v>577</v>
      </c>
      <c r="B580" s="55" t="s">
        <v>305</v>
      </c>
      <c r="C580" s="55" t="s">
        <v>310</v>
      </c>
      <c r="D580" s="55" t="s">
        <v>311</v>
      </c>
      <c r="E580" s="75" t="s">
        <v>297</v>
      </c>
      <c r="F580" s="55" t="s">
        <v>275</v>
      </c>
      <c r="G580" s="55">
        <v>916021001</v>
      </c>
      <c r="H580" s="55" t="s">
        <v>137</v>
      </c>
      <c r="I580" s="55">
        <v>95.19</v>
      </c>
      <c r="J580" s="111">
        <v>0</v>
      </c>
      <c r="K580" s="111">
        <v>0</v>
      </c>
      <c r="L580" s="111">
        <v>0</v>
      </c>
      <c r="M580" s="111"/>
      <c r="N580" s="111"/>
      <c r="O580" s="111"/>
      <c r="P580" s="2">
        <f t="shared" si="55"/>
        <v>0</v>
      </c>
      <c r="Q580" s="2">
        <f t="shared" si="56"/>
        <v>0</v>
      </c>
      <c r="R580" s="2">
        <f t="shared" si="57"/>
        <v>0</v>
      </c>
      <c r="S580" s="2">
        <f t="shared" si="58"/>
        <v>0</v>
      </c>
      <c r="T580" s="2">
        <f t="shared" si="59"/>
        <v>0</v>
      </c>
      <c r="U580" s="2">
        <f t="shared" si="60"/>
        <v>0</v>
      </c>
    </row>
    <row r="581" spans="1:21">
      <c r="A581" s="55">
        <v>578</v>
      </c>
      <c r="B581" s="55" t="s">
        <v>305</v>
      </c>
      <c r="C581" s="55" t="s">
        <v>310</v>
      </c>
      <c r="D581" s="55" t="s">
        <v>311</v>
      </c>
      <c r="E581" s="75" t="s">
        <v>297</v>
      </c>
      <c r="F581" s="55" t="s">
        <v>276</v>
      </c>
      <c r="G581" s="55">
        <v>911604024</v>
      </c>
      <c r="H581" s="55" t="s">
        <v>138</v>
      </c>
      <c r="I581" s="55">
        <v>98.31</v>
      </c>
      <c r="J581" s="111">
        <v>0</v>
      </c>
      <c r="K581" s="111">
        <v>0</v>
      </c>
      <c r="L581" s="111">
        <v>0</v>
      </c>
      <c r="M581" s="111"/>
      <c r="N581" s="111"/>
      <c r="O581" s="111"/>
      <c r="P581" s="2">
        <f t="shared" ref="P581:P644" si="61">J581*I581</f>
        <v>0</v>
      </c>
      <c r="Q581" s="2">
        <f t="shared" ref="Q581:Q644" si="62">K581*I581</f>
        <v>0</v>
      </c>
      <c r="R581" s="2">
        <f t="shared" ref="R581:R644" si="63">L581*I581</f>
        <v>0</v>
      </c>
      <c r="S581" s="2">
        <f t="shared" ref="S581:S644" si="64">M581*I581</f>
        <v>0</v>
      </c>
      <c r="T581" s="2">
        <f t="shared" ref="T581:T644" si="65">N581*I581</f>
        <v>0</v>
      </c>
      <c r="U581" s="2">
        <f t="shared" ref="U581:U644" si="66">O581*I581</f>
        <v>0</v>
      </c>
    </row>
    <row r="582" spans="1:21">
      <c r="A582" s="55">
        <v>579</v>
      </c>
      <c r="B582" s="55" t="s">
        <v>305</v>
      </c>
      <c r="C582" s="55" t="s">
        <v>310</v>
      </c>
      <c r="D582" s="55" t="s">
        <v>311</v>
      </c>
      <c r="E582" s="75" t="s">
        <v>297</v>
      </c>
      <c r="F582" s="55" t="s">
        <v>277</v>
      </c>
      <c r="G582" s="55">
        <v>911604025</v>
      </c>
      <c r="H582" s="55" t="s">
        <v>139</v>
      </c>
      <c r="I582" s="55">
        <v>98.31</v>
      </c>
      <c r="J582" s="111">
        <v>0</v>
      </c>
      <c r="K582" s="111">
        <v>0</v>
      </c>
      <c r="L582" s="111">
        <v>0</v>
      </c>
      <c r="M582" s="111"/>
      <c r="N582" s="111"/>
      <c r="O582" s="111"/>
      <c r="P582" s="2">
        <f t="shared" si="61"/>
        <v>0</v>
      </c>
      <c r="Q582" s="2">
        <f t="shared" si="62"/>
        <v>0</v>
      </c>
      <c r="R582" s="2">
        <f t="shared" si="63"/>
        <v>0</v>
      </c>
      <c r="S582" s="2">
        <f t="shared" si="64"/>
        <v>0</v>
      </c>
      <c r="T582" s="2">
        <f t="shared" si="65"/>
        <v>0</v>
      </c>
      <c r="U582" s="2">
        <f t="shared" si="66"/>
        <v>0</v>
      </c>
    </row>
    <row r="583" spans="1:21">
      <c r="A583" s="55">
        <v>580</v>
      </c>
      <c r="B583" s="55" t="s">
        <v>305</v>
      </c>
      <c r="C583" s="55" t="s">
        <v>310</v>
      </c>
      <c r="D583" s="55" t="s">
        <v>311</v>
      </c>
      <c r="E583" s="75" t="s">
        <v>297</v>
      </c>
      <c r="F583" s="55" t="s">
        <v>291</v>
      </c>
      <c r="G583" s="55">
        <v>911604061</v>
      </c>
      <c r="H583" s="55" t="s">
        <v>163</v>
      </c>
      <c r="I583" s="55">
        <v>123.68</v>
      </c>
      <c r="J583" s="111">
        <v>0</v>
      </c>
      <c r="K583" s="111">
        <v>0</v>
      </c>
      <c r="L583" s="111">
        <v>0</v>
      </c>
      <c r="M583" s="111"/>
      <c r="N583" s="111"/>
      <c r="O583" s="111"/>
      <c r="P583" s="2">
        <f t="shared" si="61"/>
        <v>0</v>
      </c>
      <c r="Q583" s="2">
        <f t="shared" si="62"/>
        <v>0</v>
      </c>
      <c r="R583" s="2">
        <f t="shared" si="63"/>
        <v>0</v>
      </c>
      <c r="S583" s="2">
        <f t="shared" si="64"/>
        <v>0</v>
      </c>
      <c r="T583" s="2">
        <f t="shared" si="65"/>
        <v>0</v>
      </c>
      <c r="U583" s="2">
        <f t="shared" si="66"/>
        <v>0</v>
      </c>
    </row>
    <row r="584" spans="1:21">
      <c r="A584" s="55">
        <v>581</v>
      </c>
      <c r="B584" s="55" t="s">
        <v>305</v>
      </c>
      <c r="C584" s="55" t="s">
        <v>310</v>
      </c>
      <c r="D584" s="55" t="s">
        <v>311</v>
      </c>
      <c r="E584" s="75" t="s">
        <v>297</v>
      </c>
      <c r="F584" s="55" t="s">
        <v>292</v>
      </c>
      <c r="G584" s="55">
        <v>911604062</v>
      </c>
      <c r="H584" s="55" t="s">
        <v>143</v>
      </c>
      <c r="I584" s="55">
        <v>123.68</v>
      </c>
      <c r="J584" s="111">
        <v>0</v>
      </c>
      <c r="K584" s="111">
        <v>0</v>
      </c>
      <c r="L584" s="111">
        <v>0</v>
      </c>
      <c r="M584" s="111"/>
      <c r="N584" s="111"/>
      <c r="O584" s="111"/>
      <c r="P584" s="2">
        <f t="shared" si="61"/>
        <v>0</v>
      </c>
      <c r="Q584" s="2">
        <f t="shared" si="62"/>
        <v>0</v>
      </c>
      <c r="R584" s="2">
        <f t="shared" si="63"/>
        <v>0</v>
      </c>
      <c r="S584" s="2">
        <f t="shared" si="64"/>
        <v>0</v>
      </c>
      <c r="T584" s="2">
        <f t="shared" si="65"/>
        <v>0</v>
      </c>
      <c r="U584" s="2">
        <f t="shared" si="66"/>
        <v>0</v>
      </c>
    </row>
    <row r="585" spans="1:21">
      <c r="A585" s="55">
        <v>582</v>
      </c>
      <c r="B585" s="55" t="s">
        <v>305</v>
      </c>
      <c r="C585" s="55" t="s">
        <v>310</v>
      </c>
      <c r="D585" s="55" t="s">
        <v>311</v>
      </c>
      <c r="E585" s="75" t="s">
        <v>297</v>
      </c>
      <c r="F585" s="55" t="s">
        <v>279</v>
      </c>
      <c r="G585" s="55">
        <v>911604028</v>
      </c>
      <c r="H585" s="55" t="s">
        <v>140</v>
      </c>
      <c r="I585" s="55">
        <v>105.1</v>
      </c>
      <c r="J585" s="111">
        <v>0</v>
      </c>
      <c r="K585" s="111">
        <v>0</v>
      </c>
      <c r="L585" s="111">
        <v>0</v>
      </c>
      <c r="M585" s="111"/>
      <c r="N585" s="111"/>
      <c r="O585" s="111"/>
      <c r="P585" s="2">
        <f t="shared" si="61"/>
        <v>0</v>
      </c>
      <c r="Q585" s="2">
        <f t="shared" si="62"/>
        <v>0</v>
      </c>
      <c r="R585" s="2">
        <f t="shared" si="63"/>
        <v>0</v>
      </c>
      <c r="S585" s="2">
        <f t="shared" si="64"/>
        <v>0</v>
      </c>
      <c r="T585" s="2">
        <f t="shared" si="65"/>
        <v>0</v>
      </c>
      <c r="U585" s="2">
        <f t="shared" si="66"/>
        <v>0</v>
      </c>
    </row>
    <row r="586" spans="1:21">
      <c r="A586" s="55">
        <v>583</v>
      </c>
      <c r="B586" s="55" t="s">
        <v>305</v>
      </c>
      <c r="C586" s="55" t="s">
        <v>310</v>
      </c>
      <c r="D586" s="55" t="s">
        <v>311</v>
      </c>
      <c r="E586" s="75" t="s">
        <v>297</v>
      </c>
      <c r="F586" s="55" t="s">
        <v>280</v>
      </c>
      <c r="G586" s="55">
        <v>911604029</v>
      </c>
      <c r="H586" s="55" t="s">
        <v>141</v>
      </c>
      <c r="I586" s="55">
        <v>105.1</v>
      </c>
      <c r="J586" s="111">
        <v>0</v>
      </c>
      <c r="K586" s="111">
        <v>0</v>
      </c>
      <c r="L586" s="111">
        <v>0</v>
      </c>
      <c r="M586" s="111"/>
      <c r="N586" s="111"/>
      <c r="O586" s="111"/>
      <c r="P586" s="2">
        <f t="shared" si="61"/>
        <v>0</v>
      </c>
      <c r="Q586" s="2">
        <f t="shared" si="62"/>
        <v>0</v>
      </c>
      <c r="R586" s="2">
        <f t="shared" si="63"/>
        <v>0</v>
      </c>
      <c r="S586" s="2">
        <f t="shared" si="64"/>
        <v>0</v>
      </c>
      <c r="T586" s="2">
        <f t="shared" si="65"/>
        <v>0</v>
      </c>
      <c r="U586" s="2">
        <f t="shared" si="66"/>
        <v>0</v>
      </c>
    </row>
    <row r="587" spans="1:21">
      <c r="A587" s="55">
        <v>584</v>
      </c>
      <c r="B587" s="55" t="s">
        <v>305</v>
      </c>
      <c r="C587" s="55" t="s">
        <v>310</v>
      </c>
      <c r="D587" s="55" t="s">
        <v>311</v>
      </c>
      <c r="E587" s="75" t="s">
        <v>298</v>
      </c>
      <c r="F587" s="55" t="s">
        <v>263</v>
      </c>
      <c r="G587" s="55">
        <v>911604058</v>
      </c>
      <c r="H587" s="55" t="s">
        <v>125</v>
      </c>
      <c r="I587" s="55">
        <v>251.52</v>
      </c>
      <c r="J587" s="111">
        <v>0</v>
      </c>
      <c r="K587" s="111">
        <v>0</v>
      </c>
      <c r="L587" s="111">
        <v>0</v>
      </c>
      <c r="M587" s="111"/>
      <c r="N587" s="111"/>
      <c r="O587" s="111"/>
      <c r="P587" s="2">
        <f t="shared" si="61"/>
        <v>0</v>
      </c>
      <c r="Q587" s="2">
        <f t="shared" si="62"/>
        <v>0</v>
      </c>
      <c r="R587" s="2">
        <f t="shared" si="63"/>
        <v>0</v>
      </c>
      <c r="S587" s="2">
        <f t="shared" si="64"/>
        <v>0</v>
      </c>
      <c r="T587" s="2">
        <f t="shared" si="65"/>
        <v>0</v>
      </c>
      <c r="U587" s="2">
        <f t="shared" si="66"/>
        <v>0</v>
      </c>
    </row>
    <row r="588" spans="1:21">
      <c r="A588" s="55">
        <v>585</v>
      </c>
      <c r="B588" s="55" t="s">
        <v>305</v>
      </c>
      <c r="C588" s="55" t="s">
        <v>310</v>
      </c>
      <c r="D588" s="55" t="s">
        <v>311</v>
      </c>
      <c r="E588" s="75" t="s">
        <v>298</v>
      </c>
      <c r="F588" s="55" t="s">
        <v>264</v>
      </c>
      <c r="G588" s="55">
        <v>911604057</v>
      </c>
      <c r="H588" s="55" t="s">
        <v>126</v>
      </c>
      <c r="I588" s="55">
        <v>253.84</v>
      </c>
      <c r="J588" s="111">
        <v>0</v>
      </c>
      <c r="K588" s="111">
        <v>0</v>
      </c>
      <c r="L588" s="111">
        <v>0</v>
      </c>
      <c r="M588" s="111"/>
      <c r="N588" s="111"/>
      <c r="O588" s="111"/>
      <c r="P588" s="2">
        <f t="shared" si="61"/>
        <v>0</v>
      </c>
      <c r="Q588" s="2">
        <f t="shared" si="62"/>
        <v>0</v>
      </c>
      <c r="R588" s="2">
        <f t="shared" si="63"/>
        <v>0</v>
      </c>
      <c r="S588" s="2">
        <f t="shared" si="64"/>
        <v>0</v>
      </c>
      <c r="T588" s="2">
        <f t="shared" si="65"/>
        <v>0</v>
      </c>
      <c r="U588" s="2">
        <f t="shared" si="66"/>
        <v>0</v>
      </c>
    </row>
    <row r="589" spans="1:21">
      <c r="A589" s="55">
        <v>586</v>
      </c>
      <c r="B589" s="55" t="s">
        <v>305</v>
      </c>
      <c r="C589" s="55" t="s">
        <v>310</v>
      </c>
      <c r="D589" s="55" t="s">
        <v>311</v>
      </c>
      <c r="E589" s="75" t="s">
        <v>298</v>
      </c>
      <c r="F589" s="55" t="s">
        <v>265</v>
      </c>
      <c r="G589" s="55">
        <v>911604060</v>
      </c>
      <c r="H589" s="55" t="s">
        <v>127</v>
      </c>
      <c r="I589" s="55">
        <v>226.54</v>
      </c>
      <c r="J589" s="111">
        <v>0</v>
      </c>
      <c r="K589" s="111">
        <v>0</v>
      </c>
      <c r="L589" s="111">
        <v>0</v>
      </c>
      <c r="M589" s="111"/>
      <c r="N589" s="111"/>
      <c r="O589" s="111"/>
      <c r="P589" s="2">
        <f t="shared" si="61"/>
        <v>0</v>
      </c>
      <c r="Q589" s="2">
        <f t="shared" si="62"/>
        <v>0</v>
      </c>
      <c r="R589" s="2">
        <f t="shared" si="63"/>
        <v>0</v>
      </c>
      <c r="S589" s="2">
        <f t="shared" si="64"/>
        <v>0</v>
      </c>
      <c r="T589" s="2">
        <f t="shared" si="65"/>
        <v>0</v>
      </c>
      <c r="U589" s="2">
        <f t="shared" si="66"/>
        <v>0</v>
      </c>
    </row>
    <row r="590" spans="1:21">
      <c r="A590" s="55">
        <v>587</v>
      </c>
      <c r="B590" s="55" t="s">
        <v>305</v>
      </c>
      <c r="C590" s="55" t="s">
        <v>310</v>
      </c>
      <c r="D590" s="55" t="s">
        <v>311</v>
      </c>
      <c r="E590" s="75" t="s">
        <v>298</v>
      </c>
      <c r="F590" s="55" t="s">
        <v>266</v>
      </c>
      <c r="G590" s="55">
        <v>911604059</v>
      </c>
      <c r="H590" s="55" t="s">
        <v>128</v>
      </c>
      <c r="I590" s="55">
        <v>226.54</v>
      </c>
      <c r="J590" s="111">
        <v>0</v>
      </c>
      <c r="K590" s="111">
        <v>0</v>
      </c>
      <c r="L590" s="111">
        <v>0</v>
      </c>
      <c r="M590" s="111"/>
      <c r="N590" s="111"/>
      <c r="O590" s="111"/>
      <c r="P590" s="2">
        <f t="shared" si="61"/>
        <v>0</v>
      </c>
      <c r="Q590" s="2">
        <f t="shared" si="62"/>
        <v>0</v>
      </c>
      <c r="R590" s="2">
        <f t="shared" si="63"/>
        <v>0</v>
      </c>
      <c r="S590" s="2">
        <f t="shared" si="64"/>
        <v>0</v>
      </c>
      <c r="T590" s="2">
        <f t="shared" si="65"/>
        <v>0</v>
      </c>
      <c r="U590" s="2">
        <f t="shared" si="66"/>
        <v>0</v>
      </c>
    </row>
    <row r="591" spans="1:21">
      <c r="A591" s="55">
        <v>588</v>
      </c>
      <c r="B591" s="55" t="s">
        <v>305</v>
      </c>
      <c r="C591" s="55" t="s">
        <v>310</v>
      </c>
      <c r="D591" s="55" t="s">
        <v>311</v>
      </c>
      <c r="E591" s="75" t="s">
        <v>298</v>
      </c>
      <c r="F591" s="55" t="s">
        <v>267</v>
      </c>
      <c r="G591" s="55">
        <v>911605068</v>
      </c>
      <c r="H591" s="55" t="s">
        <v>129</v>
      </c>
      <c r="I591" s="55">
        <v>106.45</v>
      </c>
      <c r="J591" s="111">
        <v>0</v>
      </c>
      <c r="K591" s="111">
        <v>0</v>
      </c>
      <c r="L591" s="111">
        <v>0</v>
      </c>
      <c r="M591" s="111"/>
      <c r="N591" s="111"/>
      <c r="O591" s="111"/>
      <c r="P591" s="2">
        <f t="shared" si="61"/>
        <v>0</v>
      </c>
      <c r="Q591" s="2">
        <f t="shared" si="62"/>
        <v>0</v>
      </c>
      <c r="R591" s="2">
        <f t="shared" si="63"/>
        <v>0</v>
      </c>
      <c r="S591" s="2">
        <f t="shared" si="64"/>
        <v>0</v>
      </c>
      <c r="T591" s="2">
        <f t="shared" si="65"/>
        <v>0</v>
      </c>
      <c r="U591" s="2">
        <f t="shared" si="66"/>
        <v>0</v>
      </c>
    </row>
    <row r="592" spans="1:21">
      <c r="A592" s="55">
        <v>589</v>
      </c>
      <c r="B592" s="55" t="s">
        <v>305</v>
      </c>
      <c r="C592" s="55" t="s">
        <v>310</v>
      </c>
      <c r="D592" s="55" t="s">
        <v>311</v>
      </c>
      <c r="E592" s="75" t="s">
        <v>298</v>
      </c>
      <c r="F592" s="55" t="s">
        <v>268</v>
      </c>
      <c r="G592" s="55">
        <v>911605067</v>
      </c>
      <c r="H592" s="55" t="s">
        <v>130</v>
      </c>
      <c r="I592" s="55">
        <v>106.45</v>
      </c>
      <c r="J592" s="111">
        <v>0</v>
      </c>
      <c r="K592" s="111">
        <v>0</v>
      </c>
      <c r="L592" s="111">
        <v>0</v>
      </c>
      <c r="M592" s="111"/>
      <c r="N592" s="111"/>
      <c r="O592" s="111"/>
      <c r="P592" s="2">
        <f t="shared" si="61"/>
        <v>0</v>
      </c>
      <c r="Q592" s="2">
        <f t="shared" si="62"/>
        <v>0</v>
      </c>
      <c r="R592" s="2">
        <f t="shared" si="63"/>
        <v>0</v>
      </c>
      <c r="S592" s="2">
        <f t="shared" si="64"/>
        <v>0</v>
      </c>
      <c r="T592" s="2">
        <f t="shared" si="65"/>
        <v>0</v>
      </c>
      <c r="U592" s="2">
        <f t="shared" si="66"/>
        <v>0</v>
      </c>
    </row>
    <row r="593" spans="1:21">
      <c r="A593" s="55">
        <v>590</v>
      </c>
      <c r="B593" s="55" t="s">
        <v>305</v>
      </c>
      <c r="C593" s="55" t="s">
        <v>310</v>
      </c>
      <c r="D593" s="55" t="s">
        <v>311</v>
      </c>
      <c r="E593" s="75" t="s">
        <v>298</v>
      </c>
      <c r="F593" s="55" t="s">
        <v>269</v>
      </c>
      <c r="G593" s="55">
        <v>911605070</v>
      </c>
      <c r="H593" s="55" t="s">
        <v>131</v>
      </c>
      <c r="I593" s="55">
        <v>91.77</v>
      </c>
      <c r="J593" s="111">
        <v>0</v>
      </c>
      <c r="K593" s="111">
        <v>0</v>
      </c>
      <c r="L593" s="111">
        <v>0</v>
      </c>
      <c r="M593" s="111"/>
      <c r="N593" s="111"/>
      <c r="O593" s="111"/>
      <c r="P593" s="2">
        <f t="shared" si="61"/>
        <v>0</v>
      </c>
      <c r="Q593" s="2">
        <f t="shared" si="62"/>
        <v>0</v>
      </c>
      <c r="R593" s="2">
        <f t="shared" si="63"/>
        <v>0</v>
      </c>
      <c r="S593" s="2">
        <f t="shared" si="64"/>
        <v>0</v>
      </c>
      <c r="T593" s="2">
        <f t="shared" si="65"/>
        <v>0</v>
      </c>
      <c r="U593" s="2">
        <f t="shared" si="66"/>
        <v>0</v>
      </c>
    </row>
    <row r="594" spans="1:21">
      <c r="A594" s="55">
        <v>591</v>
      </c>
      <c r="B594" s="55" t="s">
        <v>305</v>
      </c>
      <c r="C594" s="55" t="s">
        <v>310</v>
      </c>
      <c r="D594" s="55" t="s">
        <v>311</v>
      </c>
      <c r="E594" s="75" t="s">
        <v>298</v>
      </c>
      <c r="F594" s="55" t="s">
        <v>270</v>
      </c>
      <c r="G594" s="55">
        <v>911605069</v>
      </c>
      <c r="H594" s="55" t="s">
        <v>132</v>
      </c>
      <c r="I594" s="55">
        <v>91.77</v>
      </c>
      <c r="J594" s="111">
        <v>0</v>
      </c>
      <c r="K594" s="111">
        <v>0</v>
      </c>
      <c r="L594" s="111">
        <v>0</v>
      </c>
      <c r="M594" s="111"/>
      <c r="N594" s="111"/>
      <c r="O594" s="111"/>
      <c r="P594" s="2">
        <f t="shared" si="61"/>
        <v>0</v>
      </c>
      <c r="Q594" s="2">
        <f t="shared" si="62"/>
        <v>0</v>
      </c>
      <c r="R594" s="2">
        <f t="shared" si="63"/>
        <v>0</v>
      </c>
      <c r="S594" s="2">
        <f t="shared" si="64"/>
        <v>0</v>
      </c>
      <c r="T594" s="2">
        <f t="shared" si="65"/>
        <v>0</v>
      </c>
      <c r="U594" s="2">
        <f t="shared" si="66"/>
        <v>0</v>
      </c>
    </row>
    <row r="595" spans="1:21">
      <c r="A595" s="55">
        <v>592</v>
      </c>
      <c r="B595" s="55" t="s">
        <v>305</v>
      </c>
      <c r="C595" s="55" t="s">
        <v>310</v>
      </c>
      <c r="D595" s="55" t="s">
        <v>311</v>
      </c>
      <c r="E595" s="75" t="s">
        <v>298</v>
      </c>
      <c r="F595" s="55" t="s">
        <v>271</v>
      </c>
      <c r="G595" s="55">
        <v>911605055</v>
      </c>
      <c r="H595" s="55" t="s">
        <v>133</v>
      </c>
      <c r="I595" s="55">
        <v>104.31</v>
      </c>
      <c r="J595" s="111">
        <v>0</v>
      </c>
      <c r="K595" s="111">
        <v>0</v>
      </c>
      <c r="L595" s="111">
        <v>0</v>
      </c>
      <c r="M595" s="111"/>
      <c r="N595" s="111"/>
      <c r="O595" s="111"/>
      <c r="P595" s="2">
        <f t="shared" si="61"/>
        <v>0</v>
      </c>
      <c r="Q595" s="2">
        <f t="shared" si="62"/>
        <v>0</v>
      </c>
      <c r="R595" s="2">
        <f t="shared" si="63"/>
        <v>0</v>
      </c>
      <c r="S595" s="2">
        <f t="shared" si="64"/>
        <v>0</v>
      </c>
      <c r="T595" s="2">
        <f t="shared" si="65"/>
        <v>0</v>
      </c>
      <c r="U595" s="2">
        <f t="shared" si="66"/>
        <v>0</v>
      </c>
    </row>
    <row r="596" spans="1:21">
      <c r="A596" s="55">
        <v>593</v>
      </c>
      <c r="B596" s="55" t="s">
        <v>305</v>
      </c>
      <c r="C596" s="55" t="s">
        <v>310</v>
      </c>
      <c r="D596" s="55" t="s">
        <v>311</v>
      </c>
      <c r="E596" s="75" t="s">
        <v>298</v>
      </c>
      <c r="F596" s="55" t="s">
        <v>272</v>
      </c>
      <c r="G596" s="55">
        <v>911605054</v>
      </c>
      <c r="H596" s="55" t="s">
        <v>134</v>
      </c>
      <c r="I596" s="55">
        <v>104.31</v>
      </c>
      <c r="J596" s="111">
        <v>0</v>
      </c>
      <c r="K596" s="111">
        <v>0</v>
      </c>
      <c r="L596" s="111">
        <v>0</v>
      </c>
      <c r="M596" s="111"/>
      <c r="N596" s="111"/>
      <c r="O596" s="111"/>
      <c r="P596" s="2">
        <f t="shared" si="61"/>
        <v>0</v>
      </c>
      <c r="Q596" s="2">
        <f t="shared" si="62"/>
        <v>0</v>
      </c>
      <c r="R596" s="2">
        <f t="shared" si="63"/>
        <v>0</v>
      </c>
      <c r="S596" s="2">
        <f t="shared" si="64"/>
        <v>0</v>
      </c>
      <c r="T596" s="2">
        <f t="shared" si="65"/>
        <v>0</v>
      </c>
      <c r="U596" s="2">
        <f t="shared" si="66"/>
        <v>0</v>
      </c>
    </row>
    <row r="597" spans="1:21">
      <c r="A597" s="55">
        <v>594</v>
      </c>
      <c r="B597" s="55" t="s">
        <v>305</v>
      </c>
      <c r="C597" s="55" t="s">
        <v>310</v>
      </c>
      <c r="D597" s="55" t="s">
        <v>311</v>
      </c>
      <c r="E597" s="75" t="s">
        <v>298</v>
      </c>
      <c r="F597" s="55" t="s">
        <v>273</v>
      </c>
      <c r="G597" s="55">
        <v>911605056</v>
      </c>
      <c r="H597" s="55" t="s">
        <v>135</v>
      </c>
      <c r="I597" s="55">
        <v>94.98</v>
      </c>
      <c r="J597" s="111">
        <v>0</v>
      </c>
      <c r="K597" s="111">
        <v>0</v>
      </c>
      <c r="L597" s="111">
        <v>0</v>
      </c>
      <c r="M597" s="111"/>
      <c r="N597" s="111"/>
      <c r="O597" s="111"/>
      <c r="P597" s="2">
        <f t="shared" si="61"/>
        <v>0</v>
      </c>
      <c r="Q597" s="2">
        <f t="shared" si="62"/>
        <v>0</v>
      </c>
      <c r="R597" s="2">
        <f t="shared" si="63"/>
        <v>0</v>
      </c>
      <c r="S597" s="2">
        <f t="shared" si="64"/>
        <v>0</v>
      </c>
      <c r="T597" s="2">
        <f t="shared" si="65"/>
        <v>0</v>
      </c>
      <c r="U597" s="2">
        <f t="shared" si="66"/>
        <v>0</v>
      </c>
    </row>
    <row r="598" spans="1:21">
      <c r="A598" s="55">
        <v>595</v>
      </c>
      <c r="B598" s="55" t="s">
        <v>305</v>
      </c>
      <c r="C598" s="55" t="s">
        <v>310</v>
      </c>
      <c r="D598" s="55" t="s">
        <v>311</v>
      </c>
      <c r="E598" s="75" t="s">
        <v>298</v>
      </c>
      <c r="F598" s="55" t="s">
        <v>274</v>
      </c>
      <c r="G598" s="55">
        <v>911605057</v>
      </c>
      <c r="H598" s="55" t="s">
        <v>136</v>
      </c>
      <c r="I598" s="55">
        <v>94.98</v>
      </c>
      <c r="J598" s="111">
        <v>0</v>
      </c>
      <c r="K598" s="111">
        <v>0</v>
      </c>
      <c r="L598" s="111">
        <v>0</v>
      </c>
      <c r="M598" s="111"/>
      <c r="N598" s="111"/>
      <c r="O598" s="111"/>
      <c r="P598" s="2">
        <f t="shared" si="61"/>
        <v>0</v>
      </c>
      <c r="Q598" s="2">
        <f t="shared" si="62"/>
        <v>0</v>
      </c>
      <c r="R598" s="2">
        <f t="shared" si="63"/>
        <v>0</v>
      </c>
      <c r="S598" s="2">
        <f t="shared" si="64"/>
        <v>0</v>
      </c>
      <c r="T598" s="2">
        <f t="shared" si="65"/>
        <v>0</v>
      </c>
      <c r="U598" s="2">
        <f t="shared" si="66"/>
        <v>0</v>
      </c>
    </row>
    <row r="599" spans="1:21">
      <c r="A599" s="55">
        <v>596</v>
      </c>
      <c r="B599" s="55" t="s">
        <v>305</v>
      </c>
      <c r="C599" s="55" t="s">
        <v>310</v>
      </c>
      <c r="D599" s="55" t="s">
        <v>311</v>
      </c>
      <c r="E599" s="75" t="s">
        <v>298</v>
      </c>
      <c r="F599" s="55" t="s">
        <v>275</v>
      </c>
      <c r="G599" s="55">
        <v>916021003</v>
      </c>
      <c r="H599" s="55" t="s">
        <v>137</v>
      </c>
      <c r="I599" s="55">
        <v>118.34</v>
      </c>
      <c r="J599" s="111">
        <v>0</v>
      </c>
      <c r="K599" s="111">
        <v>0</v>
      </c>
      <c r="L599" s="111">
        <v>0</v>
      </c>
      <c r="M599" s="111"/>
      <c r="N599" s="111"/>
      <c r="O599" s="111"/>
      <c r="P599" s="2">
        <f t="shared" si="61"/>
        <v>0</v>
      </c>
      <c r="Q599" s="2">
        <f t="shared" si="62"/>
        <v>0</v>
      </c>
      <c r="R599" s="2">
        <f t="shared" si="63"/>
        <v>0</v>
      </c>
      <c r="S599" s="2">
        <f t="shared" si="64"/>
        <v>0</v>
      </c>
      <c r="T599" s="2">
        <f t="shared" si="65"/>
        <v>0</v>
      </c>
      <c r="U599" s="2">
        <f t="shared" si="66"/>
        <v>0</v>
      </c>
    </row>
    <row r="600" spans="1:21">
      <c r="A600" s="55">
        <v>597</v>
      </c>
      <c r="B600" s="55" t="s">
        <v>305</v>
      </c>
      <c r="C600" s="55" t="s">
        <v>310</v>
      </c>
      <c r="D600" s="55" t="s">
        <v>311</v>
      </c>
      <c r="E600" s="75" t="s">
        <v>298</v>
      </c>
      <c r="F600" s="55" t="s">
        <v>276</v>
      </c>
      <c r="G600" s="55">
        <v>911604053</v>
      </c>
      <c r="H600" s="55" t="s">
        <v>138</v>
      </c>
      <c r="I600" s="55">
        <v>104.96</v>
      </c>
      <c r="J600" s="111">
        <v>0</v>
      </c>
      <c r="K600" s="111">
        <v>0</v>
      </c>
      <c r="L600" s="111">
        <v>0</v>
      </c>
      <c r="M600" s="111"/>
      <c r="N600" s="111"/>
      <c r="O600" s="111"/>
      <c r="P600" s="2">
        <f t="shared" si="61"/>
        <v>0</v>
      </c>
      <c r="Q600" s="2">
        <f t="shared" si="62"/>
        <v>0</v>
      </c>
      <c r="R600" s="2">
        <f t="shared" si="63"/>
        <v>0</v>
      </c>
      <c r="S600" s="2">
        <f t="shared" si="64"/>
        <v>0</v>
      </c>
      <c r="T600" s="2">
        <f t="shared" si="65"/>
        <v>0</v>
      </c>
      <c r="U600" s="2">
        <f t="shared" si="66"/>
        <v>0</v>
      </c>
    </row>
    <row r="601" spans="1:21">
      <c r="A601" s="55">
        <v>598</v>
      </c>
      <c r="B601" s="55" t="s">
        <v>305</v>
      </c>
      <c r="C601" s="55" t="s">
        <v>310</v>
      </c>
      <c r="D601" s="55" t="s">
        <v>311</v>
      </c>
      <c r="E601" s="75" t="s">
        <v>298</v>
      </c>
      <c r="F601" s="55" t="s">
        <v>277</v>
      </c>
      <c r="G601" s="55">
        <v>911604052</v>
      </c>
      <c r="H601" s="55" t="s">
        <v>139</v>
      </c>
      <c r="I601" s="55">
        <v>104.96</v>
      </c>
      <c r="J601" s="111">
        <v>0</v>
      </c>
      <c r="K601" s="111">
        <v>0</v>
      </c>
      <c r="L601" s="111">
        <v>0</v>
      </c>
      <c r="M601" s="111"/>
      <c r="N601" s="111"/>
      <c r="O601" s="111"/>
      <c r="P601" s="2">
        <f t="shared" si="61"/>
        <v>0</v>
      </c>
      <c r="Q601" s="2">
        <f t="shared" si="62"/>
        <v>0</v>
      </c>
      <c r="R601" s="2">
        <f t="shared" si="63"/>
        <v>0</v>
      </c>
      <c r="S601" s="2">
        <f t="shared" si="64"/>
        <v>0</v>
      </c>
      <c r="T601" s="2">
        <f t="shared" si="65"/>
        <v>0</v>
      </c>
      <c r="U601" s="2">
        <f t="shared" si="66"/>
        <v>0</v>
      </c>
    </row>
    <row r="602" spans="1:21">
      <c r="A602" s="55">
        <v>599</v>
      </c>
      <c r="B602" s="55" t="s">
        <v>305</v>
      </c>
      <c r="C602" s="55" t="s">
        <v>310</v>
      </c>
      <c r="D602" s="55" t="s">
        <v>311</v>
      </c>
      <c r="E602" s="75" t="s">
        <v>298</v>
      </c>
      <c r="F602" s="55" t="s">
        <v>278</v>
      </c>
      <c r="G602" s="55">
        <v>911604054</v>
      </c>
      <c r="H602" s="55" t="s">
        <v>142</v>
      </c>
      <c r="I602" s="55">
        <v>122.15</v>
      </c>
      <c r="J602" s="111">
        <v>0</v>
      </c>
      <c r="K602" s="111">
        <v>0</v>
      </c>
      <c r="L602" s="111">
        <v>0</v>
      </c>
      <c r="M602" s="111"/>
      <c r="N602" s="111"/>
      <c r="O602" s="111"/>
      <c r="P602" s="2">
        <f t="shared" si="61"/>
        <v>0</v>
      </c>
      <c r="Q602" s="2">
        <f t="shared" si="62"/>
        <v>0</v>
      </c>
      <c r="R602" s="2">
        <f t="shared" si="63"/>
        <v>0</v>
      </c>
      <c r="S602" s="2">
        <f t="shared" si="64"/>
        <v>0</v>
      </c>
      <c r="T602" s="2">
        <f t="shared" si="65"/>
        <v>0</v>
      </c>
      <c r="U602" s="2">
        <f t="shared" si="66"/>
        <v>0</v>
      </c>
    </row>
    <row r="603" spans="1:21">
      <c r="A603" s="55">
        <v>600</v>
      </c>
      <c r="B603" s="55" t="s">
        <v>305</v>
      </c>
      <c r="C603" s="55" t="s">
        <v>310</v>
      </c>
      <c r="D603" s="55" t="s">
        <v>311</v>
      </c>
      <c r="E603" s="75" t="s">
        <v>298</v>
      </c>
      <c r="F603" s="55" t="s">
        <v>279</v>
      </c>
      <c r="G603" s="55">
        <v>911604056</v>
      </c>
      <c r="H603" s="55" t="s">
        <v>140</v>
      </c>
      <c r="I603" s="55">
        <v>106.84</v>
      </c>
      <c r="J603" s="111">
        <v>0</v>
      </c>
      <c r="K603" s="111">
        <v>0</v>
      </c>
      <c r="L603" s="111">
        <v>0</v>
      </c>
      <c r="M603" s="111"/>
      <c r="N603" s="111"/>
      <c r="O603" s="111"/>
      <c r="P603" s="2">
        <f t="shared" si="61"/>
        <v>0</v>
      </c>
      <c r="Q603" s="2">
        <f t="shared" si="62"/>
        <v>0</v>
      </c>
      <c r="R603" s="2">
        <f t="shared" si="63"/>
        <v>0</v>
      </c>
      <c r="S603" s="2">
        <f t="shared" si="64"/>
        <v>0</v>
      </c>
      <c r="T603" s="2">
        <f t="shared" si="65"/>
        <v>0</v>
      </c>
      <c r="U603" s="2">
        <f t="shared" si="66"/>
        <v>0</v>
      </c>
    </row>
    <row r="604" spans="1:21">
      <c r="A604" s="55">
        <v>601</v>
      </c>
      <c r="B604" s="55" t="s">
        <v>305</v>
      </c>
      <c r="C604" s="55" t="s">
        <v>310</v>
      </c>
      <c r="D604" s="55" t="s">
        <v>311</v>
      </c>
      <c r="E604" s="75" t="s">
        <v>298</v>
      </c>
      <c r="F604" s="55" t="s">
        <v>280</v>
      </c>
      <c r="G604" s="55">
        <v>911604055</v>
      </c>
      <c r="H604" s="55" t="s">
        <v>141</v>
      </c>
      <c r="I604" s="55">
        <v>106.84</v>
      </c>
      <c r="J604" s="111">
        <v>0</v>
      </c>
      <c r="K604" s="111">
        <v>0</v>
      </c>
      <c r="L604" s="111">
        <v>0</v>
      </c>
      <c r="M604" s="111"/>
      <c r="N604" s="111"/>
      <c r="O604" s="111"/>
      <c r="P604" s="2">
        <f t="shared" si="61"/>
        <v>0</v>
      </c>
      <c r="Q604" s="2">
        <f t="shared" si="62"/>
        <v>0</v>
      </c>
      <c r="R604" s="2">
        <f t="shared" si="63"/>
        <v>0</v>
      </c>
      <c r="S604" s="2">
        <f t="shared" si="64"/>
        <v>0</v>
      </c>
      <c r="T604" s="2">
        <f t="shared" si="65"/>
        <v>0</v>
      </c>
      <c r="U604" s="2">
        <f t="shared" si="66"/>
        <v>0</v>
      </c>
    </row>
    <row r="605" spans="1:21">
      <c r="A605" s="55">
        <v>602</v>
      </c>
      <c r="B605" s="55" t="s">
        <v>305</v>
      </c>
      <c r="C605" s="55" t="s">
        <v>312</v>
      </c>
      <c r="D605" s="55" t="s">
        <v>313</v>
      </c>
      <c r="E605" s="75" t="s">
        <v>299</v>
      </c>
      <c r="F605" s="55" t="s">
        <v>144</v>
      </c>
      <c r="G605" s="55">
        <v>919701001</v>
      </c>
      <c r="H605" s="55" t="s">
        <v>145</v>
      </c>
      <c r="I605" s="55">
        <v>147.96</v>
      </c>
      <c r="J605" s="111">
        <v>6944</v>
      </c>
      <c r="K605" s="111">
        <v>6418</v>
      </c>
      <c r="L605" s="111">
        <v>6418</v>
      </c>
      <c r="M605" s="111">
        <v>6174</v>
      </c>
      <c r="N605" s="111">
        <v>7251</v>
      </c>
      <c r="O605" s="111">
        <v>6726</v>
      </c>
      <c r="P605" s="2">
        <f t="shared" si="61"/>
        <v>1027434.2400000001</v>
      </c>
      <c r="Q605" s="2">
        <f t="shared" si="62"/>
        <v>949607.28</v>
      </c>
      <c r="R605" s="2">
        <f t="shared" si="63"/>
        <v>949607.28</v>
      </c>
      <c r="S605" s="2">
        <f t="shared" si="64"/>
        <v>913505.04</v>
      </c>
      <c r="T605" s="2">
        <f t="shared" si="65"/>
        <v>1072857.96</v>
      </c>
      <c r="U605" s="2">
        <f t="shared" si="66"/>
        <v>995178.96000000008</v>
      </c>
    </row>
    <row r="606" spans="1:21">
      <c r="A606" s="55">
        <v>603</v>
      </c>
      <c r="B606" s="55" t="s">
        <v>305</v>
      </c>
      <c r="C606" s="55" t="s">
        <v>312</v>
      </c>
      <c r="D606" s="55" t="s">
        <v>313</v>
      </c>
      <c r="E606" s="75" t="s">
        <v>299</v>
      </c>
      <c r="F606" s="55" t="s">
        <v>146</v>
      </c>
      <c r="G606" s="55">
        <v>919701002</v>
      </c>
      <c r="H606" s="55" t="s">
        <v>147</v>
      </c>
      <c r="I606" s="55">
        <v>147.96</v>
      </c>
      <c r="J606" s="111">
        <v>6944</v>
      </c>
      <c r="K606" s="111">
        <v>6418</v>
      </c>
      <c r="L606" s="111">
        <v>6418</v>
      </c>
      <c r="M606" s="111">
        <v>6174</v>
      </c>
      <c r="N606" s="111">
        <v>7251</v>
      </c>
      <c r="O606" s="111">
        <v>6726</v>
      </c>
      <c r="P606" s="2">
        <f t="shared" si="61"/>
        <v>1027434.2400000001</v>
      </c>
      <c r="Q606" s="2">
        <f t="shared" si="62"/>
        <v>949607.28</v>
      </c>
      <c r="R606" s="2">
        <f t="shared" si="63"/>
        <v>949607.28</v>
      </c>
      <c r="S606" s="2">
        <f t="shared" si="64"/>
        <v>913505.04</v>
      </c>
      <c r="T606" s="2">
        <f t="shared" si="65"/>
        <v>1072857.96</v>
      </c>
      <c r="U606" s="2">
        <f t="shared" si="66"/>
        <v>995178.96000000008</v>
      </c>
    </row>
    <row r="607" spans="1:21">
      <c r="A607" s="55">
        <v>604</v>
      </c>
      <c r="B607" s="55" t="s">
        <v>305</v>
      </c>
      <c r="C607" s="55" t="s">
        <v>312</v>
      </c>
      <c r="D607" s="55" t="s">
        <v>313</v>
      </c>
      <c r="E607" s="75" t="s">
        <v>299</v>
      </c>
      <c r="F607" s="55" t="s">
        <v>148</v>
      </c>
      <c r="G607" s="55">
        <v>919701003</v>
      </c>
      <c r="H607" s="55" t="s">
        <v>149</v>
      </c>
      <c r="I607" s="55">
        <v>130.61000000000001</v>
      </c>
      <c r="J607" s="111">
        <v>6944</v>
      </c>
      <c r="K607" s="111">
        <v>6418</v>
      </c>
      <c r="L607" s="111">
        <v>6418</v>
      </c>
      <c r="M607" s="111">
        <v>6174</v>
      </c>
      <c r="N607" s="111">
        <v>7251</v>
      </c>
      <c r="O607" s="111">
        <v>6726</v>
      </c>
      <c r="P607" s="2">
        <f t="shared" si="61"/>
        <v>906955.84000000008</v>
      </c>
      <c r="Q607" s="2">
        <f t="shared" si="62"/>
        <v>838254.9800000001</v>
      </c>
      <c r="R607" s="2">
        <f t="shared" si="63"/>
        <v>838254.9800000001</v>
      </c>
      <c r="S607" s="2">
        <f t="shared" si="64"/>
        <v>806386.14000000013</v>
      </c>
      <c r="T607" s="2">
        <f t="shared" si="65"/>
        <v>947053.1100000001</v>
      </c>
      <c r="U607" s="2">
        <f t="shared" si="66"/>
        <v>878482.8600000001</v>
      </c>
    </row>
    <row r="608" spans="1:21">
      <c r="A608" s="55">
        <v>605</v>
      </c>
      <c r="B608" s="55" t="s">
        <v>305</v>
      </c>
      <c r="C608" s="55" t="s">
        <v>312</v>
      </c>
      <c r="D608" s="55" t="s">
        <v>313</v>
      </c>
      <c r="E608" s="75" t="s">
        <v>299</v>
      </c>
      <c r="F608" s="55" t="s">
        <v>150</v>
      </c>
      <c r="G608" s="55">
        <v>919701004</v>
      </c>
      <c r="H608" s="55" t="s">
        <v>151</v>
      </c>
      <c r="I608" s="55">
        <v>130.61000000000001</v>
      </c>
      <c r="J608" s="111">
        <v>6944</v>
      </c>
      <c r="K608" s="111">
        <v>6418</v>
      </c>
      <c r="L608" s="111">
        <v>6418</v>
      </c>
      <c r="M608" s="111">
        <v>6174</v>
      </c>
      <c r="N608" s="111">
        <v>7251</v>
      </c>
      <c r="O608" s="111">
        <v>6726</v>
      </c>
      <c r="P608" s="2">
        <f t="shared" si="61"/>
        <v>906955.84000000008</v>
      </c>
      <c r="Q608" s="2">
        <f t="shared" si="62"/>
        <v>838254.9800000001</v>
      </c>
      <c r="R608" s="2">
        <f t="shared" si="63"/>
        <v>838254.9800000001</v>
      </c>
      <c r="S608" s="2">
        <f t="shared" si="64"/>
        <v>806386.14000000013</v>
      </c>
      <c r="T608" s="2">
        <f t="shared" si="65"/>
        <v>947053.1100000001</v>
      </c>
      <c r="U608" s="2">
        <f t="shared" si="66"/>
        <v>878482.8600000001</v>
      </c>
    </row>
    <row r="609" spans="1:21">
      <c r="A609" s="55">
        <v>606</v>
      </c>
      <c r="B609" s="55" t="s">
        <v>305</v>
      </c>
      <c r="C609" s="55" t="s">
        <v>312</v>
      </c>
      <c r="D609" s="55" t="s">
        <v>313</v>
      </c>
      <c r="E609" s="75" t="s">
        <v>1214</v>
      </c>
      <c r="F609" s="55"/>
      <c r="G609" s="55">
        <v>914901001</v>
      </c>
      <c r="H609" s="55" t="s">
        <v>985</v>
      </c>
      <c r="I609" s="55">
        <v>133.86000000000001</v>
      </c>
      <c r="J609" s="111">
        <v>8118</v>
      </c>
      <c r="K609" s="111">
        <v>8409</v>
      </c>
      <c r="L609" s="111">
        <v>9193</v>
      </c>
      <c r="M609" s="111">
        <v>8412</v>
      </c>
      <c r="N609" s="111">
        <v>10031</v>
      </c>
      <c r="O609" s="111">
        <v>9222</v>
      </c>
      <c r="P609" s="2">
        <f t="shared" si="61"/>
        <v>1086675.4800000002</v>
      </c>
      <c r="Q609" s="2">
        <f t="shared" si="62"/>
        <v>1125628.7400000002</v>
      </c>
      <c r="R609" s="2">
        <f t="shared" si="63"/>
        <v>1230574.9800000002</v>
      </c>
      <c r="S609" s="2">
        <f t="shared" si="64"/>
        <v>1126030.32</v>
      </c>
      <c r="T609" s="2">
        <f t="shared" si="65"/>
        <v>1342749.6600000001</v>
      </c>
      <c r="U609" s="2">
        <f t="shared" si="66"/>
        <v>1234456.9200000002</v>
      </c>
    </row>
    <row r="610" spans="1:21">
      <c r="A610" s="55">
        <v>607</v>
      </c>
      <c r="B610" s="55" t="s">
        <v>305</v>
      </c>
      <c r="C610" s="55" t="s">
        <v>312</v>
      </c>
      <c r="D610" s="55" t="s">
        <v>313</v>
      </c>
      <c r="E610" s="75" t="s">
        <v>1214</v>
      </c>
      <c r="F610" s="55"/>
      <c r="G610" s="55">
        <v>914901002</v>
      </c>
      <c r="H610" s="55" t="s">
        <v>985</v>
      </c>
      <c r="I610" s="55">
        <v>133.86000000000001</v>
      </c>
      <c r="J610" s="111">
        <v>8118</v>
      </c>
      <c r="K610" s="111">
        <v>8409</v>
      </c>
      <c r="L610" s="111">
        <v>9193</v>
      </c>
      <c r="M610" s="111">
        <v>8412</v>
      </c>
      <c r="N610" s="111">
        <v>10031</v>
      </c>
      <c r="O610" s="111">
        <v>9222</v>
      </c>
      <c r="P610" s="2">
        <f t="shared" si="61"/>
        <v>1086675.4800000002</v>
      </c>
      <c r="Q610" s="2">
        <f t="shared" si="62"/>
        <v>1125628.7400000002</v>
      </c>
      <c r="R610" s="2">
        <f t="shared" si="63"/>
        <v>1230574.9800000002</v>
      </c>
      <c r="S610" s="2">
        <f t="shared" si="64"/>
        <v>1126030.32</v>
      </c>
      <c r="T610" s="2">
        <f t="shared" si="65"/>
        <v>1342749.6600000001</v>
      </c>
      <c r="U610" s="2">
        <f t="shared" si="66"/>
        <v>1234456.9200000002</v>
      </c>
    </row>
    <row r="611" spans="1:21">
      <c r="A611" s="55">
        <v>608</v>
      </c>
      <c r="B611" s="55" t="s">
        <v>305</v>
      </c>
      <c r="C611" s="55" t="s">
        <v>312</v>
      </c>
      <c r="D611" s="55" t="s">
        <v>313</v>
      </c>
      <c r="E611" s="75" t="s">
        <v>1214</v>
      </c>
      <c r="F611" s="55"/>
      <c r="G611" s="55">
        <v>914901003</v>
      </c>
      <c r="H611" s="55" t="s">
        <v>987</v>
      </c>
      <c r="I611" s="55">
        <v>121.2</v>
      </c>
      <c r="J611" s="111">
        <v>8118</v>
      </c>
      <c r="K611" s="111">
        <v>8409</v>
      </c>
      <c r="L611" s="111">
        <v>9193</v>
      </c>
      <c r="M611" s="111">
        <v>8412</v>
      </c>
      <c r="N611" s="111">
        <v>10031</v>
      </c>
      <c r="O611" s="111">
        <v>9222</v>
      </c>
      <c r="P611" s="2">
        <f t="shared" si="61"/>
        <v>983901.6</v>
      </c>
      <c r="Q611" s="2">
        <f t="shared" si="62"/>
        <v>1019170.8</v>
      </c>
      <c r="R611" s="2">
        <f t="shared" si="63"/>
        <v>1114191.6000000001</v>
      </c>
      <c r="S611" s="2">
        <f t="shared" si="64"/>
        <v>1019534.4</v>
      </c>
      <c r="T611" s="2">
        <f t="shared" si="65"/>
        <v>1215757.2</v>
      </c>
      <c r="U611" s="2">
        <f t="shared" si="66"/>
        <v>1117706.4000000001</v>
      </c>
    </row>
    <row r="612" spans="1:21">
      <c r="A612" s="55">
        <v>609</v>
      </c>
      <c r="B612" s="55" t="s">
        <v>305</v>
      </c>
      <c r="C612" s="55" t="s">
        <v>312</v>
      </c>
      <c r="D612" s="55" t="s">
        <v>313</v>
      </c>
      <c r="E612" s="75" t="s">
        <v>1214</v>
      </c>
      <c r="F612" s="55"/>
      <c r="G612" s="55">
        <v>914901004</v>
      </c>
      <c r="H612" s="55" t="s">
        <v>987</v>
      </c>
      <c r="I612" s="55">
        <v>121.2</v>
      </c>
      <c r="J612" s="111">
        <v>8118</v>
      </c>
      <c r="K612" s="111">
        <v>8409</v>
      </c>
      <c r="L612" s="111">
        <v>9193</v>
      </c>
      <c r="M612" s="111">
        <v>8412</v>
      </c>
      <c r="N612" s="111">
        <v>10031</v>
      </c>
      <c r="O612" s="111">
        <v>9222</v>
      </c>
      <c r="P612" s="2">
        <f t="shared" si="61"/>
        <v>983901.6</v>
      </c>
      <c r="Q612" s="2">
        <f t="shared" si="62"/>
        <v>1019170.8</v>
      </c>
      <c r="R612" s="2">
        <f t="shared" si="63"/>
        <v>1114191.6000000001</v>
      </c>
      <c r="S612" s="2">
        <f t="shared" si="64"/>
        <v>1019534.4</v>
      </c>
      <c r="T612" s="2">
        <f t="shared" si="65"/>
        <v>1215757.2</v>
      </c>
      <c r="U612" s="2">
        <f t="shared" si="66"/>
        <v>1117706.4000000001</v>
      </c>
    </row>
    <row r="613" spans="1:21">
      <c r="A613" s="55">
        <v>610</v>
      </c>
      <c r="B613" s="55" t="s">
        <v>305</v>
      </c>
      <c r="C613" s="55" t="s">
        <v>312</v>
      </c>
      <c r="D613" s="55" t="s">
        <v>313</v>
      </c>
      <c r="E613" s="75" t="s">
        <v>1214</v>
      </c>
      <c r="F613" s="55"/>
      <c r="G613" s="55">
        <v>914904001</v>
      </c>
      <c r="H613" s="55" t="s">
        <v>905</v>
      </c>
      <c r="I613" s="55">
        <v>130.57</v>
      </c>
      <c r="J613" s="111">
        <v>8118</v>
      </c>
      <c r="K613" s="111">
        <v>8409</v>
      </c>
      <c r="L613" s="111">
        <v>9193</v>
      </c>
      <c r="M613" s="111">
        <v>8412</v>
      </c>
      <c r="N613" s="111">
        <v>10031</v>
      </c>
      <c r="O613" s="111">
        <v>9222</v>
      </c>
      <c r="P613" s="2">
        <f t="shared" si="61"/>
        <v>1059967.26</v>
      </c>
      <c r="Q613" s="2">
        <f t="shared" si="62"/>
        <v>1097963.1299999999</v>
      </c>
      <c r="R613" s="2">
        <f t="shared" si="63"/>
        <v>1200330.01</v>
      </c>
      <c r="S613" s="2">
        <f t="shared" si="64"/>
        <v>1098354.8399999999</v>
      </c>
      <c r="T613" s="2">
        <f t="shared" si="65"/>
        <v>1309747.67</v>
      </c>
      <c r="U613" s="2">
        <f t="shared" si="66"/>
        <v>1204116.54</v>
      </c>
    </row>
    <row r="614" spans="1:21">
      <c r="A614" s="55">
        <v>611</v>
      </c>
      <c r="B614" s="55" t="s">
        <v>305</v>
      </c>
      <c r="C614" s="55" t="s">
        <v>312</v>
      </c>
      <c r="D614" s="55" t="s">
        <v>313</v>
      </c>
      <c r="E614" s="75" t="s">
        <v>1214</v>
      </c>
      <c r="F614" s="55"/>
      <c r="G614" s="55">
        <v>914904002</v>
      </c>
      <c r="H614" s="55" t="s">
        <v>901</v>
      </c>
      <c r="I614" s="55">
        <v>130.57</v>
      </c>
      <c r="J614" s="111">
        <v>8118</v>
      </c>
      <c r="K614" s="111">
        <v>8409</v>
      </c>
      <c r="L614" s="111">
        <v>9193</v>
      </c>
      <c r="M614" s="111">
        <v>8412</v>
      </c>
      <c r="N614" s="111">
        <v>10031</v>
      </c>
      <c r="O614" s="111">
        <v>9222</v>
      </c>
      <c r="P614" s="2">
        <f t="shared" si="61"/>
        <v>1059967.26</v>
      </c>
      <c r="Q614" s="2">
        <f t="shared" si="62"/>
        <v>1097963.1299999999</v>
      </c>
      <c r="R614" s="2">
        <f t="shared" si="63"/>
        <v>1200330.01</v>
      </c>
      <c r="S614" s="2">
        <f t="shared" si="64"/>
        <v>1098354.8399999999</v>
      </c>
      <c r="T614" s="2">
        <f t="shared" si="65"/>
        <v>1309747.67</v>
      </c>
      <c r="U614" s="2">
        <f t="shared" si="66"/>
        <v>1204116.54</v>
      </c>
    </row>
    <row r="615" spans="1:21">
      <c r="A615" s="55">
        <v>612</v>
      </c>
      <c r="B615" s="55" t="s">
        <v>305</v>
      </c>
      <c r="C615" s="55" t="s">
        <v>312</v>
      </c>
      <c r="D615" s="55" t="s">
        <v>313</v>
      </c>
      <c r="E615" s="75" t="s">
        <v>1214</v>
      </c>
      <c r="F615" s="55"/>
      <c r="G615" s="55">
        <v>914904003</v>
      </c>
      <c r="H615" s="55" t="s">
        <v>897</v>
      </c>
      <c r="I615" s="55">
        <v>113.22</v>
      </c>
      <c r="J615" s="111">
        <v>8118</v>
      </c>
      <c r="K615" s="111">
        <v>8409</v>
      </c>
      <c r="L615" s="111">
        <v>9193</v>
      </c>
      <c r="M615" s="111">
        <v>8412</v>
      </c>
      <c r="N615" s="111">
        <v>10031</v>
      </c>
      <c r="O615" s="111">
        <v>9222</v>
      </c>
      <c r="P615" s="2">
        <f t="shared" si="61"/>
        <v>919119.96</v>
      </c>
      <c r="Q615" s="2">
        <f t="shared" si="62"/>
        <v>952066.98</v>
      </c>
      <c r="R615" s="2">
        <f t="shared" si="63"/>
        <v>1040831.46</v>
      </c>
      <c r="S615" s="2">
        <f t="shared" si="64"/>
        <v>952406.64</v>
      </c>
      <c r="T615" s="2">
        <f t="shared" si="65"/>
        <v>1135709.82</v>
      </c>
      <c r="U615" s="2">
        <f t="shared" si="66"/>
        <v>1044114.84</v>
      </c>
    </row>
    <row r="616" spans="1:21">
      <c r="A616" s="55">
        <v>613</v>
      </c>
      <c r="B616" s="55" t="s">
        <v>305</v>
      </c>
      <c r="C616" s="55" t="s">
        <v>312</v>
      </c>
      <c r="D616" s="55" t="s">
        <v>313</v>
      </c>
      <c r="E616" s="75" t="s">
        <v>1214</v>
      </c>
      <c r="F616" s="55"/>
      <c r="G616" s="55">
        <v>914904004</v>
      </c>
      <c r="H616" s="55" t="s">
        <v>899</v>
      </c>
      <c r="I616" s="55">
        <v>113.22</v>
      </c>
      <c r="J616" s="111">
        <v>8118</v>
      </c>
      <c r="K616" s="111">
        <v>8409</v>
      </c>
      <c r="L616" s="111">
        <v>9193</v>
      </c>
      <c r="M616" s="111">
        <v>8412</v>
      </c>
      <c r="N616" s="111">
        <v>10031</v>
      </c>
      <c r="O616" s="111">
        <v>9222</v>
      </c>
      <c r="P616" s="2">
        <f t="shared" si="61"/>
        <v>919119.96</v>
      </c>
      <c r="Q616" s="2">
        <f t="shared" si="62"/>
        <v>952066.98</v>
      </c>
      <c r="R616" s="2">
        <f t="shared" si="63"/>
        <v>1040831.46</v>
      </c>
      <c r="S616" s="2">
        <f t="shared" si="64"/>
        <v>952406.64</v>
      </c>
      <c r="T616" s="2">
        <f t="shared" si="65"/>
        <v>1135709.82</v>
      </c>
      <c r="U616" s="2">
        <f t="shared" si="66"/>
        <v>1044114.84</v>
      </c>
    </row>
    <row r="617" spans="1:21">
      <c r="A617" s="55">
        <v>614</v>
      </c>
      <c r="B617" s="55" t="s">
        <v>305</v>
      </c>
      <c r="C617" s="55" t="s">
        <v>312</v>
      </c>
      <c r="D617" s="55" t="s">
        <v>313</v>
      </c>
      <c r="E617" s="75" t="s">
        <v>1214</v>
      </c>
      <c r="F617" s="55"/>
      <c r="G617" s="55">
        <v>914904005</v>
      </c>
      <c r="H617" s="55" t="s">
        <v>986</v>
      </c>
      <c r="I617" s="55">
        <v>51</v>
      </c>
      <c r="J617" s="111">
        <v>8118</v>
      </c>
      <c r="K617" s="111">
        <v>8409</v>
      </c>
      <c r="L617" s="111">
        <v>9193</v>
      </c>
      <c r="M617" s="111">
        <v>8412</v>
      </c>
      <c r="N617" s="111">
        <v>10031</v>
      </c>
      <c r="O617" s="111">
        <v>9222</v>
      </c>
      <c r="P617" s="2">
        <f t="shared" si="61"/>
        <v>414018</v>
      </c>
      <c r="Q617" s="2">
        <f t="shared" si="62"/>
        <v>428859</v>
      </c>
      <c r="R617" s="2">
        <f t="shared" si="63"/>
        <v>468843</v>
      </c>
      <c r="S617" s="2">
        <f t="shared" si="64"/>
        <v>429012</v>
      </c>
      <c r="T617" s="2">
        <f t="shared" si="65"/>
        <v>511581</v>
      </c>
      <c r="U617" s="2">
        <f t="shared" si="66"/>
        <v>470322</v>
      </c>
    </row>
    <row r="618" spans="1:21">
      <c r="A618" s="55">
        <v>615</v>
      </c>
      <c r="B618" s="55" t="s">
        <v>1123</v>
      </c>
      <c r="C618" s="55" t="s">
        <v>1124</v>
      </c>
      <c r="D618" s="55" t="s">
        <v>1125</v>
      </c>
      <c r="E618" s="75" t="s">
        <v>1126</v>
      </c>
      <c r="F618" s="55">
        <v>282972506309</v>
      </c>
      <c r="G618" s="55">
        <v>914204007</v>
      </c>
      <c r="H618" s="55" t="s">
        <v>1127</v>
      </c>
      <c r="I618" s="55">
        <v>257.61</v>
      </c>
      <c r="J618" s="111">
        <v>12700</v>
      </c>
      <c r="K618" s="111">
        <v>12300</v>
      </c>
      <c r="L618" s="111">
        <v>13598</v>
      </c>
      <c r="M618" s="111">
        <v>12408</v>
      </c>
      <c r="N618" s="111"/>
      <c r="O618" s="111"/>
      <c r="P618" s="2">
        <f t="shared" si="61"/>
        <v>3271647</v>
      </c>
      <c r="Q618" s="2">
        <f t="shared" si="62"/>
        <v>3168603</v>
      </c>
      <c r="R618" s="2">
        <f t="shared" si="63"/>
        <v>3502980.7800000003</v>
      </c>
      <c r="S618" s="2">
        <f t="shared" si="64"/>
        <v>3196424.8800000004</v>
      </c>
      <c r="T618" s="2">
        <f t="shared" si="65"/>
        <v>0</v>
      </c>
      <c r="U618" s="2">
        <f t="shared" si="66"/>
        <v>0</v>
      </c>
    </row>
    <row r="619" spans="1:21">
      <c r="A619" s="55">
        <v>616</v>
      </c>
      <c r="B619" s="55" t="s">
        <v>1123</v>
      </c>
      <c r="C619" s="55" t="s">
        <v>1124</v>
      </c>
      <c r="D619" s="55" t="s">
        <v>1125</v>
      </c>
      <c r="E619" s="75" t="s">
        <v>1126</v>
      </c>
      <c r="F619" s="55">
        <v>282972506310</v>
      </c>
      <c r="G619" s="55">
        <v>914204008</v>
      </c>
      <c r="H619" s="55" t="s">
        <v>1128</v>
      </c>
      <c r="I619" s="55">
        <v>257.61</v>
      </c>
      <c r="J619" s="111">
        <v>12700</v>
      </c>
      <c r="K619" s="111">
        <v>12300</v>
      </c>
      <c r="L619" s="111">
        <v>13598</v>
      </c>
      <c r="M619" s="111">
        <v>12408</v>
      </c>
      <c r="N619" s="111"/>
      <c r="O619" s="111"/>
      <c r="P619" s="2">
        <f t="shared" si="61"/>
        <v>3271647</v>
      </c>
      <c r="Q619" s="2">
        <f t="shared" si="62"/>
        <v>3168603</v>
      </c>
      <c r="R619" s="2">
        <f t="shared" si="63"/>
        <v>3502980.7800000003</v>
      </c>
      <c r="S619" s="2">
        <f t="shared" si="64"/>
        <v>3196424.8800000004</v>
      </c>
      <c r="T619" s="2">
        <f t="shared" si="65"/>
        <v>0</v>
      </c>
      <c r="U619" s="2">
        <f t="shared" si="66"/>
        <v>0</v>
      </c>
    </row>
    <row r="620" spans="1:21">
      <c r="A620" s="55">
        <v>617</v>
      </c>
      <c r="B620" s="55" t="s">
        <v>1123</v>
      </c>
      <c r="C620" s="55" t="s">
        <v>1124</v>
      </c>
      <c r="D620" s="55" t="s">
        <v>1125</v>
      </c>
      <c r="E620" s="75" t="s">
        <v>1126</v>
      </c>
      <c r="F620" s="55">
        <v>282972306312</v>
      </c>
      <c r="G620" s="55">
        <v>914205001</v>
      </c>
      <c r="H620" s="55" t="s">
        <v>1129</v>
      </c>
      <c r="I620" s="55">
        <v>76.55</v>
      </c>
      <c r="J620" s="111">
        <v>12700</v>
      </c>
      <c r="K620" s="111">
        <v>12300</v>
      </c>
      <c r="L620" s="111">
        <v>13598</v>
      </c>
      <c r="M620" s="111">
        <v>12408</v>
      </c>
      <c r="N620" s="111"/>
      <c r="O620" s="111"/>
      <c r="P620" s="2">
        <f t="shared" si="61"/>
        <v>972185</v>
      </c>
      <c r="Q620" s="2">
        <f t="shared" si="62"/>
        <v>941565</v>
      </c>
      <c r="R620" s="2">
        <f t="shared" si="63"/>
        <v>1040926.8999999999</v>
      </c>
      <c r="S620" s="2">
        <f t="shared" si="64"/>
        <v>949832.39999999991</v>
      </c>
      <c r="T620" s="2">
        <f t="shared" si="65"/>
        <v>0</v>
      </c>
      <c r="U620" s="2">
        <f t="shared" si="66"/>
        <v>0</v>
      </c>
    </row>
    <row r="621" spans="1:21">
      <c r="A621" s="55">
        <v>618</v>
      </c>
      <c r="B621" s="55" t="s">
        <v>1123</v>
      </c>
      <c r="C621" s="55" t="s">
        <v>1124</v>
      </c>
      <c r="D621" s="55" t="s">
        <v>1125</v>
      </c>
      <c r="E621" s="75" t="s">
        <v>1126</v>
      </c>
      <c r="F621" s="55">
        <v>282972306313</v>
      </c>
      <c r="G621" s="55">
        <v>914205002</v>
      </c>
      <c r="H621" s="55" t="s">
        <v>1130</v>
      </c>
      <c r="I621" s="55">
        <v>76.55</v>
      </c>
      <c r="J621" s="111">
        <v>12700</v>
      </c>
      <c r="K621" s="111">
        <v>12300</v>
      </c>
      <c r="L621" s="111">
        <v>13598</v>
      </c>
      <c r="M621" s="111">
        <v>12408</v>
      </c>
      <c r="N621" s="111"/>
      <c r="O621" s="111"/>
      <c r="P621" s="2">
        <f t="shared" si="61"/>
        <v>972185</v>
      </c>
      <c r="Q621" s="2">
        <f t="shared" si="62"/>
        <v>941565</v>
      </c>
      <c r="R621" s="2">
        <f t="shared" si="63"/>
        <v>1040926.8999999999</v>
      </c>
      <c r="S621" s="2">
        <f t="shared" si="64"/>
        <v>949832.39999999991</v>
      </c>
      <c r="T621" s="2">
        <f t="shared" si="65"/>
        <v>0</v>
      </c>
      <c r="U621" s="2">
        <f t="shared" si="66"/>
        <v>0</v>
      </c>
    </row>
    <row r="622" spans="1:21">
      <c r="A622" s="55">
        <v>619</v>
      </c>
      <c r="B622" s="55" t="s">
        <v>1123</v>
      </c>
      <c r="C622" s="55" t="s">
        <v>1124</v>
      </c>
      <c r="D622" s="55" t="s">
        <v>1125</v>
      </c>
      <c r="E622" s="75" t="s">
        <v>1126</v>
      </c>
      <c r="F622" s="55">
        <v>282972306314</v>
      </c>
      <c r="G622" s="55">
        <v>914205004</v>
      </c>
      <c r="H622" s="55" t="s">
        <v>1131</v>
      </c>
      <c r="I622" s="55">
        <v>77.180000000000007</v>
      </c>
      <c r="J622" s="111">
        <v>12700</v>
      </c>
      <c r="K622" s="111">
        <v>12300</v>
      </c>
      <c r="L622" s="111">
        <v>13598</v>
      </c>
      <c r="M622" s="111">
        <v>12408</v>
      </c>
      <c r="N622" s="111"/>
      <c r="O622" s="111"/>
      <c r="P622" s="2">
        <f t="shared" si="61"/>
        <v>980186.00000000012</v>
      </c>
      <c r="Q622" s="2">
        <f t="shared" si="62"/>
        <v>949314.00000000012</v>
      </c>
      <c r="R622" s="2">
        <f t="shared" si="63"/>
        <v>1049493.6400000001</v>
      </c>
      <c r="S622" s="2">
        <f t="shared" si="64"/>
        <v>957649.44000000006</v>
      </c>
      <c r="T622" s="2">
        <f t="shared" si="65"/>
        <v>0</v>
      </c>
      <c r="U622" s="2">
        <f t="shared" si="66"/>
        <v>0</v>
      </c>
    </row>
    <row r="623" spans="1:21">
      <c r="A623" s="55">
        <v>620</v>
      </c>
      <c r="B623" s="55" t="s">
        <v>1123</v>
      </c>
      <c r="C623" s="55" t="s">
        <v>1124</v>
      </c>
      <c r="D623" s="55" t="s">
        <v>1125</v>
      </c>
      <c r="E623" s="75" t="s">
        <v>1126</v>
      </c>
      <c r="F623" s="55">
        <v>282972306315</v>
      </c>
      <c r="G623" s="55">
        <v>914205003</v>
      </c>
      <c r="H623" s="55" t="s">
        <v>1132</v>
      </c>
      <c r="I623" s="55">
        <v>77.180000000000007</v>
      </c>
      <c r="J623" s="111">
        <v>12700</v>
      </c>
      <c r="K623" s="111">
        <v>12300</v>
      </c>
      <c r="L623" s="111">
        <v>13598</v>
      </c>
      <c r="M623" s="111">
        <v>12408</v>
      </c>
      <c r="N623" s="111"/>
      <c r="O623" s="111"/>
      <c r="P623" s="2">
        <f t="shared" si="61"/>
        <v>980186.00000000012</v>
      </c>
      <c r="Q623" s="2">
        <f t="shared" si="62"/>
        <v>949314.00000000012</v>
      </c>
      <c r="R623" s="2">
        <f t="shared" si="63"/>
        <v>1049493.6400000001</v>
      </c>
      <c r="S623" s="2">
        <f t="shared" si="64"/>
        <v>957649.44000000006</v>
      </c>
      <c r="T623" s="2">
        <f t="shared" si="65"/>
        <v>0</v>
      </c>
      <c r="U623" s="2">
        <f t="shared" si="66"/>
        <v>0</v>
      </c>
    </row>
    <row r="624" spans="1:21">
      <c r="A624" s="55">
        <v>621</v>
      </c>
      <c r="B624" s="55" t="s">
        <v>1123</v>
      </c>
      <c r="C624" s="55" t="s">
        <v>1124</v>
      </c>
      <c r="D624" s="55" t="s">
        <v>1125</v>
      </c>
      <c r="E624" s="75" t="s">
        <v>1126</v>
      </c>
      <c r="F624" s="55">
        <v>282972506311</v>
      </c>
      <c r="G624" s="55">
        <v>914201001</v>
      </c>
      <c r="H624" s="55" t="s">
        <v>746</v>
      </c>
      <c r="I624" s="55">
        <v>270.61</v>
      </c>
      <c r="J624" s="111">
        <v>12700</v>
      </c>
      <c r="K624" s="111">
        <v>12300</v>
      </c>
      <c r="L624" s="111">
        <v>13598</v>
      </c>
      <c r="M624" s="111">
        <v>12408</v>
      </c>
      <c r="N624" s="111"/>
      <c r="O624" s="111"/>
      <c r="P624" s="2">
        <f t="shared" si="61"/>
        <v>3436747</v>
      </c>
      <c r="Q624" s="2">
        <f t="shared" si="62"/>
        <v>3328503</v>
      </c>
      <c r="R624" s="2">
        <f t="shared" si="63"/>
        <v>3679754.7800000003</v>
      </c>
      <c r="S624" s="2">
        <f t="shared" si="64"/>
        <v>3357728.8800000004</v>
      </c>
      <c r="T624" s="2">
        <f t="shared" si="65"/>
        <v>0</v>
      </c>
      <c r="U624" s="2">
        <f t="shared" si="66"/>
        <v>0</v>
      </c>
    </row>
    <row r="625" spans="1:21">
      <c r="A625" s="55">
        <v>622</v>
      </c>
      <c r="B625" s="55" t="s">
        <v>1123</v>
      </c>
      <c r="C625" s="55" t="s">
        <v>1124</v>
      </c>
      <c r="D625" s="55" t="s">
        <v>1125</v>
      </c>
      <c r="E625" s="75" t="s">
        <v>1126</v>
      </c>
      <c r="F625" s="55">
        <v>282972506312</v>
      </c>
      <c r="G625" s="55">
        <v>914201002</v>
      </c>
      <c r="H625" s="55" t="s">
        <v>744</v>
      </c>
      <c r="I625" s="55">
        <v>270.61</v>
      </c>
      <c r="J625" s="111">
        <v>12700</v>
      </c>
      <c r="K625" s="111">
        <v>12300</v>
      </c>
      <c r="L625" s="111">
        <v>13598</v>
      </c>
      <c r="M625" s="111">
        <v>12408</v>
      </c>
      <c r="N625" s="111"/>
      <c r="O625" s="111"/>
      <c r="P625" s="2">
        <f t="shared" si="61"/>
        <v>3436747</v>
      </c>
      <c r="Q625" s="2">
        <f t="shared" si="62"/>
        <v>3328503</v>
      </c>
      <c r="R625" s="2">
        <f t="shared" si="63"/>
        <v>3679754.7800000003</v>
      </c>
      <c r="S625" s="2">
        <f t="shared" si="64"/>
        <v>3357728.8800000004</v>
      </c>
      <c r="T625" s="2">
        <f t="shared" si="65"/>
        <v>0</v>
      </c>
      <c r="U625" s="2">
        <f t="shared" si="66"/>
        <v>0</v>
      </c>
    </row>
    <row r="626" spans="1:21">
      <c r="A626" s="55">
        <v>623</v>
      </c>
      <c r="B626" s="55" t="s">
        <v>1123</v>
      </c>
      <c r="C626" s="55" t="s">
        <v>1124</v>
      </c>
      <c r="D626" s="55" t="s">
        <v>1125</v>
      </c>
      <c r="E626" s="75" t="s">
        <v>1126</v>
      </c>
      <c r="F626" s="55">
        <v>282988806305</v>
      </c>
      <c r="G626" s="55">
        <v>914217001</v>
      </c>
      <c r="H626" s="55" t="s">
        <v>1133</v>
      </c>
      <c r="I626" s="55">
        <v>44.37</v>
      </c>
      <c r="J626" s="111">
        <v>9600</v>
      </c>
      <c r="K626" s="111">
        <v>9900</v>
      </c>
      <c r="L626" s="111">
        <v>11502</v>
      </c>
      <c r="M626" s="111">
        <v>10329</v>
      </c>
      <c r="N626" s="111"/>
      <c r="O626" s="111"/>
      <c r="P626" s="2">
        <f t="shared" si="61"/>
        <v>425952</v>
      </c>
      <c r="Q626" s="2">
        <f t="shared" si="62"/>
        <v>439263</v>
      </c>
      <c r="R626" s="2">
        <f t="shared" si="63"/>
        <v>510343.74</v>
      </c>
      <c r="S626" s="2">
        <f t="shared" si="64"/>
        <v>458297.73</v>
      </c>
      <c r="T626" s="2">
        <f t="shared" si="65"/>
        <v>0</v>
      </c>
      <c r="U626" s="2">
        <f t="shared" si="66"/>
        <v>0</v>
      </c>
    </row>
    <row r="627" spans="1:21">
      <c r="A627" s="55">
        <v>624</v>
      </c>
      <c r="B627" s="55" t="s">
        <v>1123</v>
      </c>
      <c r="C627" s="55" t="s">
        <v>1124</v>
      </c>
      <c r="D627" s="55" t="s">
        <v>1125</v>
      </c>
      <c r="E627" s="75" t="s">
        <v>1126</v>
      </c>
      <c r="F627" s="55">
        <v>282967806302</v>
      </c>
      <c r="G627" s="55">
        <v>914209002</v>
      </c>
      <c r="H627" s="55" t="s">
        <v>1134</v>
      </c>
      <c r="I627" s="55">
        <v>128.65</v>
      </c>
      <c r="J627" s="111">
        <v>1000</v>
      </c>
      <c r="K627" s="111">
        <v>1000</v>
      </c>
      <c r="L627" s="111">
        <v>1000</v>
      </c>
      <c r="M627" s="111">
        <v>1000</v>
      </c>
      <c r="N627" s="111"/>
      <c r="O627" s="111"/>
      <c r="P627" s="2">
        <f t="shared" si="61"/>
        <v>128650</v>
      </c>
      <c r="Q627" s="2">
        <f t="shared" si="62"/>
        <v>128650</v>
      </c>
      <c r="R627" s="2">
        <f t="shared" si="63"/>
        <v>128650</v>
      </c>
      <c r="S627" s="2">
        <f t="shared" si="64"/>
        <v>128650</v>
      </c>
      <c r="T627" s="2">
        <f t="shared" si="65"/>
        <v>0</v>
      </c>
      <c r="U627" s="2">
        <f t="shared" si="66"/>
        <v>0</v>
      </c>
    </row>
    <row r="628" spans="1:21">
      <c r="A628" s="55">
        <v>625</v>
      </c>
      <c r="B628" s="55" t="s">
        <v>1123</v>
      </c>
      <c r="C628" s="55" t="s">
        <v>1124</v>
      </c>
      <c r="D628" s="55" t="s">
        <v>1125</v>
      </c>
      <c r="E628" s="75" t="s">
        <v>1126</v>
      </c>
      <c r="F628" s="55">
        <v>282967806304</v>
      </c>
      <c r="G628" s="55">
        <v>914209006</v>
      </c>
      <c r="H628" s="55" t="s">
        <v>1135</v>
      </c>
      <c r="I628" s="55">
        <v>134.15</v>
      </c>
      <c r="J628" s="111">
        <v>10000</v>
      </c>
      <c r="K628" s="111">
        <v>11700</v>
      </c>
      <c r="L628" s="111">
        <v>4637</v>
      </c>
      <c r="M628" s="111">
        <v>4073</v>
      </c>
      <c r="N628" s="111"/>
      <c r="O628" s="111"/>
      <c r="P628" s="2">
        <f t="shared" si="61"/>
        <v>1341500</v>
      </c>
      <c r="Q628" s="2">
        <f t="shared" si="62"/>
        <v>1569555</v>
      </c>
      <c r="R628" s="2">
        <f t="shared" si="63"/>
        <v>622053.55000000005</v>
      </c>
      <c r="S628" s="2">
        <f t="shared" si="64"/>
        <v>546392.95000000007</v>
      </c>
      <c r="T628" s="2">
        <f t="shared" si="65"/>
        <v>0</v>
      </c>
      <c r="U628" s="2">
        <f t="shared" si="66"/>
        <v>0</v>
      </c>
    </row>
    <row r="629" spans="1:21">
      <c r="A629" s="55">
        <v>626</v>
      </c>
      <c r="B629" s="55" t="s">
        <v>1123</v>
      </c>
      <c r="C629" s="55" t="s">
        <v>1124</v>
      </c>
      <c r="D629" s="55" t="s">
        <v>1125</v>
      </c>
      <c r="E629" s="75" t="s">
        <v>1126</v>
      </c>
      <c r="F629" s="55">
        <v>282967106304</v>
      </c>
      <c r="G629" s="55">
        <v>914209001</v>
      </c>
      <c r="H629" s="55" t="s">
        <v>1136</v>
      </c>
      <c r="I629" s="55">
        <v>131.79</v>
      </c>
      <c r="J629" s="111">
        <v>9700</v>
      </c>
      <c r="K629" s="111">
        <v>10100</v>
      </c>
      <c r="L629" s="111">
        <v>11502</v>
      </c>
      <c r="M629" s="111">
        <v>10329</v>
      </c>
      <c r="N629" s="111"/>
      <c r="O629" s="111"/>
      <c r="P629" s="2">
        <f t="shared" si="61"/>
        <v>1278363</v>
      </c>
      <c r="Q629" s="2">
        <f t="shared" si="62"/>
        <v>1331079</v>
      </c>
      <c r="R629" s="2">
        <f t="shared" si="63"/>
        <v>1515848.5799999998</v>
      </c>
      <c r="S629" s="2">
        <f t="shared" si="64"/>
        <v>1361258.91</v>
      </c>
      <c r="T629" s="2">
        <f t="shared" si="65"/>
        <v>0</v>
      </c>
      <c r="U629" s="2">
        <f t="shared" si="66"/>
        <v>0</v>
      </c>
    </row>
    <row r="630" spans="1:21">
      <c r="A630" s="55">
        <v>627</v>
      </c>
      <c r="B630" s="55" t="s">
        <v>1123</v>
      </c>
      <c r="C630" s="55" t="s">
        <v>1124</v>
      </c>
      <c r="D630" s="55" t="s">
        <v>1125</v>
      </c>
      <c r="E630" s="75" t="s">
        <v>1126</v>
      </c>
      <c r="F630" s="55">
        <v>282972306309</v>
      </c>
      <c r="G630" s="55">
        <v>914211004</v>
      </c>
      <c r="H630" s="55" t="s">
        <v>1137</v>
      </c>
      <c r="I630" s="55">
        <v>19.82</v>
      </c>
      <c r="J630" s="111">
        <v>0</v>
      </c>
      <c r="K630" s="111">
        <v>0</v>
      </c>
      <c r="L630" s="111">
        <v>0</v>
      </c>
      <c r="M630" s="111">
        <v>0</v>
      </c>
      <c r="N630" s="111"/>
      <c r="O630" s="111"/>
      <c r="P630" s="2">
        <f t="shared" si="61"/>
        <v>0</v>
      </c>
      <c r="Q630" s="2">
        <f t="shared" si="62"/>
        <v>0</v>
      </c>
      <c r="R630" s="2">
        <f t="shared" si="63"/>
        <v>0</v>
      </c>
      <c r="S630" s="2">
        <f t="shared" si="64"/>
        <v>0</v>
      </c>
      <c r="T630" s="2">
        <f t="shared" si="65"/>
        <v>0</v>
      </c>
      <c r="U630" s="2">
        <f t="shared" si="66"/>
        <v>0</v>
      </c>
    </row>
    <row r="631" spans="1:21">
      <c r="A631" s="55">
        <v>628</v>
      </c>
      <c r="B631" s="55" t="s">
        <v>1123</v>
      </c>
      <c r="C631" s="55" t="s">
        <v>1124</v>
      </c>
      <c r="D631" s="55" t="s">
        <v>1125</v>
      </c>
      <c r="E631" s="75" t="s">
        <v>1126</v>
      </c>
      <c r="F631" s="55">
        <v>282972306310</v>
      </c>
      <c r="G631" s="55">
        <v>914211005</v>
      </c>
      <c r="H631" s="55" t="s">
        <v>1138</v>
      </c>
      <c r="I631" s="55">
        <v>19.82</v>
      </c>
      <c r="J631" s="111">
        <v>0</v>
      </c>
      <c r="K631" s="111">
        <v>0</v>
      </c>
      <c r="L631" s="111">
        <v>0</v>
      </c>
      <c r="M631" s="111">
        <v>0</v>
      </c>
      <c r="N631" s="111"/>
      <c r="O631" s="111"/>
      <c r="P631" s="2">
        <f t="shared" si="61"/>
        <v>0</v>
      </c>
      <c r="Q631" s="2">
        <f t="shared" si="62"/>
        <v>0</v>
      </c>
      <c r="R631" s="2">
        <f t="shared" si="63"/>
        <v>0</v>
      </c>
      <c r="S631" s="2">
        <f t="shared" si="64"/>
        <v>0</v>
      </c>
      <c r="T631" s="2">
        <f t="shared" si="65"/>
        <v>0</v>
      </c>
      <c r="U631" s="2">
        <f t="shared" si="66"/>
        <v>0</v>
      </c>
    </row>
    <row r="632" spans="1:21">
      <c r="A632" s="55">
        <v>629</v>
      </c>
      <c r="B632" s="55" t="s">
        <v>1123</v>
      </c>
      <c r="C632" s="55" t="s">
        <v>1124</v>
      </c>
      <c r="D632" s="55" t="s">
        <v>1125</v>
      </c>
      <c r="E632" s="75" t="s">
        <v>1126</v>
      </c>
      <c r="F632" s="55">
        <v>282970906311</v>
      </c>
      <c r="G632" s="55">
        <v>914209003</v>
      </c>
      <c r="H632" s="55" t="s">
        <v>1139</v>
      </c>
      <c r="I632" s="55">
        <v>47.78</v>
      </c>
      <c r="J632" s="111">
        <v>11500</v>
      </c>
      <c r="K632" s="111">
        <v>11700</v>
      </c>
      <c r="L632" s="111">
        <v>12423</v>
      </c>
      <c r="M632" s="111">
        <v>11277</v>
      </c>
      <c r="N632" s="111"/>
      <c r="O632" s="111"/>
      <c r="P632" s="2">
        <f t="shared" si="61"/>
        <v>549470</v>
      </c>
      <c r="Q632" s="2">
        <f t="shared" si="62"/>
        <v>559026</v>
      </c>
      <c r="R632" s="2">
        <f t="shared" si="63"/>
        <v>593570.94000000006</v>
      </c>
      <c r="S632" s="2">
        <f t="shared" si="64"/>
        <v>538815.06000000006</v>
      </c>
      <c r="T632" s="2">
        <f t="shared" si="65"/>
        <v>0</v>
      </c>
      <c r="U632" s="2">
        <f t="shared" si="66"/>
        <v>0</v>
      </c>
    </row>
    <row r="633" spans="1:21">
      <c r="A633" s="55">
        <v>630</v>
      </c>
      <c r="B633" s="55" t="s">
        <v>1123</v>
      </c>
      <c r="C633" s="55" t="s">
        <v>1124</v>
      </c>
      <c r="D633" s="55" t="s">
        <v>1125</v>
      </c>
      <c r="E633" s="75" t="s">
        <v>1126</v>
      </c>
      <c r="F633" s="55">
        <v>282973506303</v>
      </c>
      <c r="G633" s="55">
        <v>914201007</v>
      </c>
      <c r="H633" s="55" t="s">
        <v>1140</v>
      </c>
      <c r="I633" s="55">
        <v>97.43</v>
      </c>
      <c r="J633" s="111">
        <v>91</v>
      </c>
      <c r="K633" s="111">
        <v>305</v>
      </c>
      <c r="L633" s="111">
        <v>177</v>
      </c>
      <c r="M633" s="111">
        <v>150</v>
      </c>
      <c r="N633" s="111"/>
      <c r="O633" s="111"/>
      <c r="P633" s="2">
        <f t="shared" si="61"/>
        <v>8866.130000000001</v>
      </c>
      <c r="Q633" s="2">
        <f t="shared" si="62"/>
        <v>29716.15</v>
      </c>
      <c r="R633" s="2">
        <f t="shared" si="63"/>
        <v>17245.11</v>
      </c>
      <c r="S633" s="2">
        <f t="shared" si="64"/>
        <v>14614.500000000002</v>
      </c>
      <c r="T633" s="2">
        <f t="shared" si="65"/>
        <v>0</v>
      </c>
      <c r="U633" s="2">
        <f t="shared" si="66"/>
        <v>0</v>
      </c>
    </row>
    <row r="634" spans="1:21">
      <c r="A634" s="55">
        <v>631</v>
      </c>
      <c r="B634" s="55" t="s">
        <v>1123</v>
      </c>
      <c r="C634" s="55" t="s">
        <v>1124</v>
      </c>
      <c r="D634" s="55" t="s">
        <v>1125</v>
      </c>
      <c r="E634" s="75" t="s">
        <v>1126</v>
      </c>
      <c r="F634" s="55">
        <v>282974506302</v>
      </c>
      <c r="G634" s="55">
        <v>914202002</v>
      </c>
      <c r="H634" s="55" t="s">
        <v>1141</v>
      </c>
      <c r="I634" s="55">
        <v>110.58</v>
      </c>
      <c r="J634" s="111">
        <v>23</v>
      </c>
      <c r="K634" s="111">
        <v>130</v>
      </c>
      <c r="L634" s="111">
        <v>177</v>
      </c>
      <c r="M634" s="111">
        <v>150</v>
      </c>
      <c r="N634" s="111"/>
      <c r="O634" s="111"/>
      <c r="P634" s="2">
        <f t="shared" si="61"/>
        <v>2543.34</v>
      </c>
      <c r="Q634" s="2">
        <f t="shared" si="62"/>
        <v>14375.4</v>
      </c>
      <c r="R634" s="2">
        <f t="shared" si="63"/>
        <v>19572.66</v>
      </c>
      <c r="S634" s="2">
        <f t="shared" si="64"/>
        <v>16587</v>
      </c>
      <c r="T634" s="2">
        <f t="shared" si="65"/>
        <v>0</v>
      </c>
      <c r="U634" s="2">
        <f t="shared" si="66"/>
        <v>0</v>
      </c>
    </row>
    <row r="635" spans="1:21">
      <c r="A635" s="55">
        <v>632</v>
      </c>
      <c r="B635" s="55" t="s">
        <v>1123</v>
      </c>
      <c r="C635" s="55" t="s">
        <v>1124</v>
      </c>
      <c r="D635" s="55" t="s">
        <v>1125</v>
      </c>
      <c r="E635" s="75" t="s">
        <v>1126</v>
      </c>
      <c r="F635" s="55">
        <v>552367106303</v>
      </c>
      <c r="G635" s="55">
        <v>914209005</v>
      </c>
      <c r="H635" s="55" t="s">
        <v>1142</v>
      </c>
      <c r="I635" s="55">
        <v>66.23</v>
      </c>
      <c r="J635" s="111">
        <v>3200</v>
      </c>
      <c r="K635" s="111">
        <v>2200</v>
      </c>
      <c r="L635" s="111">
        <v>2096</v>
      </c>
      <c r="M635" s="111">
        <v>2079</v>
      </c>
      <c r="N635" s="111"/>
      <c r="O635" s="111"/>
      <c r="P635" s="2">
        <f t="shared" si="61"/>
        <v>211936</v>
      </c>
      <c r="Q635" s="2">
        <f t="shared" si="62"/>
        <v>145706</v>
      </c>
      <c r="R635" s="2">
        <f t="shared" si="63"/>
        <v>138818.08000000002</v>
      </c>
      <c r="S635" s="2">
        <f t="shared" si="64"/>
        <v>137692.17000000001</v>
      </c>
      <c r="T635" s="2">
        <f t="shared" si="65"/>
        <v>0</v>
      </c>
      <c r="U635" s="2">
        <f t="shared" si="66"/>
        <v>0</v>
      </c>
    </row>
    <row r="636" spans="1:21">
      <c r="A636" s="55">
        <v>633</v>
      </c>
      <c r="B636" s="55" t="s">
        <v>1123</v>
      </c>
      <c r="C636" s="55" t="s">
        <v>1124</v>
      </c>
      <c r="D636" s="55" t="s">
        <v>1125</v>
      </c>
      <c r="E636" s="75" t="s">
        <v>1126</v>
      </c>
      <c r="F636" s="55">
        <v>552388806307</v>
      </c>
      <c r="G636" s="55">
        <v>914217010</v>
      </c>
      <c r="H636" s="55" t="s">
        <v>1143</v>
      </c>
      <c r="I636" s="55">
        <v>45.34</v>
      </c>
      <c r="J636" s="111">
        <v>3500</v>
      </c>
      <c r="K636" s="111">
        <v>2300</v>
      </c>
      <c r="L636" s="111">
        <v>2096</v>
      </c>
      <c r="M636" s="111">
        <v>2079</v>
      </c>
      <c r="N636" s="111"/>
      <c r="O636" s="111"/>
      <c r="P636" s="2">
        <f t="shared" si="61"/>
        <v>158690</v>
      </c>
      <c r="Q636" s="2">
        <f t="shared" si="62"/>
        <v>104282.00000000001</v>
      </c>
      <c r="R636" s="2">
        <f t="shared" si="63"/>
        <v>95032.640000000014</v>
      </c>
      <c r="S636" s="2">
        <f t="shared" si="64"/>
        <v>94261.86</v>
      </c>
      <c r="T636" s="2">
        <f t="shared" si="65"/>
        <v>0</v>
      </c>
      <c r="U636" s="2">
        <f t="shared" si="66"/>
        <v>0</v>
      </c>
    </row>
    <row r="637" spans="1:21">
      <c r="A637" s="55">
        <v>634</v>
      </c>
      <c r="B637" s="55" t="s">
        <v>1123</v>
      </c>
      <c r="C637" s="55" t="s">
        <v>1124</v>
      </c>
      <c r="D637" s="55" t="s">
        <v>1125</v>
      </c>
      <c r="E637" s="75" t="s">
        <v>1126</v>
      </c>
      <c r="F637" s="55">
        <v>554588806319</v>
      </c>
      <c r="G637" s="55">
        <v>914217012</v>
      </c>
      <c r="H637" s="55" t="s">
        <v>1144</v>
      </c>
      <c r="I637" s="55">
        <v>46.67</v>
      </c>
      <c r="J637" s="111">
        <v>4900</v>
      </c>
      <c r="K637" s="111">
        <v>5300</v>
      </c>
      <c r="L637" s="111">
        <v>5354</v>
      </c>
      <c r="M637" s="111">
        <v>4991</v>
      </c>
      <c r="N637" s="111"/>
      <c r="O637" s="111"/>
      <c r="P637" s="2">
        <f t="shared" si="61"/>
        <v>228683</v>
      </c>
      <c r="Q637" s="2">
        <f t="shared" si="62"/>
        <v>247351</v>
      </c>
      <c r="R637" s="2">
        <f t="shared" si="63"/>
        <v>249871.18000000002</v>
      </c>
      <c r="S637" s="2">
        <f t="shared" si="64"/>
        <v>232929.97</v>
      </c>
      <c r="T637" s="2">
        <f t="shared" si="65"/>
        <v>0</v>
      </c>
      <c r="U637" s="2">
        <f t="shared" si="66"/>
        <v>0</v>
      </c>
    </row>
    <row r="638" spans="1:21">
      <c r="A638" s="55">
        <v>635</v>
      </c>
      <c r="B638" s="55" t="s">
        <v>1123</v>
      </c>
      <c r="C638" s="55" t="s">
        <v>1124</v>
      </c>
      <c r="D638" s="55" t="s">
        <v>1125</v>
      </c>
      <c r="E638" s="75" t="s">
        <v>1126</v>
      </c>
      <c r="F638" s="55">
        <v>553773501601</v>
      </c>
      <c r="G638" s="55">
        <v>916701001</v>
      </c>
      <c r="H638" s="55" t="s">
        <v>1145</v>
      </c>
      <c r="I638" s="55">
        <v>273.45</v>
      </c>
      <c r="J638" s="111">
        <v>540</v>
      </c>
      <c r="K638" s="111">
        <v>470</v>
      </c>
      <c r="L638" s="111">
        <v>320</v>
      </c>
      <c r="M638" s="111">
        <v>330</v>
      </c>
      <c r="N638" s="111"/>
      <c r="O638" s="111"/>
      <c r="P638" s="2">
        <f t="shared" si="61"/>
        <v>147663</v>
      </c>
      <c r="Q638" s="2">
        <f t="shared" si="62"/>
        <v>128521.5</v>
      </c>
      <c r="R638" s="2">
        <f t="shared" si="63"/>
        <v>87504</v>
      </c>
      <c r="S638" s="2">
        <f t="shared" si="64"/>
        <v>90238.5</v>
      </c>
      <c r="T638" s="2">
        <f t="shared" si="65"/>
        <v>0</v>
      </c>
      <c r="U638" s="2">
        <f t="shared" si="66"/>
        <v>0</v>
      </c>
    </row>
    <row r="639" spans="1:21">
      <c r="A639" s="55">
        <v>636</v>
      </c>
      <c r="B639" s="55" t="s">
        <v>1123</v>
      </c>
      <c r="C639" s="55" t="s">
        <v>1124</v>
      </c>
      <c r="D639" s="55" t="s">
        <v>1125</v>
      </c>
      <c r="E639" s="75" t="s">
        <v>1126</v>
      </c>
      <c r="F639" s="55">
        <v>553773501602</v>
      </c>
      <c r="G639" s="55">
        <v>916701002</v>
      </c>
      <c r="H639" s="55" t="s">
        <v>1146</v>
      </c>
      <c r="I639" s="55">
        <v>273.45</v>
      </c>
      <c r="J639" s="111">
        <v>540</v>
      </c>
      <c r="K639" s="111">
        <v>470</v>
      </c>
      <c r="L639" s="111">
        <v>320</v>
      </c>
      <c r="M639" s="111">
        <v>330</v>
      </c>
      <c r="N639" s="111"/>
      <c r="O639" s="111"/>
      <c r="P639" s="2">
        <f t="shared" si="61"/>
        <v>147663</v>
      </c>
      <c r="Q639" s="2">
        <f t="shared" si="62"/>
        <v>128521.5</v>
      </c>
      <c r="R639" s="2">
        <f t="shared" si="63"/>
        <v>87504</v>
      </c>
      <c r="S639" s="2">
        <f t="shared" si="64"/>
        <v>90238.5</v>
      </c>
      <c r="T639" s="2">
        <f t="shared" si="65"/>
        <v>0</v>
      </c>
      <c r="U639" s="2">
        <f t="shared" si="66"/>
        <v>0</v>
      </c>
    </row>
    <row r="640" spans="1:21">
      <c r="A640" s="55">
        <v>637</v>
      </c>
      <c r="B640" s="55" t="s">
        <v>1123</v>
      </c>
      <c r="C640" s="55" t="s">
        <v>1124</v>
      </c>
      <c r="D640" s="55" t="s">
        <v>1125</v>
      </c>
      <c r="E640" s="75" t="s">
        <v>1126</v>
      </c>
      <c r="F640" s="55">
        <v>553774501601</v>
      </c>
      <c r="G640" s="55">
        <v>916702001</v>
      </c>
      <c r="H640" s="55" t="s">
        <v>1147</v>
      </c>
      <c r="I640" s="55">
        <v>229.85</v>
      </c>
      <c r="J640" s="111">
        <v>0</v>
      </c>
      <c r="K640" s="111">
        <v>0</v>
      </c>
      <c r="L640" s="111">
        <v>0</v>
      </c>
      <c r="M640" s="111">
        <v>0</v>
      </c>
      <c r="N640" s="111"/>
      <c r="O640" s="111"/>
      <c r="P640" s="2">
        <f t="shared" si="61"/>
        <v>0</v>
      </c>
      <c r="Q640" s="2">
        <f t="shared" si="62"/>
        <v>0</v>
      </c>
      <c r="R640" s="2">
        <f t="shared" si="63"/>
        <v>0</v>
      </c>
      <c r="S640" s="2">
        <f t="shared" si="64"/>
        <v>0</v>
      </c>
      <c r="T640" s="2">
        <f t="shared" si="65"/>
        <v>0</v>
      </c>
      <c r="U640" s="2">
        <f t="shared" si="66"/>
        <v>0</v>
      </c>
    </row>
    <row r="641" spans="1:21">
      <c r="A641" s="55">
        <v>638</v>
      </c>
      <c r="B641" s="55" t="s">
        <v>1123</v>
      </c>
      <c r="C641" s="55" t="s">
        <v>1124</v>
      </c>
      <c r="D641" s="55" t="s">
        <v>1125</v>
      </c>
      <c r="E641" s="75" t="s">
        <v>1148</v>
      </c>
      <c r="F641" s="55">
        <v>281872306313</v>
      </c>
      <c r="G641" s="55">
        <v>911301008</v>
      </c>
      <c r="H641" s="55" t="s">
        <v>64</v>
      </c>
      <c r="I641" s="55">
        <v>347.82</v>
      </c>
      <c r="J641" s="111">
        <v>840</v>
      </c>
      <c r="K641" s="111">
        <v>1000</v>
      </c>
      <c r="L641" s="111">
        <v>0</v>
      </c>
      <c r="M641" s="111">
        <v>0</v>
      </c>
      <c r="N641" s="111"/>
      <c r="O641" s="111"/>
      <c r="P641" s="2">
        <f t="shared" si="61"/>
        <v>292168.8</v>
      </c>
      <c r="Q641" s="2">
        <f t="shared" si="62"/>
        <v>347820</v>
      </c>
      <c r="R641" s="2">
        <f t="shared" si="63"/>
        <v>0</v>
      </c>
      <c r="S641" s="2">
        <f t="shared" si="64"/>
        <v>0</v>
      </c>
      <c r="T641" s="2">
        <f t="shared" si="65"/>
        <v>0</v>
      </c>
      <c r="U641" s="2">
        <f t="shared" si="66"/>
        <v>0</v>
      </c>
    </row>
    <row r="642" spans="1:21">
      <c r="A642" s="55">
        <v>639</v>
      </c>
      <c r="B642" s="55" t="s">
        <v>1123</v>
      </c>
      <c r="C642" s="55" t="s">
        <v>1124</v>
      </c>
      <c r="D642" s="55" t="s">
        <v>1125</v>
      </c>
      <c r="E642" s="75" t="s">
        <v>1148</v>
      </c>
      <c r="F642" s="55">
        <v>281872306314</v>
      </c>
      <c r="G642" s="55">
        <v>911301009</v>
      </c>
      <c r="H642" s="55" t="s">
        <v>66</v>
      </c>
      <c r="I642" s="55">
        <v>347.82</v>
      </c>
      <c r="J642" s="111">
        <v>840</v>
      </c>
      <c r="K642" s="111">
        <v>1000</v>
      </c>
      <c r="L642" s="111">
        <v>0</v>
      </c>
      <c r="M642" s="111">
        <v>0</v>
      </c>
      <c r="N642" s="111"/>
      <c r="O642" s="111"/>
      <c r="P642" s="2">
        <f t="shared" si="61"/>
        <v>292168.8</v>
      </c>
      <c r="Q642" s="2">
        <f t="shared" si="62"/>
        <v>347820</v>
      </c>
      <c r="R642" s="2">
        <f t="shared" si="63"/>
        <v>0</v>
      </c>
      <c r="S642" s="2">
        <f t="shared" si="64"/>
        <v>0</v>
      </c>
      <c r="T642" s="2">
        <f t="shared" si="65"/>
        <v>0</v>
      </c>
      <c r="U642" s="2">
        <f t="shared" si="66"/>
        <v>0</v>
      </c>
    </row>
    <row r="643" spans="1:21">
      <c r="A643" s="55">
        <v>640</v>
      </c>
      <c r="B643" s="55" t="s">
        <v>1123</v>
      </c>
      <c r="C643" s="55" t="s">
        <v>1124</v>
      </c>
      <c r="D643" s="55" t="s">
        <v>1125</v>
      </c>
      <c r="E643" s="75" t="s">
        <v>1148</v>
      </c>
      <c r="F643" s="55">
        <v>281872506303</v>
      </c>
      <c r="G643" s="55">
        <v>911304015</v>
      </c>
      <c r="H643" s="55" t="s">
        <v>35</v>
      </c>
      <c r="I643" s="55">
        <v>271.73</v>
      </c>
      <c r="J643" s="111">
        <v>840</v>
      </c>
      <c r="K643" s="111">
        <v>1000</v>
      </c>
      <c r="L643" s="111">
        <v>0</v>
      </c>
      <c r="M643" s="111">
        <v>0</v>
      </c>
      <c r="N643" s="111"/>
      <c r="O643" s="111"/>
      <c r="P643" s="2">
        <f t="shared" si="61"/>
        <v>228253.2</v>
      </c>
      <c r="Q643" s="2">
        <f t="shared" si="62"/>
        <v>271730</v>
      </c>
      <c r="R643" s="2">
        <f t="shared" si="63"/>
        <v>0</v>
      </c>
      <c r="S643" s="2">
        <f t="shared" si="64"/>
        <v>0</v>
      </c>
      <c r="T643" s="2">
        <f t="shared" si="65"/>
        <v>0</v>
      </c>
      <c r="U643" s="2">
        <f t="shared" si="66"/>
        <v>0</v>
      </c>
    </row>
    <row r="644" spans="1:21">
      <c r="A644" s="55">
        <v>641</v>
      </c>
      <c r="B644" s="55" t="s">
        <v>1123</v>
      </c>
      <c r="C644" s="55" t="s">
        <v>1124</v>
      </c>
      <c r="D644" s="55" t="s">
        <v>1125</v>
      </c>
      <c r="E644" s="75" t="s">
        <v>1148</v>
      </c>
      <c r="F644" s="55">
        <v>281872506304</v>
      </c>
      <c r="G644" s="55">
        <v>911304016</v>
      </c>
      <c r="H644" s="55" t="s">
        <v>7</v>
      </c>
      <c r="I644" s="55">
        <v>271.73</v>
      </c>
      <c r="J644" s="111">
        <v>840</v>
      </c>
      <c r="K644" s="111">
        <v>1000</v>
      </c>
      <c r="L644" s="111">
        <v>0</v>
      </c>
      <c r="M644" s="111">
        <v>0</v>
      </c>
      <c r="N644" s="111"/>
      <c r="O644" s="111"/>
      <c r="P644" s="2">
        <f t="shared" si="61"/>
        <v>228253.2</v>
      </c>
      <c r="Q644" s="2">
        <f t="shared" si="62"/>
        <v>271730</v>
      </c>
      <c r="R644" s="2">
        <f t="shared" si="63"/>
        <v>0</v>
      </c>
      <c r="S644" s="2">
        <f t="shared" si="64"/>
        <v>0</v>
      </c>
      <c r="T644" s="2">
        <f t="shared" si="65"/>
        <v>0</v>
      </c>
      <c r="U644" s="2">
        <f t="shared" si="66"/>
        <v>0</v>
      </c>
    </row>
    <row r="645" spans="1:21">
      <c r="A645" s="55">
        <v>642</v>
      </c>
      <c r="B645" s="55" t="s">
        <v>1123</v>
      </c>
      <c r="C645" s="55" t="s">
        <v>1124</v>
      </c>
      <c r="D645" s="55" t="s">
        <v>1125</v>
      </c>
      <c r="E645" s="75" t="s">
        <v>1148</v>
      </c>
      <c r="F645" s="55">
        <v>281872306309</v>
      </c>
      <c r="G645" s="55">
        <v>911305025</v>
      </c>
      <c r="H645" s="55" t="s">
        <v>16</v>
      </c>
      <c r="I645" s="55">
        <v>77.599999999999994</v>
      </c>
      <c r="J645" s="111">
        <v>840</v>
      </c>
      <c r="K645" s="111">
        <v>1000</v>
      </c>
      <c r="L645" s="111">
        <v>0</v>
      </c>
      <c r="M645" s="111">
        <v>0</v>
      </c>
      <c r="N645" s="111"/>
      <c r="O645" s="111"/>
      <c r="P645" s="2">
        <f t="shared" ref="P645:P708" si="67">J645*I645</f>
        <v>65183.999999999993</v>
      </c>
      <c r="Q645" s="2">
        <f t="shared" ref="Q645:Q708" si="68">K645*I645</f>
        <v>77600</v>
      </c>
      <c r="R645" s="2">
        <f t="shared" ref="R645:R708" si="69">L645*I645</f>
        <v>0</v>
      </c>
      <c r="S645" s="2">
        <f t="shared" ref="S645:S708" si="70">M645*I645</f>
        <v>0</v>
      </c>
      <c r="T645" s="2">
        <f t="shared" ref="T645:T708" si="71">N645*I645</f>
        <v>0</v>
      </c>
      <c r="U645" s="2">
        <f t="shared" ref="U645:U708" si="72">O645*I645</f>
        <v>0</v>
      </c>
    </row>
    <row r="646" spans="1:21">
      <c r="A646" s="55">
        <v>643</v>
      </c>
      <c r="B646" s="55" t="s">
        <v>1123</v>
      </c>
      <c r="C646" s="55" t="s">
        <v>1124</v>
      </c>
      <c r="D646" s="55" t="s">
        <v>1125</v>
      </c>
      <c r="E646" s="75" t="s">
        <v>1148</v>
      </c>
      <c r="F646" s="55">
        <v>281872306310</v>
      </c>
      <c r="G646" s="55">
        <v>911305026</v>
      </c>
      <c r="H646" s="55" t="s">
        <v>17</v>
      </c>
      <c r="I646" s="55">
        <v>77.599999999999994</v>
      </c>
      <c r="J646" s="111">
        <v>840</v>
      </c>
      <c r="K646" s="111">
        <v>1000</v>
      </c>
      <c r="L646" s="111">
        <v>0</v>
      </c>
      <c r="M646" s="111">
        <v>0</v>
      </c>
      <c r="N646" s="111"/>
      <c r="O646" s="111"/>
      <c r="P646" s="2">
        <f t="shared" si="67"/>
        <v>65183.999999999993</v>
      </c>
      <c r="Q646" s="2">
        <f t="shared" si="68"/>
        <v>77600</v>
      </c>
      <c r="R646" s="2">
        <f t="shared" si="69"/>
        <v>0</v>
      </c>
      <c r="S646" s="2">
        <f t="shared" si="70"/>
        <v>0</v>
      </c>
      <c r="T646" s="2">
        <f t="shared" si="71"/>
        <v>0</v>
      </c>
      <c r="U646" s="2">
        <f t="shared" si="72"/>
        <v>0</v>
      </c>
    </row>
    <row r="647" spans="1:21">
      <c r="A647" s="55">
        <v>644</v>
      </c>
      <c r="B647" s="55" t="s">
        <v>1123</v>
      </c>
      <c r="C647" s="55" t="s">
        <v>1124</v>
      </c>
      <c r="D647" s="55" t="s">
        <v>1125</v>
      </c>
      <c r="E647" s="75" t="s">
        <v>1148</v>
      </c>
      <c r="F647" s="55">
        <v>281872306311</v>
      </c>
      <c r="G647" s="55">
        <v>911305027</v>
      </c>
      <c r="H647" s="55" t="s">
        <v>22</v>
      </c>
      <c r="I647" s="55">
        <v>81.73</v>
      </c>
      <c r="J647" s="111">
        <v>840</v>
      </c>
      <c r="K647" s="111">
        <v>1000</v>
      </c>
      <c r="L647" s="111">
        <v>0</v>
      </c>
      <c r="M647" s="111">
        <v>0</v>
      </c>
      <c r="N647" s="111"/>
      <c r="O647" s="111"/>
      <c r="P647" s="2">
        <f t="shared" si="67"/>
        <v>68653.2</v>
      </c>
      <c r="Q647" s="2">
        <f t="shared" si="68"/>
        <v>81730</v>
      </c>
      <c r="R647" s="2">
        <f t="shared" si="69"/>
        <v>0</v>
      </c>
      <c r="S647" s="2">
        <f t="shared" si="70"/>
        <v>0</v>
      </c>
      <c r="T647" s="2">
        <f t="shared" si="71"/>
        <v>0</v>
      </c>
      <c r="U647" s="2">
        <f t="shared" si="72"/>
        <v>0</v>
      </c>
    </row>
    <row r="648" spans="1:21">
      <c r="A648" s="55">
        <v>645</v>
      </c>
      <c r="B648" s="55" t="s">
        <v>1123</v>
      </c>
      <c r="C648" s="55" t="s">
        <v>1124</v>
      </c>
      <c r="D648" s="55" t="s">
        <v>1125</v>
      </c>
      <c r="E648" s="75" t="s">
        <v>1148</v>
      </c>
      <c r="F648" s="55">
        <v>281872306312</v>
      </c>
      <c r="G648" s="55">
        <v>911305028</v>
      </c>
      <c r="H648" s="55" t="s">
        <v>23</v>
      </c>
      <c r="I648" s="55">
        <v>81.73</v>
      </c>
      <c r="J648" s="111">
        <v>840</v>
      </c>
      <c r="K648" s="111">
        <v>1000</v>
      </c>
      <c r="L648" s="111">
        <v>0</v>
      </c>
      <c r="M648" s="111">
        <v>0</v>
      </c>
      <c r="N648" s="111"/>
      <c r="O648" s="111"/>
      <c r="P648" s="2">
        <f t="shared" si="67"/>
        <v>68653.2</v>
      </c>
      <c r="Q648" s="2">
        <f t="shared" si="68"/>
        <v>81730</v>
      </c>
      <c r="R648" s="2">
        <f t="shared" si="69"/>
        <v>0</v>
      </c>
      <c r="S648" s="2">
        <f t="shared" si="70"/>
        <v>0</v>
      </c>
      <c r="T648" s="2">
        <f t="shared" si="71"/>
        <v>0</v>
      </c>
      <c r="U648" s="2">
        <f t="shared" si="72"/>
        <v>0</v>
      </c>
    </row>
    <row r="649" spans="1:21">
      <c r="A649" s="55">
        <v>646</v>
      </c>
      <c r="B649" s="55" t="s">
        <v>1123</v>
      </c>
      <c r="C649" s="55" t="s">
        <v>1124</v>
      </c>
      <c r="D649" s="55" t="s">
        <v>1125</v>
      </c>
      <c r="E649" s="75" t="s">
        <v>1148</v>
      </c>
      <c r="F649" s="55">
        <v>281867106303</v>
      </c>
      <c r="G649" s="55">
        <v>911309003</v>
      </c>
      <c r="H649" s="55" t="s">
        <v>1149</v>
      </c>
      <c r="I649" s="55">
        <v>97.32</v>
      </c>
      <c r="J649" s="111">
        <v>840</v>
      </c>
      <c r="K649" s="111">
        <v>1000</v>
      </c>
      <c r="L649" s="111">
        <v>0</v>
      </c>
      <c r="M649" s="111">
        <v>0</v>
      </c>
      <c r="N649" s="111"/>
      <c r="O649" s="111"/>
      <c r="P649" s="2">
        <f t="shared" si="67"/>
        <v>81748.799999999988</v>
      </c>
      <c r="Q649" s="2">
        <f t="shared" si="68"/>
        <v>97320</v>
      </c>
      <c r="R649" s="2">
        <f t="shared" si="69"/>
        <v>0</v>
      </c>
      <c r="S649" s="2">
        <f t="shared" si="70"/>
        <v>0</v>
      </c>
      <c r="T649" s="2">
        <f t="shared" si="71"/>
        <v>0</v>
      </c>
      <c r="U649" s="2">
        <f t="shared" si="72"/>
        <v>0</v>
      </c>
    </row>
    <row r="650" spans="1:21">
      <c r="A650" s="55">
        <v>647</v>
      </c>
      <c r="B650" s="55" t="s">
        <v>1123</v>
      </c>
      <c r="C650" s="55" t="s">
        <v>1124</v>
      </c>
      <c r="D650" s="55" t="s">
        <v>1125</v>
      </c>
      <c r="E650" s="75" t="s">
        <v>1148</v>
      </c>
      <c r="F650" s="55">
        <v>281872300125</v>
      </c>
      <c r="G650" s="55">
        <v>911311005</v>
      </c>
      <c r="H650" s="55" t="s">
        <v>1150</v>
      </c>
      <c r="I650" s="55">
        <v>29.24</v>
      </c>
      <c r="J650" s="111">
        <v>1680</v>
      </c>
      <c r="K650" s="111">
        <v>1000</v>
      </c>
      <c r="L650" s="111">
        <v>0</v>
      </c>
      <c r="M650" s="111">
        <v>0</v>
      </c>
      <c r="N650" s="111"/>
      <c r="O650" s="111"/>
      <c r="P650" s="2">
        <f t="shared" si="67"/>
        <v>49123.199999999997</v>
      </c>
      <c r="Q650" s="2">
        <f t="shared" si="68"/>
        <v>29240</v>
      </c>
      <c r="R650" s="2">
        <f t="shared" si="69"/>
        <v>0</v>
      </c>
      <c r="S650" s="2">
        <f t="shared" si="70"/>
        <v>0</v>
      </c>
      <c r="T650" s="2">
        <f t="shared" si="71"/>
        <v>0</v>
      </c>
      <c r="U650" s="2">
        <f t="shared" si="72"/>
        <v>0</v>
      </c>
    </row>
    <row r="651" spans="1:21">
      <c r="A651" s="55">
        <v>648</v>
      </c>
      <c r="B651" s="55" t="s">
        <v>1123</v>
      </c>
      <c r="C651" s="55" t="s">
        <v>1124</v>
      </c>
      <c r="D651" s="55" t="s">
        <v>1125</v>
      </c>
      <c r="E651" s="75" t="s">
        <v>1148</v>
      </c>
      <c r="F651" s="55" t="s">
        <v>1151</v>
      </c>
      <c r="G651" s="55">
        <v>911317005</v>
      </c>
      <c r="H651" s="55" t="s">
        <v>677</v>
      </c>
      <c r="I651" s="55">
        <v>37.22</v>
      </c>
      <c r="J651" s="111">
        <v>840</v>
      </c>
      <c r="K651" s="111">
        <v>1000</v>
      </c>
      <c r="L651" s="111">
        <v>0</v>
      </c>
      <c r="M651" s="111">
        <v>0</v>
      </c>
      <c r="N651" s="111"/>
      <c r="O651" s="111"/>
      <c r="P651" s="2">
        <f t="shared" si="67"/>
        <v>31264.799999999999</v>
      </c>
      <c r="Q651" s="2">
        <f t="shared" si="68"/>
        <v>37220</v>
      </c>
      <c r="R651" s="2">
        <f t="shared" si="69"/>
        <v>0</v>
      </c>
      <c r="S651" s="2">
        <f t="shared" si="70"/>
        <v>0</v>
      </c>
      <c r="T651" s="2">
        <f t="shared" si="71"/>
        <v>0</v>
      </c>
      <c r="U651" s="2">
        <f t="shared" si="72"/>
        <v>0</v>
      </c>
    </row>
    <row r="652" spans="1:21">
      <c r="A652" s="55">
        <v>649</v>
      </c>
      <c r="B652" s="55" t="s">
        <v>1123</v>
      </c>
      <c r="C652" s="55" t="s">
        <v>1124</v>
      </c>
      <c r="D652" s="55" t="s">
        <v>1125</v>
      </c>
      <c r="E652" s="75" t="s">
        <v>1148</v>
      </c>
      <c r="F652" s="55" t="s">
        <v>1152</v>
      </c>
      <c r="G652" s="55">
        <v>911301012</v>
      </c>
      <c r="H652" s="55" t="s">
        <v>1153</v>
      </c>
      <c r="I652" s="55">
        <v>59</v>
      </c>
      <c r="J652" s="111">
        <v>840</v>
      </c>
      <c r="K652" s="111">
        <v>1000</v>
      </c>
      <c r="L652" s="111">
        <v>0</v>
      </c>
      <c r="M652" s="111">
        <v>0</v>
      </c>
      <c r="N652" s="111"/>
      <c r="O652" s="111"/>
      <c r="P652" s="2">
        <f t="shared" si="67"/>
        <v>49560</v>
      </c>
      <c r="Q652" s="2">
        <f t="shared" si="68"/>
        <v>59000</v>
      </c>
      <c r="R652" s="2">
        <f t="shared" si="69"/>
        <v>0</v>
      </c>
      <c r="S652" s="2">
        <f t="shared" si="70"/>
        <v>0</v>
      </c>
      <c r="T652" s="2">
        <f t="shared" si="71"/>
        <v>0</v>
      </c>
      <c r="U652" s="2">
        <f t="shared" si="72"/>
        <v>0</v>
      </c>
    </row>
    <row r="653" spans="1:21">
      <c r="A653" s="55">
        <v>650</v>
      </c>
      <c r="B653" s="55" t="s">
        <v>1123</v>
      </c>
      <c r="C653" s="55" t="s">
        <v>1124</v>
      </c>
      <c r="D653" s="55" t="s">
        <v>1125</v>
      </c>
      <c r="E653" s="75" t="s">
        <v>1148</v>
      </c>
      <c r="F653" s="55" t="s">
        <v>1154</v>
      </c>
      <c r="G653" s="55">
        <v>911301013</v>
      </c>
      <c r="H653" s="55" t="s">
        <v>1155</v>
      </c>
      <c r="I653" s="55">
        <v>59</v>
      </c>
      <c r="J653" s="111">
        <v>840</v>
      </c>
      <c r="K653" s="111">
        <v>1000</v>
      </c>
      <c r="L653" s="111">
        <v>0</v>
      </c>
      <c r="M653" s="111">
        <v>0</v>
      </c>
      <c r="N653" s="111"/>
      <c r="O653" s="111"/>
      <c r="P653" s="2">
        <f t="shared" si="67"/>
        <v>49560</v>
      </c>
      <c r="Q653" s="2">
        <f t="shared" si="68"/>
        <v>59000</v>
      </c>
      <c r="R653" s="2">
        <f t="shared" si="69"/>
        <v>0</v>
      </c>
      <c r="S653" s="2">
        <f t="shared" si="70"/>
        <v>0</v>
      </c>
      <c r="T653" s="2">
        <f t="shared" si="71"/>
        <v>0</v>
      </c>
      <c r="U653" s="2">
        <f t="shared" si="72"/>
        <v>0</v>
      </c>
    </row>
    <row r="654" spans="1:21">
      <c r="A654" s="55">
        <v>651</v>
      </c>
      <c r="B654" s="55" t="s">
        <v>1123</v>
      </c>
      <c r="C654" s="55" t="s">
        <v>1124</v>
      </c>
      <c r="D654" s="55" t="s">
        <v>1125</v>
      </c>
      <c r="E654" s="75" t="s">
        <v>1148</v>
      </c>
      <c r="F654" s="55" t="s">
        <v>1156</v>
      </c>
      <c r="G654" s="55">
        <v>911317004</v>
      </c>
      <c r="H654" s="55" t="s">
        <v>1157</v>
      </c>
      <c r="I654" s="55">
        <v>2.44</v>
      </c>
      <c r="J654" s="111">
        <f>840*3</f>
        <v>2520</v>
      </c>
      <c r="K654" s="111">
        <v>1500</v>
      </c>
      <c r="L654" s="111">
        <v>0</v>
      </c>
      <c r="M654" s="111">
        <v>0</v>
      </c>
      <c r="N654" s="111"/>
      <c r="O654" s="111"/>
      <c r="P654" s="2">
        <f t="shared" si="67"/>
        <v>6148.8</v>
      </c>
      <c r="Q654" s="2">
        <f t="shared" si="68"/>
        <v>3660</v>
      </c>
      <c r="R654" s="2">
        <f t="shared" si="69"/>
        <v>0</v>
      </c>
      <c r="S654" s="2">
        <f t="shared" si="70"/>
        <v>0</v>
      </c>
      <c r="T654" s="2">
        <f t="shared" si="71"/>
        <v>0</v>
      </c>
      <c r="U654" s="2">
        <f t="shared" si="72"/>
        <v>0</v>
      </c>
    </row>
    <row r="655" spans="1:21">
      <c r="A655" s="55">
        <v>652</v>
      </c>
      <c r="B655" s="55" t="s">
        <v>1123</v>
      </c>
      <c r="C655" s="55" t="s">
        <v>1158</v>
      </c>
      <c r="D655" s="55" t="s">
        <v>1125</v>
      </c>
      <c r="E655" s="75" t="s">
        <v>1159</v>
      </c>
      <c r="F655" s="55" t="s">
        <v>1160</v>
      </c>
      <c r="G655" s="55">
        <v>915001001</v>
      </c>
      <c r="H655" s="55" t="s">
        <v>1161</v>
      </c>
      <c r="I655" s="55">
        <v>309.87</v>
      </c>
      <c r="J655" s="111">
        <v>350</v>
      </c>
      <c r="K655" s="111">
        <v>350</v>
      </c>
      <c r="L655" s="111">
        <v>350</v>
      </c>
      <c r="M655" s="111">
        <v>350</v>
      </c>
      <c r="N655" s="111"/>
      <c r="O655" s="111"/>
      <c r="P655" s="2">
        <f t="shared" si="67"/>
        <v>108454.5</v>
      </c>
      <c r="Q655" s="2">
        <f t="shared" si="68"/>
        <v>108454.5</v>
      </c>
      <c r="R655" s="2">
        <f t="shared" si="69"/>
        <v>108454.5</v>
      </c>
      <c r="S655" s="2">
        <f t="shared" si="70"/>
        <v>108454.5</v>
      </c>
      <c r="T655" s="2">
        <f t="shared" si="71"/>
        <v>0</v>
      </c>
      <c r="U655" s="2">
        <f t="shared" si="72"/>
        <v>0</v>
      </c>
    </row>
    <row r="656" spans="1:21">
      <c r="A656" s="55">
        <v>653</v>
      </c>
      <c r="B656" s="55" t="s">
        <v>1123</v>
      </c>
      <c r="C656" s="55" t="s">
        <v>1158</v>
      </c>
      <c r="D656" s="55" t="s">
        <v>1125</v>
      </c>
      <c r="E656" s="75" t="s">
        <v>1159</v>
      </c>
      <c r="F656" s="55" t="s">
        <v>1162</v>
      </c>
      <c r="G656" s="55">
        <v>915001002</v>
      </c>
      <c r="H656" s="55" t="s">
        <v>1163</v>
      </c>
      <c r="I656" s="55">
        <v>309.87</v>
      </c>
      <c r="J656" s="111">
        <v>350</v>
      </c>
      <c r="K656" s="111">
        <v>350</v>
      </c>
      <c r="L656" s="111">
        <v>350</v>
      </c>
      <c r="M656" s="111">
        <v>350</v>
      </c>
      <c r="N656" s="111"/>
      <c r="O656" s="111"/>
      <c r="P656" s="2">
        <f t="shared" si="67"/>
        <v>108454.5</v>
      </c>
      <c r="Q656" s="2">
        <f t="shared" si="68"/>
        <v>108454.5</v>
      </c>
      <c r="R656" s="2">
        <f t="shared" si="69"/>
        <v>108454.5</v>
      </c>
      <c r="S656" s="2">
        <f t="shared" si="70"/>
        <v>108454.5</v>
      </c>
      <c r="T656" s="2">
        <f t="shared" si="71"/>
        <v>0</v>
      </c>
      <c r="U656" s="2">
        <f t="shared" si="72"/>
        <v>0</v>
      </c>
    </row>
    <row r="657" spans="1:21">
      <c r="A657" s="55">
        <v>654</v>
      </c>
      <c r="B657" s="55" t="s">
        <v>1123</v>
      </c>
      <c r="C657" s="55" t="s">
        <v>1158</v>
      </c>
      <c r="D657" s="55" t="s">
        <v>1125</v>
      </c>
      <c r="E657" s="75" t="s">
        <v>1159</v>
      </c>
      <c r="F657" s="55" t="s">
        <v>1164</v>
      </c>
      <c r="G657" s="55">
        <v>915001003</v>
      </c>
      <c r="H657" s="55" t="s">
        <v>1165</v>
      </c>
      <c r="I657" s="55">
        <v>140.46</v>
      </c>
      <c r="J657" s="111">
        <v>350</v>
      </c>
      <c r="K657" s="111">
        <v>350</v>
      </c>
      <c r="L657" s="111">
        <v>350</v>
      </c>
      <c r="M657" s="111">
        <v>350</v>
      </c>
      <c r="N657" s="111"/>
      <c r="O657" s="111"/>
      <c r="P657" s="2">
        <f t="shared" si="67"/>
        <v>49161</v>
      </c>
      <c r="Q657" s="2">
        <f t="shared" si="68"/>
        <v>49161</v>
      </c>
      <c r="R657" s="2">
        <f t="shared" si="69"/>
        <v>49161</v>
      </c>
      <c r="S657" s="2">
        <f t="shared" si="70"/>
        <v>49161</v>
      </c>
      <c r="T657" s="2">
        <f t="shared" si="71"/>
        <v>0</v>
      </c>
      <c r="U657" s="2">
        <f t="shared" si="72"/>
        <v>0</v>
      </c>
    </row>
    <row r="658" spans="1:21">
      <c r="A658" s="55">
        <v>655</v>
      </c>
      <c r="B658" s="55" t="s">
        <v>1123</v>
      </c>
      <c r="C658" s="55" t="s">
        <v>1158</v>
      </c>
      <c r="D658" s="55" t="s">
        <v>1125</v>
      </c>
      <c r="E658" s="75" t="s">
        <v>1159</v>
      </c>
      <c r="F658" s="55" t="s">
        <v>1166</v>
      </c>
      <c r="G658" s="55">
        <v>915001004</v>
      </c>
      <c r="H658" s="55" t="s">
        <v>1167</v>
      </c>
      <c r="I658" s="55">
        <v>140.46</v>
      </c>
      <c r="J658" s="111">
        <v>350</v>
      </c>
      <c r="K658" s="111">
        <v>350</v>
      </c>
      <c r="L658" s="111">
        <v>350</v>
      </c>
      <c r="M658" s="111">
        <v>350</v>
      </c>
      <c r="N658" s="111"/>
      <c r="O658" s="111"/>
      <c r="P658" s="2">
        <f t="shared" si="67"/>
        <v>49161</v>
      </c>
      <c r="Q658" s="2">
        <f t="shared" si="68"/>
        <v>49161</v>
      </c>
      <c r="R658" s="2">
        <f t="shared" si="69"/>
        <v>49161</v>
      </c>
      <c r="S658" s="2">
        <f t="shared" si="70"/>
        <v>49161</v>
      </c>
      <c r="T658" s="2">
        <f t="shared" si="71"/>
        <v>0</v>
      </c>
      <c r="U658" s="2">
        <f t="shared" si="72"/>
        <v>0</v>
      </c>
    </row>
    <row r="659" spans="1:21">
      <c r="A659" s="55">
        <v>656</v>
      </c>
      <c r="B659" s="55" t="s">
        <v>1123</v>
      </c>
      <c r="C659" s="55" t="s">
        <v>1158</v>
      </c>
      <c r="D659" s="55" t="s">
        <v>1125</v>
      </c>
      <c r="E659" s="75" t="s">
        <v>1159</v>
      </c>
      <c r="F659" s="55" t="s">
        <v>1168</v>
      </c>
      <c r="G659" s="55">
        <v>915001005</v>
      </c>
      <c r="H659" s="55" t="s">
        <v>1169</v>
      </c>
      <c r="I659" s="55">
        <v>50</v>
      </c>
      <c r="J659" s="111">
        <v>0</v>
      </c>
      <c r="K659" s="111">
        <v>0</v>
      </c>
      <c r="L659" s="111">
        <v>0</v>
      </c>
      <c r="M659" s="111">
        <v>0</v>
      </c>
      <c r="N659" s="111">
        <v>0</v>
      </c>
      <c r="O659" s="111">
        <v>0</v>
      </c>
      <c r="P659" s="2">
        <f t="shared" si="67"/>
        <v>0</v>
      </c>
      <c r="Q659" s="2">
        <f t="shared" si="68"/>
        <v>0</v>
      </c>
      <c r="R659" s="2">
        <f t="shared" si="69"/>
        <v>0</v>
      </c>
      <c r="S659" s="2">
        <f t="shared" si="70"/>
        <v>0</v>
      </c>
      <c r="T659" s="2">
        <f t="shared" si="71"/>
        <v>0</v>
      </c>
      <c r="U659" s="2">
        <f t="shared" si="72"/>
        <v>0</v>
      </c>
    </row>
    <row r="660" spans="1:21">
      <c r="A660" s="55">
        <v>657</v>
      </c>
      <c r="B660" s="55" t="s">
        <v>1123</v>
      </c>
      <c r="C660" s="55" t="s">
        <v>1158</v>
      </c>
      <c r="D660" s="55" t="s">
        <v>1125</v>
      </c>
      <c r="E660" s="75" t="s">
        <v>1159</v>
      </c>
      <c r="F660" s="55" t="s">
        <v>1170</v>
      </c>
      <c r="G660" s="55">
        <v>915004001</v>
      </c>
      <c r="H660" s="55" t="s">
        <v>1171</v>
      </c>
      <c r="I660" s="55">
        <v>161.58000000000001</v>
      </c>
      <c r="J660" s="111">
        <v>350</v>
      </c>
      <c r="K660" s="111">
        <v>350</v>
      </c>
      <c r="L660" s="111">
        <v>350</v>
      </c>
      <c r="M660" s="111">
        <v>350</v>
      </c>
      <c r="N660" s="111"/>
      <c r="O660" s="111"/>
      <c r="P660" s="2">
        <f t="shared" si="67"/>
        <v>56553.000000000007</v>
      </c>
      <c r="Q660" s="2">
        <f t="shared" si="68"/>
        <v>56553.000000000007</v>
      </c>
      <c r="R660" s="2">
        <f t="shared" si="69"/>
        <v>56553.000000000007</v>
      </c>
      <c r="S660" s="2">
        <f t="shared" si="70"/>
        <v>56553.000000000007</v>
      </c>
      <c r="T660" s="2">
        <f t="shared" si="71"/>
        <v>0</v>
      </c>
      <c r="U660" s="2">
        <f t="shared" si="72"/>
        <v>0</v>
      </c>
    </row>
    <row r="661" spans="1:21">
      <c r="A661" s="55">
        <v>658</v>
      </c>
      <c r="B661" s="55" t="s">
        <v>1123</v>
      </c>
      <c r="C661" s="55" t="s">
        <v>1158</v>
      </c>
      <c r="D661" s="55" t="s">
        <v>1125</v>
      </c>
      <c r="E661" s="75" t="s">
        <v>1159</v>
      </c>
      <c r="F661" s="55" t="s">
        <v>1172</v>
      </c>
      <c r="G661" s="55">
        <v>915004002</v>
      </c>
      <c r="H661" s="55" t="s">
        <v>1173</v>
      </c>
      <c r="I661" s="55">
        <v>161.6</v>
      </c>
      <c r="J661" s="111">
        <v>350</v>
      </c>
      <c r="K661" s="111">
        <v>350</v>
      </c>
      <c r="L661" s="111">
        <v>350</v>
      </c>
      <c r="M661" s="111">
        <v>350</v>
      </c>
      <c r="N661" s="111"/>
      <c r="O661" s="111"/>
      <c r="P661" s="2">
        <f t="shared" si="67"/>
        <v>56560</v>
      </c>
      <c r="Q661" s="2">
        <f t="shared" si="68"/>
        <v>56560</v>
      </c>
      <c r="R661" s="2">
        <f t="shared" si="69"/>
        <v>56560</v>
      </c>
      <c r="S661" s="2">
        <f t="shared" si="70"/>
        <v>56560</v>
      </c>
      <c r="T661" s="2">
        <f t="shared" si="71"/>
        <v>0</v>
      </c>
      <c r="U661" s="2">
        <f t="shared" si="72"/>
        <v>0</v>
      </c>
    </row>
    <row r="662" spans="1:21">
      <c r="A662" s="55">
        <v>659</v>
      </c>
      <c r="B662" s="55" t="s">
        <v>1123</v>
      </c>
      <c r="C662" s="55" t="s">
        <v>1158</v>
      </c>
      <c r="D662" s="55" t="s">
        <v>1125</v>
      </c>
      <c r="E662" s="75" t="s">
        <v>1159</v>
      </c>
      <c r="F662" s="55" t="s">
        <v>1174</v>
      </c>
      <c r="G662" s="55">
        <v>915004003</v>
      </c>
      <c r="H662" s="55" t="s">
        <v>1175</v>
      </c>
      <c r="I662" s="55">
        <v>142.86000000000001</v>
      </c>
      <c r="J662" s="111">
        <v>350</v>
      </c>
      <c r="K662" s="111">
        <v>350</v>
      </c>
      <c r="L662" s="111">
        <v>350</v>
      </c>
      <c r="M662" s="111">
        <v>350</v>
      </c>
      <c r="N662" s="111"/>
      <c r="O662" s="111"/>
      <c r="P662" s="2">
        <f t="shared" si="67"/>
        <v>50001.000000000007</v>
      </c>
      <c r="Q662" s="2">
        <f t="shared" si="68"/>
        <v>50001.000000000007</v>
      </c>
      <c r="R662" s="2">
        <f t="shared" si="69"/>
        <v>50001.000000000007</v>
      </c>
      <c r="S662" s="2">
        <f t="shared" si="70"/>
        <v>50001.000000000007</v>
      </c>
      <c r="T662" s="2">
        <f t="shared" si="71"/>
        <v>0</v>
      </c>
      <c r="U662" s="2">
        <f t="shared" si="72"/>
        <v>0</v>
      </c>
    </row>
    <row r="663" spans="1:21">
      <c r="A663" s="55">
        <v>660</v>
      </c>
      <c r="B663" s="55" t="s">
        <v>1123</v>
      </c>
      <c r="C663" s="55" t="s">
        <v>1158</v>
      </c>
      <c r="D663" s="55" t="s">
        <v>1125</v>
      </c>
      <c r="E663" s="75" t="s">
        <v>1159</v>
      </c>
      <c r="F663" s="55" t="s">
        <v>1176</v>
      </c>
      <c r="G663" s="55">
        <v>915004004</v>
      </c>
      <c r="H663" s="55" t="s">
        <v>1177</v>
      </c>
      <c r="I663" s="55">
        <v>142.86000000000001</v>
      </c>
      <c r="J663" s="111">
        <v>350</v>
      </c>
      <c r="K663" s="111">
        <v>350</v>
      </c>
      <c r="L663" s="111">
        <v>350</v>
      </c>
      <c r="M663" s="111">
        <v>350</v>
      </c>
      <c r="N663" s="111"/>
      <c r="O663" s="111"/>
      <c r="P663" s="2">
        <f t="shared" si="67"/>
        <v>50001.000000000007</v>
      </c>
      <c r="Q663" s="2">
        <f t="shared" si="68"/>
        <v>50001.000000000007</v>
      </c>
      <c r="R663" s="2">
        <f t="shared" si="69"/>
        <v>50001.000000000007</v>
      </c>
      <c r="S663" s="2">
        <f t="shared" si="70"/>
        <v>50001.000000000007</v>
      </c>
      <c r="T663" s="2">
        <f t="shared" si="71"/>
        <v>0</v>
      </c>
      <c r="U663" s="2">
        <f t="shared" si="72"/>
        <v>0</v>
      </c>
    </row>
    <row r="664" spans="1:21">
      <c r="A664" s="55">
        <v>661</v>
      </c>
      <c r="B664" s="55" t="s">
        <v>1123</v>
      </c>
      <c r="C664" s="55" t="s">
        <v>1158</v>
      </c>
      <c r="D664" s="55" t="s">
        <v>1125</v>
      </c>
      <c r="E664" s="75" t="s">
        <v>1159</v>
      </c>
      <c r="F664" s="55" t="s">
        <v>1178</v>
      </c>
      <c r="G664" s="55">
        <v>915004005</v>
      </c>
      <c r="H664" s="55" t="s">
        <v>1179</v>
      </c>
      <c r="I664" s="55">
        <v>142.9</v>
      </c>
      <c r="J664" s="111">
        <v>350</v>
      </c>
      <c r="K664" s="111">
        <v>350</v>
      </c>
      <c r="L664" s="111">
        <v>350</v>
      </c>
      <c r="M664" s="111">
        <v>350</v>
      </c>
      <c r="N664" s="111"/>
      <c r="O664" s="111"/>
      <c r="P664" s="2">
        <f t="shared" si="67"/>
        <v>50015</v>
      </c>
      <c r="Q664" s="2">
        <f t="shared" si="68"/>
        <v>50015</v>
      </c>
      <c r="R664" s="2">
        <f t="shared" si="69"/>
        <v>50015</v>
      </c>
      <c r="S664" s="2">
        <f t="shared" si="70"/>
        <v>50015</v>
      </c>
      <c r="T664" s="2">
        <f t="shared" si="71"/>
        <v>0</v>
      </c>
      <c r="U664" s="2">
        <f t="shared" si="72"/>
        <v>0</v>
      </c>
    </row>
    <row r="665" spans="1:21">
      <c r="A665" s="55">
        <v>662</v>
      </c>
      <c r="B665" s="55" t="s">
        <v>1123</v>
      </c>
      <c r="C665" s="55" t="s">
        <v>1158</v>
      </c>
      <c r="D665" s="55" t="s">
        <v>1125</v>
      </c>
      <c r="E665" s="75" t="s">
        <v>1159</v>
      </c>
      <c r="F665" s="55" t="s">
        <v>1180</v>
      </c>
      <c r="G665" s="55">
        <v>915004006</v>
      </c>
      <c r="H665" s="55" t="s">
        <v>1181</v>
      </c>
      <c r="I665" s="55">
        <v>142.9</v>
      </c>
      <c r="J665" s="111">
        <v>350</v>
      </c>
      <c r="K665" s="111">
        <v>350</v>
      </c>
      <c r="L665" s="111">
        <v>350</v>
      </c>
      <c r="M665" s="111">
        <v>350</v>
      </c>
      <c r="N665" s="111"/>
      <c r="O665" s="111"/>
      <c r="P665" s="2">
        <f t="shared" si="67"/>
        <v>50015</v>
      </c>
      <c r="Q665" s="2">
        <f t="shared" si="68"/>
        <v>50015</v>
      </c>
      <c r="R665" s="2">
        <f t="shared" si="69"/>
        <v>50015</v>
      </c>
      <c r="S665" s="2">
        <f t="shared" si="70"/>
        <v>50015</v>
      </c>
      <c r="T665" s="2">
        <f t="shared" si="71"/>
        <v>0</v>
      </c>
      <c r="U665" s="2">
        <f t="shared" si="72"/>
        <v>0</v>
      </c>
    </row>
    <row r="666" spans="1:21">
      <c r="A666" s="55">
        <v>663</v>
      </c>
      <c r="B666" s="55" t="s">
        <v>1123</v>
      </c>
      <c r="C666" s="55" t="s">
        <v>1158</v>
      </c>
      <c r="D666" s="55" t="s">
        <v>1125</v>
      </c>
      <c r="E666" s="75" t="s">
        <v>1159</v>
      </c>
      <c r="F666" s="55" t="s">
        <v>1182</v>
      </c>
      <c r="G666" s="55">
        <v>915006001</v>
      </c>
      <c r="H666" s="55" t="s">
        <v>1183</v>
      </c>
      <c r="I666" s="55">
        <v>5.28</v>
      </c>
      <c r="J666" s="111">
        <v>750</v>
      </c>
      <c r="K666" s="111">
        <v>750</v>
      </c>
      <c r="L666" s="111">
        <v>750</v>
      </c>
      <c r="M666" s="111">
        <v>750</v>
      </c>
      <c r="N666" s="111"/>
      <c r="O666" s="111"/>
      <c r="P666" s="2">
        <f t="shared" si="67"/>
        <v>3960</v>
      </c>
      <c r="Q666" s="2">
        <f t="shared" si="68"/>
        <v>3960</v>
      </c>
      <c r="R666" s="2">
        <f t="shared" si="69"/>
        <v>3960</v>
      </c>
      <c r="S666" s="2">
        <f t="shared" si="70"/>
        <v>3960</v>
      </c>
      <c r="T666" s="2">
        <f t="shared" si="71"/>
        <v>0</v>
      </c>
      <c r="U666" s="2">
        <f t="shared" si="72"/>
        <v>0</v>
      </c>
    </row>
    <row r="667" spans="1:21">
      <c r="A667" s="55">
        <v>664</v>
      </c>
      <c r="B667" s="55" t="s">
        <v>1123</v>
      </c>
      <c r="C667" s="55" t="s">
        <v>1158</v>
      </c>
      <c r="D667" s="55" t="s">
        <v>1125</v>
      </c>
      <c r="E667" s="75" t="s">
        <v>1159</v>
      </c>
      <c r="F667" s="55" t="s">
        <v>1184</v>
      </c>
      <c r="G667" s="55">
        <v>915006002</v>
      </c>
      <c r="H667" s="55" t="s">
        <v>1185</v>
      </c>
      <c r="I667" s="55">
        <v>26.09</v>
      </c>
      <c r="J667" s="111">
        <v>750</v>
      </c>
      <c r="K667" s="111">
        <v>750</v>
      </c>
      <c r="L667" s="111">
        <v>750</v>
      </c>
      <c r="M667" s="111">
        <v>750</v>
      </c>
      <c r="N667" s="111"/>
      <c r="O667" s="111"/>
      <c r="P667" s="2">
        <f t="shared" si="67"/>
        <v>19567.5</v>
      </c>
      <c r="Q667" s="2">
        <f t="shared" si="68"/>
        <v>19567.5</v>
      </c>
      <c r="R667" s="2">
        <f t="shared" si="69"/>
        <v>19567.5</v>
      </c>
      <c r="S667" s="2">
        <f t="shared" si="70"/>
        <v>19567.5</v>
      </c>
      <c r="T667" s="2">
        <f t="shared" si="71"/>
        <v>0</v>
      </c>
      <c r="U667" s="2">
        <f t="shared" si="72"/>
        <v>0</v>
      </c>
    </row>
    <row r="668" spans="1:21">
      <c r="A668" s="55">
        <v>665</v>
      </c>
      <c r="B668" s="55" t="s">
        <v>1123</v>
      </c>
      <c r="C668" s="55" t="s">
        <v>1158</v>
      </c>
      <c r="D668" s="55" t="s">
        <v>1125</v>
      </c>
      <c r="E668" s="75" t="s">
        <v>1159</v>
      </c>
      <c r="F668" s="55" t="s">
        <v>1186</v>
      </c>
      <c r="G668" s="55">
        <v>915009001</v>
      </c>
      <c r="H668" s="55" t="s">
        <v>1187</v>
      </c>
      <c r="I668" s="55">
        <v>54.38</v>
      </c>
      <c r="J668" s="111">
        <v>0</v>
      </c>
      <c r="K668" s="111">
        <v>0</v>
      </c>
      <c r="L668" s="111">
        <v>0</v>
      </c>
      <c r="M668" s="111">
        <v>0</v>
      </c>
      <c r="N668" s="111">
        <v>0</v>
      </c>
      <c r="O668" s="111">
        <v>0</v>
      </c>
      <c r="P668" s="2">
        <f t="shared" si="67"/>
        <v>0</v>
      </c>
      <c r="Q668" s="2">
        <f t="shared" si="68"/>
        <v>0</v>
      </c>
      <c r="R668" s="2">
        <f t="shared" si="69"/>
        <v>0</v>
      </c>
      <c r="S668" s="2">
        <f t="shared" si="70"/>
        <v>0</v>
      </c>
      <c r="T668" s="2">
        <f t="shared" si="71"/>
        <v>0</v>
      </c>
      <c r="U668" s="2">
        <f t="shared" si="72"/>
        <v>0</v>
      </c>
    </row>
    <row r="669" spans="1:21">
      <c r="A669" s="55">
        <v>666</v>
      </c>
      <c r="B669" s="55" t="s">
        <v>1123</v>
      </c>
      <c r="C669" s="55" t="s">
        <v>1158</v>
      </c>
      <c r="D669" s="55" t="s">
        <v>1125</v>
      </c>
      <c r="E669" s="75" t="s">
        <v>1159</v>
      </c>
      <c r="F669" s="55" t="s">
        <v>1188</v>
      </c>
      <c r="G669" s="55">
        <v>915009002</v>
      </c>
      <c r="H669" s="55" t="s">
        <v>1187</v>
      </c>
      <c r="I669" s="55">
        <v>54.38</v>
      </c>
      <c r="J669" s="111">
        <v>0</v>
      </c>
      <c r="K669" s="111">
        <v>0</v>
      </c>
      <c r="L669" s="111">
        <v>0</v>
      </c>
      <c r="M669" s="111">
        <v>0</v>
      </c>
      <c r="N669" s="111">
        <v>0</v>
      </c>
      <c r="O669" s="111">
        <v>0</v>
      </c>
      <c r="P669" s="2">
        <f t="shared" si="67"/>
        <v>0</v>
      </c>
      <c r="Q669" s="2">
        <f t="shared" si="68"/>
        <v>0</v>
      </c>
      <c r="R669" s="2">
        <f t="shared" si="69"/>
        <v>0</v>
      </c>
      <c r="S669" s="2">
        <f t="shared" si="70"/>
        <v>0</v>
      </c>
      <c r="T669" s="2">
        <f t="shared" si="71"/>
        <v>0</v>
      </c>
      <c r="U669" s="2">
        <f t="shared" si="72"/>
        <v>0</v>
      </c>
    </row>
    <row r="670" spans="1:21">
      <c r="A670" s="55">
        <v>667</v>
      </c>
      <c r="B670" s="55" t="s">
        <v>1123</v>
      </c>
      <c r="C670" s="55" t="s">
        <v>1158</v>
      </c>
      <c r="D670" s="55" t="s">
        <v>1125</v>
      </c>
      <c r="E670" s="75" t="s">
        <v>1159</v>
      </c>
      <c r="F670" s="55" t="s">
        <v>1189</v>
      </c>
      <c r="G670" s="55">
        <v>915009003</v>
      </c>
      <c r="H670" s="55" t="s">
        <v>1190</v>
      </c>
      <c r="I670" s="55">
        <v>202.22</v>
      </c>
      <c r="J670" s="111">
        <v>350</v>
      </c>
      <c r="K670" s="111">
        <v>350</v>
      </c>
      <c r="L670" s="111">
        <v>350</v>
      </c>
      <c r="M670" s="111">
        <v>350</v>
      </c>
      <c r="N670" s="111"/>
      <c r="O670" s="111"/>
      <c r="P670" s="2">
        <f t="shared" si="67"/>
        <v>70777</v>
      </c>
      <c r="Q670" s="2">
        <f t="shared" si="68"/>
        <v>70777</v>
      </c>
      <c r="R670" s="2">
        <f t="shared" si="69"/>
        <v>70777</v>
      </c>
      <c r="S670" s="2">
        <f t="shared" si="70"/>
        <v>70777</v>
      </c>
      <c r="T670" s="2">
        <f t="shared" si="71"/>
        <v>0</v>
      </c>
      <c r="U670" s="2">
        <f t="shared" si="72"/>
        <v>0</v>
      </c>
    </row>
    <row r="671" spans="1:21">
      <c r="A671" s="55">
        <v>668</v>
      </c>
      <c r="B671" s="55" t="s">
        <v>1123</v>
      </c>
      <c r="C671" s="55" t="s">
        <v>1158</v>
      </c>
      <c r="D671" s="55" t="s">
        <v>1125</v>
      </c>
      <c r="E671" s="75" t="s">
        <v>1159</v>
      </c>
      <c r="F671" s="55" t="s">
        <v>1191</v>
      </c>
      <c r="G671" s="55">
        <v>915009004</v>
      </c>
      <c r="H671" s="55" t="s">
        <v>1192</v>
      </c>
      <c r="I671" s="55">
        <v>154.21</v>
      </c>
      <c r="J671" s="111">
        <v>350</v>
      </c>
      <c r="K671" s="111">
        <v>350</v>
      </c>
      <c r="L671" s="111">
        <v>350</v>
      </c>
      <c r="M671" s="111">
        <v>350</v>
      </c>
      <c r="N671" s="111"/>
      <c r="O671" s="111"/>
      <c r="P671" s="2">
        <f t="shared" si="67"/>
        <v>53973.5</v>
      </c>
      <c r="Q671" s="2">
        <f t="shared" si="68"/>
        <v>53973.5</v>
      </c>
      <c r="R671" s="2">
        <f t="shared" si="69"/>
        <v>53973.5</v>
      </c>
      <c r="S671" s="2">
        <f t="shared" si="70"/>
        <v>53973.5</v>
      </c>
      <c r="T671" s="2">
        <f t="shared" si="71"/>
        <v>0</v>
      </c>
      <c r="U671" s="2">
        <f t="shared" si="72"/>
        <v>0</v>
      </c>
    </row>
    <row r="672" spans="1:21">
      <c r="A672" s="55">
        <v>669</v>
      </c>
      <c r="B672" s="55" t="s">
        <v>1123</v>
      </c>
      <c r="C672" s="55" t="s">
        <v>1158</v>
      </c>
      <c r="D672" s="55" t="s">
        <v>1125</v>
      </c>
      <c r="E672" s="75" t="s">
        <v>1159</v>
      </c>
      <c r="F672" s="55" t="s">
        <v>1193</v>
      </c>
      <c r="G672" s="55">
        <v>915017001</v>
      </c>
      <c r="H672" s="55" t="s">
        <v>1194</v>
      </c>
      <c r="I672" s="55">
        <v>0</v>
      </c>
      <c r="J672" s="111">
        <v>0</v>
      </c>
      <c r="K672" s="111">
        <v>0</v>
      </c>
      <c r="L672" s="111">
        <v>0</v>
      </c>
      <c r="M672" s="111">
        <v>0</v>
      </c>
      <c r="N672" s="111">
        <v>0</v>
      </c>
      <c r="O672" s="111">
        <v>0</v>
      </c>
      <c r="P672" s="2">
        <f t="shared" si="67"/>
        <v>0</v>
      </c>
      <c r="Q672" s="2">
        <f t="shared" si="68"/>
        <v>0</v>
      </c>
      <c r="R672" s="2">
        <f t="shared" si="69"/>
        <v>0</v>
      </c>
      <c r="S672" s="2">
        <f t="shared" si="70"/>
        <v>0</v>
      </c>
      <c r="T672" s="2">
        <f t="shared" si="71"/>
        <v>0</v>
      </c>
      <c r="U672" s="2">
        <f t="shared" si="72"/>
        <v>0</v>
      </c>
    </row>
    <row r="673" spans="1:21">
      <c r="A673" s="55">
        <v>670</v>
      </c>
      <c r="B673" s="55" t="s">
        <v>1123</v>
      </c>
      <c r="C673" s="55" t="s">
        <v>1158</v>
      </c>
      <c r="D673" s="55" t="s">
        <v>1125</v>
      </c>
      <c r="E673" s="75" t="s">
        <v>1159</v>
      </c>
      <c r="F673" s="55" t="s">
        <v>1195</v>
      </c>
      <c r="G673" s="55">
        <v>915017002</v>
      </c>
      <c r="H673" s="55" t="s">
        <v>1196</v>
      </c>
      <c r="I673" s="55">
        <v>0</v>
      </c>
      <c r="J673" s="111">
        <v>0</v>
      </c>
      <c r="K673" s="111">
        <v>0</v>
      </c>
      <c r="L673" s="111">
        <v>0</v>
      </c>
      <c r="M673" s="111">
        <v>0</v>
      </c>
      <c r="N673" s="111">
        <v>0</v>
      </c>
      <c r="O673" s="111">
        <v>0</v>
      </c>
      <c r="P673" s="2">
        <f t="shared" si="67"/>
        <v>0</v>
      </c>
      <c r="Q673" s="2">
        <f t="shared" si="68"/>
        <v>0</v>
      </c>
      <c r="R673" s="2">
        <f t="shared" si="69"/>
        <v>0</v>
      </c>
      <c r="S673" s="2">
        <f t="shared" si="70"/>
        <v>0</v>
      </c>
      <c r="T673" s="2">
        <f t="shared" si="71"/>
        <v>0</v>
      </c>
      <c r="U673" s="2">
        <f t="shared" si="72"/>
        <v>0</v>
      </c>
    </row>
    <row r="674" spans="1:21">
      <c r="A674" s="55">
        <v>671</v>
      </c>
      <c r="B674" s="55" t="s">
        <v>1123</v>
      </c>
      <c r="C674" s="55" t="s">
        <v>1158</v>
      </c>
      <c r="D674" s="55" t="s">
        <v>1125</v>
      </c>
      <c r="E674" s="75" t="s">
        <v>1159</v>
      </c>
      <c r="F674" s="55" t="s">
        <v>1197</v>
      </c>
      <c r="G674" s="55">
        <v>915017003</v>
      </c>
      <c r="H674" s="55" t="s">
        <v>1198</v>
      </c>
      <c r="I674" s="55">
        <v>6.94</v>
      </c>
      <c r="J674" s="111">
        <v>700</v>
      </c>
      <c r="K674" s="111">
        <v>700</v>
      </c>
      <c r="L674" s="111">
        <v>700</v>
      </c>
      <c r="M674" s="111">
        <v>700</v>
      </c>
      <c r="N674" s="111"/>
      <c r="O674" s="111"/>
      <c r="P674" s="2">
        <f t="shared" si="67"/>
        <v>4858</v>
      </c>
      <c r="Q674" s="2">
        <f t="shared" si="68"/>
        <v>4858</v>
      </c>
      <c r="R674" s="2">
        <f t="shared" si="69"/>
        <v>4858</v>
      </c>
      <c r="S674" s="2">
        <f t="shared" si="70"/>
        <v>4858</v>
      </c>
      <c r="T674" s="2">
        <f t="shared" si="71"/>
        <v>0</v>
      </c>
      <c r="U674" s="2">
        <f t="shared" si="72"/>
        <v>0</v>
      </c>
    </row>
    <row r="675" spans="1:21">
      <c r="A675" s="55">
        <v>672</v>
      </c>
      <c r="B675" s="55" t="s">
        <v>1123</v>
      </c>
      <c r="C675" s="55" t="s">
        <v>1158</v>
      </c>
      <c r="D675" s="55" t="s">
        <v>1125</v>
      </c>
      <c r="E675" s="75" t="s">
        <v>1159</v>
      </c>
      <c r="F675" s="55" t="s">
        <v>1199</v>
      </c>
      <c r="G675" s="55">
        <v>915017004</v>
      </c>
      <c r="H675" s="55" t="s">
        <v>1200</v>
      </c>
      <c r="I675" s="55">
        <v>17.170000000000002</v>
      </c>
      <c r="J675" s="111">
        <v>700</v>
      </c>
      <c r="K675" s="111">
        <v>700</v>
      </c>
      <c r="L675" s="111">
        <v>700</v>
      </c>
      <c r="M675" s="111">
        <v>700</v>
      </c>
      <c r="N675" s="111"/>
      <c r="O675" s="111"/>
      <c r="P675" s="2">
        <f t="shared" si="67"/>
        <v>12019.000000000002</v>
      </c>
      <c r="Q675" s="2">
        <f t="shared" si="68"/>
        <v>12019.000000000002</v>
      </c>
      <c r="R675" s="2">
        <f t="shared" si="69"/>
        <v>12019.000000000002</v>
      </c>
      <c r="S675" s="2">
        <f t="shared" si="70"/>
        <v>12019.000000000002</v>
      </c>
      <c r="T675" s="2">
        <f t="shared" si="71"/>
        <v>0</v>
      </c>
      <c r="U675" s="2">
        <f t="shared" si="72"/>
        <v>0</v>
      </c>
    </row>
    <row r="676" spans="1:21">
      <c r="A676" s="55">
        <v>673</v>
      </c>
      <c r="B676" s="55" t="s">
        <v>1123</v>
      </c>
      <c r="C676" s="55" t="s">
        <v>1158</v>
      </c>
      <c r="D676" s="55" t="s">
        <v>1125</v>
      </c>
      <c r="E676" s="75" t="s">
        <v>1159</v>
      </c>
      <c r="F676" s="55" t="s">
        <v>1201</v>
      </c>
      <c r="G676" s="55">
        <v>915017005</v>
      </c>
      <c r="H676" s="55" t="s">
        <v>1202</v>
      </c>
      <c r="I676" s="55">
        <v>0</v>
      </c>
      <c r="J676" s="111">
        <v>0</v>
      </c>
      <c r="K676" s="111">
        <v>0</v>
      </c>
      <c r="L676" s="111">
        <v>0</v>
      </c>
      <c r="M676" s="111">
        <v>0</v>
      </c>
      <c r="N676" s="111">
        <v>0</v>
      </c>
      <c r="O676" s="111">
        <v>0</v>
      </c>
      <c r="P676" s="2">
        <f t="shared" si="67"/>
        <v>0</v>
      </c>
      <c r="Q676" s="2">
        <f t="shared" si="68"/>
        <v>0</v>
      </c>
      <c r="R676" s="2">
        <f t="shared" si="69"/>
        <v>0</v>
      </c>
      <c r="S676" s="2">
        <f t="shared" si="70"/>
        <v>0</v>
      </c>
      <c r="T676" s="2">
        <f t="shared" si="71"/>
        <v>0</v>
      </c>
      <c r="U676" s="2">
        <f t="shared" si="72"/>
        <v>0</v>
      </c>
    </row>
    <row r="677" spans="1:21">
      <c r="A677" s="55">
        <v>674</v>
      </c>
      <c r="B677" s="55" t="s">
        <v>1123</v>
      </c>
      <c r="C677" s="55" t="s">
        <v>1158</v>
      </c>
      <c r="D677" s="55" t="s">
        <v>1125</v>
      </c>
      <c r="E677" s="75" t="s">
        <v>1159</v>
      </c>
      <c r="F677" s="55" t="s">
        <v>1203</v>
      </c>
      <c r="G677" s="55">
        <v>915006003</v>
      </c>
      <c r="H677" s="55" t="s">
        <v>1204</v>
      </c>
      <c r="I677" s="55">
        <v>89.47</v>
      </c>
      <c r="J677" s="111">
        <v>700</v>
      </c>
      <c r="K677" s="111">
        <v>700</v>
      </c>
      <c r="L677" s="111">
        <v>700</v>
      </c>
      <c r="M677" s="111">
        <v>700</v>
      </c>
      <c r="N677" s="111"/>
      <c r="O677" s="111"/>
      <c r="P677" s="2">
        <f t="shared" si="67"/>
        <v>62629</v>
      </c>
      <c r="Q677" s="2">
        <f t="shared" si="68"/>
        <v>62629</v>
      </c>
      <c r="R677" s="2">
        <f t="shared" si="69"/>
        <v>62629</v>
      </c>
      <c r="S677" s="2">
        <f t="shared" si="70"/>
        <v>62629</v>
      </c>
      <c r="T677" s="2">
        <f t="shared" si="71"/>
        <v>0</v>
      </c>
      <c r="U677" s="2">
        <f t="shared" si="72"/>
        <v>0</v>
      </c>
    </row>
    <row r="678" spans="1:21">
      <c r="A678" s="55">
        <v>675</v>
      </c>
      <c r="B678" s="55" t="s">
        <v>1123</v>
      </c>
      <c r="C678" s="55" t="s">
        <v>1158</v>
      </c>
      <c r="D678" s="55" t="s">
        <v>1125</v>
      </c>
      <c r="E678" s="75" t="s">
        <v>1159</v>
      </c>
      <c r="F678" s="55" t="s">
        <v>1205</v>
      </c>
      <c r="G678" s="55">
        <v>918901001</v>
      </c>
      <c r="H678" s="55" t="s">
        <v>1206</v>
      </c>
      <c r="I678" s="55">
        <v>27.64</v>
      </c>
      <c r="J678" s="111">
        <v>340</v>
      </c>
      <c r="K678" s="111">
        <v>340</v>
      </c>
      <c r="L678" s="111">
        <v>340</v>
      </c>
      <c r="M678" s="111">
        <v>340</v>
      </c>
      <c r="N678" s="111"/>
      <c r="O678" s="111"/>
      <c r="P678" s="2">
        <f t="shared" si="67"/>
        <v>9397.6</v>
      </c>
      <c r="Q678" s="2">
        <f t="shared" si="68"/>
        <v>9397.6</v>
      </c>
      <c r="R678" s="2">
        <f t="shared" si="69"/>
        <v>9397.6</v>
      </c>
      <c r="S678" s="2">
        <f t="shared" si="70"/>
        <v>9397.6</v>
      </c>
      <c r="T678" s="2">
        <f t="shared" si="71"/>
        <v>0</v>
      </c>
      <c r="U678" s="2">
        <f t="shared" si="72"/>
        <v>0</v>
      </c>
    </row>
    <row r="679" spans="1:21">
      <c r="A679" s="55">
        <v>676</v>
      </c>
      <c r="B679" s="55" t="s">
        <v>1123</v>
      </c>
      <c r="C679" s="55" t="s">
        <v>1158</v>
      </c>
      <c r="D679" s="55" t="s">
        <v>1125</v>
      </c>
      <c r="E679" s="75" t="s">
        <v>1159</v>
      </c>
      <c r="F679" s="55" t="s">
        <v>1207</v>
      </c>
      <c r="G679" s="55">
        <v>918906001</v>
      </c>
      <c r="H679" s="55" t="s">
        <v>1208</v>
      </c>
      <c r="I679" s="55">
        <v>125.84</v>
      </c>
      <c r="J679" s="111">
        <v>340</v>
      </c>
      <c r="K679" s="111">
        <v>340</v>
      </c>
      <c r="L679" s="111">
        <v>340</v>
      </c>
      <c r="M679" s="111">
        <v>340</v>
      </c>
      <c r="N679" s="111"/>
      <c r="O679" s="111"/>
      <c r="P679" s="2">
        <f t="shared" si="67"/>
        <v>42785.599999999999</v>
      </c>
      <c r="Q679" s="2">
        <f t="shared" si="68"/>
        <v>42785.599999999999</v>
      </c>
      <c r="R679" s="2">
        <f t="shared" si="69"/>
        <v>42785.599999999999</v>
      </c>
      <c r="S679" s="2">
        <f t="shared" si="70"/>
        <v>42785.599999999999</v>
      </c>
      <c r="T679" s="2">
        <f t="shared" si="71"/>
        <v>0</v>
      </c>
      <c r="U679" s="2">
        <f t="shared" si="72"/>
        <v>0</v>
      </c>
    </row>
    <row r="680" spans="1:21">
      <c r="A680" s="55">
        <v>677</v>
      </c>
      <c r="B680" s="55" t="s">
        <v>1123</v>
      </c>
      <c r="C680" s="55" t="s">
        <v>1124</v>
      </c>
      <c r="D680" s="55" t="s">
        <v>1209</v>
      </c>
      <c r="E680" s="75" t="s">
        <v>1126</v>
      </c>
      <c r="F680" s="55">
        <v>282967806302</v>
      </c>
      <c r="G680" s="55">
        <v>914209002</v>
      </c>
      <c r="H680" s="55" t="s">
        <v>1134</v>
      </c>
      <c r="I680" s="55">
        <v>132.88999999999999</v>
      </c>
      <c r="J680" s="111">
        <v>5500</v>
      </c>
      <c r="K680" s="111">
        <v>5600</v>
      </c>
      <c r="L680" s="111">
        <v>5600</v>
      </c>
      <c r="M680" s="111">
        <v>5600</v>
      </c>
      <c r="N680" s="111"/>
      <c r="O680" s="111"/>
      <c r="P680" s="2">
        <f t="shared" si="67"/>
        <v>730894.99999999988</v>
      </c>
      <c r="Q680" s="2">
        <f t="shared" si="68"/>
        <v>744183.99999999988</v>
      </c>
      <c r="R680" s="2">
        <f t="shared" si="69"/>
        <v>744183.99999999988</v>
      </c>
      <c r="S680" s="2">
        <f t="shared" si="70"/>
        <v>744183.99999999988</v>
      </c>
      <c r="T680" s="2">
        <f t="shared" si="71"/>
        <v>0</v>
      </c>
      <c r="U680" s="2">
        <f t="shared" si="72"/>
        <v>0</v>
      </c>
    </row>
    <row r="681" spans="1:21">
      <c r="A681" s="55">
        <v>678</v>
      </c>
      <c r="B681" s="55" t="s">
        <v>1123</v>
      </c>
      <c r="C681" s="55" t="s">
        <v>1124</v>
      </c>
      <c r="D681" s="55" t="s">
        <v>1210</v>
      </c>
      <c r="E681" s="75" t="s">
        <v>1126</v>
      </c>
      <c r="F681" s="55">
        <v>282967806302</v>
      </c>
      <c r="G681" s="55">
        <v>914209002</v>
      </c>
      <c r="H681" s="55" t="s">
        <v>1134</v>
      </c>
      <c r="I681" s="55">
        <v>138.72</v>
      </c>
      <c r="J681" s="111">
        <v>1000</v>
      </c>
      <c r="K681" s="111">
        <v>1100</v>
      </c>
      <c r="L681" s="111">
        <v>1100</v>
      </c>
      <c r="M681" s="111">
        <v>1100</v>
      </c>
      <c r="N681" s="111"/>
      <c r="O681" s="111"/>
      <c r="P681" s="2">
        <f t="shared" si="67"/>
        <v>138720</v>
      </c>
      <c r="Q681" s="2">
        <f t="shared" si="68"/>
        <v>152592</v>
      </c>
      <c r="R681" s="2">
        <f t="shared" si="69"/>
        <v>152592</v>
      </c>
      <c r="S681" s="2">
        <f t="shared" si="70"/>
        <v>152592</v>
      </c>
      <c r="T681" s="2">
        <f t="shared" si="71"/>
        <v>0</v>
      </c>
      <c r="U681" s="2">
        <f t="shared" si="72"/>
        <v>0</v>
      </c>
    </row>
    <row r="682" spans="1:21">
      <c r="A682" s="55">
        <v>679</v>
      </c>
      <c r="B682" s="55" t="s">
        <v>1123</v>
      </c>
      <c r="C682" s="55" t="s">
        <v>1124</v>
      </c>
      <c r="D682" s="55" t="s">
        <v>1215</v>
      </c>
      <c r="E682" s="75" t="s">
        <v>1126</v>
      </c>
      <c r="F682" s="55">
        <v>282972506309</v>
      </c>
      <c r="G682" s="55">
        <v>914204007</v>
      </c>
      <c r="H682" s="55" t="s">
        <v>1127</v>
      </c>
      <c r="I682" s="55">
        <v>257.61</v>
      </c>
      <c r="J682" s="111">
        <v>400</v>
      </c>
      <c r="K682" s="111">
        <v>400</v>
      </c>
      <c r="L682" s="111">
        <v>400</v>
      </c>
      <c r="M682" s="111">
        <v>400</v>
      </c>
      <c r="N682" s="111"/>
      <c r="O682" s="111"/>
      <c r="P682" s="2">
        <f t="shared" si="67"/>
        <v>103044</v>
      </c>
      <c r="Q682" s="2">
        <f t="shared" si="68"/>
        <v>103044</v>
      </c>
      <c r="R682" s="2">
        <f t="shared" si="69"/>
        <v>103044</v>
      </c>
      <c r="S682" s="2">
        <f t="shared" si="70"/>
        <v>103044</v>
      </c>
      <c r="T682" s="2">
        <f t="shared" si="71"/>
        <v>0</v>
      </c>
      <c r="U682" s="2">
        <f t="shared" si="72"/>
        <v>0</v>
      </c>
    </row>
    <row r="683" spans="1:21">
      <c r="A683" s="55">
        <v>680</v>
      </c>
      <c r="B683" s="55" t="s">
        <v>1123</v>
      </c>
      <c r="C683" s="55" t="s">
        <v>1124</v>
      </c>
      <c r="D683" s="55" t="s">
        <v>1215</v>
      </c>
      <c r="E683" s="75" t="s">
        <v>1126</v>
      </c>
      <c r="F683" s="55">
        <v>282972506310</v>
      </c>
      <c r="G683" s="55">
        <v>914204008</v>
      </c>
      <c r="H683" s="55" t="s">
        <v>1128</v>
      </c>
      <c r="I683" s="55">
        <v>257.61</v>
      </c>
      <c r="J683" s="111">
        <v>400</v>
      </c>
      <c r="K683" s="111">
        <v>400</v>
      </c>
      <c r="L683" s="111">
        <v>400</v>
      </c>
      <c r="M683" s="111">
        <v>400</v>
      </c>
      <c r="N683" s="111"/>
      <c r="O683" s="111"/>
      <c r="P683" s="2">
        <f t="shared" si="67"/>
        <v>103044</v>
      </c>
      <c r="Q683" s="2">
        <f t="shared" si="68"/>
        <v>103044</v>
      </c>
      <c r="R683" s="2">
        <f t="shared" si="69"/>
        <v>103044</v>
      </c>
      <c r="S683" s="2">
        <f t="shared" si="70"/>
        <v>103044</v>
      </c>
      <c r="T683" s="2">
        <f t="shared" si="71"/>
        <v>0</v>
      </c>
      <c r="U683" s="2">
        <f t="shared" si="72"/>
        <v>0</v>
      </c>
    </row>
    <row r="684" spans="1:21">
      <c r="A684" s="55">
        <v>681</v>
      </c>
      <c r="B684" s="55" t="s">
        <v>1123</v>
      </c>
      <c r="C684" s="55" t="s">
        <v>1124</v>
      </c>
      <c r="D684" s="55" t="s">
        <v>1215</v>
      </c>
      <c r="E684" s="75" t="s">
        <v>1126</v>
      </c>
      <c r="F684" s="55">
        <v>282972306312</v>
      </c>
      <c r="G684" s="55">
        <v>914205001</v>
      </c>
      <c r="H684" s="55" t="s">
        <v>1129</v>
      </c>
      <c r="I684" s="55">
        <v>76.55</v>
      </c>
      <c r="J684" s="111">
        <v>400</v>
      </c>
      <c r="K684" s="111">
        <v>400</v>
      </c>
      <c r="L684" s="111">
        <v>400</v>
      </c>
      <c r="M684" s="111">
        <v>400</v>
      </c>
      <c r="N684" s="111"/>
      <c r="O684" s="111"/>
      <c r="P684" s="2">
        <f t="shared" si="67"/>
        <v>30620</v>
      </c>
      <c r="Q684" s="2">
        <f t="shared" si="68"/>
        <v>30620</v>
      </c>
      <c r="R684" s="2">
        <f t="shared" si="69"/>
        <v>30620</v>
      </c>
      <c r="S684" s="2">
        <f t="shared" si="70"/>
        <v>30620</v>
      </c>
      <c r="T684" s="2">
        <f t="shared" si="71"/>
        <v>0</v>
      </c>
      <c r="U684" s="2">
        <f t="shared" si="72"/>
        <v>0</v>
      </c>
    </row>
    <row r="685" spans="1:21">
      <c r="A685" s="55">
        <v>682</v>
      </c>
      <c r="B685" s="55" t="s">
        <v>1123</v>
      </c>
      <c r="C685" s="55" t="s">
        <v>1124</v>
      </c>
      <c r="D685" s="55" t="s">
        <v>1215</v>
      </c>
      <c r="E685" s="75" t="s">
        <v>1126</v>
      </c>
      <c r="F685" s="55">
        <v>282972306313</v>
      </c>
      <c r="G685" s="55">
        <v>914205002</v>
      </c>
      <c r="H685" s="55" t="s">
        <v>1130</v>
      </c>
      <c r="I685" s="55">
        <v>76.55</v>
      </c>
      <c r="J685" s="111">
        <v>400</v>
      </c>
      <c r="K685" s="111">
        <v>400</v>
      </c>
      <c r="L685" s="111">
        <v>400</v>
      </c>
      <c r="M685" s="111">
        <v>400</v>
      </c>
      <c r="N685" s="111"/>
      <c r="O685" s="111"/>
      <c r="P685" s="2">
        <f t="shared" si="67"/>
        <v>30620</v>
      </c>
      <c r="Q685" s="2">
        <f t="shared" si="68"/>
        <v>30620</v>
      </c>
      <c r="R685" s="2">
        <f t="shared" si="69"/>
        <v>30620</v>
      </c>
      <c r="S685" s="2">
        <f t="shared" si="70"/>
        <v>30620</v>
      </c>
      <c r="T685" s="2">
        <f t="shared" si="71"/>
        <v>0</v>
      </c>
      <c r="U685" s="2">
        <f t="shared" si="72"/>
        <v>0</v>
      </c>
    </row>
    <row r="686" spans="1:21">
      <c r="A686" s="55">
        <v>683</v>
      </c>
      <c r="B686" s="55" t="s">
        <v>1123</v>
      </c>
      <c r="C686" s="55" t="s">
        <v>1124</v>
      </c>
      <c r="D686" s="55" t="s">
        <v>1215</v>
      </c>
      <c r="E686" s="75" t="s">
        <v>1126</v>
      </c>
      <c r="F686" s="55">
        <v>282972306314</v>
      </c>
      <c r="G686" s="55">
        <v>914205004</v>
      </c>
      <c r="H686" s="55" t="s">
        <v>1131</v>
      </c>
      <c r="I686" s="55">
        <v>77.180000000000007</v>
      </c>
      <c r="J686" s="111">
        <v>400</v>
      </c>
      <c r="K686" s="111">
        <v>400</v>
      </c>
      <c r="L686" s="111">
        <v>400</v>
      </c>
      <c r="M686" s="111">
        <v>400</v>
      </c>
      <c r="N686" s="111"/>
      <c r="O686" s="111"/>
      <c r="P686" s="2">
        <f t="shared" si="67"/>
        <v>30872.000000000004</v>
      </c>
      <c r="Q686" s="2">
        <f t="shared" si="68"/>
        <v>30872.000000000004</v>
      </c>
      <c r="R686" s="2">
        <f t="shared" si="69"/>
        <v>30872.000000000004</v>
      </c>
      <c r="S686" s="2">
        <f t="shared" si="70"/>
        <v>30872.000000000004</v>
      </c>
      <c r="T686" s="2">
        <f t="shared" si="71"/>
        <v>0</v>
      </c>
      <c r="U686" s="2">
        <f t="shared" si="72"/>
        <v>0</v>
      </c>
    </row>
    <row r="687" spans="1:21">
      <c r="A687" s="55">
        <v>684</v>
      </c>
      <c r="B687" s="55" t="s">
        <v>1123</v>
      </c>
      <c r="C687" s="55" t="s">
        <v>1124</v>
      </c>
      <c r="D687" s="55" t="s">
        <v>1215</v>
      </c>
      <c r="E687" s="75" t="s">
        <v>1126</v>
      </c>
      <c r="F687" s="55">
        <v>282972306315</v>
      </c>
      <c r="G687" s="55">
        <v>914205003</v>
      </c>
      <c r="H687" s="55" t="s">
        <v>1132</v>
      </c>
      <c r="I687" s="55">
        <v>77.180000000000007</v>
      </c>
      <c r="J687" s="111">
        <v>400</v>
      </c>
      <c r="K687" s="111">
        <v>400</v>
      </c>
      <c r="L687" s="111">
        <v>400</v>
      </c>
      <c r="M687" s="111">
        <v>400</v>
      </c>
      <c r="N687" s="111"/>
      <c r="O687" s="111"/>
      <c r="P687" s="2">
        <f t="shared" si="67"/>
        <v>30872.000000000004</v>
      </c>
      <c r="Q687" s="2">
        <f t="shared" si="68"/>
        <v>30872.000000000004</v>
      </c>
      <c r="R687" s="2">
        <f t="shared" si="69"/>
        <v>30872.000000000004</v>
      </c>
      <c r="S687" s="2">
        <f t="shared" si="70"/>
        <v>30872.000000000004</v>
      </c>
      <c r="T687" s="2">
        <f t="shared" si="71"/>
        <v>0</v>
      </c>
      <c r="U687" s="2">
        <f t="shared" si="72"/>
        <v>0</v>
      </c>
    </row>
    <row r="688" spans="1:21">
      <c r="A688" s="55">
        <v>685</v>
      </c>
      <c r="B688" s="55" t="s">
        <v>1123</v>
      </c>
      <c r="C688" s="55" t="s">
        <v>1124</v>
      </c>
      <c r="D688" s="55" t="s">
        <v>1215</v>
      </c>
      <c r="E688" s="75" t="s">
        <v>1126</v>
      </c>
      <c r="F688" s="55">
        <v>282972506311</v>
      </c>
      <c r="G688" s="55">
        <v>914201001</v>
      </c>
      <c r="H688" s="55" t="s">
        <v>746</v>
      </c>
      <c r="I688" s="55">
        <v>270.61</v>
      </c>
      <c r="J688" s="111">
        <v>400</v>
      </c>
      <c r="K688" s="111">
        <v>400</v>
      </c>
      <c r="L688" s="111">
        <v>400</v>
      </c>
      <c r="M688" s="111">
        <v>400</v>
      </c>
      <c r="N688" s="111"/>
      <c r="O688" s="111"/>
      <c r="P688" s="2">
        <f t="shared" si="67"/>
        <v>108244</v>
      </c>
      <c r="Q688" s="2">
        <f t="shared" si="68"/>
        <v>108244</v>
      </c>
      <c r="R688" s="2">
        <f t="shared" si="69"/>
        <v>108244</v>
      </c>
      <c r="S688" s="2">
        <f t="shared" si="70"/>
        <v>108244</v>
      </c>
      <c r="T688" s="2">
        <f t="shared" si="71"/>
        <v>0</v>
      </c>
      <c r="U688" s="2">
        <f t="shared" si="72"/>
        <v>0</v>
      </c>
    </row>
    <row r="689" spans="1:21">
      <c r="A689" s="55">
        <v>686</v>
      </c>
      <c r="B689" s="55" t="s">
        <v>1123</v>
      </c>
      <c r="C689" s="55" t="s">
        <v>1124</v>
      </c>
      <c r="D689" s="55" t="s">
        <v>1215</v>
      </c>
      <c r="E689" s="75" t="s">
        <v>1126</v>
      </c>
      <c r="F689" s="55">
        <v>282972506312</v>
      </c>
      <c r="G689" s="55">
        <v>914201002</v>
      </c>
      <c r="H689" s="55" t="s">
        <v>744</v>
      </c>
      <c r="I689" s="55">
        <v>270.61</v>
      </c>
      <c r="J689" s="111">
        <v>400</v>
      </c>
      <c r="K689" s="111">
        <v>400</v>
      </c>
      <c r="L689" s="111">
        <v>400</v>
      </c>
      <c r="M689" s="111">
        <v>400</v>
      </c>
      <c r="N689" s="111"/>
      <c r="O689" s="111"/>
      <c r="P689" s="2">
        <f t="shared" si="67"/>
        <v>108244</v>
      </c>
      <c r="Q689" s="2">
        <f t="shared" si="68"/>
        <v>108244</v>
      </c>
      <c r="R689" s="2">
        <f t="shared" si="69"/>
        <v>108244</v>
      </c>
      <c r="S689" s="2">
        <f t="shared" si="70"/>
        <v>108244</v>
      </c>
      <c r="T689" s="2">
        <f t="shared" si="71"/>
        <v>0</v>
      </c>
      <c r="U689" s="2">
        <f t="shared" si="72"/>
        <v>0</v>
      </c>
    </row>
    <row r="690" spans="1:21">
      <c r="A690" s="55">
        <v>687</v>
      </c>
      <c r="B690" s="55" t="s">
        <v>1123</v>
      </c>
      <c r="C690" s="55" t="s">
        <v>1124</v>
      </c>
      <c r="D690" s="55" t="s">
        <v>1215</v>
      </c>
      <c r="E690" s="75" t="s">
        <v>1126</v>
      </c>
      <c r="F690" s="55">
        <v>282988806305</v>
      </c>
      <c r="G690" s="55">
        <v>914217001</v>
      </c>
      <c r="H690" s="55" t="s">
        <v>1133</v>
      </c>
      <c r="I690" s="55">
        <v>44.37</v>
      </c>
      <c r="J690" s="111">
        <v>400</v>
      </c>
      <c r="K690" s="111">
        <v>400</v>
      </c>
      <c r="L690" s="111">
        <v>400</v>
      </c>
      <c r="M690" s="111">
        <v>400</v>
      </c>
      <c r="N690" s="111"/>
      <c r="O690" s="111"/>
      <c r="P690" s="2">
        <f t="shared" si="67"/>
        <v>17748</v>
      </c>
      <c r="Q690" s="2">
        <f t="shared" si="68"/>
        <v>17748</v>
      </c>
      <c r="R690" s="2">
        <f t="shared" si="69"/>
        <v>17748</v>
      </c>
      <c r="S690" s="2">
        <f t="shared" si="70"/>
        <v>17748</v>
      </c>
      <c r="T690" s="2">
        <f t="shared" si="71"/>
        <v>0</v>
      </c>
      <c r="U690" s="2">
        <f t="shared" si="72"/>
        <v>0</v>
      </c>
    </row>
    <row r="691" spans="1:21">
      <c r="A691" s="55">
        <v>688</v>
      </c>
      <c r="B691" s="55" t="s">
        <v>1123</v>
      </c>
      <c r="C691" s="55" t="s">
        <v>1124</v>
      </c>
      <c r="D691" s="55" t="s">
        <v>1215</v>
      </c>
      <c r="E691" s="75" t="s">
        <v>1126</v>
      </c>
      <c r="F691" s="55">
        <v>282967806302</v>
      </c>
      <c r="G691" s="55">
        <v>914209002</v>
      </c>
      <c r="H691" s="55" t="s">
        <v>1134</v>
      </c>
      <c r="I691" s="55">
        <v>128.65</v>
      </c>
      <c r="J691" s="111">
        <v>400</v>
      </c>
      <c r="K691" s="111">
        <v>400</v>
      </c>
      <c r="L691" s="111">
        <v>400</v>
      </c>
      <c r="M691" s="111">
        <v>400</v>
      </c>
      <c r="N691" s="111"/>
      <c r="O691" s="111"/>
      <c r="P691" s="2">
        <f t="shared" si="67"/>
        <v>51460</v>
      </c>
      <c r="Q691" s="2">
        <f t="shared" si="68"/>
        <v>51460</v>
      </c>
      <c r="R691" s="2">
        <f t="shared" si="69"/>
        <v>51460</v>
      </c>
      <c r="S691" s="2">
        <f t="shared" si="70"/>
        <v>51460</v>
      </c>
      <c r="T691" s="2">
        <f t="shared" si="71"/>
        <v>0</v>
      </c>
      <c r="U691" s="2">
        <f t="shared" si="72"/>
        <v>0</v>
      </c>
    </row>
    <row r="692" spans="1:21">
      <c r="A692" s="55">
        <v>689</v>
      </c>
      <c r="B692" s="55" t="s">
        <v>1123</v>
      </c>
      <c r="C692" s="55" t="s">
        <v>1124</v>
      </c>
      <c r="D692" s="55" t="s">
        <v>1215</v>
      </c>
      <c r="E692" s="75" t="s">
        <v>1126</v>
      </c>
      <c r="F692" s="55">
        <v>282967806304</v>
      </c>
      <c r="G692" s="55">
        <v>914209006</v>
      </c>
      <c r="H692" s="55" t="s">
        <v>1135</v>
      </c>
      <c r="I692" s="55">
        <v>134.15</v>
      </c>
      <c r="J692" s="111">
        <v>400</v>
      </c>
      <c r="K692" s="111">
        <v>400</v>
      </c>
      <c r="L692" s="111">
        <v>400</v>
      </c>
      <c r="M692" s="111">
        <v>400</v>
      </c>
      <c r="N692" s="111"/>
      <c r="O692" s="111"/>
      <c r="P692" s="2">
        <f t="shared" si="67"/>
        <v>53660</v>
      </c>
      <c r="Q692" s="2">
        <f t="shared" si="68"/>
        <v>53660</v>
      </c>
      <c r="R692" s="2">
        <f t="shared" si="69"/>
        <v>53660</v>
      </c>
      <c r="S692" s="2">
        <f t="shared" si="70"/>
        <v>53660</v>
      </c>
      <c r="T692" s="2">
        <f t="shared" si="71"/>
        <v>0</v>
      </c>
      <c r="U692" s="2">
        <f t="shared" si="72"/>
        <v>0</v>
      </c>
    </row>
    <row r="693" spans="1:21">
      <c r="A693" s="55">
        <v>690</v>
      </c>
      <c r="B693" s="55" t="s">
        <v>1123</v>
      </c>
      <c r="C693" s="55" t="s">
        <v>1124</v>
      </c>
      <c r="D693" s="55" t="s">
        <v>1215</v>
      </c>
      <c r="E693" s="75" t="s">
        <v>1126</v>
      </c>
      <c r="F693" s="55">
        <v>282967106304</v>
      </c>
      <c r="G693" s="55">
        <v>914209001</v>
      </c>
      <c r="H693" s="55" t="s">
        <v>1136</v>
      </c>
      <c r="I693" s="55">
        <v>131.79</v>
      </c>
      <c r="J693" s="111">
        <v>400</v>
      </c>
      <c r="K693" s="111">
        <v>400</v>
      </c>
      <c r="L693" s="111">
        <v>400</v>
      </c>
      <c r="M693" s="111">
        <v>400</v>
      </c>
      <c r="N693" s="111"/>
      <c r="O693" s="111"/>
      <c r="P693" s="2">
        <f t="shared" si="67"/>
        <v>52716</v>
      </c>
      <c r="Q693" s="2">
        <f t="shared" si="68"/>
        <v>52716</v>
      </c>
      <c r="R693" s="2">
        <f t="shared" si="69"/>
        <v>52716</v>
      </c>
      <c r="S693" s="2">
        <f t="shared" si="70"/>
        <v>52716</v>
      </c>
      <c r="T693" s="2">
        <f t="shared" si="71"/>
        <v>0</v>
      </c>
      <c r="U693" s="2">
        <f t="shared" si="72"/>
        <v>0</v>
      </c>
    </row>
    <row r="694" spans="1:21">
      <c r="A694" s="55">
        <v>691</v>
      </c>
      <c r="B694" s="55" t="s">
        <v>1123</v>
      </c>
      <c r="C694" s="55" t="s">
        <v>1124</v>
      </c>
      <c r="D694" s="55" t="s">
        <v>1215</v>
      </c>
      <c r="E694" s="75" t="s">
        <v>1126</v>
      </c>
      <c r="F694" s="55">
        <v>282972306309</v>
      </c>
      <c r="G694" s="55">
        <v>914211004</v>
      </c>
      <c r="H694" s="55" t="s">
        <v>1137</v>
      </c>
      <c r="I694" s="55">
        <v>19.82</v>
      </c>
      <c r="J694" s="111">
        <v>400</v>
      </c>
      <c r="K694" s="111">
        <v>400</v>
      </c>
      <c r="L694" s="111">
        <v>400</v>
      </c>
      <c r="M694" s="111">
        <v>400</v>
      </c>
      <c r="N694" s="111"/>
      <c r="O694" s="111"/>
      <c r="P694" s="2">
        <f t="shared" si="67"/>
        <v>7928</v>
      </c>
      <c r="Q694" s="2">
        <f t="shared" si="68"/>
        <v>7928</v>
      </c>
      <c r="R694" s="2">
        <f t="shared" si="69"/>
        <v>7928</v>
      </c>
      <c r="S694" s="2">
        <f t="shared" si="70"/>
        <v>7928</v>
      </c>
      <c r="T694" s="2">
        <f t="shared" si="71"/>
        <v>0</v>
      </c>
      <c r="U694" s="2">
        <f t="shared" si="72"/>
        <v>0</v>
      </c>
    </row>
    <row r="695" spans="1:21">
      <c r="A695" s="55">
        <v>692</v>
      </c>
      <c r="B695" s="55" t="s">
        <v>1123</v>
      </c>
      <c r="C695" s="55" t="s">
        <v>1124</v>
      </c>
      <c r="D695" s="55" t="s">
        <v>1215</v>
      </c>
      <c r="E695" s="75" t="s">
        <v>1126</v>
      </c>
      <c r="F695" s="55">
        <v>282972306310</v>
      </c>
      <c r="G695" s="55">
        <v>914211005</v>
      </c>
      <c r="H695" s="55" t="s">
        <v>1138</v>
      </c>
      <c r="I695" s="55">
        <v>19.82</v>
      </c>
      <c r="J695" s="111">
        <v>400</v>
      </c>
      <c r="K695" s="111">
        <v>400</v>
      </c>
      <c r="L695" s="111">
        <v>400</v>
      </c>
      <c r="M695" s="111">
        <v>400</v>
      </c>
      <c r="N695" s="111"/>
      <c r="O695" s="111"/>
      <c r="P695" s="2">
        <f t="shared" si="67"/>
        <v>7928</v>
      </c>
      <c r="Q695" s="2">
        <f t="shared" si="68"/>
        <v>7928</v>
      </c>
      <c r="R695" s="2">
        <f t="shared" si="69"/>
        <v>7928</v>
      </c>
      <c r="S695" s="2">
        <f t="shared" si="70"/>
        <v>7928</v>
      </c>
      <c r="T695" s="2">
        <f t="shared" si="71"/>
        <v>0</v>
      </c>
      <c r="U695" s="2">
        <f t="shared" si="72"/>
        <v>0</v>
      </c>
    </row>
    <row r="696" spans="1:21">
      <c r="A696" s="55">
        <v>693</v>
      </c>
      <c r="B696" s="55" t="s">
        <v>1123</v>
      </c>
      <c r="C696" s="55" t="s">
        <v>1124</v>
      </c>
      <c r="D696" s="55" t="s">
        <v>1215</v>
      </c>
      <c r="E696" s="75" t="s">
        <v>1126</v>
      </c>
      <c r="F696" s="55">
        <v>282970906311</v>
      </c>
      <c r="G696" s="55">
        <v>914209003</v>
      </c>
      <c r="H696" s="55" t="s">
        <v>1139</v>
      </c>
      <c r="I696" s="55">
        <v>47.78</v>
      </c>
      <c r="J696" s="111">
        <v>400</v>
      </c>
      <c r="K696" s="111">
        <v>400</v>
      </c>
      <c r="L696" s="111">
        <v>400</v>
      </c>
      <c r="M696" s="111">
        <v>400</v>
      </c>
      <c r="N696" s="111"/>
      <c r="O696" s="111"/>
      <c r="P696" s="2">
        <f t="shared" si="67"/>
        <v>19112</v>
      </c>
      <c r="Q696" s="2">
        <f t="shared" si="68"/>
        <v>19112</v>
      </c>
      <c r="R696" s="2">
        <f t="shared" si="69"/>
        <v>19112</v>
      </c>
      <c r="S696" s="2">
        <f t="shared" si="70"/>
        <v>19112</v>
      </c>
      <c r="T696" s="2">
        <f t="shared" si="71"/>
        <v>0</v>
      </c>
      <c r="U696" s="2">
        <f t="shared" si="72"/>
        <v>0</v>
      </c>
    </row>
    <row r="697" spans="1:21">
      <c r="A697" s="55">
        <v>694</v>
      </c>
      <c r="B697" s="55" t="s">
        <v>989</v>
      </c>
      <c r="C697" s="55" t="s">
        <v>990</v>
      </c>
      <c r="D697" s="55" t="s">
        <v>989</v>
      </c>
      <c r="E697" s="75" t="s">
        <v>991</v>
      </c>
      <c r="F697" s="55">
        <v>542472506301</v>
      </c>
      <c r="G697" s="55">
        <v>915404001</v>
      </c>
      <c r="H697" s="55" t="s">
        <v>992</v>
      </c>
      <c r="I697" s="55">
        <v>250.21</v>
      </c>
      <c r="J697" s="111">
        <v>6600</v>
      </c>
      <c r="K697" s="111">
        <v>6600</v>
      </c>
      <c r="L697" s="111">
        <v>6600</v>
      </c>
      <c r="M697" s="111"/>
      <c r="N697" s="111"/>
      <c r="O697" s="111"/>
      <c r="P697" s="2">
        <f t="shared" si="67"/>
        <v>1651386</v>
      </c>
      <c r="Q697" s="2">
        <f t="shared" si="68"/>
        <v>1651386</v>
      </c>
      <c r="R697" s="2">
        <f t="shared" si="69"/>
        <v>1651386</v>
      </c>
      <c r="S697" s="2">
        <f t="shared" si="70"/>
        <v>0</v>
      </c>
      <c r="T697" s="2">
        <f t="shared" si="71"/>
        <v>0</v>
      </c>
      <c r="U697" s="2">
        <f t="shared" si="72"/>
        <v>0</v>
      </c>
    </row>
    <row r="698" spans="1:21">
      <c r="A698" s="55">
        <v>695</v>
      </c>
      <c r="B698" s="55" t="s">
        <v>989</v>
      </c>
      <c r="C698" s="55" t="s">
        <v>990</v>
      </c>
      <c r="D698" s="55" t="s">
        <v>989</v>
      </c>
      <c r="E698" s="75" t="s">
        <v>991</v>
      </c>
      <c r="F698" s="55">
        <v>542472506302</v>
      </c>
      <c r="G698" s="55">
        <v>915404002</v>
      </c>
      <c r="H698" s="55" t="s">
        <v>993</v>
      </c>
      <c r="I698" s="55">
        <v>250.21</v>
      </c>
      <c r="J698" s="111">
        <v>6600</v>
      </c>
      <c r="K698" s="111">
        <v>6600</v>
      </c>
      <c r="L698" s="111">
        <v>6600</v>
      </c>
      <c r="M698" s="111"/>
      <c r="N698" s="111"/>
      <c r="O698" s="111"/>
      <c r="P698" s="2">
        <f t="shared" si="67"/>
        <v>1651386</v>
      </c>
      <c r="Q698" s="2">
        <f t="shared" si="68"/>
        <v>1651386</v>
      </c>
      <c r="R698" s="2">
        <f t="shared" si="69"/>
        <v>1651386</v>
      </c>
      <c r="S698" s="2">
        <f t="shared" si="70"/>
        <v>0</v>
      </c>
      <c r="T698" s="2">
        <f t="shared" si="71"/>
        <v>0</v>
      </c>
      <c r="U698" s="2">
        <f t="shared" si="72"/>
        <v>0</v>
      </c>
    </row>
    <row r="699" spans="1:21">
      <c r="A699" s="55">
        <v>696</v>
      </c>
      <c r="B699" s="55" t="s">
        <v>989</v>
      </c>
      <c r="C699" s="55" t="s">
        <v>990</v>
      </c>
      <c r="D699" s="55" t="s">
        <v>989</v>
      </c>
      <c r="E699" s="75" t="s">
        <v>994</v>
      </c>
      <c r="F699" s="55">
        <v>542473506301</v>
      </c>
      <c r="G699" s="55">
        <v>915404003</v>
      </c>
      <c r="H699" s="55" t="s">
        <v>995</v>
      </c>
      <c r="I699" s="55">
        <v>233.24</v>
      </c>
      <c r="J699" s="111">
        <v>12000</v>
      </c>
      <c r="K699" s="111">
        <v>12000</v>
      </c>
      <c r="L699" s="111">
        <v>12000</v>
      </c>
      <c r="M699" s="111"/>
      <c r="N699" s="111"/>
      <c r="O699" s="111"/>
      <c r="P699" s="2">
        <f t="shared" si="67"/>
        <v>2798880</v>
      </c>
      <c r="Q699" s="2">
        <f t="shared" si="68"/>
        <v>2798880</v>
      </c>
      <c r="R699" s="2">
        <f t="shared" si="69"/>
        <v>2798880</v>
      </c>
      <c r="S699" s="2">
        <f t="shared" si="70"/>
        <v>0</v>
      </c>
      <c r="T699" s="2">
        <f t="shared" si="71"/>
        <v>0</v>
      </c>
      <c r="U699" s="2">
        <f t="shared" si="72"/>
        <v>0</v>
      </c>
    </row>
    <row r="700" spans="1:21">
      <c r="A700" s="55">
        <v>697</v>
      </c>
      <c r="B700" s="55" t="s">
        <v>989</v>
      </c>
      <c r="C700" s="55" t="s">
        <v>990</v>
      </c>
      <c r="D700" s="55" t="s">
        <v>989</v>
      </c>
      <c r="E700" s="75" t="s">
        <v>994</v>
      </c>
      <c r="F700" s="55">
        <v>542473506302</v>
      </c>
      <c r="G700" s="55">
        <v>915404004</v>
      </c>
      <c r="H700" s="55" t="s">
        <v>996</v>
      </c>
      <c r="I700" s="55">
        <v>233.24</v>
      </c>
      <c r="J700" s="111">
        <v>12000</v>
      </c>
      <c r="K700" s="111">
        <v>12000</v>
      </c>
      <c r="L700" s="111">
        <v>12000</v>
      </c>
      <c r="M700" s="111"/>
      <c r="N700" s="111"/>
      <c r="O700" s="111"/>
      <c r="P700" s="2">
        <f t="shared" si="67"/>
        <v>2798880</v>
      </c>
      <c r="Q700" s="2">
        <f t="shared" si="68"/>
        <v>2798880</v>
      </c>
      <c r="R700" s="2">
        <f t="shared" si="69"/>
        <v>2798880</v>
      </c>
      <c r="S700" s="2">
        <f t="shared" si="70"/>
        <v>0</v>
      </c>
      <c r="T700" s="2">
        <f t="shared" si="71"/>
        <v>0</v>
      </c>
      <c r="U700" s="2">
        <f t="shared" si="72"/>
        <v>0</v>
      </c>
    </row>
    <row r="701" spans="1:21">
      <c r="A701" s="55">
        <v>698</v>
      </c>
      <c r="B701" s="55" t="s">
        <v>989</v>
      </c>
      <c r="C701" s="55" t="s">
        <v>990</v>
      </c>
      <c r="D701" s="55" t="s">
        <v>989</v>
      </c>
      <c r="E701" s="75" t="s">
        <v>994</v>
      </c>
      <c r="F701" s="55">
        <v>542572506303</v>
      </c>
      <c r="G701" s="55">
        <v>916901008</v>
      </c>
      <c r="H701" s="55" t="s">
        <v>64</v>
      </c>
      <c r="I701" s="55">
        <v>301.67</v>
      </c>
      <c r="J701" s="111">
        <v>12000</v>
      </c>
      <c r="K701" s="111">
        <v>12000</v>
      </c>
      <c r="L701" s="111">
        <v>12000</v>
      </c>
      <c r="M701" s="111"/>
      <c r="N701" s="111"/>
      <c r="O701" s="111"/>
      <c r="P701" s="2">
        <f t="shared" si="67"/>
        <v>3620040</v>
      </c>
      <c r="Q701" s="2">
        <f t="shared" si="68"/>
        <v>3620040</v>
      </c>
      <c r="R701" s="2">
        <f t="shared" si="69"/>
        <v>3620040</v>
      </c>
      <c r="S701" s="2">
        <f t="shared" si="70"/>
        <v>0</v>
      </c>
      <c r="T701" s="2">
        <f t="shared" si="71"/>
        <v>0</v>
      </c>
      <c r="U701" s="2">
        <f t="shared" si="72"/>
        <v>0</v>
      </c>
    </row>
    <row r="702" spans="1:21">
      <c r="A702" s="55">
        <v>699</v>
      </c>
      <c r="B702" s="55" t="s">
        <v>989</v>
      </c>
      <c r="C702" s="55" t="s">
        <v>990</v>
      </c>
      <c r="D702" s="55" t="s">
        <v>989</v>
      </c>
      <c r="E702" s="75" t="s">
        <v>994</v>
      </c>
      <c r="F702" s="55">
        <v>542572506304</v>
      </c>
      <c r="G702" s="55">
        <v>916901007</v>
      </c>
      <c r="H702" s="55" t="s">
        <v>66</v>
      </c>
      <c r="I702" s="55">
        <v>301.67</v>
      </c>
      <c r="J702" s="111">
        <v>12000</v>
      </c>
      <c r="K702" s="111">
        <v>12000</v>
      </c>
      <c r="L702" s="111">
        <v>12000</v>
      </c>
      <c r="M702" s="111"/>
      <c r="N702" s="111"/>
      <c r="O702" s="111"/>
      <c r="P702" s="2">
        <f t="shared" si="67"/>
        <v>3620040</v>
      </c>
      <c r="Q702" s="2">
        <f t="shared" si="68"/>
        <v>3620040</v>
      </c>
      <c r="R702" s="2">
        <f t="shared" si="69"/>
        <v>3620040</v>
      </c>
      <c r="S702" s="2">
        <f t="shared" si="70"/>
        <v>0</v>
      </c>
      <c r="T702" s="2">
        <f t="shared" si="71"/>
        <v>0</v>
      </c>
      <c r="U702" s="2">
        <f t="shared" si="72"/>
        <v>0</v>
      </c>
    </row>
    <row r="703" spans="1:21">
      <c r="A703" s="55">
        <v>700</v>
      </c>
      <c r="B703" s="55" t="s">
        <v>989</v>
      </c>
      <c r="C703" s="55" t="s">
        <v>990</v>
      </c>
      <c r="D703" s="55" t="s">
        <v>989</v>
      </c>
      <c r="E703" s="75" t="s">
        <v>991</v>
      </c>
      <c r="F703" s="55">
        <v>542473506303</v>
      </c>
      <c r="G703" s="55">
        <v>915401003</v>
      </c>
      <c r="H703" s="55" t="s">
        <v>997</v>
      </c>
      <c r="I703" s="55">
        <v>236.56</v>
      </c>
      <c r="J703" s="111">
        <v>6600</v>
      </c>
      <c r="K703" s="111">
        <v>6600</v>
      </c>
      <c r="L703" s="111">
        <v>6600</v>
      </c>
      <c r="M703" s="111"/>
      <c r="N703" s="111"/>
      <c r="O703" s="111"/>
      <c r="P703" s="2">
        <f t="shared" si="67"/>
        <v>1561296</v>
      </c>
      <c r="Q703" s="2">
        <f t="shared" si="68"/>
        <v>1561296</v>
      </c>
      <c r="R703" s="2">
        <f t="shared" si="69"/>
        <v>1561296</v>
      </c>
      <c r="S703" s="2">
        <f t="shared" si="70"/>
        <v>0</v>
      </c>
      <c r="T703" s="2">
        <f t="shared" si="71"/>
        <v>0</v>
      </c>
      <c r="U703" s="2">
        <f t="shared" si="72"/>
        <v>0</v>
      </c>
    </row>
    <row r="704" spans="1:21">
      <c r="A704" s="55">
        <v>701</v>
      </c>
      <c r="B704" s="55" t="s">
        <v>989</v>
      </c>
      <c r="C704" s="55" t="s">
        <v>990</v>
      </c>
      <c r="D704" s="55" t="s">
        <v>989</v>
      </c>
      <c r="E704" s="75" t="s">
        <v>991</v>
      </c>
      <c r="F704" s="55">
        <v>542473506304</v>
      </c>
      <c r="G704" s="55">
        <v>915401004</v>
      </c>
      <c r="H704" s="55" t="s">
        <v>998</v>
      </c>
      <c r="I704" s="55">
        <v>236.56</v>
      </c>
      <c r="J704" s="111">
        <v>6600</v>
      </c>
      <c r="K704" s="111">
        <v>6600</v>
      </c>
      <c r="L704" s="111">
        <v>6600</v>
      </c>
      <c r="M704" s="111"/>
      <c r="N704" s="111"/>
      <c r="O704" s="111"/>
      <c r="P704" s="2">
        <f t="shared" si="67"/>
        <v>1561296</v>
      </c>
      <c r="Q704" s="2">
        <f t="shared" si="68"/>
        <v>1561296</v>
      </c>
      <c r="R704" s="2">
        <f t="shared" si="69"/>
        <v>1561296</v>
      </c>
      <c r="S704" s="2">
        <f t="shared" si="70"/>
        <v>0</v>
      </c>
      <c r="T704" s="2">
        <f t="shared" si="71"/>
        <v>0</v>
      </c>
      <c r="U704" s="2">
        <f t="shared" si="72"/>
        <v>0</v>
      </c>
    </row>
    <row r="705" spans="1:21">
      <c r="A705" s="55">
        <v>702</v>
      </c>
      <c r="B705" s="55" t="s">
        <v>989</v>
      </c>
      <c r="C705" s="55" t="s">
        <v>990</v>
      </c>
      <c r="D705" s="55" t="s">
        <v>989</v>
      </c>
      <c r="E705" s="75" t="s">
        <v>999</v>
      </c>
      <c r="F705" s="55">
        <v>542573506301</v>
      </c>
      <c r="G705" s="55">
        <v>916901015</v>
      </c>
      <c r="H705" s="55" t="s">
        <v>1000</v>
      </c>
      <c r="I705" s="55">
        <v>316.82</v>
      </c>
      <c r="J705" s="111">
        <v>5400</v>
      </c>
      <c r="K705" s="111">
        <v>5400</v>
      </c>
      <c r="L705" s="111">
        <v>5400</v>
      </c>
      <c r="M705" s="111"/>
      <c r="N705" s="111"/>
      <c r="O705" s="111"/>
      <c r="P705" s="2">
        <f t="shared" si="67"/>
        <v>1710828</v>
      </c>
      <c r="Q705" s="2">
        <f t="shared" si="68"/>
        <v>1710828</v>
      </c>
      <c r="R705" s="2">
        <f t="shared" si="69"/>
        <v>1710828</v>
      </c>
      <c r="S705" s="2">
        <f t="shared" si="70"/>
        <v>0</v>
      </c>
      <c r="T705" s="2">
        <f t="shared" si="71"/>
        <v>0</v>
      </c>
      <c r="U705" s="2">
        <f t="shared" si="72"/>
        <v>0</v>
      </c>
    </row>
    <row r="706" spans="1:21">
      <c r="A706" s="55">
        <v>703</v>
      </c>
      <c r="B706" s="55" t="s">
        <v>989</v>
      </c>
      <c r="C706" s="55" t="s">
        <v>990</v>
      </c>
      <c r="D706" s="55" t="s">
        <v>989</v>
      </c>
      <c r="E706" s="75" t="s">
        <v>999</v>
      </c>
      <c r="F706" s="55">
        <v>542573506302</v>
      </c>
      <c r="G706" s="55">
        <v>916901016</v>
      </c>
      <c r="H706" s="55" t="s">
        <v>1001</v>
      </c>
      <c r="I706" s="55">
        <v>316.82</v>
      </c>
      <c r="J706" s="111">
        <v>5400</v>
      </c>
      <c r="K706" s="111">
        <v>5400</v>
      </c>
      <c r="L706" s="111">
        <v>5400</v>
      </c>
      <c r="M706" s="111"/>
      <c r="N706" s="111"/>
      <c r="O706" s="111"/>
      <c r="P706" s="2">
        <f t="shared" si="67"/>
        <v>1710828</v>
      </c>
      <c r="Q706" s="2">
        <f t="shared" si="68"/>
        <v>1710828</v>
      </c>
      <c r="R706" s="2">
        <f t="shared" si="69"/>
        <v>1710828</v>
      </c>
      <c r="S706" s="2">
        <f t="shared" si="70"/>
        <v>0</v>
      </c>
      <c r="T706" s="2">
        <f t="shared" si="71"/>
        <v>0</v>
      </c>
      <c r="U706" s="2">
        <f t="shared" si="72"/>
        <v>0</v>
      </c>
    </row>
    <row r="707" spans="1:21">
      <c r="A707" s="55">
        <v>704</v>
      </c>
      <c r="B707" s="55" t="s">
        <v>989</v>
      </c>
      <c r="C707" s="55" t="s">
        <v>990</v>
      </c>
      <c r="D707" s="55" t="s">
        <v>989</v>
      </c>
      <c r="E707" s="75" t="s">
        <v>999</v>
      </c>
      <c r="F707" s="55">
        <v>542573506317</v>
      </c>
      <c r="G707" s="55">
        <v>916901020</v>
      </c>
      <c r="H707" s="55" t="s">
        <v>1002</v>
      </c>
      <c r="I707" s="55">
        <v>242.11</v>
      </c>
      <c r="J707" s="111">
        <v>5400</v>
      </c>
      <c r="K707" s="111">
        <v>5400</v>
      </c>
      <c r="L707" s="111">
        <v>5400</v>
      </c>
      <c r="M707" s="111"/>
      <c r="N707" s="111"/>
      <c r="O707" s="111"/>
      <c r="P707" s="2">
        <f t="shared" si="67"/>
        <v>1307394</v>
      </c>
      <c r="Q707" s="2">
        <f t="shared" si="68"/>
        <v>1307394</v>
      </c>
      <c r="R707" s="2">
        <f t="shared" si="69"/>
        <v>1307394</v>
      </c>
      <c r="S707" s="2">
        <f t="shared" si="70"/>
        <v>0</v>
      </c>
      <c r="T707" s="2">
        <f t="shared" si="71"/>
        <v>0</v>
      </c>
      <c r="U707" s="2">
        <f t="shared" si="72"/>
        <v>0</v>
      </c>
    </row>
    <row r="708" spans="1:21">
      <c r="A708" s="55">
        <v>705</v>
      </c>
      <c r="B708" s="55" t="s">
        <v>989</v>
      </c>
      <c r="C708" s="55" t="s">
        <v>990</v>
      </c>
      <c r="D708" s="55" t="s">
        <v>989</v>
      </c>
      <c r="E708" s="75" t="s">
        <v>999</v>
      </c>
      <c r="F708" s="55">
        <v>542573506318</v>
      </c>
      <c r="G708" s="55">
        <v>916901021</v>
      </c>
      <c r="H708" s="55" t="s">
        <v>1003</v>
      </c>
      <c r="I708" s="55">
        <v>242.11</v>
      </c>
      <c r="J708" s="111">
        <v>5400</v>
      </c>
      <c r="K708" s="111">
        <v>5400</v>
      </c>
      <c r="L708" s="111">
        <v>5400</v>
      </c>
      <c r="M708" s="111"/>
      <c r="N708" s="111"/>
      <c r="O708" s="111"/>
      <c r="P708" s="2">
        <f t="shared" si="67"/>
        <v>1307394</v>
      </c>
      <c r="Q708" s="2">
        <f t="shared" si="68"/>
        <v>1307394</v>
      </c>
      <c r="R708" s="2">
        <f t="shared" si="69"/>
        <v>1307394</v>
      </c>
      <c r="S708" s="2">
        <f t="shared" si="70"/>
        <v>0</v>
      </c>
      <c r="T708" s="2">
        <f t="shared" si="71"/>
        <v>0</v>
      </c>
      <c r="U708" s="2">
        <f t="shared" si="72"/>
        <v>0</v>
      </c>
    </row>
    <row r="709" spans="1:21">
      <c r="A709" s="55">
        <v>706</v>
      </c>
      <c r="B709" s="55" t="s">
        <v>989</v>
      </c>
      <c r="C709" s="55" t="s">
        <v>990</v>
      </c>
      <c r="D709" s="55" t="s">
        <v>989</v>
      </c>
      <c r="E709" s="75" t="s">
        <v>999</v>
      </c>
      <c r="F709" s="55">
        <v>545667107711</v>
      </c>
      <c r="G709" s="55">
        <v>914811001</v>
      </c>
      <c r="H709" s="55" t="s">
        <v>1004</v>
      </c>
      <c r="I709" s="55">
        <v>169.42</v>
      </c>
      <c r="J709" s="111">
        <v>1500</v>
      </c>
      <c r="K709" s="111">
        <v>2000</v>
      </c>
      <c r="L709" s="111">
        <v>2000</v>
      </c>
      <c r="M709" s="111"/>
      <c r="N709" s="111"/>
      <c r="O709" s="111"/>
      <c r="P709" s="2">
        <f t="shared" ref="P709:P772" si="73">J709*I709</f>
        <v>254129.99999999997</v>
      </c>
      <c r="Q709" s="2">
        <f t="shared" ref="Q709:Q772" si="74">K709*I709</f>
        <v>338840</v>
      </c>
      <c r="R709" s="2">
        <f t="shared" ref="R709:R772" si="75">L709*I709</f>
        <v>338840</v>
      </c>
      <c r="S709" s="2">
        <f t="shared" ref="S709:S772" si="76">M709*I709</f>
        <v>0</v>
      </c>
      <c r="T709" s="2">
        <f t="shared" ref="T709:T772" si="77">N709*I709</f>
        <v>0</v>
      </c>
      <c r="U709" s="2">
        <f t="shared" ref="U709:U772" si="78">O709*I709</f>
        <v>0</v>
      </c>
    </row>
    <row r="710" spans="1:21">
      <c r="A710" s="55">
        <v>707</v>
      </c>
      <c r="B710" s="55" t="s">
        <v>989</v>
      </c>
      <c r="C710" s="55" t="s">
        <v>1005</v>
      </c>
      <c r="D710" s="55" t="s">
        <v>307</v>
      </c>
      <c r="E710" s="75" t="s">
        <v>1006</v>
      </c>
      <c r="F710" s="55" t="s">
        <v>1007</v>
      </c>
      <c r="G710" s="55">
        <v>918501006</v>
      </c>
      <c r="H710" s="55" t="s">
        <v>1008</v>
      </c>
      <c r="I710" s="55">
        <v>231.36</v>
      </c>
      <c r="J710" s="111">
        <v>1468</v>
      </c>
      <c r="K710" s="111">
        <v>1368</v>
      </c>
      <c r="L710" s="111">
        <v>1232</v>
      </c>
      <c r="M710" s="111"/>
      <c r="N710" s="111"/>
      <c r="O710" s="111"/>
      <c r="P710" s="2">
        <f t="shared" si="73"/>
        <v>339636.48000000004</v>
      </c>
      <c r="Q710" s="2">
        <f t="shared" si="74"/>
        <v>316500.48000000004</v>
      </c>
      <c r="R710" s="2">
        <f t="shared" si="75"/>
        <v>285035.52000000002</v>
      </c>
      <c r="S710" s="2">
        <f t="shared" si="76"/>
        <v>0</v>
      </c>
      <c r="T710" s="2">
        <f t="shared" si="77"/>
        <v>0</v>
      </c>
      <c r="U710" s="2">
        <f t="shared" si="78"/>
        <v>0</v>
      </c>
    </row>
    <row r="711" spans="1:21">
      <c r="A711" s="55">
        <v>708</v>
      </c>
      <c r="B711" s="55" t="s">
        <v>989</v>
      </c>
      <c r="C711" s="55" t="s">
        <v>1005</v>
      </c>
      <c r="D711" s="55" t="s">
        <v>307</v>
      </c>
      <c r="E711" s="75" t="s">
        <v>1006</v>
      </c>
      <c r="F711" s="55" t="s">
        <v>1009</v>
      </c>
      <c r="G711" s="55">
        <v>918505005</v>
      </c>
      <c r="H711" s="55" t="s">
        <v>1010</v>
      </c>
      <c r="I711" s="55">
        <v>119.05</v>
      </c>
      <c r="J711" s="111">
        <v>1468</v>
      </c>
      <c r="K711" s="111">
        <v>1368</v>
      </c>
      <c r="L711" s="111">
        <v>1232</v>
      </c>
      <c r="M711" s="111"/>
      <c r="N711" s="111"/>
      <c r="O711" s="111"/>
      <c r="P711" s="2">
        <f t="shared" si="73"/>
        <v>174765.4</v>
      </c>
      <c r="Q711" s="2">
        <f t="shared" si="74"/>
        <v>162860.4</v>
      </c>
      <c r="R711" s="2">
        <f t="shared" si="75"/>
        <v>146669.6</v>
      </c>
      <c r="S711" s="2">
        <f t="shared" si="76"/>
        <v>0</v>
      </c>
      <c r="T711" s="2">
        <f t="shared" si="77"/>
        <v>0</v>
      </c>
      <c r="U711" s="2">
        <f t="shared" si="78"/>
        <v>0</v>
      </c>
    </row>
    <row r="712" spans="1:21">
      <c r="A712" s="55">
        <v>709</v>
      </c>
      <c r="B712" s="55" t="s">
        <v>989</v>
      </c>
      <c r="C712" s="55" t="s">
        <v>1005</v>
      </c>
      <c r="D712" s="55" t="s">
        <v>307</v>
      </c>
      <c r="E712" s="75" t="s">
        <v>1006</v>
      </c>
      <c r="F712" s="55" t="s">
        <v>1011</v>
      </c>
      <c r="G712" s="55">
        <v>918505001</v>
      </c>
      <c r="H712" s="55" t="s">
        <v>1012</v>
      </c>
      <c r="I712" s="55">
        <v>297.08999999999997</v>
      </c>
      <c r="J712" s="111">
        <v>1468</v>
      </c>
      <c r="K712" s="111">
        <v>1368</v>
      </c>
      <c r="L712" s="111">
        <v>1232</v>
      </c>
      <c r="M712" s="111"/>
      <c r="N712" s="111"/>
      <c r="O712" s="111"/>
      <c r="P712" s="2">
        <f t="shared" si="73"/>
        <v>436128.11999999994</v>
      </c>
      <c r="Q712" s="2">
        <f t="shared" si="74"/>
        <v>406419.11999999994</v>
      </c>
      <c r="R712" s="2">
        <f t="shared" si="75"/>
        <v>366014.87999999995</v>
      </c>
      <c r="S712" s="2">
        <f t="shared" si="76"/>
        <v>0</v>
      </c>
      <c r="T712" s="2">
        <f t="shared" si="77"/>
        <v>0</v>
      </c>
      <c r="U712" s="2">
        <f t="shared" si="78"/>
        <v>0</v>
      </c>
    </row>
    <row r="713" spans="1:21">
      <c r="A713" s="55">
        <v>710</v>
      </c>
      <c r="B713" s="55" t="s">
        <v>989</v>
      </c>
      <c r="C713" s="55" t="s">
        <v>1005</v>
      </c>
      <c r="D713" s="55" t="s">
        <v>307</v>
      </c>
      <c r="E713" s="75" t="s">
        <v>1006</v>
      </c>
      <c r="F713" s="55" t="s">
        <v>1013</v>
      </c>
      <c r="G713" s="55">
        <v>918501005</v>
      </c>
      <c r="H713" s="55" t="s">
        <v>1014</v>
      </c>
      <c r="I713" s="55">
        <v>231.36</v>
      </c>
      <c r="J713" s="111">
        <v>1468</v>
      </c>
      <c r="K713" s="111">
        <v>1368</v>
      </c>
      <c r="L713" s="111">
        <v>1232</v>
      </c>
      <c r="M713" s="111"/>
      <c r="N713" s="111"/>
      <c r="O713" s="111"/>
      <c r="P713" s="2">
        <f t="shared" si="73"/>
        <v>339636.48000000004</v>
      </c>
      <c r="Q713" s="2">
        <f t="shared" si="74"/>
        <v>316500.48000000004</v>
      </c>
      <c r="R713" s="2">
        <f t="shared" si="75"/>
        <v>285035.52000000002</v>
      </c>
      <c r="S713" s="2">
        <f t="shared" si="76"/>
        <v>0</v>
      </c>
      <c r="T713" s="2">
        <f t="shared" si="77"/>
        <v>0</v>
      </c>
      <c r="U713" s="2">
        <f t="shared" si="78"/>
        <v>0</v>
      </c>
    </row>
    <row r="714" spans="1:21">
      <c r="A714" s="55">
        <v>711</v>
      </c>
      <c r="B714" s="55" t="s">
        <v>989</v>
      </c>
      <c r="C714" s="55" t="s">
        <v>1005</v>
      </c>
      <c r="D714" s="55" t="s">
        <v>307</v>
      </c>
      <c r="E714" s="75" t="s">
        <v>1006</v>
      </c>
      <c r="F714" s="55" t="s">
        <v>1015</v>
      </c>
      <c r="G714" s="55">
        <v>918505006</v>
      </c>
      <c r="H714" s="55" t="s">
        <v>1016</v>
      </c>
      <c r="I714" s="55">
        <v>119.05</v>
      </c>
      <c r="J714" s="111">
        <v>1468</v>
      </c>
      <c r="K714" s="111">
        <v>1368</v>
      </c>
      <c r="L714" s="111">
        <v>1232</v>
      </c>
      <c r="M714" s="111"/>
      <c r="N714" s="111"/>
      <c r="O714" s="111"/>
      <c r="P714" s="2">
        <f t="shared" si="73"/>
        <v>174765.4</v>
      </c>
      <c r="Q714" s="2">
        <f t="shared" si="74"/>
        <v>162860.4</v>
      </c>
      <c r="R714" s="2">
        <f t="shared" si="75"/>
        <v>146669.6</v>
      </c>
      <c r="S714" s="2">
        <f t="shared" si="76"/>
        <v>0</v>
      </c>
      <c r="T714" s="2">
        <f t="shared" si="77"/>
        <v>0</v>
      </c>
      <c r="U714" s="2">
        <f t="shared" si="78"/>
        <v>0</v>
      </c>
    </row>
    <row r="715" spans="1:21">
      <c r="A715" s="55">
        <v>712</v>
      </c>
      <c r="B715" s="55" t="s">
        <v>989</v>
      </c>
      <c r="C715" s="55" t="s">
        <v>1005</v>
      </c>
      <c r="D715" s="55" t="s">
        <v>307</v>
      </c>
      <c r="E715" s="75" t="s">
        <v>1006</v>
      </c>
      <c r="F715" s="55" t="s">
        <v>1017</v>
      </c>
      <c r="G715" s="55">
        <v>918505002</v>
      </c>
      <c r="H715" s="55" t="s">
        <v>1018</v>
      </c>
      <c r="I715" s="55">
        <v>297.08999999999997</v>
      </c>
      <c r="J715" s="111">
        <v>1468</v>
      </c>
      <c r="K715" s="111">
        <v>1368</v>
      </c>
      <c r="L715" s="111">
        <v>1232</v>
      </c>
      <c r="M715" s="111"/>
      <c r="N715" s="111"/>
      <c r="O715" s="111"/>
      <c r="P715" s="2">
        <f t="shared" si="73"/>
        <v>436128.11999999994</v>
      </c>
      <c r="Q715" s="2">
        <f t="shared" si="74"/>
        <v>406419.11999999994</v>
      </c>
      <c r="R715" s="2">
        <f t="shared" si="75"/>
        <v>366014.87999999995</v>
      </c>
      <c r="S715" s="2">
        <f t="shared" si="76"/>
        <v>0</v>
      </c>
      <c r="T715" s="2">
        <f t="shared" si="77"/>
        <v>0</v>
      </c>
      <c r="U715" s="2">
        <f t="shared" si="78"/>
        <v>0</v>
      </c>
    </row>
    <row r="716" spans="1:21">
      <c r="A716" s="55">
        <v>713</v>
      </c>
      <c r="B716" s="55" t="s">
        <v>989</v>
      </c>
      <c r="C716" s="55" t="s">
        <v>1005</v>
      </c>
      <c r="D716" s="55" t="s">
        <v>307</v>
      </c>
      <c r="E716" s="75" t="s">
        <v>1006</v>
      </c>
      <c r="F716" s="55" t="s">
        <v>1019</v>
      </c>
      <c r="G716" s="55">
        <v>918501007</v>
      </c>
      <c r="H716" s="55" t="s">
        <v>1020</v>
      </c>
      <c r="I716" s="55">
        <v>249.38</v>
      </c>
      <c r="J716" s="111">
        <v>1468</v>
      </c>
      <c r="K716" s="111">
        <v>1368</v>
      </c>
      <c r="L716" s="111">
        <v>1232</v>
      </c>
      <c r="M716" s="111"/>
      <c r="N716" s="111"/>
      <c r="O716" s="111"/>
      <c r="P716" s="2">
        <f t="shared" si="73"/>
        <v>366089.83999999997</v>
      </c>
      <c r="Q716" s="2">
        <f t="shared" si="74"/>
        <v>341151.83999999997</v>
      </c>
      <c r="R716" s="2">
        <f t="shared" si="75"/>
        <v>307236.15999999997</v>
      </c>
      <c r="S716" s="2">
        <f t="shared" si="76"/>
        <v>0</v>
      </c>
      <c r="T716" s="2">
        <f t="shared" si="77"/>
        <v>0</v>
      </c>
      <c r="U716" s="2">
        <f t="shared" si="78"/>
        <v>0</v>
      </c>
    </row>
    <row r="717" spans="1:21">
      <c r="A717" s="55">
        <v>714</v>
      </c>
      <c r="B717" s="55" t="s">
        <v>989</v>
      </c>
      <c r="C717" s="55" t="s">
        <v>1005</v>
      </c>
      <c r="D717" s="55" t="s">
        <v>307</v>
      </c>
      <c r="E717" s="75" t="s">
        <v>1006</v>
      </c>
      <c r="F717" s="55" t="s">
        <v>1021</v>
      </c>
      <c r="G717" s="55">
        <v>918505007</v>
      </c>
      <c r="H717" s="55" t="s">
        <v>1022</v>
      </c>
      <c r="I717" s="55">
        <v>109.14</v>
      </c>
      <c r="J717" s="111">
        <v>1468</v>
      </c>
      <c r="K717" s="111">
        <v>1368</v>
      </c>
      <c r="L717" s="111">
        <v>1232</v>
      </c>
      <c r="M717" s="111"/>
      <c r="N717" s="111"/>
      <c r="O717" s="111"/>
      <c r="P717" s="2">
        <f t="shared" si="73"/>
        <v>160217.51999999999</v>
      </c>
      <c r="Q717" s="2">
        <f t="shared" si="74"/>
        <v>149303.51999999999</v>
      </c>
      <c r="R717" s="2">
        <f t="shared" si="75"/>
        <v>134460.48000000001</v>
      </c>
      <c r="S717" s="2">
        <f t="shared" si="76"/>
        <v>0</v>
      </c>
      <c r="T717" s="2">
        <f t="shared" si="77"/>
        <v>0</v>
      </c>
      <c r="U717" s="2">
        <f t="shared" si="78"/>
        <v>0</v>
      </c>
    </row>
    <row r="718" spans="1:21">
      <c r="A718" s="55">
        <v>715</v>
      </c>
      <c r="B718" s="55" t="s">
        <v>989</v>
      </c>
      <c r="C718" s="55" t="s">
        <v>1005</v>
      </c>
      <c r="D718" s="55" t="s">
        <v>307</v>
      </c>
      <c r="E718" s="75" t="s">
        <v>1006</v>
      </c>
      <c r="F718" s="55" t="s">
        <v>1023</v>
      </c>
      <c r="G718" s="55">
        <v>918505003</v>
      </c>
      <c r="H718" s="55" t="s">
        <v>1024</v>
      </c>
      <c r="I718" s="55">
        <v>280.82</v>
      </c>
      <c r="J718" s="111">
        <v>1468</v>
      </c>
      <c r="K718" s="111">
        <v>1368</v>
      </c>
      <c r="L718" s="111">
        <v>1232</v>
      </c>
      <c r="M718" s="111"/>
      <c r="N718" s="111"/>
      <c r="O718" s="111"/>
      <c r="P718" s="2">
        <f t="shared" si="73"/>
        <v>412243.76</v>
      </c>
      <c r="Q718" s="2">
        <f t="shared" si="74"/>
        <v>384161.76</v>
      </c>
      <c r="R718" s="2">
        <f t="shared" si="75"/>
        <v>345970.24</v>
      </c>
      <c r="S718" s="2">
        <f t="shared" si="76"/>
        <v>0</v>
      </c>
      <c r="T718" s="2">
        <f t="shared" si="77"/>
        <v>0</v>
      </c>
      <c r="U718" s="2">
        <f t="shared" si="78"/>
        <v>0</v>
      </c>
    </row>
    <row r="719" spans="1:21">
      <c r="A719" s="55">
        <v>716</v>
      </c>
      <c r="B719" s="55" t="s">
        <v>989</v>
      </c>
      <c r="C719" s="55" t="s">
        <v>1005</v>
      </c>
      <c r="D719" s="55" t="s">
        <v>307</v>
      </c>
      <c r="E719" s="75" t="s">
        <v>1006</v>
      </c>
      <c r="F719" s="55" t="s">
        <v>1025</v>
      </c>
      <c r="G719" s="55">
        <v>918501008</v>
      </c>
      <c r="H719" s="55" t="s">
        <v>1026</v>
      </c>
      <c r="I719" s="55">
        <v>249.38</v>
      </c>
      <c r="J719" s="111">
        <v>1468</v>
      </c>
      <c r="K719" s="111">
        <v>1368</v>
      </c>
      <c r="L719" s="111">
        <v>1232</v>
      </c>
      <c r="M719" s="111"/>
      <c r="N719" s="111"/>
      <c r="O719" s="111"/>
      <c r="P719" s="2">
        <f t="shared" si="73"/>
        <v>366089.83999999997</v>
      </c>
      <c r="Q719" s="2">
        <f t="shared" si="74"/>
        <v>341151.83999999997</v>
      </c>
      <c r="R719" s="2">
        <f t="shared" si="75"/>
        <v>307236.15999999997</v>
      </c>
      <c r="S719" s="2">
        <f t="shared" si="76"/>
        <v>0</v>
      </c>
      <c r="T719" s="2">
        <f t="shared" si="77"/>
        <v>0</v>
      </c>
      <c r="U719" s="2">
        <f t="shared" si="78"/>
        <v>0</v>
      </c>
    </row>
    <row r="720" spans="1:21">
      <c r="A720" s="55">
        <v>717</v>
      </c>
      <c r="B720" s="55" t="s">
        <v>989</v>
      </c>
      <c r="C720" s="55" t="s">
        <v>1005</v>
      </c>
      <c r="D720" s="55" t="s">
        <v>307</v>
      </c>
      <c r="E720" s="75" t="s">
        <v>1006</v>
      </c>
      <c r="F720" s="55" t="s">
        <v>1027</v>
      </c>
      <c r="G720" s="55">
        <v>918505008</v>
      </c>
      <c r="H720" s="55" t="s">
        <v>1028</v>
      </c>
      <c r="I720" s="55">
        <v>109.14</v>
      </c>
      <c r="J720" s="111">
        <v>1468</v>
      </c>
      <c r="K720" s="111">
        <v>1368</v>
      </c>
      <c r="L720" s="111">
        <v>1232</v>
      </c>
      <c r="M720" s="111"/>
      <c r="N720" s="111"/>
      <c r="O720" s="111"/>
      <c r="P720" s="2">
        <f t="shared" si="73"/>
        <v>160217.51999999999</v>
      </c>
      <c r="Q720" s="2">
        <f t="shared" si="74"/>
        <v>149303.51999999999</v>
      </c>
      <c r="R720" s="2">
        <f t="shared" si="75"/>
        <v>134460.48000000001</v>
      </c>
      <c r="S720" s="2">
        <f t="shared" si="76"/>
        <v>0</v>
      </c>
      <c r="T720" s="2">
        <f t="shared" si="77"/>
        <v>0</v>
      </c>
      <c r="U720" s="2">
        <f t="shared" si="78"/>
        <v>0</v>
      </c>
    </row>
    <row r="721" spans="1:21">
      <c r="A721" s="55">
        <v>718</v>
      </c>
      <c r="B721" s="55" t="s">
        <v>989</v>
      </c>
      <c r="C721" s="55" t="s">
        <v>1005</v>
      </c>
      <c r="D721" s="55" t="s">
        <v>307</v>
      </c>
      <c r="E721" s="75" t="s">
        <v>1006</v>
      </c>
      <c r="F721" s="55" t="s">
        <v>1029</v>
      </c>
      <c r="G721" s="55">
        <v>918505004</v>
      </c>
      <c r="H721" s="55" t="s">
        <v>1030</v>
      </c>
      <c r="I721" s="55">
        <v>280.82</v>
      </c>
      <c r="J721" s="111">
        <v>1468</v>
      </c>
      <c r="K721" s="111">
        <v>1368</v>
      </c>
      <c r="L721" s="111">
        <v>1232</v>
      </c>
      <c r="M721" s="111"/>
      <c r="N721" s="111"/>
      <c r="O721" s="111"/>
      <c r="P721" s="2">
        <f t="shared" si="73"/>
        <v>412243.76</v>
      </c>
      <c r="Q721" s="2">
        <f t="shared" si="74"/>
        <v>384161.76</v>
      </c>
      <c r="R721" s="2">
        <f t="shared" si="75"/>
        <v>345970.24</v>
      </c>
      <c r="S721" s="2">
        <f t="shared" si="76"/>
        <v>0</v>
      </c>
      <c r="T721" s="2">
        <f t="shared" si="77"/>
        <v>0</v>
      </c>
      <c r="U721" s="2">
        <f t="shared" si="78"/>
        <v>0</v>
      </c>
    </row>
    <row r="722" spans="1:21">
      <c r="A722" s="55">
        <v>719</v>
      </c>
      <c r="B722" s="55" t="s">
        <v>989</v>
      </c>
      <c r="C722" s="55" t="s">
        <v>1005</v>
      </c>
      <c r="D722" s="55" t="s">
        <v>307</v>
      </c>
      <c r="E722" s="75" t="s">
        <v>1006</v>
      </c>
      <c r="F722" s="55" t="s">
        <v>1031</v>
      </c>
      <c r="G722" s="55">
        <v>918518001</v>
      </c>
      <c r="H722" s="55" t="s">
        <v>1032</v>
      </c>
      <c r="I722" s="55">
        <v>386.97</v>
      </c>
      <c r="J722" s="111">
        <v>1468</v>
      </c>
      <c r="K722" s="111">
        <v>1368</v>
      </c>
      <c r="L722" s="111">
        <v>1232</v>
      </c>
      <c r="M722" s="111"/>
      <c r="N722" s="111"/>
      <c r="O722" s="111"/>
      <c r="P722" s="2">
        <f t="shared" si="73"/>
        <v>568071.96000000008</v>
      </c>
      <c r="Q722" s="2">
        <f t="shared" si="74"/>
        <v>529374.96000000008</v>
      </c>
      <c r="R722" s="2">
        <f t="shared" si="75"/>
        <v>476747.04000000004</v>
      </c>
      <c r="S722" s="2">
        <f t="shared" si="76"/>
        <v>0</v>
      </c>
      <c r="T722" s="2">
        <f t="shared" si="77"/>
        <v>0</v>
      </c>
      <c r="U722" s="2">
        <f t="shared" si="78"/>
        <v>0</v>
      </c>
    </row>
    <row r="723" spans="1:21">
      <c r="A723" s="55">
        <v>720</v>
      </c>
      <c r="B723" s="55" t="s">
        <v>989</v>
      </c>
      <c r="C723" s="55" t="s">
        <v>1005</v>
      </c>
      <c r="D723" s="55" t="s">
        <v>307</v>
      </c>
      <c r="E723" s="75" t="s">
        <v>1006</v>
      </c>
      <c r="F723" s="55" t="s">
        <v>1033</v>
      </c>
      <c r="G723" s="55">
        <v>918520001</v>
      </c>
      <c r="H723" s="55" t="s">
        <v>1034</v>
      </c>
      <c r="I723" s="55">
        <v>65.87</v>
      </c>
      <c r="J723" s="111">
        <v>1468</v>
      </c>
      <c r="K723" s="111">
        <v>1368</v>
      </c>
      <c r="L723" s="111">
        <v>1232</v>
      </c>
      <c r="M723" s="111"/>
      <c r="N723" s="111"/>
      <c r="O723" s="111"/>
      <c r="P723" s="2">
        <f t="shared" si="73"/>
        <v>96697.16</v>
      </c>
      <c r="Q723" s="2">
        <f t="shared" si="74"/>
        <v>90110.16</v>
      </c>
      <c r="R723" s="2">
        <f t="shared" si="75"/>
        <v>81151.840000000011</v>
      </c>
      <c r="S723" s="2">
        <f t="shared" si="76"/>
        <v>0</v>
      </c>
      <c r="T723" s="2">
        <f t="shared" si="77"/>
        <v>0</v>
      </c>
      <c r="U723" s="2">
        <f t="shared" si="78"/>
        <v>0</v>
      </c>
    </row>
    <row r="724" spans="1:21">
      <c r="A724" s="55">
        <v>721</v>
      </c>
      <c r="B724" s="55" t="s">
        <v>989</v>
      </c>
      <c r="C724" s="55" t="s">
        <v>1005</v>
      </c>
      <c r="D724" s="55" t="s">
        <v>307</v>
      </c>
      <c r="E724" s="75" t="s">
        <v>1006</v>
      </c>
      <c r="F724" s="55" t="s">
        <v>1035</v>
      </c>
      <c r="G724" s="55">
        <v>918520002</v>
      </c>
      <c r="H724" s="55" t="s">
        <v>1036</v>
      </c>
      <c r="I724" s="55">
        <v>65.87</v>
      </c>
      <c r="J724" s="111">
        <v>1468</v>
      </c>
      <c r="K724" s="111">
        <v>1368</v>
      </c>
      <c r="L724" s="111">
        <v>1232</v>
      </c>
      <c r="M724" s="111"/>
      <c r="N724" s="111"/>
      <c r="O724" s="111"/>
      <c r="P724" s="2">
        <f t="shared" si="73"/>
        <v>96697.16</v>
      </c>
      <c r="Q724" s="2">
        <f t="shared" si="74"/>
        <v>90110.16</v>
      </c>
      <c r="R724" s="2">
        <f t="shared" si="75"/>
        <v>81151.840000000011</v>
      </c>
      <c r="S724" s="2">
        <f t="shared" si="76"/>
        <v>0</v>
      </c>
      <c r="T724" s="2">
        <f t="shared" si="77"/>
        <v>0</v>
      </c>
      <c r="U724" s="2">
        <f t="shared" si="78"/>
        <v>0</v>
      </c>
    </row>
    <row r="725" spans="1:21">
      <c r="A725" s="55">
        <v>722</v>
      </c>
      <c r="B725" s="55" t="s">
        <v>989</v>
      </c>
      <c r="C725" s="55" t="s">
        <v>1005</v>
      </c>
      <c r="D725" s="55" t="s">
        <v>307</v>
      </c>
      <c r="E725" s="75" t="s">
        <v>1006</v>
      </c>
      <c r="F725" s="55" t="s">
        <v>1216</v>
      </c>
      <c r="G725" s="55">
        <v>918525002</v>
      </c>
      <c r="H725" s="55" t="s">
        <v>1217</v>
      </c>
      <c r="I725" s="55">
        <v>13.17</v>
      </c>
      <c r="J725" s="111">
        <v>8272</v>
      </c>
      <c r="K725" s="111">
        <v>7672</v>
      </c>
      <c r="L725" s="111">
        <v>7268</v>
      </c>
      <c r="M725" s="111"/>
      <c r="N725" s="111"/>
      <c r="O725" s="111"/>
      <c r="P725" s="2">
        <f t="shared" si="73"/>
        <v>108942.24</v>
      </c>
      <c r="Q725" s="2">
        <f t="shared" si="74"/>
        <v>101040.24</v>
      </c>
      <c r="R725" s="2">
        <f t="shared" si="75"/>
        <v>95719.56</v>
      </c>
      <c r="S725" s="2">
        <f t="shared" si="76"/>
        <v>0</v>
      </c>
      <c r="T725" s="2">
        <f t="shared" si="77"/>
        <v>0</v>
      </c>
      <c r="U725" s="2">
        <f t="shared" si="78"/>
        <v>0</v>
      </c>
    </row>
    <row r="726" spans="1:21">
      <c r="A726" s="55">
        <v>723</v>
      </c>
      <c r="B726" s="55" t="s">
        <v>989</v>
      </c>
      <c r="C726" s="55" t="s">
        <v>1005</v>
      </c>
      <c r="D726" s="55" t="s">
        <v>307</v>
      </c>
      <c r="E726" s="75" t="s">
        <v>1006</v>
      </c>
      <c r="F726" s="55" t="s">
        <v>1218</v>
      </c>
      <c r="G726" s="55">
        <v>918525001</v>
      </c>
      <c r="H726" s="55" t="s">
        <v>1217</v>
      </c>
      <c r="I726" s="55">
        <v>13.67</v>
      </c>
      <c r="J726" s="111">
        <v>5336</v>
      </c>
      <c r="K726" s="111">
        <v>4936</v>
      </c>
      <c r="L726" s="111">
        <v>4804</v>
      </c>
      <c r="M726" s="111"/>
      <c r="N726" s="111"/>
      <c r="O726" s="111"/>
      <c r="P726" s="2">
        <f t="shared" si="73"/>
        <v>72943.12</v>
      </c>
      <c r="Q726" s="2">
        <f t="shared" si="74"/>
        <v>67475.12</v>
      </c>
      <c r="R726" s="2">
        <f t="shared" si="75"/>
        <v>65670.679999999993</v>
      </c>
      <c r="S726" s="2">
        <f t="shared" si="76"/>
        <v>0</v>
      </c>
      <c r="T726" s="2">
        <f t="shared" si="77"/>
        <v>0</v>
      </c>
      <c r="U726" s="2">
        <f t="shared" si="78"/>
        <v>0</v>
      </c>
    </row>
    <row r="727" spans="1:21">
      <c r="A727" s="55">
        <v>724</v>
      </c>
      <c r="B727" s="55" t="s">
        <v>989</v>
      </c>
      <c r="C727" s="55" t="s">
        <v>1005</v>
      </c>
      <c r="D727" s="55" t="s">
        <v>307</v>
      </c>
      <c r="E727" s="75" t="s">
        <v>1006</v>
      </c>
      <c r="F727" s="55" t="s">
        <v>1037</v>
      </c>
      <c r="G727" s="55">
        <v>918501001</v>
      </c>
      <c r="H727" s="55" t="s">
        <v>1038</v>
      </c>
      <c r="I727" s="55">
        <v>312.26</v>
      </c>
      <c r="J727" s="111">
        <v>2936</v>
      </c>
      <c r="K727" s="111">
        <v>2736</v>
      </c>
      <c r="L727" s="111">
        <v>2464</v>
      </c>
      <c r="M727" s="111"/>
      <c r="N727" s="111"/>
      <c r="O727" s="111"/>
      <c r="P727" s="2">
        <f t="shared" si="73"/>
        <v>916795.36</v>
      </c>
      <c r="Q727" s="2">
        <f t="shared" si="74"/>
        <v>854343.36</v>
      </c>
      <c r="R727" s="2">
        <f t="shared" si="75"/>
        <v>769408.64</v>
      </c>
      <c r="S727" s="2">
        <f t="shared" si="76"/>
        <v>0</v>
      </c>
      <c r="T727" s="2">
        <f t="shared" si="77"/>
        <v>0</v>
      </c>
      <c r="U727" s="2">
        <f t="shared" si="78"/>
        <v>0</v>
      </c>
    </row>
    <row r="728" spans="1:21">
      <c r="A728" s="55">
        <v>725</v>
      </c>
      <c r="B728" s="55" t="s">
        <v>989</v>
      </c>
      <c r="C728" s="55" t="s">
        <v>1005</v>
      </c>
      <c r="D728" s="55" t="s">
        <v>307</v>
      </c>
      <c r="E728" s="75" t="s">
        <v>1006</v>
      </c>
      <c r="F728" s="55" t="s">
        <v>1039</v>
      </c>
      <c r="G728" s="55">
        <v>918501003</v>
      </c>
      <c r="H728" s="55" t="s">
        <v>1040</v>
      </c>
      <c r="I728" s="55">
        <v>302.77999999999997</v>
      </c>
      <c r="J728" s="111">
        <v>2936</v>
      </c>
      <c r="K728" s="111">
        <v>2736</v>
      </c>
      <c r="L728" s="111">
        <v>2464</v>
      </c>
      <c r="M728" s="111"/>
      <c r="N728" s="111"/>
      <c r="O728" s="111"/>
      <c r="P728" s="2">
        <f t="shared" si="73"/>
        <v>888962.08</v>
      </c>
      <c r="Q728" s="2">
        <f t="shared" si="74"/>
        <v>828406.08</v>
      </c>
      <c r="R728" s="2">
        <f t="shared" si="75"/>
        <v>746049.91999999993</v>
      </c>
      <c r="S728" s="2">
        <f t="shared" si="76"/>
        <v>0</v>
      </c>
      <c r="T728" s="2">
        <f t="shared" si="77"/>
        <v>0</v>
      </c>
      <c r="U728" s="2">
        <f t="shared" si="78"/>
        <v>0</v>
      </c>
    </row>
    <row r="729" spans="1:21">
      <c r="A729" s="55">
        <v>726</v>
      </c>
      <c r="B729" s="55" t="s">
        <v>989</v>
      </c>
      <c r="C729" s="55" t="s">
        <v>1005</v>
      </c>
      <c r="D729" s="55" t="s">
        <v>307</v>
      </c>
      <c r="E729" s="75" t="s">
        <v>1006</v>
      </c>
      <c r="F729" s="55" t="s">
        <v>1041</v>
      </c>
      <c r="G729" s="55">
        <v>918504026</v>
      </c>
      <c r="H729" s="55" t="s">
        <v>1042</v>
      </c>
      <c r="I729" s="55">
        <v>1213.01</v>
      </c>
      <c r="J729" s="111">
        <v>426</v>
      </c>
      <c r="K729" s="111">
        <v>153</v>
      </c>
      <c r="L729" s="111">
        <v>172</v>
      </c>
      <c r="M729" s="111"/>
      <c r="N729" s="111"/>
      <c r="O729" s="111"/>
      <c r="P729" s="2">
        <f t="shared" si="73"/>
        <v>516742.26</v>
      </c>
      <c r="Q729" s="2">
        <f t="shared" si="74"/>
        <v>185590.53</v>
      </c>
      <c r="R729" s="2">
        <f t="shared" si="75"/>
        <v>208637.72</v>
      </c>
      <c r="S729" s="2">
        <f t="shared" si="76"/>
        <v>0</v>
      </c>
      <c r="T729" s="2">
        <f t="shared" si="77"/>
        <v>0</v>
      </c>
      <c r="U729" s="2">
        <f t="shared" si="78"/>
        <v>0</v>
      </c>
    </row>
    <row r="730" spans="1:21">
      <c r="A730" s="55">
        <v>727</v>
      </c>
      <c r="B730" s="55" t="s">
        <v>989</v>
      </c>
      <c r="C730" s="55" t="s">
        <v>1005</v>
      </c>
      <c r="D730" s="55" t="s">
        <v>307</v>
      </c>
      <c r="E730" s="75" t="s">
        <v>1006</v>
      </c>
      <c r="F730" s="55" t="s">
        <v>1043</v>
      </c>
      <c r="G730" s="55">
        <v>918504025</v>
      </c>
      <c r="H730" s="55" t="s">
        <v>1044</v>
      </c>
      <c r="I730" s="55">
        <v>1213.01</v>
      </c>
      <c r="J730" s="111">
        <v>426</v>
      </c>
      <c r="K730" s="111">
        <v>153</v>
      </c>
      <c r="L730" s="111">
        <v>172</v>
      </c>
      <c r="M730" s="111"/>
      <c r="N730" s="111"/>
      <c r="O730" s="111"/>
      <c r="P730" s="2">
        <f t="shared" si="73"/>
        <v>516742.26</v>
      </c>
      <c r="Q730" s="2">
        <f t="shared" si="74"/>
        <v>185590.53</v>
      </c>
      <c r="R730" s="2">
        <f t="shared" si="75"/>
        <v>208637.72</v>
      </c>
      <c r="S730" s="2">
        <f t="shared" si="76"/>
        <v>0</v>
      </c>
      <c r="T730" s="2">
        <f t="shared" si="77"/>
        <v>0</v>
      </c>
      <c r="U730" s="2">
        <f t="shared" si="78"/>
        <v>0</v>
      </c>
    </row>
    <row r="731" spans="1:21">
      <c r="A731" s="55">
        <v>728</v>
      </c>
      <c r="B731" s="55" t="s">
        <v>989</v>
      </c>
      <c r="C731" s="55" t="s">
        <v>1005</v>
      </c>
      <c r="D731" s="55" t="s">
        <v>307</v>
      </c>
      <c r="E731" s="75" t="s">
        <v>1006</v>
      </c>
      <c r="F731" s="55" t="s">
        <v>1045</v>
      </c>
      <c r="G731" s="55">
        <v>918504028</v>
      </c>
      <c r="H731" s="55" t="s">
        <v>1046</v>
      </c>
      <c r="I731" s="55">
        <v>849.43</v>
      </c>
      <c r="J731" s="111">
        <v>426</v>
      </c>
      <c r="K731" s="111">
        <v>153</v>
      </c>
      <c r="L731" s="111">
        <v>172</v>
      </c>
      <c r="M731" s="111"/>
      <c r="N731" s="111"/>
      <c r="O731" s="111"/>
      <c r="P731" s="2">
        <f t="shared" si="73"/>
        <v>361857.18</v>
      </c>
      <c r="Q731" s="2">
        <f t="shared" si="74"/>
        <v>129962.79</v>
      </c>
      <c r="R731" s="2">
        <f t="shared" si="75"/>
        <v>146101.96</v>
      </c>
      <c r="S731" s="2">
        <f t="shared" si="76"/>
        <v>0</v>
      </c>
      <c r="T731" s="2">
        <f t="shared" si="77"/>
        <v>0</v>
      </c>
      <c r="U731" s="2">
        <f t="shared" si="78"/>
        <v>0</v>
      </c>
    </row>
    <row r="732" spans="1:21">
      <c r="A732" s="55">
        <v>729</v>
      </c>
      <c r="B732" s="55" t="s">
        <v>989</v>
      </c>
      <c r="C732" s="55" t="s">
        <v>1005</v>
      </c>
      <c r="D732" s="55" t="s">
        <v>307</v>
      </c>
      <c r="E732" s="75" t="s">
        <v>1006</v>
      </c>
      <c r="F732" s="55" t="s">
        <v>1047</v>
      </c>
      <c r="G732" s="55">
        <v>918504027</v>
      </c>
      <c r="H732" s="55" t="s">
        <v>1048</v>
      </c>
      <c r="I732" s="55">
        <v>849.43</v>
      </c>
      <c r="J732" s="111">
        <v>426</v>
      </c>
      <c r="K732" s="111">
        <v>153</v>
      </c>
      <c r="L732" s="111">
        <v>172</v>
      </c>
      <c r="M732" s="111"/>
      <c r="N732" s="111"/>
      <c r="O732" s="111"/>
      <c r="P732" s="2">
        <f t="shared" si="73"/>
        <v>361857.18</v>
      </c>
      <c r="Q732" s="2">
        <f t="shared" si="74"/>
        <v>129962.79</v>
      </c>
      <c r="R732" s="2">
        <f t="shared" si="75"/>
        <v>146101.96</v>
      </c>
      <c r="S732" s="2">
        <f t="shared" si="76"/>
        <v>0</v>
      </c>
      <c r="T732" s="2">
        <f t="shared" si="77"/>
        <v>0</v>
      </c>
      <c r="U732" s="2">
        <f t="shared" si="78"/>
        <v>0</v>
      </c>
    </row>
    <row r="733" spans="1:21">
      <c r="A733" s="55">
        <v>730</v>
      </c>
      <c r="B733" s="55" t="s">
        <v>989</v>
      </c>
      <c r="C733" s="55" t="s">
        <v>1005</v>
      </c>
      <c r="D733" s="55" t="s">
        <v>307</v>
      </c>
      <c r="E733" s="75" t="s">
        <v>1006</v>
      </c>
      <c r="F733" s="55" t="s">
        <v>1049</v>
      </c>
      <c r="G733" s="55">
        <v>918504022</v>
      </c>
      <c r="H733" s="55" t="s">
        <v>1050</v>
      </c>
      <c r="I733" s="55">
        <v>961.69</v>
      </c>
      <c r="J733" s="111">
        <v>394</v>
      </c>
      <c r="K733" s="111">
        <v>529</v>
      </c>
      <c r="L733" s="111">
        <v>417</v>
      </c>
      <c r="M733" s="111"/>
      <c r="N733" s="111"/>
      <c r="O733" s="111"/>
      <c r="P733" s="2">
        <f t="shared" si="73"/>
        <v>378905.86000000004</v>
      </c>
      <c r="Q733" s="2">
        <f t="shared" si="74"/>
        <v>508734.01</v>
      </c>
      <c r="R733" s="2">
        <f t="shared" si="75"/>
        <v>401024.73000000004</v>
      </c>
      <c r="S733" s="2">
        <f t="shared" si="76"/>
        <v>0</v>
      </c>
      <c r="T733" s="2">
        <f t="shared" si="77"/>
        <v>0</v>
      </c>
      <c r="U733" s="2">
        <f t="shared" si="78"/>
        <v>0</v>
      </c>
    </row>
    <row r="734" spans="1:21">
      <c r="A734" s="55">
        <v>731</v>
      </c>
      <c r="B734" s="55" t="s">
        <v>989</v>
      </c>
      <c r="C734" s="55" t="s">
        <v>1005</v>
      </c>
      <c r="D734" s="55" t="s">
        <v>307</v>
      </c>
      <c r="E734" s="75" t="s">
        <v>1006</v>
      </c>
      <c r="F734" s="55" t="s">
        <v>1051</v>
      </c>
      <c r="G734" s="55">
        <v>918504021</v>
      </c>
      <c r="H734" s="55" t="s">
        <v>1052</v>
      </c>
      <c r="I734" s="55">
        <v>961.69</v>
      </c>
      <c r="J734" s="111">
        <v>394</v>
      </c>
      <c r="K734" s="111">
        <v>529</v>
      </c>
      <c r="L734" s="111">
        <v>417</v>
      </c>
      <c r="M734" s="111"/>
      <c r="N734" s="111"/>
      <c r="O734" s="111"/>
      <c r="P734" s="2">
        <f t="shared" si="73"/>
        <v>378905.86000000004</v>
      </c>
      <c r="Q734" s="2">
        <f t="shared" si="74"/>
        <v>508734.01</v>
      </c>
      <c r="R734" s="2">
        <f t="shared" si="75"/>
        <v>401024.73000000004</v>
      </c>
      <c r="S734" s="2">
        <f t="shared" si="76"/>
        <v>0</v>
      </c>
      <c r="T734" s="2">
        <f t="shared" si="77"/>
        <v>0</v>
      </c>
      <c r="U734" s="2">
        <f t="shared" si="78"/>
        <v>0</v>
      </c>
    </row>
    <row r="735" spans="1:21">
      <c r="A735" s="55">
        <v>732</v>
      </c>
      <c r="B735" s="55" t="s">
        <v>989</v>
      </c>
      <c r="C735" s="55" t="s">
        <v>1005</v>
      </c>
      <c r="D735" s="55" t="s">
        <v>307</v>
      </c>
      <c r="E735" s="75" t="s">
        <v>1006</v>
      </c>
      <c r="F735" s="55" t="s">
        <v>1053</v>
      </c>
      <c r="G735" s="55">
        <v>918504024</v>
      </c>
      <c r="H735" s="55" t="s">
        <v>1054</v>
      </c>
      <c r="I735" s="55">
        <v>716.22</v>
      </c>
      <c r="J735" s="111">
        <v>394</v>
      </c>
      <c r="K735" s="111">
        <v>529</v>
      </c>
      <c r="L735" s="111">
        <v>417</v>
      </c>
      <c r="M735" s="111"/>
      <c r="N735" s="111"/>
      <c r="O735" s="111"/>
      <c r="P735" s="2">
        <f t="shared" si="73"/>
        <v>282190.68</v>
      </c>
      <c r="Q735" s="2">
        <f t="shared" si="74"/>
        <v>378880.38</v>
      </c>
      <c r="R735" s="2">
        <f t="shared" si="75"/>
        <v>298663.74</v>
      </c>
      <c r="S735" s="2">
        <f t="shared" si="76"/>
        <v>0</v>
      </c>
      <c r="T735" s="2">
        <f t="shared" si="77"/>
        <v>0</v>
      </c>
      <c r="U735" s="2">
        <f t="shared" si="78"/>
        <v>0</v>
      </c>
    </row>
    <row r="736" spans="1:21">
      <c r="A736" s="55">
        <v>733</v>
      </c>
      <c r="B736" s="55" t="s">
        <v>989</v>
      </c>
      <c r="C736" s="55" t="s">
        <v>1005</v>
      </c>
      <c r="D736" s="55" t="s">
        <v>307</v>
      </c>
      <c r="E736" s="75" t="s">
        <v>1006</v>
      </c>
      <c r="F736" s="55" t="s">
        <v>1055</v>
      </c>
      <c r="G736" s="55">
        <v>918504023</v>
      </c>
      <c r="H736" s="55" t="s">
        <v>1056</v>
      </c>
      <c r="I736" s="55">
        <v>716.22</v>
      </c>
      <c r="J736" s="111">
        <v>394</v>
      </c>
      <c r="K736" s="111">
        <v>529</v>
      </c>
      <c r="L736" s="111">
        <v>417</v>
      </c>
      <c r="M736" s="111"/>
      <c r="N736" s="111"/>
      <c r="O736" s="111"/>
      <c r="P736" s="2">
        <f t="shared" si="73"/>
        <v>282190.68</v>
      </c>
      <c r="Q736" s="2">
        <f t="shared" si="74"/>
        <v>378880.38</v>
      </c>
      <c r="R736" s="2">
        <f t="shared" si="75"/>
        <v>298663.74</v>
      </c>
      <c r="S736" s="2">
        <f t="shared" si="76"/>
        <v>0</v>
      </c>
      <c r="T736" s="2">
        <f t="shared" si="77"/>
        <v>0</v>
      </c>
      <c r="U736" s="2">
        <f t="shared" si="78"/>
        <v>0</v>
      </c>
    </row>
    <row r="737" spans="1:21">
      <c r="A737" s="55">
        <v>734</v>
      </c>
      <c r="B737" s="55" t="s">
        <v>989</v>
      </c>
      <c r="C737" s="55" t="s">
        <v>1005</v>
      </c>
      <c r="D737" s="55" t="s">
        <v>307</v>
      </c>
      <c r="E737" s="75" t="s">
        <v>1006</v>
      </c>
      <c r="F737" s="55" t="s">
        <v>1057</v>
      </c>
      <c r="G737" s="55">
        <v>918504018</v>
      </c>
      <c r="H737" s="55" t="s">
        <v>1058</v>
      </c>
      <c r="I737" s="55">
        <v>1213.01</v>
      </c>
      <c r="J737" s="111">
        <v>648</v>
      </c>
      <c r="K737" s="111">
        <v>686</v>
      </c>
      <c r="L737" s="111">
        <v>643</v>
      </c>
      <c r="M737" s="111"/>
      <c r="N737" s="111"/>
      <c r="O737" s="111"/>
      <c r="P737" s="2">
        <f t="shared" si="73"/>
        <v>786030.48</v>
      </c>
      <c r="Q737" s="2">
        <f t="shared" si="74"/>
        <v>832124.86</v>
      </c>
      <c r="R737" s="2">
        <f t="shared" si="75"/>
        <v>779965.43</v>
      </c>
      <c r="S737" s="2">
        <f t="shared" si="76"/>
        <v>0</v>
      </c>
      <c r="T737" s="2">
        <f t="shared" si="77"/>
        <v>0</v>
      </c>
      <c r="U737" s="2">
        <f t="shared" si="78"/>
        <v>0</v>
      </c>
    </row>
    <row r="738" spans="1:21">
      <c r="A738" s="55">
        <v>735</v>
      </c>
      <c r="B738" s="55" t="s">
        <v>989</v>
      </c>
      <c r="C738" s="55" t="s">
        <v>1005</v>
      </c>
      <c r="D738" s="55" t="s">
        <v>307</v>
      </c>
      <c r="E738" s="75" t="s">
        <v>1006</v>
      </c>
      <c r="F738" s="55" t="s">
        <v>1059</v>
      </c>
      <c r="G738" s="55">
        <v>918504017</v>
      </c>
      <c r="H738" s="55" t="s">
        <v>1060</v>
      </c>
      <c r="I738" s="55">
        <v>1213.01</v>
      </c>
      <c r="J738" s="111">
        <v>648</v>
      </c>
      <c r="K738" s="111">
        <v>686</v>
      </c>
      <c r="L738" s="111">
        <v>643</v>
      </c>
      <c r="M738" s="111"/>
      <c r="N738" s="111"/>
      <c r="O738" s="111"/>
      <c r="P738" s="2">
        <f t="shared" si="73"/>
        <v>786030.48</v>
      </c>
      <c r="Q738" s="2">
        <f t="shared" si="74"/>
        <v>832124.86</v>
      </c>
      <c r="R738" s="2">
        <f t="shared" si="75"/>
        <v>779965.43</v>
      </c>
      <c r="S738" s="2">
        <f t="shared" si="76"/>
        <v>0</v>
      </c>
      <c r="T738" s="2">
        <f t="shared" si="77"/>
        <v>0</v>
      </c>
      <c r="U738" s="2">
        <f t="shared" si="78"/>
        <v>0</v>
      </c>
    </row>
    <row r="739" spans="1:21">
      <c r="A739" s="55">
        <v>736</v>
      </c>
      <c r="B739" s="55" t="s">
        <v>989</v>
      </c>
      <c r="C739" s="55" t="s">
        <v>1005</v>
      </c>
      <c r="D739" s="55" t="s">
        <v>307</v>
      </c>
      <c r="E739" s="75" t="s">
        <v>1006</v>
      </c>
      <c r="F739" s="55" t="s">
        <v>1061</v>
      </c>
      <c r="G739" s="55">
        <v>918504020</v>
      </c>
      <c r="H739" s="55" t="s">
        <v>1062</v>
      </c>
      <c r="I739" s="55">
        <v>849.43</v>
      </c>
      <c r="J739" s="111">
        <v>648</v>
      </c>
      <c r="K739" s="111">
        <v>686</v>
      </c>
      <c r="L739" s="111">
        <v>643</v>
      </c>
      <c r="M739" s="111"/>
      <c r="N739" s="111"/>
      <c r="O739" s="111"/>
      <c r="P739" s="2">
        <f t="shared" si="73"/>
        <v>550430.64</v>
      </c>
      <c r="Q739" s="2">
        <f t="shared" si="74"/>
        <v>582708.98</v>
      </c>
      <c r="R739" s="2">
        <f t="shared" si="75"/>
        <v>546183.49</v>
      </c>
      <c r="S739" s="2">
        <f t="shared" si="76"/>
        <v>0</v>
      </c>
      <c r="T739" s="2">
        <f t="shared" si="77"/>
        <v>0</v>
      </c>
      <c r="U739" s="2">
        <f t="shared" si="78"/>
        <v>0</v>
      </c>
    </row>
    <row r="740" spans="1:21">
      <c r="A740" s="55">
        <v>737</v>
      </c>
      <c r="B740" s="55" t="s">
        <v>989</v>
      </c>
      <c r="C740" s="55" t="s">
        <v>1005</v>
      </c>
      <c r="D740" s="55" t="s">
        <v>307</v>
      </c>
      <c r="E740" s="75" t="s">
        <v>1006</v>
      </c>
      <c r="F740" s="55" t="s">
        <v>1063</v>
      </c>
      <c r="G740" s="55">
        <v>918504019</v>
      </c>
      <c r="H740" s="55" t="s">
        <v>1064</v>
      </c>
      <c r="I740" s="55">
        <v>849.43</v>
      </c>
      <c r="J740" s="111">
        <v>648</v>
      </c>
      <c r="K740" s="111">
        <v>686</v>
      </c>
      <c r="L740" s="111">
        <v>643</v>
      </c>
      <c r="M740" s="111"/>
      <c r="N740" s="111"/>
      <c r="O740" s="111"/>
      <c r="P740" s="2">
        <f t="shared" si="73"/>
        <v>550430.64</v>
      </c>
      <c r="Q740" s="2">
        <f t="shared" si="74"/>
        <v>582708.98</v>
      </c>
      <c r="R740" s="2">
        <f t="shared" si="75"/>
        <v>546183.49</v>
      </c>
      <c r="S740" s="2">
        <f t="shared" si="76"/>
        <v>0</v>
      </c>
      <c r="T740" s="2">
        <f t="shared" si="77"/>
        <v>0</v>
      </c>
      <c r="U740" s="2">
        <f t="shared" si="78"/>
        <v>0</v>
      </c>
    </row>
    <row r="741" spans="1:21">
      <c r="A741" s="55">
        <v>738</v>
      </c>
      <c r="B741" s="55" t="s">
        <v>989</v>
      </c>
      <c r="C741" s="55" t="s">
        <v>1005</v>
      </c>
      <c r="D741" s="55" t="s">
        <v>307</v>
      </c>
      <c r="E741" s="75" t="s">
        <v>1006</v>
      </c>
      <c r="F741" s="55" t="s">
        <v>1065</v>
      </c>
      <c r="G741" s="55">
        <v>918503003</v>
      </c>
      <c r="H741" s="55" t="s">
        <v>1066</v>
      </c>
      <c r="I741" s="55">
        <v>107.47</v>
      </c>
      <c r="J741" s="111">
        <v>1468</v>
      </c>
      <c r="K741" s="111">
        <v>1368</v>
      </c>
      <c r="L741" s="111">
        <v>1232</v>
      </c>
      <c r="M741" s="111"/>
      <c r="N741" s="111"/>
      <c r="O741" s="111"/>
      <c r="P741" s="2">
        <f t="shared" si="73"/>
        <v>157765.96</v>
      </c>
      <c r="Q741" s="2">
        <f t="shared" si="74"/>
        <v>147018.96</v>
      </c>
      <c r="R741" s="2">
        <f t="shared" si="75"/>
        <v>132403.04</v>
      </c>
      <c r="S741" s="2">
        <f t="shared" si="76"/>
        <v>0</v>
      </c>
      <c r="T741" s="2">
        <f t="shared" si="77"/>
        <v>0</v>
      </c>
      <c r="U741" s="2">
        <f t="shared" si="78"/>
        <v>0</v>
      </c>
    </row>
    <row r="742" spans="1:21">
      <c r="A742" s="55">
        <v>739</v>
      </c>
      <c r="B742" s="55" t="s">
        <v>989</v>
      </c>
      <c r="C742" s="55" t="s">
        <v>1005</v>
      </c>
      <c r="D742" s="55" t="s">
        <v>307</v>
      </c>
      <c r="E742" s="75" t="s">
        <v>1067</v>
      </c>
      <c r="F742" s="55" t="s">
        <v>1068</v>
      </c>
      <c r="G742" s="55">
        <v>912918001</v>
      </c>
      <c r="H742" s="55" t="s">
        <v>1032</v>
      </c>
      <c r="I742" s="55">
        <v>455.99</v>
      </c>
      <c r="J742" s="111">
        <v>1200</v>
      </c>
      <c r="K742" s="111">
        <v>1100</v>
      </c>
      <c r="L742" s="111">
        <v>1170</v>
      </c>
      <c r="M742" s="111"/>
      <c r="N742" s="111"/>
      <c r="O742" s="111"/>
      <c r="P742" s="2">
        <f t="shared" si="73"/>
        <v>547188</v>
      </c>
      <c r="Q742" s="2">
        <f t="shared" si="74"/>
        <v>501589</v>
      </c>
      <c r="R742" s="2">
        <f t="shared" si="75"/>
        <v>533508.30000000005</v>
      </c>
      <c r="S742" s="2">
        <f t="shared" si="76"/>
        <v>0</v>
      </c>
      <c r="T742" s="2">
        <f t="shared" si="77"/>
        <v>0</v>
      </c>
      <c r="U742" s="2">
        <f t="shared" si="78"/>
        <v>0</v>
      </c>
    </row>
    <row r="743" spans="1:21">
      <c r="A743" s="55">
        <v>740</v>
      </c>
      <c r="B743" s="55" t="s">
        <v>989</v>
      </c>
      <c r="C743" s="55" t="s">
        <v>1005</v>
      </c>
      <c r="D743" s="55" t="s">
        <v>307</v>
      </c>
      <c r="E743" s="75" t="s">
        <v>1067</v>
      </c>
      <c r="F743" s="55" t="s">
        <v>1069</v>
      </c>
      <c r="G743" s="55">
        <v>912904004</v>
      </c>
      <c r="H743" s="55" t="s">
        <v>1070</v>
      </c>
      <c r="I743" s="55">
        <v>2457.0700000000002</v>
      </c>
      <c r="J743" s="111">
        <v>1000</v>
      </c>
      <c r="K743" s="111">
        <v>1000</v>
      </c>
      <c r="L743" s="111">
        <v>1020</v>
      </c>
      <c r="M743" s="111"/>
      <c r="N743" s="111"/>
      <c r="O743" s="111"/>
      <c r="P743" s="2">
        <f t="shared" si="73"/>
        <v>2457070</v>
      </c>
      <c r="Q743" s="2">
        <f t="shared" si="74"/>
        <v>2457070</v>
      </c>
      <c r="R743" s="2">
        <f t="shared" si="75"/>
        <v>2506211.4000000004</v>
      </c>
      <c r="S743" s="2">
        <f t="shared" si="76"/>
        <v>0</v>
      </c>
      <c r="T743" s="2">
        <f t="shared" si="77"/>
        <v>0</v>
      </c>
      <c r="U743" s="2">
        <f t="shared" si="78"/>
        <v>0</v>
      </c>
    </row>
    <row r="744" spans="1:21">
      <c r="A744" s="55">
        <v>741</v>
      </c>
      <c r="B744" s="55" t="s">
        <v>989</v>
      </c>
      <c r="C744" s="55" t="s">
        <v>1005</v>
      </c>
      <c r="D744" s="55" t="s">
        <v>307</v>
      </c>
      <c r="E744" s="75" t="s">
        <v>1067</v>
      </c>
      <c r="F744" s="55" t="s">
        <v>1071</v>
      </c>
      <c r="G744" s="55">
        <v>912904003</v>
      </c>
      <c r="H744" s="55" t="s">
        <v>1072</v>
      </c>
      <c r="I744" s="55">
        <v>2457.0700000000002</v>
      </c>
      <c r="J744" s="111">
        <v>1000</v>
      </c>
      <c r="K744" s="111">
        <v>1000</v>
      </c>
      <c r="L744" s="111">
        <v>1020</v>
      </c>
      <c r="M744" s="111"/>
      <c r="N744" s="111"/>
      <c r="O744" s="111"/>
      <c r="P744" s="2">
        <f t="shared" si="73"/>
        <v>2457070</v>
      </c>
      <c r="Q744" s="2">
        <f t="shared" si="74"/>
        <v>2457070</v>
      </c>
      <c r="R744" s="2">
        <f t="shared" si="75"/>
        <v>2506211.4000000004</v>
      </c>
      <c r="S744" s="2">
        <f t="shared" si="76"/>
        <v>0</v>
      </c>
      <c r="T744" s="2">
        <f t="shared" si="77"/>
        <v>0</v>
      </c>
      <c r="U744" s="2">
        <f t="shared" si="78"/>
        <v>0</v>
      </c>
    </row>
    <row r="745" spans="1:21">
      <c r="A745" s="55">
        <v>742</v>
      </c>
      <c r="B745" s="55" t="s">
        <v>989</v>
      </c>
      <c r="C745" s="55" t="s">
        <v>1005</v>
      </c>
      <c r="D745" s="55" t="s">
        <v>307</v>
      </c>
      <c r="E745" s="75" t="s">
        <v>1067</v>
      </c>
      <c r="F745" s="55" t="s">
        <v>1073</v>
      </c>
      <c r="G745" s="55">
        <v>912904006</v>
      </c>
      <c r="H745" s="55" t="s">
        <v>1070</v>
      </c>
      <c r="I745" s="55">
        <v>2496.25</v>
      </c>
      <c r="J745" s="111">
        <v>200</v>
      </c>
      <c r="K745" s="111">
        <v>100</v>
      </c>
      <c r="L745" s="111">
        <v>150</v>
      </c>
      <c r="M745" s="111"/>
      <c r="N745" s="111"/>
      <c r="O745" s="111"/>
      <c r="P745" s="2">
        <f t="shared" si="73"/>
        <v>499250</v>
      </c>
      <c r="Q745" s="2">
        <f t="shared" si="74"/>
        <v>249625</v>
      </c>
      <c r="R745" s="2">
        <f t="shared" si="75"/>
        <v>374437.5</v>
      </c>
      <c r="S745" s="2">
        <f t="shared" si="76"/>
        <v>0</v>
      </c>
      <c r="T745" s="2">
        <f t="shared" si="77"/>
        <v>0</v>
      </c>
      <c r="U745" s="2">
        <f t="shared" si="78"/>
        <v>0</v>
      </c>
    </row>
    <row r="746" spans="1:21">
      <c r="A746" s="55">
        <v>743</v>
      </c>
      <c r="B746" s="55" t="s">
        <v>989</v>
      </c>
      <c r="C746" s="55" t="s">
        <v>1005</v>
      </c>
      <c r="D746" s="55" t="s">
        <v>307</v>
      </c>
      <c r="E746" s="75" t="s">
        <v>1067</v>
      </c>
      <c r="F746" s="55" t="s">
        <v>1074</v>
      </c>
      <c r="G746" s="55">
        <v>912904005</v>
      </c>
      <c r="H746" s="55" t="s">
        <v>1072</v>
      </c>
      <c r="I746" s="55">
        <v>2496.25</v>
      </c>
      <c r="J746" s="111">
        <v>200</v>
      </c>
      <c r="K746" s="111">
        <v>100</v>
      </c>
      <c r="L746" s="111">
        <v>150</v>
      </c>
      <c r="M746" s="111"/>
      <c r="N746" s="111"/>
      <c r="O746" s="111"/>
      <c r="P746" s="2">
        <f t="shared" si="73"/>
        <v>499250</v>
      </c>
      <c r="Q746" s="2">
        <f t="shared" si="74"/>
        <v>249625</v>
      </c>
      <c r="R746" s="2">
        <f t="shared" si="75"/>
        <v>374437.5</v>
      </c>
      <c r="S746" s="2">
        <f t="shared" si="76"/>
        <v>0</v>
      </c>
      <c r="T746" s="2">
        <f t="shared" si="77"/>
        <v>0</v>
      </c>
      <c r="U746" s="2">
        <f t="shared" si="78"/>
        <v>0</v>
      </c>
    </row>
    <row r="747" spans="1:21">
      <c r="A747" s="55">
        <v>744</v>
      </c>
      <c r="B747" s="55" t="s">
        <v>989</v>
      </c>
      <c r="C747" s="55" t="s">
        <v>1005</v>
      </c>
      <c r="D747" s="55" t="s">
        <v>307</v>
      </c>
      <c r="E747" s="75" t="s">
        <v>1067</v>
      </c>
      <c r="F747" s="55" t="s">
        <v>1075</v>
      </c>
      <c r="G747" s="55">
        <v>912903002</v>
      </c>
      <c r="H747" s="55" t="s">
        <v>1076</v>
      </c>
      <c r="I747" s="55">
        <v>138.63999999999999</v>
      </c>
      <c r="J747" s="111">
        <v>1200</v>
      </c>
      <c r="K747" s="111">
        <v>1100</v>
      </c>
      <c r="L747" s="111">
        <v>1170</v>
      </c>
      <c r="M747" s="111"/>
      <c r="N747" s="111"/>
      <c r="O747" s="111"/>
      <c r="P747" s="2">
        <f t="shared" si="73"/>
        <v>166367.99999999997</v>
      </c>
      <c r="Q747" s="2">
        <f t="shared" si="74"/>
        <v>152503.99999999997</v>
      </c>
      <c r="R747" s="2">
        <f t="shared" si="75"/>
        <v>162208.79999999999</v>
      </c>
      <c r="S747" s="2">
        <f t="shared" si="76"/>
        <v>0</v>
      </c>
      <c r="T747" s="2">
        <f t="shared" si="77"/>
        <v>0</v>
      </c>
      <c r="U747" s="2">
        <f t="shared" si="78"/>
        <v>0</v>
      </c>
    </row>
    <row r="748" spans="1:21">
      <c r="A748" s="55">
        <v>745</v>
      </c>
      <c r="B748" s="55" t="s">
        <v>989</v>
      </c>
      <c r="C748" s="55" t="s">
        <v>1005</v>
      </c>
      <c r="D748" s="55" t="s">
        <v>307</v>
      </c>
      <c r="E748" s="75" t="s">
        <v>1067</v>
      </c>
      <c r="F748" s="55" t="s">
        <v>1077</v>
      </c>
      <c r="G748" s="55">
        <v>912901001</v>
      </c>
      <c r="H748" s="55" t="s">
        <v>1038</v>
      </c>
      <c r="I748" s="55">
        <v>430.43</v>
      </c>
      <c r="J748" s="111">
        <v>2400</v>
      </c>
      <c r="K748" s="111">
        <v>2200</v>
      </c>
      <c r="L748" s="111">
        <v>2340</v>
      </c>
      <c r="M748" s="111"/>
      <c r="N748" s="111"/>
      <c r="O748" s="111"/>
      <c r="P748" s="2">
        <f t="shared" si="73"/>
        <v>1033032</v>
      </c>
      <c r="Q748" s="2">
        <f t="shared" si="74"/>
        <v>946946</v>
      </c>
      <c r="R748" s="2">
        <f t="shared" si="75"/>
        <v>1007206.2000000001</v>
      </c>
      <c r="S748" s="2">
        <f t="shared" si="76"/>
        <v>0</v>
      </c>
      <c r="T748" s="2">
        <f t="shared" si="77"/>
        <v>0</v>
      </c>
      <c r="U748" s="2">
        <f t="shared" si="78"/>
        <v>0</v>
      </c>
    </row>
    <row r="749" spans="1:21">
      <c r="A749" s="55">
        <v>746</v>
      </c>
      <c r="B749" s="55" t="s">
        <v>989</v>
      </c>
      <c r="C749" s="55" t="s">
        <v>1005</v>
      </c>
      <c r="D749" s="55" t="s">
        <v>307</v>
      </c>
      <c r="E749" s="75" t="s">
        <v>1067</v>
      </c>
      <c r="F749" s="55" t="s">
        <v>1078</v>
      </c>
      <c r="G749" s="55">
        <v>912901002</v>
      </c>
      <c r="H749" s="55" t="s">
        <v>1040</v>
      </c>
      <c r="I749" s="55">
        <v>438.39</v>
      </c>
      <c r="J749" s="111">
        <v>2400</v>
      </c>
      <c r="K749" s="111">
        <v>2200</v>
      </c>
      <c r="L749" s="111">
        <v>2340</v>
      </c>
      <c r="M749" s="111"/>
      <c r="N749" s="111"/>
      <c r="O749" s="111"/>
      <c r="P749" s="2">
        <f t="shared" si="73"/>
        <v>1052136</v>
      </c>
      <c r="Q749" s="2">
        <f t="shared" si="74"/>
        <v>964458</v>
      </c>
      <c r="R749" s="2">
        <f t="shared" si="75"/>
        <v>1025832.6</v>
      </c>
      <c r="S749" s="2">
        <f t="shared" si="76"/>
        <v>0</v>
      </c>
      <c r="T749" s="2">
        <f t="shared" si="77"/>
        <v>0</v>
      </c>
      <c r="U749" s="2">
        <f t="shared" si="78"/>
        <v>0</v>
      </c>
    </row>
    <row r="750" spans="1:21">
      <c r="A750" s="55">
        <v>747</v>
      </c>
      <c r="B750" s="55" t="s">
        <v>989</v>
      </c>
      <c r="C750" s="55" t="s">
        <v>1005</v>
      </c>
      <c r="D750" s="55" t="s">
        <v>307</v>
      </c>
      <c r="E750" s="75" t="s">
        <v>1067</v>
      </c>
      <c r="F750" s="55" t="s">
        <v>1079</v>
      </c>
      <c r="G750" s="55">
        <v>912901003</v>
      </c>
      <c r="H750" s="55" t="s">
        <v>1008</v>
      </c>
      <c r="I750" s="55">
        <v>257.94</v>
      </c>
      <c r="J750" s="111">
        <v>1200</v>
      </c>
      <c r="K750" s="111">
        <v>1100</v>
      </c>
      <c r="L750" s="111">
        <v>1170</v>
      </c>
      <c r="M750" s="111"/>
      <c r="N750" s="111"/>
      <c r="O750" s="111"/>
      <c r="P750" s="2">
        <f t="shared" si="73"/>
        <v>309528</v>
      </c>
      <c r="Q750" s="2">
        <f t="shared" si="74"/>
        <v>283734</v>
      </c>
      <c r="R750" s="2">
        <f t="shared" si="75"/>
        <v>301789.8</v>
      </c>
      <c r="S750" s="2">
        <f t="shared" si="76"/>
        <v>0</v>
      </c>
      <c r="T750" s="2">
        <f t="shared" si="77"/>
        <v>0</v>
      </c>
      <c r="U750" s="2">
        <f t="shared" si="78"/>
        <v>0</v>
      </c>
    </row>
    <row r="751" spans="1:21">
      <c r="A751" s="55">
        <v>748</v>
      </c>
      <c r="B751" s="55" t="s">
        <v>989</v>
      </c>
      <c r="C751" s="55" t="s">
        <v>1005</v>
      </c>
      <c r="D751" s="55" t="s">
        <v>307</v>
      </c>
      <c r="E751" s="75" t="s">
        <v>1067</v>
      </c>
      <c r="F751" s="55" t="s">
        <v>1080</v>
      </c>
      <c r="G751" s="55">
        <v>912901004</v>
      </c>
      <c r="H751" s="55" t="s">
        <v>1014</v>
      </c>
      <c r="I751" s="55">
        <v>257.94</v>
      </c>
      <c r="J751" s="111">
        <v>1200</v>
      </c>
      <c r="K751" s="111">
        <v>1100</v>
      </c>
      <c r="L751" s="111">
        <v>1170</v>
      </c>
      <c r="M751" s="111"/>
      <c r="N751" s="111"/>
      <c r="O751" s="111"/>
      <c r="P751" s="2">
        <f t="shared" si="73"/>
        <v>309528</v>
      </c>
      <c r="Q751" s="2">
        <f t="shared" si="74"/>
        <v>283734</v>
      </c>
      <c r="R751" s="2">
        <f t="shared" si="75"/>
        <v>301789.8</v>
      </c>
      <c r="S751" s="2">
        <f t="shared" si="76"/>
        <v>0</v>
      </c>
      <c r="T751" s="2">
        <f t="shared" si="77"/>
        <v>0</v>
      </c>
      <c r="U751" s="2">
        <f t="shared" si="78"/>
        <v>0</v>
      </c>
    </row>
    <row r="752" spans="1:21">
      <c r="A752" s="55">
        <v>749</v>
      </c>
      <c r="B752" s="55" t="s">
        <v>989</v>
      </c>
      <c r="C752" s="55" t="s">
        <v>1005</v>
      </c>
      <c r="D752" s="55" t="s">
        <v>307</v>
      </c>
      <c r="E752" s="75" t="s">
        <v>1067</v>
      </c>
      <c r="F752" s="55" t="s">
        <v>1081</v>
      </c>
      <c r="G752" s="55">
        <v>912901005</v>
      </c>
      <c r="H752" s="55" t="s">
        <v>1020</v>
      </c>
      <c r="I752" s="55">
        <v>302.11</v>
      </c>
      <c r="J752" s="111">
        <v>1200</v>
      </c>
      <c r="K752" s="111">
        <v>1100</v>
      </c>
      <c r="L752" s="111">
        <v>1170</v>
      </c>
      <c r="M752" s="111"/>
      <c r="N752" s="111"/>
      <c r="O752" s="111"/>
      <c r="P752" s="2">
        <f t="shared" si="73"/>
        <v>362532</v>
      </c>
      <c r="Q752" s="2">
        <f t="shared" si="74"/>
        <v>332321</v>
      </c>
      <c r="R752" s="2">
        <f t="shared" si="75"/>
        <v>353468.7</v>
      </c>
      <c r="S752" s="2">
        <f t="shared" si="76"/>
        <v>0</v>
      </c>
      <c r="T752" s="2">
        <f t="shared" si="77"/>
        <v>0</v>
      </c>
      <c r="U752" s="2">
        <f t="shared" si="78"/>
        <v>0</v>
      </c>
    </row>
    <row r="753" spans="1:21">
      <c r="A753" s="55">
        <v>750</v>
      </c>
      <c r="B753" s="55" t="s">
        <v>989</v>
      </c>
      <c r="C753" s="55" t="s">
        <v>1005</v>
      </c>
      <c r="D753" s="55" t="s">
        <v>307</v>
      </c>
      <c r="E753" s="75" t="s">
        <v>1067</v>
      </c>
      <c r="F753" s="55" t="s">
        <v>1082</v>
      </c>
      <c r="G753" s="55">
        <v>912901006</v>
      </c>
      <c r="H753" s="55" t="s">
        <v>1026</v>
      </c>
      <c r="I753" s="55">
        <v>302.11</v>
      </c>
      <c r="J753" s="111">
        <v>1200</v>
      </c>
      <c r="K753" s="111">
        <v>1100</v>
      </c>
      <c r="L753" s="111">
        <v>1170</v>
      </c>
      <c r="M753" s="111"/>
      <c r="N753" s="111"/>
      <c r="O753" s="111"/>
      <c r="P753" s="2">
        <f t="shared" si="73"/>
        <v>362532</v>
      </c>
      <c r="Q753" s="2">
        <f t="shared" si="74"/>
        <v>332321</v>
      </c>
      <c r="R753" s="2">
        <f t="shared" si="75"/>
        <v>353468.7</v>
      </c>
      <c r="S753" s="2">
        <f t="shared" si="76"/>
        <v>0</v>
      </c>
      <c r="T753" s="2">
        <f t="shared" si="77"/>
        <v>0</v>
      </c>
      <c r="U753" s="2">
        <f t="shared" si="78"/>
        <v>0</v>
      </c>
    </row>
    <row r="754" spans="1:21">
      <c r="A754" s="55">
        <v>751</v>
      </c>
      <c r="B754" s="55" t="s">
        <v>989</v>
      </c>
      <c r="C754" s="55" t="s">
        <v>1005</v>
      </c>
      <c r="D754" s="55" t="s">
        <v>307</v>
      </c>
      <c r="E754" s="75" t="s">
        <v>1067</v>
      </c>
      <c r="F754" s="55" t="s">
        <v>1083</v>
      </c>
      <c r="G754" s="55">
        <v>912905005</v>
      </c>
      <c r="H754" s="55" t="s">
        <v>1084</v>
      </c>
      <c r="I754" s="55">
        <v>136.85</v>
      </c>
      <c r="J754" s="111">
        <v>1200</v>
      </c>
      <c r="K754" s="111">
        <v>1100</v>
      </c>
      <c r="L754" s="111">
        <v>1170</v>
      </c>
      <c r="M754" s="111"/>
      <c r="N754" s="111"/>
      <c r="O754" s="111"/>
      <c r="P754" s="2">
        <f t="shared" si="73"/>
        <v>164220</v>
      </c>
      <c r="Q754" s="2">
        <f t="shared" si="74"/>
        <v>150535</v>
      </c>
      <c r="R754" s="2">
        <f t="shared" si="75"/>
        <v>160114.5</v>
      </c>
      <c r="S754" s="2">
        <f t="shared" si="76"/>
        <v>0</v>
      </c>
      <c r="T754" s="2">
        <f t="shared" si="77"/>
        <v>0</v>
      </c>
      <c r="U754" s="2">
        <f t="shared" si="78"/>
        <v>0</v>
      </c>
    </row>
    <row r="755" spans="1:21">
      <c r="A755" s="55">
        <v>752</v>
      </c>
      <c r="B755" s="55" t="s">
        <v>989</v>
      </c>
      <c r="C755" s="55" t="s">
        <v>1005</v>
      </c>
      <c r="D755" s="55" t="s">
        <v>307</v>
      </c>
      <c r="E755" s="75" t="s">
        <v>1067</v>
      </c>
      <c r="F755" s="55" t="s">
        <v>1085</v>
      </c>
      <c r="G755" s="55">
        <v>912905006</v>
      </c>
      <c r="H755" s="55" t="s">
        <v>1086</v>
      </c>
      <c r="I755" s="55">
        <v>136.85</v>
      </c>
      <c r="J755" s="111">
        <v>1200</v>
      </c>
      <c r="K755" s="111">
        <v>1100</v>
      </c>
      <c r="L755" s="111">
        <v>1170</v>
      </c>
      <c r="M755" s="111"/>
      <c r="N755" s="111"/>
      <c r="O755" s="111"/>
      <c r="P755" s="2">
        <f t="shared" si="73"/>
        <v>164220</v>
      </c>
      <c r="Q755" s="2">
        <f t="shared" si="74"/>
        <v>150535</v>
      </c>
      <c r="R755" s="2">
        <f t="shared" si="75"/>
        <v>160114.5</v>
      </c>
      <c r="S755" s="2">
        <f t="shared" si="76"/>
        <v>0</v>
      </c>
      <c r="T755" s="2">
        <f t="shared" si="77"/>
        <v>0</v>
      </c>
      <c r="U755" s="2">
        <f t="shared" si="78"/>
        <v>0</v>
      </c>
    </row>
    <row r="756" spans="1:21">
      <c r="A756" s="55">
        <v>753</v>
      </c>
      <c r="B756" s="55" t="s">
        <v>989</v>
      </c>
      <c r="C756" s="55" t="s">
        <v>1005</v>
      </c>
      <c r="D756" s="55" t="s">
        <v>307</v>
      </c>
      <c r="E756" s="75" t="s">
        <v>1067</v>
      </c>
      <c r="F756" s="55" t="s">
        <v>1087</v>
      </c>
      <c r="G756" s="55">
        <v>912905007</v>
      </c>
      <c r="H756" s="55" t="s">
        <v>1088</v>
      </c>
      <c r="I756" s="55">
        <v>122.42</v>
      </c>
      <c r="J756" s="111">
        <v>1200</v>
      </c>
      <c r="K756" s="111">
        <v>1100</v>
      </c>
      <c r="L756" s="111">
        <v>1170</v>
      </c>
      <c r="M756" s="111"/>
      <c r="N756" s="111"/>
      <c r="O756" s="111"/>
      <c r="P756" s="2">
        <f t="shared" si="73"/>
        <v>146904</v>
      </c>
      <c r="Q756" s="2">
        <f t="shared" si="74"/>
        <v>134662</v>
      </c>
      <c r="R756" s="2">
        <f t="shared" si="75"/>
        <v>143231.4</v>
      </c>
      <c r="S756" s="2">
        <f t="shared" si="76"/>
        <v>0</v>
      </c>
      <c r="T756" s="2">
        <f t="shared" si="77"/>
        <v>0</v>
      </c>
      <c r="U756" s="2">
        <f t="shared" si="78"/>
        <v>0</v>
      </c>
    </row>
    <row r="757" spans="1:21">
      <c r="A757" s="55">
        <v>754</v>
      </c>
      <c r="B757" s="55" t="s">
        <v>989</v>
      </c>
      <c r="C757" s="55" t="s">
        <v>1005</v>
      </c>
      <c r="D757" s="55" t="s">
        <v>307</v>
      </c>
      <c r="E757" s="75" t="s">
        <v>1067</v>
      </c>
      <c r="F757" s="55" t="s">
        <v>1089</v>
      </c>
      <c r="G757" s="55">
        <v>912905008</v>
      </c>
      <c r="H757" s="55" t="s">
        <v>1090</v>
      </c>
      <c r="I757" s="55">
        <v>122.42</v>
      </c>
      <c r="J757" s="111">
        <v>1200</v>
      </c>
      <c r="K757" s="111">
        <v>1100</v>
      </c>
      <c r="L757" s="111">
        <v>1170</v>
      </c>
      <c r="M757" s="111"/>
      <c r="N757" s="111"/>
      <c r="O757" s="111"/>
      <c r="P757" s="2">
        <f t="shared" si="73"/>
        <v>146904</v>
      </c>
      <c r="Q757" s="2">
        <f t="shared" si="74"/>
        <v>134662</v>
      </c>
      <c r="R757" s="2">
        <f t="shared" si="75"/>
        <v>143231.4</v>
      </c>
      <c r="S757" s="2">
        <f t="shared" si="76"/>
        <v>0</v>
      </c>
      <c r="T757" s="2">
        <f t="shared" si="77"/>
        <v>0</v>
      </c>
      <c r="U757" s="2">
        <f t="shared" si="78"/>
        <v>0</v>
      </c>
    </row>
    <row r="758" spans="1:21">
      <c r="A758" s="55">
        <v>755</v>
      </c>
      <c r="B758" s="55" t="s">
        <v>989</v>
      </c>
      <c r="C758" s="55" t="s">
        <v>1005</v>
      </c>
      <c r="D758" s="55" t="s">
        <v>307</v>
      </c>
      <c r="E758" s="75" t="s">
        <v>1067</v>
      </c>
      <c r="F758" s="55" t="s">
        <v>1091</v>
      </c>
      <c r="G758" s="55">
        <v>912905001</v>
      </c>
      <c r="H758" s="55" t="s">
        <v>1092</v>
      </c>
      <c r="I758" s="55">
        <v>1019.13</v>
      </c>
      <c r="J758" s="111">
        <v>1200</v>
      </c>
      <c r="K758" s="111">
        <v>1100</v>
      </c>
      <c r="L758" s="111">
        <v>1170</v>
      </c>
      <c r="M758" s="111"/>
      <c r="N758" s="111"/>
      <c r="O758" s="111"/>
      <c r="P758" s="2">
        <f t="shared" si="73"/>
        <v>1222956</v>
      </c>
      <c r="Q758" s="2">
        <f t="shared" si="74"/>
        <v>1121043</v>
      </c>
      <c r="R758" s="2">
        <f t="shared" si="75"/>
        <v>1192382.1000000001</v>
      </c>
      <c r="S758" s="2">
        <f t="shared" si="76"/>
        <v>0</v>
      </c>
      <c r="T758" s="2">
        <f t="shared" si="77"/>
        <v>0</v>
      </c>
      <c r="U758" s="2">
        <f t="shared" si="78"/>
        <v>0</v>
      </c>
    </row>
    <row r="759" spans="1:21">
      <c r="A759" s="55">
        <v>756</v>
      </c>
      <c r="B759" s="55" t="s">
        <v>989</v>
      </c>
      <c r="C759" s="55" t="s">
        <v>1005</v>
      </c>
      <c r="D759" s="55" t="s">
        <v>307</v>
      </c>
      <c r="E759" s="75" t="s">
        <v>1067</v>
      </c>
      <c r="F759" s="55" t="s">
        <v>1093</v>
      </c>
      <c r="G759" s="55">
        <v>912905002</v>
      </c>
      <c r="H759" s="55" t="s">
        <v>1094</v>
      </c>
      <c r="I759" s="55">
        <v>1019.13</v>
      </c>
      <c r="J759" s="111">
        <v>1200</v>
      </c>
      <c r="K759" s="111">
        <v>1100</v>
      </c>
      <c r="L759" s="111">
        <v>1170</v>
      </c>
      <c r="M759" s="111"/>
      <c r="N759" s="111"/>
      <c r="O759" s="111"/>
      <c r="P759" s="2">
        <f t="shared" si="73"/>
        <v>1222956</v>
      </c>
      <c r="Q759" s="2">
        <f t="shared" si="74"/>
        <v>1121043</v>
      </c>
      <c r="R759" s="2">
        <f t="shared" si="75"/>
        <v>1192382.1000000001</v>
      </c>
      <c r="S759" s="2">
        <f t="shared" si="76"/>
        <v>0</v>
      </c>
      <c r="T759" s="2">
        <f t="shared" si="77"/>
        <v>0</v>
      </c>
      <c r="U759" s="2">
        <f t="shared" si="78"/>
        <v>0</v>
      </c>
    </row>
    <row r="760" spans="1:21">
      <c r="A760" s="55">
        <v>757</v>
      </c>
      <c r="B760" s="55" t="s">
        <v>989</v>
      </c>
      <c r="C760" s="55" t="s">
        <v>1005</v>
      </c>
      <c r="D760" s="55" t="s">
        <v>307</v>
      </c>
      <c r="E760" s="75" t="s">
        <v>1067</v>
      </c>
      <c r="F760" s="55" t="s">
        <v>1095</v>
      </c>
      <c r="G760" s="55">
        <v>912905003</v>
      </c>
      <c r="H760" s="55" t="s">
        <v>1096</v>
      </c>
      <c r="I760" s="55">
        <v>959.11</v>
      </c>
      <c r="J760" s="111">
        <v>1200</v>
      </c>
      <c r="K760" s="111">
        <v>1100</v>
      </c>
      <c r="L760" s="111">
        <v>1170</v>
      </c>
      <c r="M760" s="111"/>
      <c r="N760" s="111"/>
      <c r="O760" s="111"/>
      <c r="P760" s="2">
        <f t="shared" si="73"/>
        <v>1150932</v>
      </c>
      <c r="Q760" s="2">
        <f t="shared" si="74"/>
        <v>1055021</v>
      </c>
      <c r="R760" s="2">
        <f t="shared" si="75"/>
        <v>1122158.7</v>
      </c>
      <c r="S760" s="2">
        <f t="shared" si="76"/>
        <v>0</v>
      </c>
      <c r="T760" s="2">
        <f t="shared" si="77"/>
        <v>0</v>
      </c>
      <c r="U760" s="2">
        <f t="shared" si="78"/>
        <v>0</v>
      </c>
    </row>
    <row r="761" spans="1:21">
      <c r="A761" s="55">
        <v>758</v>
      </c>
      <c r="B761" s="55" t="s">
        <v>989</v>
      </c>
      <c r="C761" s="55" t="s">
        <v>1005</v>
      </c>
      <c r="D761" s="55" t="s">
        <v>307</v>
      </c>
      <c r="E761" s="75" t="s">
        <v>1067</v>
      </c>
      <c r="F761" s="55" t="s">
        <v>1097</v>
      </c>
      <c r="G761" s="55">
        <v>912905004</v>
      </c>
      <c r="H761" s="55" t="s">
        <v>1098</v>
      </c>
      <c r="I761" s="55">
        <v>959.11</v>
      </c>
      <c r="J761" s="111">
        <v>1200</v>
      </c>
      <c r="K761" s="111">
        <v>1100</v>
      </c>
      <c r="L761" s="111">
        <v>1170</v>
      </c>
      <c r="M761" s="111"/>
      <c r="N761" s="111"/>
      <c r="O761" s="111"/>
      <c r="P761" s="2">
        <f t="shared" si="73"/>
        <v>1150932</v>
      </c>
      <c r="Q761" s="2">
        <f t="shared" si="74"/>
        <v>1055021</v>
      </c>
      <c r="R761" s="2">
        <f t="shared" si="75"/>
        <v>1122158.7</v>
      </c>
      <c r="S761" s="2">
        <f t="shared" si="76"/>
        <v>0</v>
      </c>
      <c r="T761" s="2">
        <f t="shared" si="77"/>
        <v>0</v>
      </c>
      <c r="U761" s="2">
        <f t="shared" si="78"/>
        <v>0</v>
      </c>
    </row>
    <row r="762" spans="1:21">
      <c r="A762" s="55">
        <v>759</v>
      </c>
      <c r="B762" s="55" t="s">
        <v>989</v>
      </c>
      <c r="C762" s="55" t="s">
        <v>1005</v>
      </c>
      <c r="D762" s="55" t="s">
        <v>307</v>
      </c>
      <c r="E762" s="75" t="s">
        <v>1067</v>
      </c>
      <c r="F762" s="55" t="s">
        <v>1099</v>
      </c>
      <c r="G762" s="55">
        <v>912904001</v>
      </c>
      <c r="H762" s="55" t="s">
        <v>1100</v>
      </c>
      <c r="I762" s="55">
        <v>1371.48</v>
      </c>
      <c r="J762" s="111">
        <v>1200</v>
      </c>
      <c r="K762" s="111">
        <v>1100</v>
      </c>
      <c r="L762" s="111">
        <v>1170</v>
      </c>
      <c r="M762" s="111"/>
      <c r="N762" s="111"/>
      <c r="O762" s="111"/>
      <c r="P762" s="2">
        <f t="shared" si="73"/>
        <v>1645776</v>
      </c>
      <c r="Q762" s="2">
        <f t="shared" si="74"/>
        <v>1508628</v>
      </c>
      <c r="R762" s="2">
        <f t="shared" si="75"/>
        <v>1604631.6</v>
      </c>
      <c r="S762" s="2">
        <f t="shared" si="76"/>
        <v>0</v>
      </c>
      <c r="T762" s="2">
        <f t="shared" si="77"/>
        <v>0</v>
      </c>
      <c r="U762" s="2">
        <f t="shared" si="78"/>
        <v>0</v>
      </c>
    </row>
    <row r="763" spans="1:21">
      <c r="A763" s="55">
        <v>760</v>
      </c>
      <c r="B763" s="55" t="s">
        <v>989</v>
      </c>
      <c r="C763" s="55" t="s">
        <v>1005</v>
      </c>
      <c r="D763" s="55" t="s">
        <v>307</v>
      </c>
      <c r="E763" s="75" t="s">
        <v>1067</v>
      </c>
      <c r="F763" s="55" t="s">
        <v>1101</v>
      </c>
      <c r="G763" s="55">
        <v>912904002</v>
      </c>
      <c r="H763" s="55" t="s">
        <v>1102</v>
      </c>
      <c r="I763" s="55">
        <v>1371.48</v>
      </c>
      <c r="J763" s="111">
        <v>1200</v>
      </c>
      <c r="K763" s="111">
        <v>1100</v>
      </c>
      <c r="L763" s="111">
        <v>1170</v>
      </c>
      <c r="M763" s="111"/>
      <c r="N763" s="111"/>
      <c r="O763" s="111"/>
      <c r="P763" s="2">
        <f t="shared" si="73"/>
        <v>1645776</v>
      </c>
      <c r="Q763" s="2">
        <f t="shared" si="74"/>
        <v>1508628</v>
      </c>
      <c r="R763" s="2">
        <f t="shared" si="75"/>
        <v>1604631.6</v>
      </c>
      <c r="S763" s="2">
        <f t="shared" si="76"/>
        <v>0</v>
      </c>
      <c r="T763" s="2">
        <f t="shared" si="77"/>
        <v>0</v>
      </c>
      <c r="U763" s="2">
        <f t="shared" si="78"/>
        <v>0</v>
      </c>
    </row>
    <row r="764" spans="1:21">
      <c r="A764" s="55">
        <v>761</v>
      </c>
      <c r="B764" s="55" t="s">
        <v>989</v>
      </c>
      <c r="C764" s="55" t="s">
        <v>1005</v>
      </c>
      <c r="D764" s="55" t="s">
        <v>307</v>
      </c>
      <c r="E764" s="75" t="s">
        <v>1067</v>
      </c>
      <c r="F764" s="55" t="s">
        <v>1103</v>
      </c>
      <c r="G764" s="55">
        <v>912911001</v>
      </c>
      <c r="H764" s="55" t="s">
        <v>1034</v>
      </c>
      <c r="I764" s="55">
        <v>76.98</v>
      </c>
      <c r="J764" s="111">
        <v>1200</v>
      </c>
      <c r="K764" s="111">
        <v>1100</v>
      </c>
      <c r="L764" s="111">
        <v>1170</v>
      </c>
      <c r="M764" s="111"/>
      <c r="N764" s="111"/>
      <c r="O764" s="111"/>
      <c r="P764" s="2">
        <f t="shared" si="73"/>
        <v>92376</v>
      </c>
      <c r="Q764" s="2">
        <f t="shared" si="74"/>
        <v>84678</v>
      </c>
      <c r="R764" s="2">
        <f t="shared" si="75"/>
        <v>90066.6</v>
      </c>
      <c r="S764" s="2">
        <f t="shared" si="76"/>
        <v>0</v>
      </c>
      <c r="T764" s="2">
        <f t="shared" si="77"/>
        <v>0</v>
      </c>
      <c r="U764" s="2">
        <f t="shared" si="78"/>
        <v>0</v>
      </c>
    </row>
    <row r="765" spans="1:21">
      <c r="A765" s="55">
        <v>762</v>
      </c>
      <c r="B765" s="55" t="s">
        <v>989</v>
      </c>
      <c r="C765" s="55" t="s">
        <v>1005</v>
      </c>
      <c r="D765" s="55" t="s">
        <v>307</v>
      </c>
      <c r="E765" s="75" t="s">
        <v>1067</v>
      </c>
      <c r="F765" s="55" t="s">
        <v>1104</v>
      </c>
      <c r="G765" s="55">
        <v>912911002</v>
      </c>
      <c r="H765" s="55" t="s">
        <v>1036</v>
      </c>
      <c r="I765" s="55">
        <v>76.98</v>
      </c>
      <c r="J765" s="111">
        <v>1200</v>
      </c>
      <c r="K765" s="111">
        <v>1100</v>
      </c>
      <c r="L765" s="111">
        <v>1170</v>
      </c>
      <c r="M765" s="111"/>
      <c r="N765" s="111"/>
      <c r="O765" s="111"/>
      <c r="P765" s="2">
        <f t="shared" si="73"/>
        <v>92376</v>
      </c>
      <c r="Q765" s="2">
        <f t="shared" si="74"/>
        <v>84678</v>
      </c>
      <c r="R765" s="2">
        <f t="shared" si="75"/>
        <v>90066.6</v>
      </c>
      <c r="S765" s="2">
        <f t="shared" si="76"/>
        <v>0</v>
      </c>
      <c r="T765" s="2">
        <f t="shared" si="77"/>
        <v>0</v>
      </c>
      <c r="U765" s="2">
        <f t="shared" si="78"/>
        <v>0</v>
      </c>
    </row>
    <row r="766" spans="1:21">
      <c r="A766" s="55">
        <v>763</v>
      </c>
      <c r="B766" s="55" t="s">
        <v>989</v>
      </c>
      <c r="C766" s="55" t="s">
        <v>1105</v>
      </c>
      <c r="D766" s="55" t="s">
        <v>1106</v>
      </c>
      <c r="E766" s="75" t="s">
        <v>1107</v>
      </c>
      <c r="F766" s="55">
        <v>23545826</v>
      </c>
      <c r="G766" s="55">
        <v>919303001</v>
      </c>
      <c r="H766" s="55" t="s">
        <v>1108</v>
      </c>
      <c r="I766" s="55">
        <v>72.05</v>
      </c>
      <c r="J766" s="111">
        <v>3000</v>
      </c>
      <c r="K766" s="111">
        <v>4400</v>
      </c>
      <c r="L766" s="111">
        <v>4400</v>
      </c>
      <c r="M766" s="111"/>
      <c r="N766" s="111"/>
      <c r="O766" s="111"/>
      <c r="P766" s="2">
        <f t="shared" si="73"/>
        <v>216150</v>
      </c>
      <c r="Q766" s="2">
        <f t="shared" si="74"/>
        <v>317020</v>
      </c>
      <c r="R766" s="2">
        <f t="shared" si="75"/>
        <v>317020</v>
      </c>
      <c r="S766" s="2">
        <f t="shared" si="76"/>
        <v>0</v>
      </c>
      <c r="T766" s="2">
        <f t="shared" si="77"/>
        <v>0</v>
      </c>
      <c r="U766" s="2">
        <f t="shared" si="78"/>
        <v>0</v>
      </c>
    </row>
    <row r="767" spans="1:21">
      <c r="A767" s="55">
        <v>764</v>
      </c>
      <c r="B767" s="55" t="s">
        <v>989</v>
      </c>
      <c r="C767" s="55" t="s">
        <v>1105</v>
      </c>
      <c r="D767" s="55" t="s">
        <v>1106</v>
      </c>
      <c r="E767" s="75" t="s">
        <v>1107</v>
      </c>
      <c r="F767" s="55">
        <v>23719115</v>
      </c>
      <c r="G767" s="55">
        <v>919301005</v>
      </c>
      <c r="H767" s="55" t="s">
        <v>1109</v>
      </c>
      <c r="I767" s="55">
        <v>177.21</v>
      </c>
      <c r="J767" s="111">
        <v>3000</v>
      </c>
      <c r="K767" s="111">
        <v>4400</v>
      </c>
      <c r="L767" s="111">
        <v>4400</v>
      </c>
      <c r="M767" s="111"/>
      <c r="N767" s="111"/>
      <c r="O767" s="111"/>
      <c r="P767" s="2">
        <f t="shared" si="73"/>
        <v>531630</v>
      </c>
      <c r="Q767" s="2">
        <f t="shared" si="74"/>
        <v>779724</v>
      </c>
      <c r="R767" s="2">
        <f t="shared" si="75"/>
        <v>779724</v>
      </c>
      <c r="S767" s="2">
        <f t="shared" si="76"/>
        <v>0</v>
      </c>
      <c r="T767" s="2">
        <f t="shared" si="77"/>
        <v>0</v>
      </c>
      <c r="U767" s="2">
        <f t="shared" si="78"/>
        <v>0</v>
      </c>
    </row>
    <row r="768" spans="1:21">
      <c r="A768" s="55">
        <v>765</v>
      </c>
      <c r="B768" s="55" t="s">
        <v>989</v>
      </c>
      <c r="C768" s="55" t="s">
        <v>1105</v>
      </c>
      <c r="D768" s="55" t="s">
        <v>1106</v>
      </c>
      <c r="E768" s="75" t="s">
        <v>1107</v>
      </c>
      <c r="F768" s="55">
        <v>23719116</v>
      </c>
      <c r="G768" s="55">
        <v>919301006</v>
      </c>
      <c r="H768" s="55" t="s">
        <v>1109</v>
      </c>
      <c r="I768" s="55">
        <v>177.21</v>
      </c>
      <c r="J768" s="111">
        <v>3000</v>
      </c>
      <c r="K768" s="111">
        <v>4400</v>
      </c>
      <c r="L768" s="111">
        <v>4400</v>
      </c>
      <c r="M768" s="111"/>
      <c r="N768" s="111"/>
      <c r="O768" s="111"/>
      <c r="P768" s="2">
        <f t="shared" si="73"/>
        <v>531630</v>
      </c>
      <c r="Q768" s="2">
        <f t="shared" si="74"/>
        <v>779724</v>
      </c>
      <c r="R768" s="2">
        <f t="shared" si="75"/>
        <v>779724</v>
      </c>
      <c r="S768" s="2">
        <f t="shared" si="76"/>
        <v>0</v>
      </c>
      <c r="T768" s="2">
        <f t="shared" si="77"/>
        <v>0</v>
      </c>
      <c r="U768" s="2">
        <f t="shared" si="78"/>
        <v>0</v>
      </c>
    </row>
    <row r="769" spans="1:21">
      <c r="A769" s="55">
        <v>766</v>
      </c>
      <c r="B769" s="55" t="s">
        <v>989</v>
      </c>
      <c r="C769" s="55" t="s">
        <v>1105</v>
      </c>
      <c r="D769" s="55" t="s">
        <v>1106</v>
      </c>
      <c r="E769" s="75" t="s">
        <v>1107</v>
      </c>
      <c r="F769" s="55">
        <v>23719117</v>
      </c>
      <c r="G769" s="55">
        <v>919301001</v>
      </c>
      <c r="H769" s="55" t="s">
        <v>1110</v>
      </c>
      <c r="I769" s="55">
        <v>257.14999999999998</v>
      </c>
      <c r="J769" s="111">
        <v>3000</v>
      </c>
      <c r="K769" s="111">
        <v>4400</v>
      </c>
      <c r="L769" s="111">
        <v>4400</v>
      </c>
      <c r="M769" s="111"/>
      <c r="N769" s="111"/>
      <c r="O769" s="111"/>
      <c r="P769" s="2">
        <f t="shared" si="73"/>
        <v>771449.99999999988</v>
      </c>
      <c r="Q769" s="2">
        <f t="shared" si="74"/>
        <v>1131460</v>
      </c>
      <c r="R769" s="2">
        <f t="shared" si="75"/>
        <v>1131460</v>
      </c>
      <c r="S769" s="2">
        <f t="shared" si="76"/>
        <v>0</v>
      </c>
      <c r="T769" s="2">
        <f t="shared" si="77"/>
        <v>0</v>
      </c>
      <c r="U769" s="2">
        <f t="shared" si="78"/>
        <v>0</v>
      </c>
    </row>
    <row r="770" spans="1:21">
      <c r="A770" s="55">
        <v>767</v>
      </c>
      <c r="B770" s="55" t="s">
        <v>989</v>
      </c>
      <c r="C770" s="55" t="s">
        <v>1105</v>
      </c>
      <c r="D770" s="55" t="s">
        <v>1106</v>
      </c>
      <c r="E770" s="75" t="s">
        <v>1107</v>
      </c>
      <c r="F770" s="55">
        <v>23719118</v>
      </c>
      <c r="G770" s="55">
        <v>919301002</v>
      </c>
      <c r="H770" s="55" t="s">
        <v>1110</v>
      </c>
      <c r="I770" s="55">
        <v>257.14999999999998</v>
      </c>
      <c r="J770" s="111">
        <v>3000</v>
      </c>
      <c r="K770" s="111">
        <v>4400</v>
      </c>
      <c r="L770" s="111">
        <v>4400</v>
      </c>
      <c r="M770" s="111"/>
      <c r="N770" s="111"/>
      <c r="O770" s="111"/>
      <c r="P770" s="2">
        <f t="shared" si="73"/>
        <v>771449.99999999988</v>
      </c>
      <c r="Q770" s="2">
        <f t="shared" si="74"/>
        <v>1131460</v>
      </c>
      <c r="R770" s="2">
        <f t="shared" si="75"/>
        <v>1131460</v>
      </c>
      <c r="S770" s="2">
        <f t="shared" si="76"/>
        <v>0</v>
      </c>
      <c r="T770" s="2">
        <f t="shared" si="77"/>
        <v>0</v>
      </c>
      <c r="U770" s="2">
        <f t="shared" si="78"/>
        <v>0</v>
      </c>
    </row>
    <row r="771" spans="1:21">
      <c r="A771" s="55">
        <v>768</v>
      </c>
      <c r="B771" s="55" t="s">
        <v>989</v>
      </c>
      <c r="C771" s="55" t="s">
        <v>1105</v>
      </c>
      <c r="D771" s="55" t="s">
        <v>1106</v>
      </c>
      <c r="E771" s="75" t="s">
        <v>1107</v>
      </c>
      <c r="F771" s="55">
        <v>23719119</v>
      </c>
      <c r="G771" s="55">
        <v>919301007</v>
      </c>
      <c r="H771" s="55" t="s">
        <v>1111</v>
      </c>
      <c r="I771" s="55">
        <v>166.37</v>
      </c>
      <c r="J771" s="111">
        <v>3000</v>
      </c>
      <c r="K771" s="111">
        <v>4400</v>
      </c>
      <c r="L771" s="111">
        <v>4400</v>
      </c>
      <c r="M771" s="111"/>
      <c r="N771" s="111"/>
      <c r="O771" s="111"/>
      <c r="P771" s="2">
        <f t="shared" si="73"/>
        <v>499110</v>
      </c>
      <c r="Q771" s="2">
        <f t="shared" si="74"/>
        <v>732028</v>
      </c>
      <c r="R771" s="2">
        <f t="shared" si="75"/>
        <v>732028</v>
      </c>
      <c r="S771" s="2">
        <f t="shared" si="76"/>
        <v>0</v>
      </c>
      <c r="T771" s="2">
        <f t="shared" si="77"/>
        <v>0</v>
      </c>
      <c r="U771" s="2">
        <f t="shared" si="78"/>
        <v>0</v>
      </c>
    </row>
    <row r="772" spans="1:21">
      <c r="A772" s="55">
        <v>769</v>
      </c>
      <c r="B772" s="55" t="s">
        <v>989</v>
      </c>
      <c r="C772" s="55" t="s">
        <v>1105</v>
      </c>
      <c r="D772" s="55" t="s">
        <v>1106</v>
      </c>
      <c r="E772" s="75" t="s">
        <v>1107</v>
      </c>
      <c r="F772" s="55">
        <v>23719120</v>
      </c>
      <c r="G772" s="55">
        <v>919301008</v>
      </c>
      <c r="H772" s="55" t="s">
        <v>1111</v>
      </c>
      <c r="I772" s="55">
        <v>166.37</v>
      </c>
      <c r="J772" s="111">
        <v>3000</v>
      </c>
      <c r="K772" s="111">
        <v>4400</v>
      </c>
      <c r="L772" s="111">
        <v>4400</v>
      </c>
      <c r="M772" s="111"/>
      <c r="N772" s="111"/>
      <c r="O772" s="111"/>
      <c r="P772" s="2">
        <f t="shared" si="73"/>
        <v>499110</v>
      </c>
      <c r="Q772" s="2">
        <f t="shared" si="74"/>
        <v>732028</v>
      </c>
      <c r="R772" s="2">
        <f t="shared" si="75"/>
        <v>732028</v>
      </c>
      <c r="S772" s="2">
        <f t="shared" si="76"/>
        <v>0</v>
      </c>
      <c r="T772" s="2">
        <f t="shared" si="77"/>
        <v>0</v>
      </c>
      <c r="U772" s="2">
        <f t="shared" si="78"/>
        <v>0</v>
      </c>
    </row>
    <row r="773" spans="1:21">
      <c r="A773" s="55">
        <v>770</v>
      </c>
      <c r="B773" s="55" t="s">
        <v>989</v>
      </c>
      <c r="C773" s="55" t="s">
        <v>1105</v>
      </c>
      <c r="D773" s="55" t="s">
        <v>1106</v>
      </c>
      <c r="E773" s="75" t="s">
        <v>1107</v>
      </c>
      <c r="F773" s="55">
        <v>23580746</v>
      </c>
      <c r="G773" s="55">
        <v>919301003</v>
      </c>
      <c r="H773" s="55" t="s">
        <v>1112</v>
      </c>
      <c r="I773" s="55">
        <v>250.98</v>
      </c>
      <c r="J773" s="111">
        <v>3000</v>
      </c>
      <c r="K773" s="111">
        <v>4400</v>
      </c>
      <c r="L773" s="111">
        <v>4400</v>
      </c>
      <c r="M773" s="111"/>
      <c r="N773" s="111"/>
      <c r="O773" s="111"/>
      <c r="P773" s="2">
        <f t="shared" ref="P773:P793" si="79">J773*I773</f>
        <v>752940</v>
      </c>
      <c r="Q773" s="2">
        <f t="shared" ref="Q773:Q793" si="80">K773*I773</f>
        <v>1104312</v>
      </c>
      <c r="R773" s="2">
        <f t="shared" ref="R773:R793" si="81">L773*I773</f>
        <v>1104312</v>
      </c>
      <c r="S773" s="2">
        <f t="shared" ref="S773:S793" si="82">M773*I773</f>
        <v>0</v>
      </c>
      <c r="T773" s="2">
        <f t="shared" ref="T773:T793" si="83">N773*I773</f>
        <v>0</v>
      </c>
      <c r="U773" s="2">
        <f t="shared" ref="U773:U793" si="84">O773*I773</f>
        <v>0</v>
      </c>
    </row>
    <row r="774" spans="1:21">
      <c r="A774" s="55">
        <v>771</v>
      </c>
      <c r="B774" s="55" t="s">
        <v>989</v>
      </c>
      <c r="C774" s="55" t="s">
        <v>1105</v>
      </c>
      <c r="D774" s="55" t="s">
        <v>1106</v>
      </c>
      <c r="E774" s="75" t="s">
        <v>1107</v>
      </c>
      <c r="F774" s="55">
        <v>23580747</v>
      </c>
      <c r="G774" s="55">
        <v>919301004</v>
      </c>
      <c r="H774" s="55" t="s">
        <v>1112</v>
      </c>
      <c r="I774" s="55">
        <v>250.98</v>
      </c>
      <c r="J774" s="111">
        <v>3000</v>
      </c>
      <c r="K774" s="111">
        <v>4400</v>
      </c>
      <c r="L774" s="111">
        <v>4400</v>
      </c>
      <c r="M774" s="111"/>
      <c r="N774" s="111"/>
      <c r="O774" s="111"/>
      <c r="P774" s="2">
        <f t="shared" si="79"/>
        <v>752940</v>
      </c>
      <c r="Q774" s="2">
        <f t="shared" si="80"/>
        <v>1104312</v>
      </c>
      <c r="R774" s="2">
        <f t="shared" si="81"/>
        <v>1104312</v>
      </c>
      <c r="S774" s="2">
        <f t="shared" si="82"/>
        <v>0</v>
      </c>
      <c r="T774" s="2">
        <f t="shared" si="83"/>
        <v>0</v>
      </c>
      <c r="U774" s="2">
        <f t="shared" si="84"/>
        <v>0</v>
      </c>
    </row>
    <row r="775" spans="1:21">
      <c r="A775" s="55">
        <v>772</v>
      </c>
      <c r="B775" s="55" t="s">
        <v>989</v>
      </c>
      <c r="C775" s="55" t="s">
        <v>1105</v>
      </c>
      <c r="D775" s="55" t="s">
        <v>1106</v>
      </c>
      <c r="E775" s="75" t="s">
        <v>1107</v>
      </c>
      <c r="F775" s="55">
        <v>23719121</v>
      </c>
      <c r="G775" s="55">
        <v>919318001</v>
      </c>
      <c r="H775" s="55" t="s">
        <v>1113</v>
      </c>
      <c r="I775" s="55">
        <v>248.45</v>
      </c>
      <c r="J775" s="111">
        <v>3000</v>
      </c>
      <c r="K775" s="111">
        <v>4400</v>
      </c>
      <c r="L775" s="111">
        <v>4400</v>
      </c>
      <c r="M775" s="111"/>
      <c r="N775" s="111"/>
      <c r="O775" s="111"/>
      <c r="P775" s="2">
        <f t="shared" si="79"/>
        <v>745350</v>
      </c>
      <c r="Q775" s="2">
        <f t="shared" si="80"/>
        <v>1093180</v>
      </c>
      <c r="R775" s="2">
        <f t="shared" si="81"/>
        <v>1093180</v>
      </c>
      <c r="S775" s="2">
        <f t="shared" si="82"/>
        <v>0</v>
      </c>
      <c r="T775" s="2">
        <f t="shared" si="83"/>
        <v>0</v>
      </c>
      <c r="U775" s="2">
        <f t="shared" si="84"/>
        <v>0</v>
      </c>
    </row>
    <row r="776" spans="1:21">
      <c r="A776" s="55">
        <v>773</v>
      </c>
      <c r="B776" s="55" t="s">
        <v>989</v>
      </c>
      <c r="C776" s="55" t="s">
        <v>1105</v>
      </c>
      <c r="D776" s="55" t="s">
        <v>1106</v>
      </c>
      <c r="E776" s="75" t="s">
        <v>1107</v>
      </c>
      <c r="F776" s="55">
        <v>23572507</v>
      </c>
      <c r="G776" s="55">
        <v>919304001</v>
      </c>
      <c r="H776" s="55" t="s">
        <v>1114</v>
      </c>
      <c r="I776" s="55">
        <v>247.53</v>
      </c>
      <c r="J776" s="111">
        <v>3000</v>
      </c>
      <c r="K776" s="111">
        <v>4400</v>
      </c>
      <c r="L776" s="111">
        <v>4400</v>
      </c>
      <c r="M776" s="111"/>
      <c r="N776" s="111"/>
      <c r="O776" s="111"/>
      <c r="P776" s="2">
        <f t="shared" si="79"/>
        <v>742590</v>
      </c>
      <c r="Q776" s="2">
        <f t="shared" si="80"/>
        <v>1089132</v>
      </c>
      <c r="R776" s="2">
        <f t="shared" si="81"/>
        <v>1089132</v>
      </c>
      <c r="S776" s="2">
        <f t="shared" si="82"/>
        <v>0</v>
      </c>
      <c r="T776" s="2">
        <f t="shared" si="83"/>
        <v>0</v>
      </c>
      <c r="U776" s="2">
        <f t="shared" si="84"/>
        <v>0</v>
      </c>
    </row>
    <row r="777" spans="1:21">
      <c r="A777" s="55">
        <v>774</v>
      </c>
      <c r="B777" s="55" t="s">
        <v>989</v>
      </c>
      <c r="C777" s="55" t="s">
        <v>1105</v>
      </c>
      <c r="D777" s="55" t="s">
        <v>1106</v>
      </c>
      <c r="E777" s="75" t="s">
        <v>1107</v>
      </c>
      <c r="F777" s="55">
        <v>23572508</v>
      </c>
      <c r="G777" s="55">
        <v>919304002</v>
      </c>
      <c r="H777" s="55" t="s">
        <v>1114</v>
      </c>
      <c r="I777" s="55">
        <v>247.53</v>
      </c>
      <c r="J777" s="111">
        <v>3000</v>
      </c>
      <c r="K777" s="111">
        <v>4400</v>
      </c>
      <c r="L777" s="111">
        <v>4400</v>
      </c>
      <c r="M777" s="111"/>
      <c r="N777" s="111"/>
      <c r="O777" s="111"/>
      <c r="P777" s="2">
        <f t="shared" si="79"/>
        <v>742590</v>
      </c>
      <c r="Q777" s="2">
        <f t="shared" si="80"/>
        <v>1089132</v>
      </c>
      <c r="R777" s="2">
        <f t="shared" si="81"/>
        <v>1089132</v>
      </c>
      <c r="S777" s="2">
        <f t="shared" si="82"/>
        <v>0</v>
      </c>
      <c r="T777" s="2">
        <f t="shared" si="83"/>
        <v>0</v>
      </c>
      <c r="U777" s="2">
        <f t="shared" si="84"/>
        <v>0</v>
      </c>
    </row>
    <row r="778" spans="1:21">
      <c r="A778" s="55">
        <v>775</v>
      </c>
      <c r="B778" s="55" t="s">
        <v>989</v>
      </c>
      <c r="C778" s="55" t="s">
        <v>1105</v>
      </c>
      <c r="D778" s="55" t="s">
        <v>1106</v>
      </c>
      <c r="E778" s="75" t="s">
        <v>1107</v>
      </c>
      <c r="F778" s="55">
        <v>23572509</v>
      </c>
      <c r="G778" s="55">
        <v>919304003</v>
      </c>
      <c r="H778" s="55" t="s">
        <v>1115</v>
      </c>
      <c r="I778" s="55">
        <v>250.43</v>
      </c>
      <c r="J778" s="111">
        <v>3000</v>
      </c>
      <c r="K778" s="111">
        <v>4400</v>
      </c>
      <c r="L778" s="111">
        <v>4400</v>
      </c>
      <c r="M778" s="111"/>
      <c r="N778" s="111"/>
      <c r="O778" s="111"/>
      <c r="P778" s="2">
        <f t="shared" si="79"/>
        <v>751290</v>
      </c>
      <c r="Q778" s="2">
        <f t="shared" si="80"/>
        <v>1101892</v>
      </c>
      <c r="R778" s="2">
        <f t="shared" si="81"/>
        <v>1101892</v>
      </c>
      <c r="S778" s="2">
        <f t="shared" si="82"/>
        <v>0</v>
      </c>
      <c r="T778" s="2">
        <f t="shared" si="83"/>
        <v>0</v>
      </c>
      <c r="U778" s="2">
        <f t="shared" si="84"/>
        <v>0</v>
      </c>
    </row>
    <row r="779" spans="1:21">
      <c r="A779" s="55">
        <v>776</v>
      </c>
      <c r="B779" s="55" t="s">
        <v>989</v>
      </c>
      <c r="C779" s="55" t="s">
        <v>1105</v>
      </c>
      <c r="D779" s="55" t="s">
        <v>1106</v>
      </c>
      <c r="E779" s="75" t="s">
        <v>1107</v>
      </c>
      <c r="F779" s="55">
        <v>23572510</v>
      </c>
      <c r="G779" s="55">
        <v>919304004</v>
      </c>
      <c r="H779" s="55" t="s">
        <v>1115</v>
      </c>
      <c r="I779" s="55">
        <v>250.43</v>
      </c>
      <c r="J779" s="111">
        <v>3000</v>
      </c>
      <c r="K779" s="111">
        <v>4400</v>
      </c>
      <c r="L779" s="111">
        <v>4400</v>
      </c>
      <c r="M779" s="111"/>
      <c r="N779" s="111"/>
      <c r="O779" s="111"/>
      <c r="P779" s="2">
        <f t="shared" si="79"/>
        <v>751290</v>
      </c>
      <c r="Q779" s="2">
        <f t="shared" si="80"/>
        <v>1101892</v>
      </c>
      <c r="R779" s="2">
        <f t="shared" si="81"/>
        <v>1101892</v>
      </c>
      <c r="S779" s="2">
        <f t="shared" si="82"/>
        <v>0</v>
      </c>
      <c r="T779" s="2">
        <f t="shared" si="83"/>
        <v>0</v>
      </c>
      <c r="U779" s="2">
        <f t="shared" si="84"/>
        <v>0</v>
      </c>
    </row>
    <row r="780" spans="1:21">
      <c r="A780" s="55">
        <v>777</v>
      </c>
      <c r="B780" s="55" t="s">
        <v>989</v>
      </c>
      <c r="C780" s="55" t="s">
        <v>1105</v>
      </c>
      <c r="D780" s="55" t="s">
        <v>1106</v>
      </c>
      <c r="E780" s="75" t="s">
        <v>1107</v>
      </c>
      <c r="F780" s="55">
        <v>23604959</v>
      </c>
      <c r="G780" s="55">
        <v>919305009</v>
      </c>
      <c r="H780" s="55" t="s">
        <v>1116</v>
      </c>
      <c r="I780" s="55">
        <v>108.88</v>
      </c>
      <c r="J780" s="111">
        <v>511</v>
      </c>
      <c r="K780" s="111">
        <v>155</v>
      </c>
      <c r="L780" s="111">
        <v>90</v>
      </c>
      <c r="M780" s="111"/>
      <c r="N780" s="111"/>
      <c r="O780" s="111"/>
      <c r="P780" s="2">
        <f t="shared" si="79"/>
        <v>55637.68</v>
      </c>
      <c r="Q780" s="2">
        <f t="shared" si="80"/>
        <v>16876.399999999998</v>
      </c>
      <c r="R780" s="2">
        <f t="shared" si="81"/>
        <v>9799.1999999999989</v>
      </c>
      <c r="S780" s="2">
        <f t="shared" si="82"/>
        <v>0</v>
      </c>
      <c r="T780" s="2">
        <f t="shared" si="83"/>
        <v>0</v>
      </c>
      <c r="U780" s="2">
        <f t="shared" si="84"/>
        <v>0</v>
      </c>
    </row>
    <row r="781" spans="1:21">
      <c r="A781" s="55">
        <v>778</v>
      </c>
      <c r="B781" s="55" t="s">
        <v>989</v>
      </c>
      <c r="C781" s="55" t="s">
        <v>1105</v>
      </c>
      <c r="D781" s="55" t="s">
        <v>1106</v>
      </c>
      <c r="E781" s="75" t="s">
        <v>1107</v>
      </c>
      <c r="F781" s="55">
        <v>23604960</v>
      </c>
      <c r="G781" s="55">
        <v>919305010</v>
      </c>
      <c r="H781" s="55" t="s">
        <v>1116</v>
      </c>
      <c r="I781" s="55">
        <v>108.88</v>
      </c>
      <c r="J781" s="111">
        <v>511</v>
      </c>
      <c r="K781" s="111">
        <v>155</v>
      </c>
      <c r="L781" s="111">
        <v>90</v>
      </c>
      <c r="M781" s="111"/>
      <c r="N781" s="111"/>
      <c r="O781" s="111"/>
      <c r="P781" s="2">
        <f t="shared" si="79"/>
        <v>55637.68</v>
      </c>
      <c r="Q781" s="2">
        <f t="shared" si="80"/>
        <v>16876.399999999998</v>
      </c>
      <c r="R781" s="2">
        <f t="shared" si="81"/>
        <v>9799.1999999999989</v>
      </c>
      <c r="S781" s="2">
        <f t="shared" si="82"/>
        <v>0</v>
      </c>
      <c r="T781" s="2">
        <f t="shared" si="83"/>
        <v>0</v>
      </c>
      <c r="U781" s="2">
        <f t="shared" si="84"/>
        <v>0</v>
      </c>
    </row>
    <row r="782" spans="1:21">
      <c r="A782" s="55">
        <v>779</v>
      </c>
      <c r="B782" s="55" t="s">
        <v>989</v>
      </c>
      <c r="C782" s="55" t="s">
        <v>1105</v>
      </c>
      <c r="D782" s="55" t="s">
        <v>1106</v>
      </c>
      <c r="E782" s="75" t="s">
        <v>1107</v>
      </c>
      <c r="F782" s="55">
        <v>23627263</v>
      </c>
      <c r="G782" s="55">
        <v>919305001</v>
      </c>
      <c r="H782" s="55" t="s">
        <v>1116</v>
      </c>
      <c r="I782" s="55">
        <v>247.99</v>
      </c>
      <c r="J782" s="111">
        <v>2489</v>
      </c>
      <c r="K782" s="111">
        <v>4245</v>
      </c>
      <c r="L782" s="111">
        <v>4310</v>
      </c>
      <c r="M782" s="111"/>
      <c r="N782" s="111"/>
      <c r="O782" s="111"/>
      <c r="P782" s="2">
        <f t="shared" si="79"/>
        <v>617247.11</v>
      </c>
      <c r="Q782" s="2">
        <f t="shared" si="80"/>
        <v>1052717.55</v>
      </c>
      <c r="R782" s="2">
        <f t="shared" si="81"/>
        <v>1068836.9000000001</v>
      </c>
      <c r="S782" s="2">
        <f t="shared" si="82"/>
        <v>0</v>
      </c>
      <c r="T782" s="2">
        <f t="shared" si="83"/>
        <v>0</v>
      </c>
      <c r="U782" s="2">
        <f t="shared" si="84"/>
        <v>0</v>
      </c>
    </row>
    <row r="783" spans="1:21">
      <c r="A783" s="55">
        <v>780</v>
      </c>
      <c r="B783" s="55" t="s">
        <v>989</v>
      </c>
      <c r="C783" s="55" t="s">
        <v>1105</v>
      </c>
      <c r="D783" s="55" t="s">
        <v>1106</v>
      </c>
      <c r="E783" s="75" t="s">
        <v>1107</v>
      </c>
      <c r="F783" s="55">
        <v>23627264</v>
      </c>
      <c r="G783" s="55">
        <v>919305002</v>
      </c>
      <c r="H783" s="55" t="s">
        <v>1116</v>
      </c>
      <c r="I783" s="55">
        <v>247.99</v>
      </c>
      <c r="J783" s="111">
        <v>2489</v>
      </c>
      <c r="K783" s="111">
        <v>4245</v>
      </c>
      <c r="L783" s="111">
        <v>4310</v>
      </c>
      <c r="M783" s="111"/>
      <c r="N783" s="111"/>
      <c r="O783" s="111"/>
      <c r="P783" s="2">
        <f t="shared" si="79"/>
        <v>617247.11</v>
      </c>
      <c r="Q783" s="2">
        <f t="shared" si="80"/>
        <v>1052717.55</v>
      </c>
      <c r="R783" s="2">
        <f t="shared" si="81"/>
        <v>1068836.9000000001</v>
      </c>
      <c r="S783" s="2">
        <f t="shared" si="82"/>
        <v>0</v>
      </c>
      <c r="T783" s="2">
        <f t="shared" si="83"/>
        <v>0</v>
      </c>
      <c r="U783" s="2">
        <f t="shared" si="84"/>
        <v>0</v>
      </c>
    </row>
    <row r="784" spans="1:21">
      <c r="A784" s="55">
        <v>781</v>
      </c>
      <c r="B784" s="55" t="s">
        <v>989</v>
      </c>
      <c r="C784" s="55" t="s">
        <v>1105</v>
      </c>
      <c r="D784" s="55" t="s">
        <v>1106</v>
      </c>
      <c r="E784" s="75" t="s">
        <v>1107</v>
      </c>
      <c r="F784" s="55">
        <v>23604961</v>
      </c>
      <c r="G784" s="55">
        <v>919305011</v>
      </c>
      <c r="H784" s="55" t="s">
        <v>1117</v>
      </c>
      <c r="I784" s="55">
        <v>107.85</v>
      </c>
      <c r="J784" s="111">
        <v>511</v>
      </c>
      <c r="K784" s="111">
        <v>155</v>
      </c>
      <c r="L784" s="111">
        <v>90</v>
      </c>
      <c r="M784" s="111"/>
      <c r="N784" s="111"/>
      <c r="O784" s="111"/>
      <c r="P784" s="2">
        <f t="shared" si="79"/>
        <v>55111.35</v>
      </c>
      <c r="Q784" s="2">
        <f t="shared" si="80"/>
        <v>16716.75</v>
      </c>
      <c r="R784" s="2">
        <f t="shared" si="81"/>
        <v>9706.5</v>
      </c>
      <c r="S784" s="2">
        <f t="shared" si="82"/>
        <v>0</v>
      </c>
      <c r="T784" s="2">
        <f t="shared" si="83"/>
        <v>0</v>
      </c>
      <c r="U784" s="2">
        <f t="shared" si="84"/>
        <v>0</v>
      </c>
    </row>
    <row r="785" spans="1:21">
      <c r="A785" s="55">
        <v>782</v>
      </c>
      <c r="B785" s="55" t="s">
        <v>989</v>
      </c>
      <c r="C785" s="55" t="s">
        <v>1105</v>
      </c>
      <c r="D785" s="55" t="s">
        <v>1106</v>
      </c>
      <c r="E785" s="75" t="s">
        <v>1107</v>
      </c>
      <c r="F785" s="55">
        <v>23604962</v>
      </c>
      <c r="G785" s="55">
        <v>919305012</v>
      </c>
      <c r="H785" s="55" t="s">
        <v>1117</v>
      </c>
      <c r="I785" s="55">
        <v>107.85</v>
      </c>
      <c r="J785" s="111">
        <v>511</v>
      </c>
      <c r="K785" s="111">
        <v>155</v>
      </c>
      <c r="L785" s="111">
        <v>90</v>
      </c>
      <c r="M785" s="111"/>
      <c r="N785" s="111"/>
      <c r="O785" s="111"/>
      <c r="P785" s="2">
        <f t="shared" si="79"/>
        <v>55111.35</v>
      </c>
      <c r="Q785" s="2">
        <f t="shared" si="80"/>
        <v>16716.75</v>
      </c>
      <c r="R785" s="2">
        <f t="shared" si="81"/>
        <v>9706.5</v>
      </c>
      <c r="S785" s="2">
        <f t="shared" si="82"/>
        <v>0</v>
      </c>
      <c r="T785" s="2">
        <f t="shared" si="83"/>
        <v>0</v>
      </c>
      <c r="U785" s="2">
        <f t="shared" si="84"/>
        <v>0</v>
      </c>
    </row>
    <row r="786" spans="1:21">
      <c r="A786" s="55">
        <v>783</v>
      </c>
      <c r="B786" s="55" t="s">
        <v>989</v>
      </c>
      <c r="C786" s="55" t="s">
        <v>1105</v>
      </c>
      <c r="D786" s="55" t="s">
        <v>1106</v>
      </c>
      <c r="E786" s="75" t="s">
        <v>1107</v>
      </c>
      <c r="F786" s="55">
        <v>23684283</v>
      </c>
      <c r="G786" s="55">
        <v>919305003</v>
      </c>
      <c r="H786" s="55" t="s">
        <v>1117</v>
      </c>
      <c r="I786" s="55">
        <v>245.33</v>
      </c>
      <c r="J786" s="111">
        <v>2489</v>
      </c>
      <c r="K786" s="111">
        <v>4245</v>
      </c>
      <c r="L786" s="111">
        <v>4310</v>
      </c>
      <c r="M786" s="111"/>
      <c r="N786" s="111"/>
      <c r="O786" s="111"/>
      <c r="P786" s="2">
        <f t="shared" si="79"/>
        <v>610626.37</v>
      </c>
      <c r="Q786" s="2">
        <f t="shared" si="80"/>
        <v>1041425.8500000001</v>
      </c>
      <c r="R786" s="2">
        <f t="shared" si="81"/>
        <v>1057372.3</v>
      </c>
      <c r="S786" s="2">
        <f t="shared" si="82"/>
        <v>0</v>
      </c>
      <c r="T786" s="2">
        <f t="shared" si="83"/>
        <v>0</v>
      </c>
      <c r="U786" s="2">
        <f t="shared" si="84"/>
        <v>0</v>
      </c>
    </row>
    <row r="787" spans="1:21">
      <c r="A787" s="55">
        <v>784</v>
      </c>
      <c r="B787" s="55" t="s">
        <v>989</v>
      </c>
      <c r="C787" s="55" t="s">
        <v>1105</v>
      </c>
      <c r="D787" s="55" t="s">
        <v>1106</v>
      </c>
      <c r="E787" s="75" t="s">
        <v>1107</v>
      </c>
      <c r="F787" s="55">
        <v>23684284</v>
      </c>
      <c r="G787" s="55">
        <v>919305004</v>
      </c>
      <c r="H787" s="55" t="s">
        <v>1117</v>
      </c>
      <c r="I787" s="55">
        <v>245.33</v>
      </c>
      <c r="J787" s="111">
        <v>2489</v>
      </c>
      <c r="K787" s="111">
        <v>4245</v>
      </c>
      <c r="L787" s="111">
        <v>4310</v>
      </c>
      <c r="M787" s="111"/>
      <c r="N787" s="111"/>
      <c r="O787" s="111"/>
      <c r="P787" s="2">
        <f t="shared" si="79"/>
        <v>610626.37</v>
      </c>
      <c r="Q787" s="2">
        <f t="shared" si="80"/>
        <v>1041425.8500000001</v>
      </c>
      <c r="R787" s="2">
        <f t="shared" si="81"/>
        <v>1057372.3</v>
      </c>
      <c r="S787" s="2">
        <f t="shared" si="82"/>
        <v>0</v>
      </c>
      <c r="T787" s="2">
        <f t="shared" si="83"/>
        <v>0</v>
      </c>
      <c r="U787" s="2">
        <f t="shared" si="84"/>
        <v>0</v>
      </c>
    </row>
    <row r="788" spans="1:21">
      <c r="A788" s="55">
        <v>785</v>
      </c>
      <c r="B788" s="55" t="s">
        <v>989</v>
      </c>
      <c r="C788" s="55" t="s">
        <v>1105</v>
      </c>
      <c r="D788" s="55" t="s">
        <v>1106</v>
      </c>
      <c r="E788" s="75" t="s">
        <v>1107</v>
      </c>
      <c r="F788" s="55">
        <v>23544541</v>
      </c>
      <c r="G788" s="55">
        <v>919305005</v>
      </c>
      <c r="H788" s="55" t="s">
        <v>1118</v>
      </c>
      <c r="I788" s="55">
        <v>50.66</v>
      </c>
      <c r="J788" s="111">
        <v>3000</v>
      </c>
      <c r="K788" s="111">
        <v>4400</v>
      </c>
      <c r="L788" s="111">
        <v>4400</v>
      </c>
      <c r="M788" s="111"/>
      <c r="N788" s="111"/>
      <c r="O788" s="111"/>
      <c r="P788" s="2">
        <f t="shared" si="79"/>
        <v>151980</v>
      </c>
      <c r="Q788" s="2">
        <f t="shared" si="80"/>
        <v>222903.99999999997</v>
      </c>
      <c r="R788" s="2">
        <f t="shared" si="81"/>
        <v>222903.99999999997</v>
      </c>
      <c r="S788" s="2">
        <f t="shared" si="82"/>
        <v>0</v>
      </c>
      <c r="T788" s="2">
        <f t="shared" si="83"/>
        <v>0</v>
      </c>
      <c r="U788" s="2">
        <f t="shared" si="84"/>
        <v>0</v>
      </c>
    </row>
    <row r="789" spans="1:21">
      <c r="A789" s="55">
        <v>786</v>
      </c>
      <c r="B789" s="55" t="s">
        <v>989</v>
      </c>
      <c r="C789" s="55" t="s">
        <v>1105</v>
      </c>
      <c r="D789" s="55" t="s">
        <v>1106</v>
      </c>
      <c r="E789" s="75" t="s">
        <v>1107</v>
      </c>
      <c r="F789" s="55">
        <v>23544542</v>
      </c>
      <c r="G789" s="55">
        <v>919305006</v>
      </c>
      <c r="H789" s="55" t="s">
        <v>1118</v>
      </c>
      <c r="I789" s="55">
        <v>50.66</v>
      </c>
      <c r="J789" s="111">
        <v>3000</v>
      </c>
      <c r="K789" s="111">
        <v>4400</v>
      </c>
      <c r="L789" s="111">
        <v>4400</v>
      </c>
      <c r="M789" s="111"/>
      <c r="N789" s="111"/>
      <c r="O789" s="111"/>
      <c r="P789" s="2">
        <f t="shared" si="79"/>
        <v>151980</v>
      </c>
      <c r="Q789" s="2">
        <f t="shared" si="80"/>
        <v>222903.99999999997</v>
      </c>
      <c r="R789" s="2">
        <f t="shared" si="81"/>
        <v>222903.99999999997</v>
      </c>
      <c r="S789" s="2">
        <f t="shared" si="82"/>
        <v>0</v>
      </c>
      <c r="T789" s="2">
        <f t="shared" si="83"/>
        <v>0</v>
      </c>
      <c r="U789" s="2">
        <f t="shared" si="84"/>
        <v>0</v>
      </c>
    </row>
    <row r="790" spans="1:21">
      <c r="A790" s="55">
        <v>787</v>
      </c>
      <c r="B790" s="55" t="s">
        <v>989</v>
      </c>
      <c r="C790" s="55" t="s">
        <v>1105</v>
      </c>
      <c r="D790" s="55" t="s">
        <v>1106</v>
      </c>
      <c r="E790" s="75" t="s">
        <v>1107</v>
      </c>
      <c r="F790" s="55">
        <v>23544543</v>
      </c>
      <c r="G790" s="55">
        <v>919305007</v>
      </c>
      <c r="H790" s="55" t="s">
        <v>1119</v>
      </c>
      <c r="I790" s="55">
        <v>48.81</v>
      </c>
      <c r="J790" s="111">
        <v>3000</v>
      </c>
      <c r="K790" s="111">
        <v>4400</v>
      </c>
      <c r="L790" s="111">
        <v>4400</v>
      </c>
      <c r="M790" s="111"/>
      <c r="N790" s="111"/>
      <c r="O790" s="111"/>
      <c r="P790" s="2">
        <f t="shared" si="79"/>
        <v>146430</v>
      </c>
      <c r="Q790" s="2">
        <f t="shared" si="80"/>
        <v>214764</v>
      </c>
      <c r="R790" s="2">
        <f t="shared" si="81"/>
        <v>214764</v>
      </c>
      <c r="S790" s="2">
        <f t="shared" si="82"/>
        <v>0</v>
      </c>
      <c r="T790" s="2">
        <f t="shared" si="83"/>
        <v>0</v>
      </c>
      <c r="U790" s="2">
        <f t="shared" si="84"/>
        <v>0</v>
      </c>
    </row>
    <row r="791" spans="1:21">
      <c r="A791" s="55">
        <v>788</v>
      </c>
      <c r="B791" s="55" t="s">
        <v>989</v>
      </c>
      <c r="C791" s="55" t="s">
        <v>1105</v>
      </c>
      <c r="D791" s="55" t="s">
        <v>1106</v>
      </c>
      <c r="E791" s="75" t="s">
        <v>1107</v>
      </c>
      <c r="F791" s="55">
        <v>23544544</v>
      </c>
      <c r="G791" s="55">
        <v>919305008</v>
      </c>
      <c r="H791" s="55" t="s">
        <v>1119</v>
      </c>
      <c r="I791" s="55">
        <v>48.81</v>
      </c>
      <c r="J791" s="111">
        <v>3000</v>
      </c>
      <c r="K791" s="111">
        <v>4400</v>
      </c>
      <c r="L791" s="111">
        <v>4400</v>
      </c>
      <c r="M791" s="111"/>
      <c r="N791" s="111"/>
      <c r="O791" s="111"/>
      <c r="P791" s="2">
        <f t="shared" si="79"/>
        <v>146430</v>
      </c>
      <c r="Q791" s="2">
        <f t="shared" si="80"/>
        <v>214764</v>
      </c>
      <c r="R791" s="2">
        <f t="shared" si="81"/>
        <v>214764</v>
      </c>
      <c r="S791" s="2">
        <f t="shared" si="82"/>
        <v>0</v>
      </c>
      <c r="T791" s="2">
        <f t="shared" si="83"/>
        <v>0</v>
      </c>
      <c r="U791" s="2">
        <f t="shared" si="84"/>
        <v>0</v>
      </c>
    </row>
    <row r="792" spans="1:21">
      <c r="A792" s="55">
        <v>789</v>
      </c>
      <c r="B792" s="55" t="s">
        <v>989</v>
      </c>
      <c r="C792" s="55" t="s">
        <v>1105</v>
      </c>
      <c r="D792" s="55" t="s">
        <v>1106</v>
      </c>
      <c r="E792" s="75" t="s">
        <v>1107</v>
      </c>
      <c r="F792" s="55">
        <v>23546684</v>
      </c>
      <c r="G792" s="55">
        <v>919308001</v>
      </c>
      <c r="H792" s="55" t="s">
        <v>1120</v>
      </c>
      <c r="I792" s="55">
        <v>137.91</v>
      </c>
      <c r="J792" s="111">
        <v>3000</v>
      </c>
      <c r="K792" s="111">
        <v>4400</v>
      </c>
      <c r="L792" s="111">
        <v>4400</v>
      </c>
      <c r="M792" s="111"/>
      <c r="N792" s="111"/>
      <c r="O792" s="111"/>
      <c r="P792" s="2">
        <f t="shared" si="79"/>
        <v>413730</v>
      </c>
      <c r="Q792" s="2">
        <f t="shared" si="80"/>
        <v>606804</v>
      </c>
      <c r="R792" s="2">
        <f t="shared" si="81"/>
        <v>606804</v>
      </c>
      <c r="S792" s="2">
        <f t="shared" si="82"/>
        <v>0</v>
      </c>
      <c r="T792" s="2">
        <f t="shared" si="83"/>
        <v>0</v>
      </c>
      <c r="U792" s="2">
        <f t="shared" si="84"/>
        <v>0</v>
      </c>
    </row>
    <row r="793" spans="1:21">
      <c r="A793" s="55">
        <v>790</v>
      </c>
      <c r="B793" s="55" t="s">
        <v>989</v>
      </c>
      <c r="C793" s="55" t="s">
        <v>1105</v>
      </c>
      <c r="D793" s="55" t="s">
        <v>1106</v>
      </c>
      <c r="E793" s="75" t="s">
        <v>1107</v>
      </c>
      <c r="F793" s="55">
        <v>23546687</v>
      </c>
      <c r="G793" s="55">
        <v>919308002</v>
      </c>
      <c r="H793" s="55" t="s">
        <v>1120</v>
      </c>
      <c r="I793" s="55">
        <v>137.91</v>
      </c>
      <c r="J793" s="111">
        <v>3000</v>
      </c>
      <c r="K793" s="111">
        <v>4400</v>
      </c>
      <c r="L793" s="111">
        <v>4400</v>
      </c>
      <c r="M793" s="111"/>
      <c r="N793" s="111"/>
      <c r="O793" s="111"/>
      <c r="P793" s="2">
        <f t="shared" si="79"/>
        <v>413730</v>
      </c>
      <c r="Q793" s="2">
        <f t="shared" si="80"/>
        <v>606804</v>
      </c>
      <c r="R793" s="2">
        <f t="shared" si="81"/>
        <v>606804</v>
      </c>
      <c r="S793" s="2">
        <f t="shared" si="82"/>
        <v>0</v>
      </c>
      <c r="T793" s="2">
        <f t="shared" si="83"/>
        <v>0</v>
      </c>
      <c r="U793" s="2">
        <f t="shared" si="84"/>
        <v>0</v>
      </c>
    </row>
  </sheetData>
  <autoFilter ref="A3:U793" xr:uid="{44053729-7246-4F19-B5D6-6CF3EA007575}"/>
  <mergeCells count="2">
    <mergeCell ref="J2:O2"/>
    <mergeCell ref="P2:U2"/>
  </mergeCells>
  <conditionalFormatting sqref="G385:G617">
    <cfRule type="duplicateValues" dxfId="0" priority="1"/>
  </conditionalFormatting>
  <pageMargins left="0.2" right="0.2" top="0.2" bottom="0.2" header="0.2" footer="0.2"/>
  <pageSetup paperSize="9" scale="60" fitToHeight="0" orientation="landscape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CFD8-2A80-4BCF-A7F9-A4B8507E693F}">
  <dimension ref="A1:P50"/>
  <sheetViews>
    <sheetView showGridLines="0" zoomScale="90" zoomScaleNormal="90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G23" sqref="G23"/>
    </sheetView>
  </sheetViews>
  <sheetFormatPr defaultColWidth="8.81640625" defaultRowHeight="14.5"/>
  <cols>
    <col min="3" max="3" width="14" style="182" bestFit="1" customWidth="1"/>
    <col min="4" max="4" width="17.81640625" customWidth="1"/>
    <col min="5" max="5" width="10.54296875" bestFit="1" customWidth="1"/>
    <col min="6" max="6" width="14.81640625" style="169" hidden="1" customWidth="1"/>
    <col min="7" max="7" width="14.81640625" customWidth="1"/>
    <col min="8" max="8" width="15.1796875" style="169" hidden="1" customWidth="1"/>
    <col min="9" max="9" width="15.1796875" customWidth="1"/>
    <col min="10" max="10" width="14.81640625" style="169" hidden="1" customWidth="1"/>
    <col min="11" max="11" width="15.1796875" customWidth="1"/>
    <col min="13" max="13" width="10" bestFit="1" customWidth="1"/>
  </cols>
  <sheetData>
    <row r="1" spans="1:16" ht="15.65" customHeight="1">
      <c r="A1" s="71" t="s">
        <v>1242</v>
      </c>
    </row>
    <row r="2" spans="1:16">
      <c r="E2" s="179" t="s">
        <v>1295</v>
      </c>
      <c r="F2" s="170"/>
      <c r="G2" s="180">
        <f>40.1*10</f>
        <v>401</v>
      </c>
      <c r="H2" s="170"/>
      <c r="I2" s="180">
        <f>40.7*10</f>
        <v>407</v>
      </c>
      <c r="K2" s="180">
        <f>42.9*10</f>
        <v>429</v>
      </c>
      <c r="L2" t="s">
        <v>1300</v>
      </c>
    </row>
    <row r="3" spans="1:16" ht="18.5" hidden="1">
      <c r="B3" s="71"/>
      <c r="D3" s="163" t="s">
        <v>1298</v>
      </c>
      <c r="E3" s="163" t="s">
        <v>1294</v>
      </c>
      <c r="F3" s="171">
        <f>41.7*10</f>
        <v>417</v>
      </c>
      <c r="G3" s="164">
        <f>41.7*10</f>
        <v>417</v>
      </c>
      <c r="H3" s="172"/>
      <c r="I3" s="50"/>
      <c r="J3" s="178"/>
      <c r="K3" s="18"/>
      <c r="L3" s="181" t="s">
        <v>1299</v>
      </c>
    </row>
    <row r="4" spans="1:16" ht="18.5" hidden="1">
      <c r="B4" s="71"/>
      <c r="D4" s="163" t="s">
        <v>1297</v>
      </c>
      <c r="E4" s="163" t="s">
        <v>1293</v>
      </c>
      <c r="F4" s="172">
        <v>477.91447843000003</v>
      </c>
      <c r="G4" s="164">
        <f>393247561.75/1000000</f>
        <v>393.24756174999999</v>
      </c>
      <c r="H4" s="172">
        <v>453.21375577999999</v>
      </c>
      <c r="I4" s="164">
        <f>376242886.1/1000000</f>
        <v>376.24288610000002</v>
      </c>
      <c r="J4" s="178"/>
      <c r="K4" s="50"/>
      <c r="L4" s="181" t="s">
        <v>1299</v>
      </c>
    </row>
    <row r="5" spans="1:16">
      <c r="D5" s="163" t="s">
        <v>1296</v>
      </c>
      <c r="E5" s="163" t="s">
        <v>1292</v>
      </c>
      <c r="F5" s="172">
        <f t="shared" ref="F5:K5" si="0">SUMPRODUCT($E$8:$E$50,F8:F50)/1000000</f>
        <v>453.56191172000001</v>
      </c>
      <c r="G5" s="164">
        <f t="shared" si="0"/>
        <v>404.78847824000002</v>
      </c>
      <c r="H5" s="172">
        <f t="shared" si="0"/>
        <v>454.61252514</v>
      </c>
      <c r="I5" s="164">
        <f t="shared" si="0"/>
        <v>401.28428289999999</v>
      </c>
      <c r="J5" s="172">
        <f t="shared" si="0"/>
        <v>450.66608274999999</v>
      </c>
      <c r="K5" s="164">
        <f t="shared" si="0"/>
        <v>418.65374197000006</v>
      </c>
      <c r="L5" s="181" t="s">
        <v>1299</v>
      </c>
    </row>
    <row r="6" spans="1:16">
      <c r="E6" s="3"/>
      <c r="F6" s="173"/>
      <c r="G6" s="168"/>
      <c r="H6" s="173"/>
      <c r="I6" s="168"/>
      <c r="J6" s="173"/>
      <c r="K6" s="168"/>
    </row>
    <row r="7" spans="1:16">
      <c r="B7" s="165" t="s">
        <v>302</v>
      </c>
      <c r="C7" s="165" t="s">
        <v>1243</v>
      </c>
      <c r="D7" s="166" t="s">
        <v>1244</v>
      </c>
      <c r="E7" s="166" t="s">
        <v>1245</v>
      </c>
      <c r="F7" s="174" t="s">
        <v>316</v>
      </c>
      <c r="G7" s="167" t="s">
        <v>1288</v>
      </c>
      <c r="H7" s="174" t="s">
        <v>317</v>
      </c>
      <c r="I7" s="167" t="s">
        <v>1289</v>
      </c>
      <c r="J7" s="174" t="s">
        <v>319</v>
      </c>
      <c r="K7" s="167" t="s">
        <v>1290</v>
      </c>
      <c r="N7" s="167" t="s">
        <v>1288</v>
      </c>
      <c r="O7" s="167" t="s">
        <v>1289</v>
      </c>
      <c r="P7" s="167" t="s">
        <v>1290</v>
      </c>
    </row>
    <row r="8" spans="1:16" ht="15" customHeight="1">
      <c r="B8" s="344" t="s">
        <v>989</v>
      </c>
      <c r="C8" s="183" t="s">
        <v>1246</v>
      </c>
      <c r="D8" s="155" t="s">
        <v>1247</v>
      </c>
      <c r="E8" s="350">
        <v>2132</v>
      </c>
      <c r="F8" s="345">
        <v>12000</v>
      </c>
      <c r="G8" s="341">
        <v>12200</v>
      </c>
      <c r="H8" s="345">
        <v>12800</v>
      </c>
      <c r="I8" s="341">
        <v>12000</v>
      </c>
      <c r="J8" s="345">
        <v>12800</v>
      </c>
      <c r="K8" s="341">
        <v>12500</v>
      </c>
    </row>
    <row r="9" spans="1:16">
      <c r="B9" s="344"/>
      <c r="C9" s="183" t="s">
        <v>1246</v>
      </c>
      <c r="D9" s="155" t="s">
        <v>1248</v>
      </c>
      <c r="E9" s="351"/>
      <c r="F9" s="346"/>
      <c r="G9" s="342"/>
      <c r="H9" s="346"/>
      <c r="I9" s="342"/>
      <c r="J9" s="346"/>
      <c r="K9" s="342"/>
    </row>
    <row r="10" spans="1:16">
      <c r="B10" s="344"/>
      <c r="C10" s="183" t="s">
        <v>1249</v>
      </c>
      <c r="D10" s="155" t="s">
        <v>1280</v>
      </c>
      <c r="E10" s="156">
        <v>7765.76</v>
      </c>
      <c r="F10" s="175">
        <v>1568</v>
      </c>
      <c r="G10" s="156">
        <v>1250</v>
      </c>
      <c r="H10" s="175">
        <v>1468</v>
      </c>
      <c r="I10" s="156">
        <v>1300</v>
      </c>
      <c r="J10" s="175">
        <v>1368</v>
      </c>
      <c r="K10" s="156">
        <v>1300</v>
      </c>
    </row>
    <row r="11" spans="1:16">
      <c r="B11" s="344"/>
      <c r="C11" s="183" t="s">
        <v>1249</v>
      </c>
      <c r="D11" s="155" t="s">
        <v>1281</v>
      </c>
      <c r="E11" s="156">
        <v>15536</v>
      </c>
      <c r="F11" s="175">
        <v>1472</v>
      </c>
      <c r="G11" s="156">
        <v>750</v>
      </c>
      <c r="H11" s="175">
        <v>1200</v>
      </c>
      <c r="I11" s="156">
        <v>800</v>
      </c>
      <c r="J11" s="175">
        <v>1100</v>
      </c>
      <c r="K11" s="156">
        <v>900</v>
      </c>
    </row>
    <row r="12" spans="1:16">
      <c r="B12" s="344"/>
      <c r="C12" s="183" t="s">
        <v>1105</v>
      </c>
      <c r="D12" s="155" t="s">
        <v>1250</v>
      </c>
      <c r="E12" s="156">
        <v>4417</v>
      </c>
      <c r="F12" s="175">
        <v>2487</v>
      </c>
      <c r="G12" s="156">
        <v>2300</v>
      </c>
      <c r="H12" s="175">
        <v>3000</v>
      </c>
      <c r="I12" s="156">
        <v>2400</v>
      </c>
      <c r="J12" s="175">
        <v>4400</v>
      </c>
      <c r="K12" s="156">
        <v>3300</v>
      </c>
    </row>
    <row r="13" spans="1:16">
      <c r="B13" s="343" t="s">
        <v>1278</v>
      </c>
      <c r="C13" s="347" t="s">
        <v>312</v>
      </c>
      <c r="D13" s="73" t="s">
        <v>1251</v>
      </c>
      <c r="E13" s="72">
        <v>54.39</v>
      </c>
      <c r="F13" s="176">
        <v>6096</v>
      </c>
      <c r="G13" s="72">
        <v>6096</v>
      </c>
      <c r="H13" s="176">
        <v>4244</v>
      </c>
      <c r="I13" s="72">
        <v>5040</v>
      </c>
      <c r="J13" s="176">
        <v>4623</v>
      </c>
      <c r="K13" s="72">
        <v>4623</v>
      </c>
    </row>
    <row r="14" spans="1:16">
      <c r="B14" s="343"/>
      <c r="C14" s="347"/>
      <c r="D14" s="74" t="s">
        <v>1252</v>
      </c>
      <c r="E14" s="72">
        <v>1046</v>
      </c>
      <c r="F14" s="176">
        <v>12425</v>
      </c>
      <c r="G14" s="72">
        <v>12425</v>
      </c>
      <c r="H14" s="176">
        <v>10844</v>
      </c>
      <c r="I14" s="72">
        <v>11000</v>
      </c>
      <c r="J14" s="176">
        <v>11357</v>
      </c>
      <c r="K14" s="72">
        <v>11500</v>
      </c>
    </row>
    <row r="15" spans="1:16" ht="14.9" customHeight="1">
      <c r="B15" s="343"/>
      <c r="C15" s="347"/>
      <c r="D15" s="73" t="s">
        <v>1253</v>
      </c>
      <c r="E15" s="72">
        <v>704</v>
      </c>
      <c r="F15" s="176">
        <v>84</v>
      </c>
      <c r="G15" s="72">
        <v>84</v>
      </c>
      <c r="H15" s="176">
        <v>82</v>
      </c>
      <c r="I15" s="72">
        <v>82</v>
      </c>
      <c r="J15" s="176">
        <v>99</v>
      </c>
      <c r="K15" s="72">
        <v>99</v>
      </c>
    </row>
    <row r="16" spans="1:16">
      <c r="B16" s="343"/>
      <c r="C16" s="347"/>
      <c r="D16" s="73" t="s">
        <v>1254</v>
      </c>
      <c r="E16" s="72">
        <v>22</v>
      </c>
      <c r="F16" s="176">
        <v>3575</v>
      </c>
      <c r="G16" s="72">
        <v>4000</v>
      </c>
      <c r="H16" s="176">
        <v>3575</v>
      </c>
      <c r="I16" s="72">
        <v>3575</v>
      </c>
      <c r="J16" s="176">
        <v>3575</v>
      </c>
      <c r="K16" s="72">
        <v>3575</v>
      </c>
    </row>
    <row r="17" spans="2:13">
      <c r="B17" s="343"/>
      <c r="C17" s="347"/>
      <c r="D17" s="73" t="s">
        <v>1255</v>
      </c>
      <c r="E17" s="72">
        <v>970</v>
      </c>
      <c r="F17" s="176">
        <v>17499</v>
      </c>
      <c r="G17" s="161">
        <v>17499</v>
      </c>
      <c r="H17" s="176">
        <v>14701</v>
      </c>
      <c r="I17" s="72">
        <v>15000</v>
      </c>
      <c r="J17" s="176">
        <v>16104</v>
      </c>
      <c r="K17" s="72">
        <v>16500</v>
      </c>
    </row>
    <row r="18" spans="2:13">
      <c r="B18" s="343"/>
      <c r="C18" s="347"/>
      <c r="D18" s="73" t="s">
        <v>1256</v>
      </c>
      <c r="E18" s="72">
        <v>196</v>
      </c>
      <c r="F18" s="176">
        <v>3446</v>
      </c>
      <c r="G18" s="72">
        <v>3446</v>
      </c>
      <c r="H18" s="176">
        <v>3087</v>
      </c>
      <c r="I18" s="72">
        <v>3700</v>
      </c>
      <c r="J18" s="176">
        <v>4030</v>
      </c>
      <c r="K18" s="72">
        <v>4030</v>
      </c>
    </row>
    <row r="19" spans="2:13">
      <c r="B19" s="343"/>
      <c r="C19" s="347"/>
      <c r="D19" s="73" t="s">
        <v>1257</v>
      </c>
      <c r="E19" s="72">
        <v>28</v>
      </c>
      <c r="F19" s="176">
        <v>25290</v>
      </c>
      <c r="G19" s="72">
        <v>25290</v>
      </c>
      <c r="H19" s="176">
        <v>21768</v>
      </c>
      <c r="I19" s="72">
        <v>21768</v>
      </c>
      <c r="J19" s="176">
        <v>221965</v>
      </c>
      <c r="K19" s="72">
        <v>26132</v>
      </c>
    </row>
    <row r="20" spans="2:13">
      <c r="B20" s="343"/>
      <c r="C20" s="347"/>
      <c r="D20" s="73" t="s">
        <v>734</v>
      </c>
      <c r="E20" s="72">
        <v>251.66</v>
      </c>
      <c r="F20" s="176">
        <v>0</v>
      </c>
      <c r="G20" s="72"/>
      <c r="H20" s="176">
        <v>0</v>
      </c>
      <c r="I20" s="72"/>
      <c r="J20" s="176">
        <v>0</v>
      </c>
      <c r="K20" s="72"/>
    </row>
    <row r="21" spans="2:13">
      <c r="B21" s="343"/>
      <c r="C21" s="347"/>
      <c r="D21" s="73" t="s">
        <v>1258</v>
      </c>
      <c r="E21" s="72">
        <v>292</v>
      </c>
      <c r="F21" s="176">
        <v>2898</v>
      </c>
      <c r="G21" s="72">
        <v>3980</v>
      </c>
      <c r="H21" s="176">
        <v>2310</v>
      </c>
      <c r="I21" s="72">
        <v>2462</v>
      </c>
      <c r="J21" s="176">
        <v>2526</v>
      </c>
      <c r="K21" s="72">
        <v>2526</v>
      </c>
    </row>
    <row r="22" spans="2:13">
      <c r="B22" s="343"/>
      <c r="C22" s="347"/>
      <c r="D22" s="73" t="s">
        <v>1259</v>
      </c>
      <c r="E22" s="72">
        <v>52</v>
      </c>
      <c r="F22" s="176">
        <v>57</v>
      </c>
      <c r="G22" s="72">
        <v>57</v>
      </c>
      <c r="H22" s="176">
        <v>58</v>
      </c>
      <c r="I22" s="72">
        <v>58</v>
      </c>
      <c r="J22" s="176">
        <v>56</v>
      </c>
      <c r="K22" s="72">
        <v>56</v>
      </c>
    </row>
    <row r="23" spans="2:13">
      <c r="B23" s="343"/>
      <c r="C23" s="347"/>
      <c r="D23" s="73" t="s">
        <v>1279</v>
      </c>
      <c r="E23" s="72">
        <v>1048.7</v>
      </c>
      <c r="F23" s="176">
        <v>8118</v>
      </c>
      <c r="G23" s="156">
        <v>11194</v>
      </c>
      <c r="H23" s="176">
        <v>8409</v>
      </c>
      <c r="I23" s="156">
        <v>9459</v>
      </c>
      <c r="J23" s="176">
        <v>9193</v>
      </c>
      <c r="K23" s="156">
        <v>11460</v>
      </c>
    </row>
    <row r="24" spans="2:13">
      <c r="B24" s="343"/>
      <c r="C24" s="347"/>
      <c r="D24" s="73" t="s">
        <v>1260</v>
      </c>
      <c r="E24" s="72">
        <v>557</v>
      </c>
      <c r="F24" s="176">
        <v>6944</v>
      </c>
      <c r="G24" s="72">
        <v>6944</v>
      </c>
      <c r="H24" s="176">
        <v>6418</v>
      </c>
      <c r="I24" s="72">
        <v>7457</v>
      </c>
      <c r="J24" s="176">
        <v>6814</v>
      </c>
      <c r="K24" s="72">
        <v>7357</v>
      </c>
    </row>
    <row r="25" spans="2:13">
      <c r="B25" s="343"/>
      <c r="C25" s="348" t="s">
        <v>522</v>
      </c>
      <c r="D25" s="73" t="s">
        <v>1261</v>
      </c>
      <c r="E25" s="72">
        <v>2086</v>
      </c>
      <c r="F25" s="176">
        <v>465</v>
      </c>
      <c r="G25" s="72">
        <v>465</v>
      </c>
      <c r="H25" s="176">
        <v>493</v>
      </c>
      <c r="I25" s="72">
        <v>493</v>
      </c>
      <c r="J25" s="176">
        <v>533</v>
      </c>
      <c r="K25" s="72">
        <v>533</v>
      </c>
    </row>
    <row r="26" spans="2:13">
      <c r="B26" s="343"/>
      <c r="C26" s="348"/>
      <c r="D26" s="73" t="s">
        <v>1262</v>
      </c>
      <c r="E26" s="72">
        <v>1926</v>
      </c>
      <c r="F26" s="176">
        <v>5590</v>
      </c>
      <c r="G26" s="72">
        <v>5590</v>
      </c>
      <c r="H26" s="176">
        <v>4856</v>
      </c>
      <c r="I26" s="72">
        <v>4856</v>
      </c>
      <c r="J26" s="176">
        <v>7080</v>
      </c>
      <c r="K26" s="72">
        <v>7080</v>
      </c>
    </row>
    <row r="27" spans="2:13">
      <c r="B27" s="343"/>
      <c r="C27" s="349" t="s">
        <v>1263</v>
      </c>
      <c r="D27" s="73" t="s">
        <v>1291</v>
      </c>
      <c r="E27" s="72">
        <v>3570</v>
      </c>
      <c r="F27" s="176">
        <v>5890</v>
      </c>
      <c r="G27" s="72">
        <f>5000</f>
        <v>5000</v>
      </c>
      <c r="H27" s="176">
        <v>5655</v>
      </c>
      <c r="I27" s="72">
        <v>4500</v>
      </c>
      <c r="J27" s="176">
        <v>5597</v>
      </c>
      <c r="K27" s="72">
        <v>5000</v>
      </c>
    </row>
    <row r="28" spans="2:13">
      <c r="B28" s="343"/>
      <c r="C28" s="349"/>
      <c r="D28" s="73" t="s">
        <v>1264</v>
      </c>
      <c r="E28" s="72">
        <v>1700</v>
      </c>
      <c r="F28" s="176">
        <v>881</v>
      </c>
      <c r="G28" s="72">
        <v>500</v>
      </c>
      <c r="H28" s="176">
        <v>504</v>
      </c>
      <c r="I28" s="72">
        <v>500</v>
      </c>
      <c r="J28" s="176">
        <v>497</v>
      </c>
      <c r="K28" s="72">
        <v>450</v>
      </c>
    </row>
    <row r="29" spans="2:13">
      <c r="B29" s="343"/>
      <c r="C29" s="349"/>
      <c r="D29" s="73" t="s">
        <v>1265</v>
      </c>
      <c r="E29" s="72">
        <v>6860</v>
      </c>
      <c r="F29" s="176">
        <v>507</v>
      </c>
      <c r="G29" s="72">
        <v>400</v>
      </c>
      <c r="H29" s="176">
        <v>500</v>
      </c>
      <c r="I29" s="72">
        <v>400</v>
      </c>
      <c r="J29" s="176">
        <v>500</v>
      </c>
      <c r="K29" s="72">
        <v>400</v>
      </c>
    </row>
    <row r="30" spans="2:13">
      <c r="B30" s="343"/>
      <c r="C30" s="349"/>
      <c r="D30" s="73" t="s">
        <v>680</v>
      </c>
      <c r="E30" s="72">
        <v>1950</v>
      </c>
      <c r="F30" s="176">
        <v>650</v>
      </c>
      <c r="G30" s="72">
        <v>350</v>
      </c>
      <c r="H30" s="176">
        <v>365</v>
      </c>
      <c r="I30" s="72">
        <v>300</v>
      </c>
      <c r="J30" s="176">
        <v>359</v>
      </c>
      <c r="K30" s="72">
        <v>350</v>
      </c>
    </row>
    <row r="31" spans="2:13" ht="15" customHeight="1">
      <c r="B31" s="343" t="s">
        <v>311</v>
      </c>
      <c r="C31" s="348" t="s">
        <v>522</v>
      </c>
      <c r="D31" s="73" t="s">
        <v>1266</v>
      </c>
      <c r="E31" s="72">
        <v>25</v>
      </c>
      <c r="F31" s="176">
        <v>0</v>
      </c>
      <c r="G31" s="72">
        <v>49</v>
      </c>
      <c r="H31" s="176">
        <v>0</v>
      </c>
      <c r="I31" s="72"/>
      <c r="J31" s="176">
        <v>0</v>
      </c>
      <c r="K31" s="72"/>
    </row>
    <row r="32" spans="2:13">
      <c r="B32" s="343"/>
      <c r="C32" s="348"/>
      <c r="D32" s="73" t="s">
        <v>344</v>
      </c>
      <c r="E32" s="72">
        <v>2511</v>
      </c>
      <c r="F32" s="176">
        <v>4608</v>
      </c>
      <c r="G32" s="72">
        <v>4200</v>
      </c>
      <c r="H32" s="176">
        <v>4113</v>
      </c>
      <c r="I32" s="72">
        <v>4113</v>
      </c>
      <c r="J32" s="176">
        <v>5856</v>
      </c>
      <c r="K32" s="72">
        <v>5000</v>
      </c>
      <c r="M32" s="160"/>
    </row>
    <row r="33" spans="2:11">
      <c r="B33" s="343"/>
      <c r="C33" s="348"/>
      <c r="D33" s="73" t="s">
        <v>323</v>
      </c>
      <c r="E33" s="72">
        <v>2075</v>
      </c>
      <c r="F33" s="176">
        <v>2497</v>
      </c>
      <c r="G33" s="72">
        <v>2472</v>
      </c>
      <c r="H33" s="176">
        <v>1975</v>
      </c>
      <c r="I33" s="72">
        <v>2000</v>
      </c>
      <c r="J33" s="176">
        <v>2800</v>
      </c>
      <c r="K33" s="72">
        <v>2800</v>
      </c>
    </row>
    <row r="34" spans="2:11">
      <c r="B34" s="343"/>
      <c r="C34" s="348"/>
      <c r="D34" s="73" t="s">
        <v>362</v>
      </c>
      <c r="E34" s="72">
        <v>3002</v>
      </c>
      <c r="F34" s="176">
        <v>5301</v>
      </c>
      <c r="G34" s="72">
        <v>5280</v>
      </c>
      <c r="H34" s="176">
        <v>4444</v>
      </c>
      <c r="I34" s="72">
        <v>4444</v>
      </c>
      <c r="J34" s="176">
        <v>6912</v>
      </c>
      <c r="K34" s="72">
        <v>6912</v>
      </c>
    </row>
    <row r="35" spans="2:11">
      <c r="B35" s="343"/>
      <c r="C35" s="348"/>
      <c r="D35" s="73" t="s">
        <v>387</v>
      </c>
      <c r="E35" s="72">
        <v>2685</v>
      </c>
      <c r="F35" s="176">
        <v>3394</v>
      </c>
      <c r="G35" s="72">
        <v>3360</v>
      </c>
      <c r="H35" s="176">
        <v>3136</v>
      </c>
      <c r="I35" s="72">
        <v>3200</v>
      </c>
      <c r="J35" s="176">
        <v>4152</v>
      </c>
      <c r="K35" s="72">
        <v>4000</v>
      </c>
    </row>
    <row r="36" spans="2:11">
      <c r="B36" s="343"/>
      <c r="C36" s="348"/>
      <c r="D36" s="73" t="s">
        <v>403</v>
      </c>
      <c r="E36" s="72">
        <v>1422</v>
      </c>
      <c r="F36" s="176">
        <v>10500</v>
      </c>
      <c r="G36" s="72">
        <v>9840</v>
      </c>
      <c r="H36" s="176">
        <v>5600</v>
      </c>
      <c r="I36" s="72">
        <v>5600</v>
      </c>
      <c r="J36" s="176">
        <v>10500</v>
      </c>
      <c r="K36" s="72">
        <v>10500</v>
      </c>
    </row>
    <row r="37" spans="2:11">
      <c r="B37" s="343"/>
      <c r="C37" s="162" t="s">
        <v>1267</v>
      </c>
      <c r="D37" s="73" t="s">
        <v>411</v>
      </c>
      <c r="E37" s="72">
        <v>39.22</v>
      </c>
      <c r="F37" s="176">
        <v>13000</v>
      </c>
      <c r="G37" s="72">
        <v>11500</v>
      </c>
      <c r="H37" s="176">
        <v>12000</v>
      </c>
      <c r="I37" s="72">
        <v>12000</v>
      </c>
      <c r="J37" s="176">
        <v>12000</v>
      </c>
      <c r="K37" s="72">
        <v>12000</v>
      </c>
    </row>
    <row r="38" spans="2:11">
      <c r="B38" s="343" t="s">
        <v>305</v>
      </c>
      <c r="C38" s="352" t="s">
        <v>1246</v>
      </c>
      <c r="D38" s="157" t="s">
        <v>1268</v>
      </c>
      <c r="E38" s="156">
        <v>7108.8</v>
      </c>
      <c r="F38" s="175">
        <v>4500</v>
      </c>
      <c r="G38" s="156">
        <v>3700</v>
      </c>
      <c r="H38" s="175">
        <v>4500</v>
      </c>
      <c r="I38" s="156">
        <v>3800</v>
      </c>
      <c r="J38" s="175">
        <v>4500</v>
      </c>
      <c r="K38" s="156">
        <v>4000</v>
      </c>
    </row>
    <row r="39" spans="2:11">
      <c r="B39" s="343"/>
      <c r="C39" s="352"/>
      <c r="D39" s="157" t="s">
        <v>1269</v>
      </c>
      <c r="E39" s="156">
        <v>8429</v>
      </c>
      <c r="F39" s="175">
        <v>2000</v>
      </c>
      <c r="G39" s="156">
        <v>1800</v>
      </c>
      <c r="H39" s="175">
        <v>2000</v>
      </c>
      <c r="I39" s="156">
        <v>2000</v>
      </c>
      <c r="J39" s="175">
        <v>2000</v>
      </c>
      <c r="K39" s="156">
        <v>2000</v>
      </c>
    </row>
    <row r="40" spans="2:11">
      <c r="B40" s="343"/>
      <c r="C40" s="352"/>
      <c r="D40" s="157" t="s">
        <v>1287</v>
      </c>
      <c r="E40" s="156">
        <v>4055</v>
      </c>
      <c r="F40" s="175">
        <v>5500</v>
      </c>
      <c r="G40" s="156">
        <v>5200</v>
      </c>
      <c r="H40" s="175">
        <v>5500</v>
      </c>
      <c r="I40" s="156">
        <v>5200</v>
      </c>
      <c r="J40" s="175">
        <v>5500</v>
      </c>
      <c r="K40" s="156">
        <v>5200</v>
      </c>
    </row>
    <row r="41" spans="2:11">
      <c r="B41" s="343"/>
      <c r="C41" s="352"/>
      <c r="D41" s="157" t="s">
        <v>1270</v>
      </c>
      <c r="E41" s="156">
        <v>4755</v>
      </c>
      <c r="F41" s="175">
        <v>12000</v>
      </c>
      <c r="G41" s="156">
        <v>11000</v>
      </c>
      <c r="H41" s="175">
        <v>12000</v>
      </c>
      <c r="I41" s="156">
        <v>12000</v>
      </c>
      <c r="J41" s="175">
        <v>12000</v>
      </c>
      <c r="K41" s="156">
        <v>12000</v>
      </c>
    </row>
    <row r="42" spans="2:11">
      <c r="B42" s="343"/>
      <c r="C42" s="352"/>
      <c r="D42" s="157" t="s">
        <v>1271</v>
      </c>
      <c r="E42" s="156">
        <v>3253</v>
      </c>
      <c r="F42" s="175">
        <v>1437</v>
      </c>
      <c r="G42" s="156">
        <v>1200</v>
      </c>
      <c r="H42" s="175">
        <v>1430</v>
      </c>
      <c r="I42" s="156">
        <v>1200</v>
      </c>
      <c r="J42" s="175">
        <v>1535</v>
      </c>
      <c r="K42" s="156">
        <v>1250</v>
      </c>
    </row>
    <row r="43" spans="2:11" ht="17.149999999999999" customHeight="1">
      <c r="B43" s="343"/>
      <c r="C43" s="352"/>
      <c r="D43" s="157" t="s">
        <v>1272</v>
      </c>
      <c r="E43" s="156">
        <v>4435</v>
      </c>
      <c r="F43" s="175">
        <v>2600</v>
      </c>
      <c r="G43" s="156">
        <v>2200</v>
      </c>
      <c r="H43" s="175">
        <v>2520</v>
      </c>
      <c r="I43" s="156">
        <v>2500</v>
      </c>
      <c r="J43" s="175">
        <v>1880</v>
      </c>
      <c r="K43" s="156">
        <v>1880</v>
      </c>
    </row>
    <row r="44" spans="2:11">
      <c r="B44" s="343"/>
      <c r="C44" s="352"/>
      <c r="D44" s="157" t="s">
        <v>1273</v>
      </c>
      <c r="E44" s="156">
        <v>4426</v>
      </c>
      <c r="F44" s="175">
        <v>600</v>
      </c>
      <c r="G44" s="156">
        <v>400</v>
      </c>
      <c r="H44" s="175">
        <v>500</v>
      </c>
      <c r="I44" s="156">
        <v>400</v>
      </c>
      <c r="J44" s="175">
        <v>500</v>
      </c>
      <c r="K44" s="156">
        <v>400</v>
      </c>
    </row>
    <row r="45" spans="2:11">
      <c r="B45" s="343"/>
      <c r="C45" s="352"/>
      <c r="D45" s="157" t="s">
        <v>1274</v>
      </c>
      <c r="E45" s="156">
        <v>2075</v>
      </c>
      <c r="F45" s="175">
        <v>17511</v>
      </c>
      <c r="G45" s="156">
        <v>14500</v>
      </c>
      <c r="H45" s="175">
        <v>17650</v>
      </c>
      <c r="I45" s="156">
        <v>15000</v>
      </c>
      <c r="J45" s="175">
        <v>17650</v>
      </c>
      <c r="K45" s="156">
        <v>15000</v>
      </c>
    </row>
    <row r="46" spans="2:11">
      <c r="B46" s="343"/>
      <c r="C46" s="352" t="s">
        <v>309</v>
      </c>
      <c r="D46" s="73">
        <v>216</v>
      </c>
      <c r="E46" s="72">
        <v>3021</v>
      </c>
      <c r="F46" s="176">
        <v>4200</v>
      </c>
      <c r="G46" s="72">
        <v>3500</v>
      </c>
      <c r="H46" s="176">
        <v>12900</v>
      </c>
      <c r="I46" s="72">
        <v>5500</v>
      </c>
      <c r="J46" s="176">
        <v>2100</v>
      </c>
      <c r="K46" s="72">
        <f>J46</f>
        <v>2100</v>
      </c>
    </row>
    <row r="47" spans="2:11">
      <c r="B47" s="343"/>
      <c r="C47" s="352"/>
      <c r="D47" s="73">
        <v>271</v>
      </c>
      <c r="E47" s="72">
        <v>2704</v>
      </c>
      <c r="F47" s="176">
        <v>7800</v>
      </c>
      <c r="G47" s="72">
        <v>7000</v>
      </c>
      <c r="H47" s="176">
        <v>6900</v>
      </c>
      <c r="I47" s="72">
        <v>6500</v>
      </c>
      <c r="J47" s="176">
        <v>3450</v>
      </c>
      <c r="K47" s="72">
        <f>J47</f>
        <v>3450</v>
      </c>
    </row>
    <row r="48" spans="2:11" ht="31.5" customHeight="1">
      <c r="B48" s="343" t="s">
        <v>1275</v>
      </c>
      <c r="C48" s="162" t="s">
        <v>1246</v>
      </c>
      <c r="D48" s="158" t="s">
        <v>1276</v>
      </c>
      <c r="E48" s="159">
        <v>1667</v>
      </c>
      <c r="F48" s="177">
        <v>12700</v>
      </c>
      <c r="G48" s="159">
        <v>10700</v>
      </c>
      <c r="H48" s="177">
        <v>12300</v>
      </c>
      <c r="I48" s="159">
        <v>11000</v>
      </c>
      <c r="J48" s="177">
        <v>13598</v>
      </c>
      <c r="K48" s="159">
        <v>11500</v>
      </c>
    </row>
    <row r="49" spans="2:11">
      <c r="B49" s="343"/>
      <c r="C49" s="162"/>
      <c r="D49" s="73" t="s">
        <v>1277</v>
      </c>
      <c r="E49" s="72">
        <v>1667</v>
      </c>
      <c r="F49" s="176">
        <v>840</v>
      </c>
      <c r="G49" s="72">
        <v>700</v>
      </c>
      <c r="H49" s="176">
        <v>1000</v>
      </c>
      <c r="I49" s="72">
        <v>700</v>
      </c>
      <c r="J49" s="176">
        <v>0</v>
      </c>
      <c r="K49" s="72"/>
    </row>
    <row r="50" spans="2:11" ht="30.65" customHeight="1">
      <c r="B50" s="343"/>
      <c r="C50" s="162" t="s">
        <v>1158</v>
      </c>
      <c r="D50" s="73"/>
      <c r="E50" s="159">
        <v>2600</v>
      </c>
      <c r="F50" s="177">
        <v>350</v>
      </c>
      <c r="G50" s="159">
        <v>350</v>
      </c>
      <c r="H50" s="177">
        <v>350</v>
      </c>
      <c r="I50" s="159">
        <v>350</v>
      </c>
      <c r="J50" s="177">
        <v>350</v>
      </c>
      <c r="K50" s="159">
        <v>350</v>
      </c>
    </row>
  </sheetData>
  <mergeCells count="18">
    <mergeCell ref="G8:G9"/>
    <mergeCell ref="I8:I9"/>
    <mergeCell ref="K8:K9"/>
    <mergeCell ref="B48:B50"/>
    <mergeCell ref="B8:B12"/>
    <mergeCell ref="F8:F9"/>
    <mergeCell ref="H8:H9"/>
    <mergeCell ref="J8:J9"/>
    <mergeCell ref="B13:B30"/>
    <mergeCell ref="C13:C24"/>
    <mergeCell ref="C25:C26"/>
    <mergeCell ref="C27:C30"/>
    <mergeCell ref="E8:E9"/>
    <mergeCell ref="B31:B37"/>
    <mergeCell ref="C31:C36"/>
    <mergeCell ref="B38:B47"/>
    <mergeCell ref="C38:C45"/>
    <mergeCell ref="C46:C4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d5bf4da-62f3-42da-a407-e6cfc8fccaf5}" enabled="1" method="Standard" siteId="{edcbe357-4b00-4f0e-ab5e-225bd09353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Consolidated</vt:lpstr>
      <vt:lpstr>Graphs summary</vt:lpstr>
      <vt:lpstr>Sheet1</vt:lpstr>
      <vt:lpstr>Mnr</vt:lpstr>
      <vt:lpstr>New BWL</vt:lpstr>
      <vt:lpstr>CNS</vt:lpstr>
      <vt:lpstr>SBD</vt:lpstr>
      <vt:lpstr>STHS</vt:lpstr>
      <vt:lpstr>Summary</vt:lpstr>
      <vt:lpstr>Consolidated by Customer</vt:lpstr>
      <vt:lpstr>CNS!Print_Area</vt:lpstr>
      <vt:lpstr>Mnr!Print_Area</vt:lpstr>
      <vt:lpstr>'New BWL'!Print_Area</vt:lpstr>
      <vt:lpstr>SBD!Print_Area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2026-06-15T16:17:04Z</dcterms:modified>
</cp:coreProperties>
</file>